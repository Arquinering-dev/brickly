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4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fuente\"/>
    </mc:Choice>
  </mc:AlternateContent>
  <xr:revisionPtr revIDLastSave="0" documentId="13_ncr:1_{4CE44F28-3391-4188-8CDB-A9589EEC552C}" xr6:coauthVersionLast="47" xr6:coauthVersionMax="47" xr10:uidLastSave="{00000000-0000-0000-0000-000000000000}"/>
  <bookViews>
    <workbookView xWindow="-30" yWindow="-16320" windowWidth="29040" windowHeight="15720" tabRatio="927" firstSheet="3" activeTab="11" xr2:uid="{623E10A4-A263-4D15-BE06-84C9908F0D43}"/>
  </bookViews>
  <sheets>
    <sheet name="HOJA DE OBRA" sheetId="9" r:id="rId1"/>
    <sheet name="Resumen General" sheetId="1" r:id="rId2"/>
    <sheet name="Resumen Pto #1" sheetId="21" r:id="rId3"/>
    <sheet name="Resumen Pto #2" sheetId="30" r:id="rId4"/>
    <sheet name="Facturacion" sheetId="10" r:id="rId5"/>
    <sheet name="Cash Flow" sheetId="4" state="hidden" r:id="rId6"/>
    <sheet name="M.O. HORM" sheetId="2" r:id="rId7"/>
    <sheet name="M.O. ALBA" sheetId="41" r:id="rId8"/>
    <sheet name="M.O. ELE" sheetId="37" r:id="rId9"/>
    <sheet name="M.O. PLO" sheetId="40" r:id="rId10"/>
    <sheet name="Contratistas" sheetId="3" r:id="rId11"/>
    <sheet name="Pto. Vta." sheetId="32" r:id="rId12"/>
    <sheet name="Pto. Costos" sheetId="33" r:id="rId13"/>
    <sheet name="01" sheetId="34" r:id="rId14"/>
    <sheet name="GGBB" sheetId="35" r:id="rId15"/>
    <sheet name="C. Gestión Pto #1" sheetId="5" r:id="rId16"/>
    <sheet name="C. Gestión Pto #2" sheetId="31" r:id="rId17"/>
    <sheet name="Indice CAC" sheetId="25" r:id="rId18"/>
    <sheet name="Varios" sheetId="36" r:id="rId19"/>
    <sheet name="Pto. 01 Cert." sheetId="38" r:id="rId20"/>
    <sheet name="Pto. 02 Cert." sheetId="42" r:id="rId21"/>
    <sheet name="01 (2)" sheetId="39" r:id="rId22"/>
    <sheet name="ADICIONALES" sheetId="43" r:id="rId23"/>
    <sheet name="TC USD MEP" sheetId="44" r:id="rId24"/>
    <sheet name="Listas" sheetId="8" state="hidden" r:id="rId25"/>
  </sheets>
  <externalReferences>
    <externalReference r:id="rId26"/>
    <externalReference r:id="rId27"/>
    <externalReference r:id="rId28"/>
  </externalReferences>
  <definedNames>
    <definedName name="\0" localSheetId="13">#REF!</definedName>
    <definedName name="\0" localSheetId="14">#REF!</definedName>
    <definedName name="\0" localSheetId="17">#REF!</definedName>
    <definedName name="\0" localSheetId="12">#REF!</definedName>
    <definedName name="\0" localSheetId="11">#REF!</definedName>
    <definedName name="\0">#REF!</definedName>
    <definedName name="\c" localSheetId="17">#REF!</definedName>
    <definedName name="\c" localSheetId="12">#REF!</definedName>
    <definedName name="\c" localSheetId="11">#REF!</definedName>
    <definedName name="\c">#REF!</definedName>
    <definedName name="\E" localSheetId="17">#REF!</definedName>
    <definedName name="\E" localSheetId="12">#REF!</definedName>
    <definedName name="\E" localSheetId="11">#REF!</definedName>
    <definedName name="\E">#REF!</definedName>
    <definedName name="\i">#REF!</definedName>
    <definedName name="\j">#REF!</definedName>
    <definedName name="\m">#REF!</definedName>
    <definedName name="\P" localSheetId="13">#REF!</definedName>
    <definedName name="\P" localSheetId="21">#REF!</definedName>
    <definedName name="\P" localSheetId="22">#REF!</definedName>
    <definedName name="\P" localSheetId="5">#REF!</definedName>
    <definedName name="\P" localSheetId="10">#REF!</definedName>
    <definedName name="\P" localSheetId="4">#REF!</definedName>
    <definedName name="\P" localSheetId="0">#REF!</definedName>
    <definedName name="\P" localSheetId="7">#REF!</definedName>
    <definedName name="\P" localSheetId="8">#REF!</definedName>
    <definedName name="\P" localSheetId="6">#REF!</definedName>
    <definedName name="\P" localSheetId="9">#REF!</definedName>
    <definedName name="\P" localSheetId="19">#REF!</definedName>
    <definedName name="\P" localSheetId="20">#REF!</definedName>
    <definedName name="\P" localSheetId="12">#REF!</definedName>
    <definedName name="\P" localSheetId="11">#REF!</definedName>
    <definedName name="\P" localSheetId="1">#REF!</definedName>
    <definedName name="\P" localSheetId="2">#REF!</definedName>
    <definedName name="\P" localSheetId="3">#REF!</definedName>
    <definedName name="\P">#REF!</definedName>
    <definedName name="\r">#N/A</definedName>
    <definedName name="\x">#REF!</definedName>
    <definedName name="\z" localSheetId="13">#REF!</definedName>
    <definedName name="\z" localSheetId="14">#REF!</definedName>
    <definedName name="\z" localSheetId="17">#REF!</definedName>
    <definedName name="\z" localSheetId="12">#REF!</definedName>
    <definedName name="\z" localSheetId="11">#REF!</definedName>
    <definedName name="\z">#REF!</definedName>
    <definedName name="__________ben1" localSheetId="13">#REF!</definedName>
    <definedName name="__________ben1" localSheetId="21">#REF!</definedName>
    <definedName name="__________ben1" localSheetId="22">#REF!</definedName>
    <definedName name="__________ben1" localSheetId="5">#REF!</definedName>
    <definedName name="__________ben1" localSheetId="10">#REF!</definedName>
    <definedName name="__________ben1" localSheetId="4">#REF!</definedName>
    <definedName name="__________ben1" localSheetId="0">#REF!</definedName>
    <definedName name="__________ben1" localSheetId="17">#REF!</definedName>
    <definedName name="__________ben1" localSheetId="7">#REF!</definedName>
    <definedName name="__________ben1" localSheetId="8">#REF!</definedName>
    <definedName name="__________ben1" localSheetId="6">#REF!</definedName>
    <definedName name="__________ben1" localSheetId="9">#REF!</definedName>
    <definedName name="__________ben1" localSheetId="19">#REF!</definedName>
    <definedName name="__________ben1" localSheetId="20">#REF!</definedName>
    <definedName name="__________ben1" localSheetId="12">#REF!</definedName>
    <definedName name="__________ben1" localSheetId="11">#REF!</definedName>
    <definedName name="__________ben1" localSheetId="1">#REF!</definedName>
    <definedName name="__________ben1" localSheetId="2">#REF!</definedName>
    <definedName name="__________ben1" localSheetId="3">#REF!</definedName>
    <definedName name="__________ben1">#REF!</definedName>
    <definedName name="__________ben10" localSheetId="13">#REF!</definedName>
    <definedName name="__________ben10" localSheetId="21">#REF!</definedName>
    <definedName name="__________ben10" localSheetId="22">#REF!</definedName>
    <definedName name="__________ben10" localSheetId="5">#REF!</definedName>
    <definedName name="__________ben10" localSheetId="10">#REF!</definedName>
    <definedName name="__________ben10" localSheetId="4">#REF!</definedName>
    <definedName name="__________ben10" localSheetId="0">#REF!</definedName>
    <definedName name="__________ben10" localSheetId="17">#REF!</definedName>
    <definedName name="__________ben10" localSheetId="7">#REF!</definedName>
    <definedName name="__________ben10" localSheetId="8">#REF!</definedName>
    <definedName name="__________ben10" localSheetId="6">#REF!</definedName>
    <definedName name="__________ben10" localSheetId="9">#REF!</definedName>
    <definedName name="__________ben10" localSheetId="19">#REF!</definedName>
    <definedName name="__________ben10" localSheetId="20">#REF!</definedName>
    <definedName name="__________ben10" localSheetId="12">#REF!</definedName>
    <definedName name="__________ben10" localSheetId="11">#REF!</definedName>
    <definedName name="__________ben10" localSheetId="1">#REF!</definedName>
    <definedName name="__________ben10" localSheetId="2">#REF!</definedName>
    <definedName name="__________ben10" localSheetId="3">#REF!</definedName>
    <definedName name="__________ben10">#REF!</definedName>
    <definedName name="__________ben15" localSheetId="13">#REF!</definedName>
    <definedName name="__________ben15" localSheetId="21">#REF!</definedName>
    <definedName name="__________ben15" localSheetId="22">#REF!</definedName>
    <definedName name="__________ben15" localSheetId="5">#REF!</definedName>
    <definedName name="__________ben15" localSheetId="10">#REF!</definedName>
    <definedName name="__________ben15" localSheetId="4">#REF!</definedName>
    <definedName name="__________ben15" localSheetId="0">#REF!</definedName>
    <definedName name="__________ben15" localSheetId="17">#REF!</definedName>
    <definedName name="__________ben15" localSheetId="7">#REF!</definedName>
    <definedName name="__________ben15" localSheetId="8">#REF!</definedName>
    <definedName name="__________ben15" localSheetId="6">#REF!</definedName>
    <definedName name="__________ben15" localSheetId="9">#REF!</definedName>
    <definedName name="__________ben15" localSheetId="19">#REF!</definedName>
    <definedName name="__________ben15" localSheetId="20">#REF!</definedName>
    <definedName name="__________ben15" localSheetId="12">#REF!</definedName>
    <definedName name="__________ben15" localSheetId="11">#REF!</definedName>
    <definedName name="__________ben15" localSheetId="1">#REF!</definedName>
    <definedName name="__________ben15" localSheetId="2">#REF!</definedName>
    <definedName name="__________ben15" localSheetId="3">#REF!</definedName>
    <definedName name="__________ben15">#REF!</definedName>
    <definedName name="__________BEN2" localSheetId="13">#REF!</definedName>
    <definedName name="__________BEN2" localSheetId="14">#REF!</definedName>
    <definedName name="__________BEN2" localSheetId="17">#REF!</definedName>
    <definedName name="__________BEN2" localSheetId="12">#REF!</definedName>
    <definedName name="__________BEN2" localSheetId="11">#REF!</definedName>
    <definedName name="__________BEN2">#REF!</definedName>
    <definedName name="__________ben20" localSheetId="13">#REF!</definedName>
    <definedName name="__________ben20" localSheetId="21">#REF!</definedName>
    <definedName name="__________ben20" localSheetId="22">#REF!</definedName>
    <definedName name="__________ben20" localSheetId="5">#REF!</definedName>
    <definedName name="__________ben20" localSheetId="10">#REF!</definedName>
    <definedName name="__________ben20" localSheetId="4">#REF!</definedName>
    <definedName name="__________ben20" localSheetId="0">#REF!</definedName>
    <definedName name="__________ben20" localSheetId="17">#REF!</definedName>
    <definedName name="__________ben20" localSheetId="7">#REF!</definedName>
    <definedName name="__________ben20" localSheetId="8">#REF!</definedName>
    <definedName name="__________ben20" localSheetId="6">#REF!</definedName>
    <definedName name="__________ben20" localSheetId="9">#REF!</definedName>
    <definedName name="__________ben20" localSheetId="19">#REF!</definedName>
    <definedName name="__________ben20" localSheetId="20">#REF!</definedName>
    <definedName name="__________ben20" localSheetId="12">#REF!</definedName>
    <definedName name="__________ben20" localSheetId="11">#REF!</definedName>
    <definedName name="__________ben20" localSheetId="1">#REF!</definedName>
    <definedName name="__________ben20" localSheetId="2">#REF!</definedName>
    <definedName name="__________ben20" localSheetId="3">#REF!</definedName>
    <definedName name="__________ben20">#REF!</definedName>
    <definedName name="__________ben25" localSheetId="13">#REF!</definedName>
    <definedName name="__________ben25" localSheetId="21">#REF!</definedName>
    <definedName name="__________ben25" localSheetId="22">#REF!</definedName>
    <definedName name="__________ben25" localSheetId="5">#REF!</definedName>
    <definedName name="__________ben25" localSheetId="10">#REF!</definedName>
    <definedName name="__________ben25" localSheetId="4">#REF!</definedName>
    <definedName name="__________ben25" localSheetId="0">#REF!</definedName>
    <definedName name="__________ben25" localSheetId="17">#REF!</definedName>
    <definedName name="__________ben25" localSheetId="7">#REF!</definedName>
    <definedName name="__________ben25" localSheetId="8">#REF!</definedName>
    <definedName name="__________ben25" localSheetId="6">#REF!</definedName>
    <definedName name="__________ben25" localSheetId="9">#REF!</definedName>
    <definedName name="__________ben25" localSheetId="19">#REF!</definedName>
    <definedName name="__________ben25" localSheetId="20">#REF!</definedName>
    <definedName name="__________ben25" localSheetId="12">#REF!</definedName>
    <definedName name="__________ben25" localSheetId="11">#REF!</definedName>
    <definedName name="__________ben25" localSheetId="1">#REF!</definedName>
    <definedName name="__________ben25" localSheetId="2">#REF!</definedName>
    <definedName name="__________ben25" localSheetId="3">#REF!</definedName>
    <definedName name="__________ben25">#REF!</definedName>
    <definedName name="__________BEN3" localSheetId="13">#REF!</definedName>
    <definedName name="__________BEN3" localSheetId="21">#REF!</definedName>
    <definedName name="__________BEN3" localSheetId="22">#REF!</definedName>
    <definedName name="__________BEN3" localSheetId="5">#REF!</definedName>
    <definedName name="__________BEN3" localSheetId="10">#REF!</definedName>
    <definedName name="__________BEN3" localSheetId="4">#REF!</definedName>
    <definedName name="__________BEN3" localSheetId="0">#REF!</definedName>
    <definedName name="__________BEN3" localSheetId="17">#REF!</definedName>
    <definedName name="__________BEN3" localSheetId="7">#REF!</definedName>
    <definedName name="__________BEN3" localSheetId="8">#REF!</definedName>
    <definedName name="__________BEN3" localSheetId="6">#REF!</definedName>
    <definedName name="__________BEN3" localSheetId="9">#REF!</definedName>
    <definedName name="__________BEN3" localSheetId="19">#REF!</definedName>
    <definedName name="__________BEN3" localSheetId="20">#REF!</definedName>
    <definedName name="__________BEN3" localSheetId="12">#REF!</definedName>
    <definedName name="__________BEN3" localSheetId="11">#REF!</definedName>
    <definedName name="__________BEN3" localSheetId="1">#REF!</definedName>
    <definedName name="__________BEN3" localSheetId="2">#REF!</definedName>
    <definedName name="__________BEN3" localSheetId="3">#REF!</definedName>
    <definedName name="__________BEN3">#REF!</definedName>
    <definedName name="__________BEN4" localSheetId="13">#REF!</definedName>
    <definedName name="__________BEN4" localSheetId="21">#REF!</definedName>
    <definedName name="__________BEN4" localSheetId="22">#REF!</definedName>
    <definedName name="__________BEN4" localSheetId="5">#REF!</definedName>
    <definedName name="__________BEN4" localSheetId="10">#REF!</definedName>
    <definedName name="__________BEN4" localSheetId="4">#REF!</definedName>
    <definedName name="__________BEN4" localSheetId="0">#REF!</definedName>
    <definedName name="__________BEN4" localSheetId="7">#REF!</definedName>
    <definedName name="__________BEN4" localSheetId="8">#REF!</definedName>
    <definedName name="__________BEN4" localSheetId="6">#REF!</definedName>
    <definedName name="__________BEN4" localSheetId="9">#REF!</definedName>
    <definedName name="__________BEN4" localSheetId="19">#REF!</definedName>
    <definedName name="__________BEN4" localSheetId="20">#REF!</definedName>
    <definedName name="__________BEN4" localSheetId="12">#REF!</definedName>
    <definedName name="__________BEN4" localSheetId="11">#REF!</definedName>
    <definedName name="__________BEN4" localSheetId="1">#REF!</definedName>
    <definedName name="__________BEN4" localSheetId="2">#REF!</definedName>
    <definedName name="__________BEN4" localSheetId="3">#REF!</definedName>
    <definedName name="__________BEN4">#REF!</definedName>
    <definedName name="__________ben5" localSheetId="13">#REF!</definedName>
    <definedName name="__________ben5" localSheetId="21">#REF!</definedName>
    <definedName name="__________ben5" localSheetId="22">#REF!</definedName>
    <definedName name="__________ben5" localSheetId="5">#REF!</definedName>
    <definedName name="__________ben5" localSheetId="10">#REF!</definedName>
    <definedName name="__________ben5" localSheetId="4">#REF!</definedName>
    <definedName name="__________ben5" localSheetId="0">#REF!</definedName>
    <definedName name="__________ben5" localSheetId="7">#REF!</definedName>
    <definedName name="__________ben5" localSheetId="8">#REF!</definedName>
    <definedName name="__________ben5" localSheetId="6">#REF!</definedName>
    <definedName name="__________ben5" localSheetId="9">#REF!</definedName>
    <definedName name="__________ben5" localSheetId="19">#REF!</definedName>
    <definedName name="__________ben5" localSheetId="20">#REF!</definedName>
    <definedName name="__________ben5" localSheetId="12">#REF!</definedName>
    <definedName name="__________ben5" localSheetId="11">#REF!</definedName>
    <definedName name="__________ben5" localSheetId="1">#REF!</definedName>
    <definedName name="__________ben5" localSheetId="2">#REF!</definedName>
    <definedName name="__________ben5" localSheetId="3">#REF!</definedName>
    <definedName name="__________ben5">#REF!</definedName>
    <definedName name="_________ben1" localSheetId="13">#REF!</definedName>
    <definedName name="_________ben1" localSheetId="21">#REF!</definedName>
    <definedName name="_________ben1" localSheetId="22">#REF!</definedName>
    <definedName name="_________ben1" localSheetId="5">#REF!</definedName>
    <definedName name="_________ben1" localSheetId="10">#REF!</definedName>
    <definedName name="_________ben1" localSheetId="4">#REF!</definedName>
    <definedName name="_________ben1" localSheetId="0">#REF!</definedName>
    <definedName name="_________ben1" localSheetId="7">#REF!</definedName>
    <definedName name="_________ben1" localSheetId="8">#REF!</definedName>
    <definedName name="_________ben1" localSheetId="6">#REF!</definedName>
    <definedName name="_________ben1" localSheetId="9">#REF!</definedName>
    <definedName name="_________ben1" localSheetId="19">#REF!</definedName>
    <definedName name="_________ben1" localSheetId="20">#REF!</definedName>
    <definedName name="_________ben1" localSheetId="12">#REF!</definedName>
    <definedName name="_________ben1" localSheetId="11">#REF!</definedName>
    <definedName name="_________ben1" localSheetId="1">#REF!</definedName>
    <definedName name="_________ben1" localSheetId="2">#REF!</definedName>
    <definedName name="_________ben1" localSheetId="3">#REF!</definedName>
    <definedName name="_________ben1">#REF!</definedName>
    <definedName name="_________ben10" localSheetId="13">#REF!</definedName>
    <definedName name="_________ben10" localSheetId="21">#REF!</definedName>
    <definedName name="_________ben10" localSheetId="22">#REF!</definedName>
    <definedName name="_________ben10" localSheetId="5">#REF!</definedName>
    <definedName name="_________ben10" localSheetId="10">#REF!</definedName>
    <definedName name="_________ben10" localSheetId="4">#REF!</definedName>
    <definedName name="_________ben10" localSheetId="0">#REF!</definedName>
    <definedName name="_________ben10" localSheetId="7">#REF!</definedName>
    <definedName name="_________ben10" localSheetId="8">#REF!</definedName>
    <definedName name="_________ben10" localSheetId="6">#REF!</definedName>
    <definedName name="_________ben10" localSheetId="9">#REF!</definedName>
    <definedName name="_________ben10" localSheetId="19">#REF!</definedName>
    <definedName name="_________ben10" localSheetId="20">#REF!</definedName>
    <definedName name="_________ben10" localSheetId="12">#REF!</definedName>
    <definedName name="_________ben10" localSheetId="11">#REF!</definedName>
    <definedName name="_________ben10" localSheetId="1">#REF!</definedName>
    <definedName name="_________ben10" localSheetId="2">#REF!</definedName>
    <definedName name="_________ben10" localSheetId="3">#REF!</definedName>
    <definedName name="_________ben10">#REF!</definedName>
    <definedName name="_________ben15" localSheetId="13">#REF!</definedName>
    <definedName name="_________ben15" localSheetId="21">#REF!</definedName>
    <definedName name="_________ben15" localSheetId="22">#REF!</definedName>
    <definedName name="_________ben15" localSheetId="5">#REF!</definedName>
    <definedName name="_________ben15" localSheetId="10">#REF!</definedName>
    <definedName name="_________ben15" localSheetId="4">#REF!</definedName>
    <definedName name="_________ben15" localSheetId="0">#REF!</definedName>
    <definedName name="_________ben15" localSheetId="7">#REF!</definedName>
    <definedName name="_________ben15" localSheetId="8">#REF!</definedName>
    <definedName name="_________ben15" localSheetId="6">#REF!</definedName>
    <definedName name="_________ben15" localSheetId="9">#REF!</definedName>
    <definedName name="_________ben15" localSheetId="19">#REF!</definedName>
    <definedName name="_________ben15" localSheetId="20">#REF!</definedName>
    <definedName name="_________ben15" localSheetId="12">#REF!</definedName>
    <definedName name="_________ben15" localSheetId="11">#REF!</definedName>
    <definedName name="_________ben15" localSheetId="1">#REF!</definedName>
    <definedName name="_________ben15" localSheetId="2">#REF!</definedName>
    <definedName name="_________ben15" localSheetId="3">#REF!</definedName>
    <definedName name="_________ben15">#REF!</definedName>
    <definedName name="_________BEN2" localSheetId="13">#REF!</definedName>
    <definedName name="_________BEN2" localSheetId="14">#REF!</definedName>
    <definedName name="_________BEN2" localSheetId="17">#REF!</definedName>
    <definedName name="_________BEN2" localSheetId="12">#REF!</definedName>
    <definedName name="_________BEN2" localSheetId="11">#REF!</definedName>
    <definedName name="_________BEN2">#REF!</definedName>
    <definedName name="_________ben20" localSheetId="13">#REF!</definedName>
    <definedName name="_________ben20" localSheetId="21">#REF!</definedName>
    <definedName name="_________ben20" localSheetId="22">#REF!</definedName>
    <definedName name="_________ben20" localSheetId="5">#REF!</definedName>
    <definedName name="_________ben20" localSheetId="10">#REF!</definedName>
    <definedName name="_________ben20" localSheetId="4">#REF!</definedName>
    <definedName name="_________ben20" localSheetId="0">#REF!</definedName>
    <definedName name="_________ben20" localSheetId="17">#REF!</definedName>
    <definedName name="_________ben20" localSheetId="7">#REF!</definedName>
    <definedName name="_________ben20" localSheetId="8">#REF!</definedName>
    <definedName name="_________ben20" localSheetId="6">#REF!</definedName>
    <definedName name="_________ben20" localSheetId="9">#REF!</definedName>
    <definedName name="_________ben20" localSheetId="19">#REF!</definedName>
    <definedName name="_________ben20" localSheetId="20">#REF!</definedName>
    <definedName name="_________ben20" localSheetId="12">#REF!</definedName>
    <definedName name="_________ben20" localSheetId="11">#REF!</definedName>
    <definedName name="_________ben20" localSheetId="1">#REF!</definedName>
    <definedName name="_________ben20" localSheetId="2">#REF!</definedName>
    <definedName name="_________ben20" localSheetId="3">#REF!</definedName>
    <definedName name="_________ben20">#REF!</definedName>
    <definedName name="_________ben25" localSheetId="13">#REF!</definedName>
    <definedName name="_________ben25" localSheetId="21">#REF!</definedName>
    <definedName name="_________ben25" localSheetId="22">#REF!</definedName>
    <definedName name="_________ben25" localSheetId="5">#REF!</definedName>
    <definedName name="_________ben25" localSheetId="10">#REF!</definedName>
    <definedName name="_________ben25" localSheetId="4">#REF!</definedName>
    <definedName name="_________ben25" localSheetId="0">#REF!</definedName>
    <definedName name="_________ben25" localSheetId="17">#REF!</definedName>
    <definedName name="_________ben25" localSheetId="7">#REF!</definedName>
    <definedName name="_________ben25" localSheetId="8">#REF!</definedName>
    <definedName name="_________ben25" localSheetId="6">#REF!</definedName>
    <definedName name="_________ben25" localSheetId="9">#REF!</definedName>
    <definedName name="_________ben25" localSheetId="19">#REF!</definedName>
    <definedName name="_________ben25" localSheetId="20">#REF!</definedName>
    <definedName name="_________ben25" localSheetId="12">#REF!</definedName>
    <definedName name="_________ben25" localSheetId="11">#REF!</definedName>
    <definedName name="_________ben25" localSheetId="1">#REF!</definedName>
    <definedName name="_________ben25" localSheetId="2">#REF!</definedName>
    <definedName name="_________ben25" localSheetId="3">#REF!</definedName>
    <definedName name="_________ben25">#REF!</definedName>
    <definedName name="_________BEN3" localSheetId="13">#REF!</definedName>
    <definedName name="_________BEN3" localSheetId="21">#REF!</definedName>
    <definedName name="_________BEN3" localSheetId="22">#REF!</definedName>
    <definedName name="_________BEN3" localSheetId="5">#REF!</definedName>
    <definedName name="_________BEN3" localSheetId="10">#REF!</definedName>
    <definedName name="_________BEN3" localSheetId="4">#REF!</definedName>
    <definedName name="_________BEN3" localSheetId="0">#REF!</definedName>
    <definedName name="_________BEN3" localSheetId="17">#REF!</definedName>
    <definedName name="_________BEN3" localSheetId="7">#REF!</definedName>
    <definedName name="_________BEN3" localSheetId="8">#REF!</definedName>
    <definedName name="_________BEN3" localSheetId="6">#REF!</definedName>
    <definedName name="_________BEN3" localSheetId="9">#REF!</definedName>
    <definedName name="_________BEN3" localSheetId="19">#REF!</definedName>
    <definedName name="_________BEN3" localSheetId="20">#REF!</definedName>
    <definedName name="_________BEN3" localSheetId="12">#REF!</definedName>
    <definedName name="_________BEN3" localSheetId="11">#REF!</definedName>
    <definedName name="_________BEN3" localSheetId="1">#REF!</definedName>
    <definedName name="_________BEN3" localSheetId="2">#REF!</definedName>
    <definedName name="_________BEN3" localSheetId="3">#REF!</definedName>
    <definedName name="_________BEN3">#REF!</definedName>
    <definedName name="_________BEN4" localSheetId="13">#REF!</definedName>
    <definedName name="_________BEN4" localSheetId="21">#REF!</definedName>
    <definedName name="_________BEN4" localSheetId="22">#REF!</definedName>
    <definedName name="_________BEN4" localSheetId="5">#REF!</definedName>
    <definedName name="_________BEN4" localSheetId="10">#REF!</definedName>
    <definedName name="_________BEN4" localSheetId="4">#REF!</definedName>
    <definedName name="_________BEN4" localSheetId="0">#REF!</definedName>
    <definedName name="_________BEN4" localSheetId="7">#REF!</definedName>
    <definedName name="_________BEN4" localSheetId="8">#REF!</definedName>
    <definedName name="_________BEN4" localSheetId="6">#REF!</definedName>
    <definedName name="_________BEN4" localSheetId="9">#REF!</definedName>
    <definedName name="_________BEN4" localSheetId="19">#REF!</definedName>
    <definedName name="_________BEN4" localSheetId="20">#REF!</definedName>
    <definedName name="_________BEN4" localSheetId="12">#REF!</definedName>
    <definedName name="_________BEN4" localSheetId="11">#REF!</definedName>
    <definedName name="_________BEN4" localSheetId="1">#REF!</definedName>
    <definedName name="_________BEN4" localSheetId="2">#REF!</definedName>
    <definedName name="_________BEN4" localSheetId="3">#REF!</definedName>
    <definedName name="_________BEN4">#REF!</definedName>
    <definedName name="_________ben5" localSheetId="13">#REF!</definedName>
    <definedName name="_________ben5" localSheetId="21">#REF!</definedName>
    <definedName name="_________ben5" localSheetId="22">#REF!</definedName>
    <definedName name="_________ben5" localSheetId="5">#REF!</definedName>
    <definedName name="_________ben5" localSheetId="10">#REF!</definedName>
    <definedName name="_________ben5" localSheetId="4">#REF!</definedName>
    <definedName name="_________ben5" localSheetId="0">#REF!</definedName>
    <definedName name="_________ben5" localSheetId="7">#REF!</definedName>
    <definedName name="_________ben5" localSheetId="8">#REF!</definedName>
    <definedName name="_________ben5" localSheetId="6">#REF!</definedName>
    <definedName name="_________ben5" localSheetId="9">#REF!</definedName>
    <definedName name="_________ben5" localSheetId="19">#REF!</definedName>
    <definedName name="_________ben5" localSheetId="20">#REF!</definedName>
    <definedName name="_________ben5" localSheetId="12">#REF!</definedName>
    <definedName name="_________ben5" localSheetId="11">#REF!</definedName>
    <definedName name="_________ben5" localSheetId="1">#REF!</definedName>
    <definedName name="_________ben5" localSheetId="2">#REF!</definedName>
    <definedName name="_________ben5" localSheetId="3">#REF!</definedName>
    <definedName name="_________ben5">#REF!</definedName>
    <definedName name="________ben1" localSheetId="13">#REF!</definedName>
    <definedName name="________ben1" localSheetId="21">#REF!</definedName>
    <definedName name="________ben1" localSheetId="22">#REF!</definedName>
    <definedName name="________ben1" localSheetId="5">#REF!</definedName>
    <definedName name="________ben1" localSheetId="10">#REF!</definedName>
    <definedName name="________ben1" localSheetId="4">#REF!</definedName>
    <definedName name="________ben1" localSheetId="0">#REF!</definedName>
    <definedName name="________ben1" localSheetId="7">#REF!</definedName>
    <definedName name="________ben1" localSheetId="8">#REF!</definedName>
    <definedName name="________ben1" localSheetId="6">#REF!</definedName>
    <definedName name="________ben1" localSheetId="9">#REF!</definedName>
    <definedName name="________ben1" localSheetId="19">#REF!</definedName>
    <definedName name="________ben1" localSheetId="20">#REF!</definedName>
    <definedName name="________ben1" localSheetId="12">#REF!</definedName>
    <definedName name="________ben1" localSheetId="11">#REF!</definedName>
    <definedName name="________ben1" localSheetId="1">#REF!</definedName>
    <definedName name="________ben1" localSheetId="2">#REF!</definedName>
    <definedName name="________ben1" localSheetId="3">#REF!</definedName>
    <definedName name="________ben1">#REF!</definedName>
    <definedName name="________ben10" localSheetId="13">#REF!</definedName>
    <definedName name="________ben10" localSheetId="21">#REF!</definedName>
    <definedName name="________ben10" localSheetId="22">#REF!</definedName>
    <definedName name="________ben10" localSheetId="5">#REF!</definedName>
    <definedName name="________ben10" localSheetId="10">#REF!</definedName>
    <definedName name="________ben10" localSheetId="4">#REF!</definedName>
    <definedName name="________ben10" localSheetId="0">#REF!</definedName>
    <definedName name="________ben10" localSheetId="7">#REF!</definedName>
    <definedName name="________ben10" localSheetId="8">#REF!</definedName>
    <definedName name="________ben10" localSheetId="6">#REF!</definedName>
    <definedName name="________ben10" localSheetId="9">#REF!</definedName>
    <definedName name="________ben10" localSheetId="19">#REF!</definedName>
    <definedName name="________ben10" localSheetId="20">#REF!</definedName>
    <definedName name="________ben10" localSheetId="12">#REF!</definedName>
    <definedName name="________ben10" localSheetId="11">#REF!</definedName>
    <definedName name="________ben10" localSheetId="1">#REF!</definedName>
    <definedName name="________ben10" localSheetId="2">#REF!</definedName>
    <definedName name="________ben10" localSheetId="3">#REF!</definedName>
    <definedName name="________ben10">#REF!</definedName>
    <definedName name="________ben15" localSheetId="13">#REF!</definedName>
    <definedName name="________ben15" localSheetId="21">#REF!</definedName>
    <definedName name="________ben15" localSheetId="22">#REF!</definedName>
    <definedName name="________ben15" localSheetId="5">#REF!</definedName>
    <definedName name="________ben15" localSheetId="10">#REF!</definedName>
    <definedName name="________ben15" localSheetId="4">#REF!</definedName>
    <definedName name="________ben15" localSheetId="0">#REF!</definedName>
    <definedName name="________ben15" localSheetId="7">#REF!</definedName>
    <definedName name="________ben15" localSheetId="8">#REF!</definedName>
    <definedName name="________ben15" localSheetId="6">#REF!</definedName>
    <definedName name="________ben15" localSheetId="9">#REF!</definedName>
    <definedName name="________ben15" localSheetId="19">#REF!</definedName>
    <definedName name="________ben15" localSheetId="20">#REF!</definedName>
    <definedName name="________ben15" localSheetId="12">#REF!</definedName>
    <definedName name="________ben15" localSheetId="11">#REF!</definedName>
    <definedName name="________ben15" localSheetId="1">#REF!</definedName>
    <definedName name="________ben15" localSheetId="2">#REF!</definedName>
    <definedName name="________ben15" localSheetId="3">#REF!</definedName>
    <definedName name="________ben15">#REF!</definedName>
    <definedName name="________BEN2" localSheetId="13">#REF!</definedName>
    <definedName name="________BEN2" localSheetId="14">#REF!</definedName>
    <definedName name="________BEN2" localSheetId="17">#REF!</definedName>
    <definedName name="________BEN2" localSheetId="12">#REF!</definedName>
    <definedName name="________BEN2" localSheetId="11">#REF!</definedName>
    <definedName name="________BEN2">#REF!</definedName>
    <definedName name="________ben20" localSheetId="13">#REF!</definedName>
    <definedName name="________ben20" localSheetId="21">#REF!</definedName>
    <definedName name="________ben20" localSheetId="22">#REF!</definedName>
    <definedName name="________ben20" localSheetId="5">#REF!</definedName>
    <definedName name="________ben20" localSheetId="10">#REF!</definedName>
    <definedName name="________ben20" localSheetId="4">#REF!</definedName>
    <definedName name="________ben20" localSheetId="0">#REF!</definedName>
    <definedName name="________ben20" localSheetId="17">#REF!</definedName>
    <definedName name="________ben20" localSheetId="7">#REF!</definedName>
    <definedName name="________ben20" localSheetId="8">#REF!</definedName>
    <definedName name="________ben20" localSheetId="6">#REF!</definedName>
    <definedName name="________ben20" localSheetId="9">#REF!</definedName>
    <definedName name="________ben20" localSheetId="19">#REF!</definedName>
    <definedName name="________ben20" localSheetId="20">#REF!</definedName>
    <definedName name="________ben20" localSheetId="12">#REF!</definedName>
    <definedName name="________ben20" localSheetId="11">#REF!</definedName>
    <definedName name="________ben20" localSheetId="1">#REF!</definedName>
    <definedName name="________ben20" localSheetId="2">#REF!</definedName>
    <definedName name="________ben20" localSheetId="3">#REF!</definedName>
    <definedName name="________ben20">#REF!</definedName>
    <definedName name="________ben25" localSheetId="13">#REF!</definedName>
    <definedName name="________ben25" localSheetId="21">#REF!</definedName>
    <definedName name="________ben25" localSheetId="22">#REF!</definedName>
    <definedName name="________ben25" localSheetId="5">#REF!</definedName>
    <definedName name="________ben25" localSheetId="10">#REF!</definedName>
    <definedName name="________ben25" localSheetId="4">#REF!</definedName>
    <definedName name="________ben25" localSheetId="0">#REF!</definedName>
    <definedName name="________ben25" localSheetId="17">#REF!</definedName>
    <definedName name="________ben25" localSheetId="7">#REF!</definedName>
    <definedName name="________ben25" localSheetId="8">#REF!</definedName>
    <definedName name="________ben25" localSheetId="6">#REF!</definedName>
    <definedName name="________ben25" localSheetId="9">#REF!</definedName>
    <definedName name="________ben25" localSheetId="19">#REF!</definedName>
    <definedName name="________ben25" localSheetId="20">#REF!</definedName>
    <definedName name="________ben25" localSheetId="12">#REF!</definedName>
    <definedName name="________ben25" localSheetId="11">#REF!</definedName>
    <definedName name="________ben25" localSheetId="1">#REF!</definedName>
    <definedName name="________ben25" localSheetId="2">#REF!</definedName>
    <definedName name="________ben25" localSheetId="3">#REF!</definedName>
    <definedName name="________ben25">#REF!</definedName>
    <definedName name="________BEN3" localSheetId="13">#REF!</definedName>
    <definedName name="________BEN3" localSheetId="21">#REF!</definedName>
    <definedName name="________BEN3" localSheetId="22">#REF!</definedName>
    <definedName name="________BEN3" localSheetId="5">#REF!</definedName>
    <definedName name="________BEN3" localSheetId="10">#REF!</definedName>
    <definedName name="________BEN3" localSheetId="4">#REF!</definedName>
    <definedName name="________BEN3" localSheetId="0">#REF!</definedName>
    <definedName name="________BEN3" localSheetId="17">#REF!</definedName>
    <definedName name="________BEN3" localSheetId="7">#REF!</definedName>
    <definedName name="________BEN3" localSheetId="8">#REF!</definedName>
    <definedName name="________BEN3" localSheetId="6">#REF!</definedName>
    <definedName name="________BEN3" localSheetId="9">#REF!</definedName>
    <definedName name="________BEN3" localSheetId="19">#REF!</definedName>
    <definedName name="________BEN3" localSheetId="20">#REF!</definedName>
    <definedName name="________BEN3" localSheetId="12">#REF!</definedName>
    <definedName name="________BEN3" localSheetId="11">#REF!</definedName>
    <definedName name="________BEN3" localSheetId="1">#REF!</definedName>
    <definedName name="________BEN3" localSheetId="2">#REF!</definedName>
    <definedName name="________BEN3" localSheetId="3">#REF!</definedName>
    <definedName name="________BEN3">#REF!</definedName>
    <definedName name="________BEN4" localSheetId="13">#REF!</definedName>
    <definedName name="________BEN4" localSheetId="21">#REF!</definedName>
    <definedName name="________BEN4" localSheetId="22">#REF!</definedName>
    <definedName name="________BEN4" localSheetId="5">#REF!</definedName>
    <definedName name="________BEN4" localSheetId="10">#REF!</definedName>
    <definedName name="________BEN4" localSheetId="4">#REF!</definedName>
    <definedName name="________BEN4" localSheetId="0">#REF!</definedName>
    <definedName name="________BEN4" localSheetId="7">#REF!</definedName>
    <definedName name="________BEN4" localSheetId="8">#REF!</definedName>
    <definedName name="________BEN4" localSheetId="6">#REF!</definedName>
    <definedName name="________BEN4" localSheetId="9">#REF!</definedName>
    <definedName name="________BEN4" localSheetId="19">#REF!</definedName>
    <definedName name="________BEN4" localSheetId="20">#REF!</definedName>
    <definedName name="________BEN4" localSheetId="12">#REF!</definedName>
    <definedName name="________BEN4" localSheetId="11">#REF!</definedName>
    <definedName name="________BEN4" localSheetId="1">#REF!</definedName>
    <definedName name="________BEN4" localSheetId="2">#REF!</definedName>
    <definedName name="________BEN4" localSheetId="3">#REF!</definedName>
    <definedName name="________BEN4">#REF!</definedName>
    <definedName name="________ben5" localSheetId="13">#REF!</definedName>
    <definedName name="________ben5" localSheetId="21">#REF!</definedName>
    <definedName name="________ben5" localSheetId="22">#REF!</definedName>
    <definedName name="________ben5" localSheetId="5">#REF!</definedName>
    <definedName name="________ben5" localSheetId="10">#REF!</definedName>
    <definedName name="________ben5" localSheetId="4">#REF!</definedName>
    <definedName name="________ben5" localSheetId="0">#REF!</definedName>
    <definedName name="________ben5" localSheetId="7">#REF!</definedName>
    <definedName name="________ben5" localSheetId="8">#REF!</definedName>
    <definedName name="________ben5" localSheetId="6">#REF!</definedName>
    <definedName name="________ben5" localSheetId="9">#REF!</definedName>
    <definedName name="________ben5" localSheetId="19">#REF!</definedName>
    <definedName name="________ben5" localSheetId="20">#REF!</definedName>
    <definedName name="________ben5" localSheetId="12">#REF!</definedName>
    <definedName name="________ben5" localSheetId="11">#REF!</definedName>
    <definedName name="________ben5" localSheetId="1">#REF!</definedName>
    <definedName name="________ben5" localSheetId="2">#REF!</definedName>
    <definedName name="________ben5" localSheetId="3">#REF!</definedName>
    <definedName name="________ben5">#REF!</definedName>
    <definedName name="________tu3" localSheetId="13">#REF!</definedName>
    <definedName name="________tu3" localSheetId="21">#REF!</definedName>
    <definedName name="________tu3" localSheetId="22">#REF!</definedName>
    <definedName name="________tu3" localSheetId="5">#REF!</definedName>
    <definedName name="________tu3" localSheetId="10">#REF!</definedName>
    <definedName name="________tu3" localSheetId="4">#REF!</definedName>
    <definedName name="________tu3" localSheetId="0">#REF!</definedName>
    <definedName name="________tu3" localSheetId="7">#REF!</definedName>
    <definedName name="________tu3" localSheetId="8">#REF!</definedName>
    <definedName name="________tu3" localSheetId="6">#REF!</definedName>
    <definedName name="________tu3" localSheetId="9">#REF!</definedName>
    <definedName name="________tu3" localSheetId="19">#REF!</definedName>
    <definedName name="________tu3" localSheetId="20">#REF!</definedName>
    <definedName name="________tu3" localSheetId="12">#REF!</definedName>
    <definedName name="________tu3" localSheetId="11">#REF!</definedName>
    <definedName name="________tu3" localSheetId="1">#REF!</definedName>
    <definedName name="________tu3" localSheetId="2">#REF!</definedName>
    <definedName name="________tu3" localSheetId="3">#REF!</definedName>
    <definedName name="________tu3">#REF!</definedName>
    <definedName name="_______ben1" localSheetId="13">#REF!</definedName>
    <definedName name="_______ben1" localSheetId="21">#REF!</definedName>
    <definedName name="_______ben1" localSheetId="22">#REF!</definedName>
    <definedName name="_______ben1" localSheetId="5">#REF!</definedName>
    <definedName name="_______ben1" localSheetId="10">#REF!</definedName>
    <definedName name="_______ben1" localSheetId="4">#REF!</definedName>
    <definedName name="_______ben1" localSheetId="0">#REF!</definedName>
    <definedName name="_______ben1" localSheetId="7">#REF!</definedName>
    <definedName name="_______ben1" localSheetId="8">#REF!</definedName>
    <definedName name="_______ben1" localSheetId="6">#REF!</definedName>
    <definedName name="_______ben1" localSheetId="9">#REF!</definedName>
    <definedName name="_______ben1" localSheetId="19">#REF!</definedName>
    <definedName name="_______ben1" localSheetId="20">#REF!</definedName>
    <definedName name="_______ben1" localSheetId="12">#REF!</definedName>
    <definedName name="_______ben1" localSheetId="11">#REF!</definedName>
    <definedName name="_______ben1" localSheetId="1">#REF!</definedName>
    <definedName name="_______ben1" localSheetId="2">#REF!</definedName>
    <definedName name="_______ben1" localSheetId="3">#REF!</definedName>
    <definedName name="_______ben1">#REF!</definedName>
    <definedName name="_______ben10" localSheetId="13">#REF!</definedName>
    <definedName name="_______ben10" localSheetId="21">#REF!</definedName>
    <definedName name="_______ben10" localSheetId="22">#REF!</definedName>
    <definedName name="_______ben10" localSheetId="5">#REF!</definedName>
    <definedName name="_______ben10" localSheetId="10">#REF!</definedName>
    <definedName name="_______ben10" localSheetId="4">#REF!</definedName>
    <definedName name="_______ben10" localSheetId="0">#REF!</definedName>
    <definedName name="_______ben10" localSheetId="7">#REF!</definedName>
    <definedName name="_______ben10" localSheetId="8">#REF!</definedName>
    <definedName name="_______ben10" localSheetId="6">#REF!</definedName>
    <definedName name="_______ben10" localSheetId="9">#REF!</definedName>
    <definedName name="_______ben10" localSheetId="19">#REF!</definedName>
    <definedName name="_______ben10" localSheetId="20">#REF!</definedName>
    <definedName name="_______ben10" localSheetId="12">#REF!</definedName>
    <definedName name="_______ben10" localSheetId="11">#REF!</definedName>
    <definedName name="_______ben10" localSheetId="1">#REF!</definedName>
    <definedName name="_______ben10" localSheetId="2">#REF!</definedName>
    <definedName name="_______ben10" localSheetId="3">#REF!</definedName>
    <definedName name="_______ben10">#REF!</definedName>
    <definedName name="_______ben15" localSheetId="13">#REF!</definedName>
    <definedName name="_______ben15" localSheetId="21">#REF!</definedName>
    <definedName name="_______ben15" localSheetId="22">#REF!</definedName>
    <definedName name="_______ben15" localSheetId="5">#REF!</definedName>
    <definedName name="_______ben15" localSheetId="10">#REF!</definedName>
    <definedName name="_______ben15" localSheetId="4">#REF!</definedName>
    <definedName name="_______ben15" localSheetId="0">#REF!</definedName>
    <definedName name="_______ben15" localSheetId="7">#REF!</definedName>
    <definedName name="_______ben15" localSheetId="8">#REF!</definedName>
    <definedName name="_______ben15" localSheetId="6">#REF!</definedName>
    <definedName name="_______ben15" localSheetId="9">#REF!</definedName>
    <definedName name="_______ben15" localSheetId="19">#REF!</definedName>
    <definedName name="_______ben15" localSheetId="20">#REF!</definedName>
    <definedName name="_______ben15" localSheetId="12">#REF!</definedName>
    <definedName name="_______ben15" localSheetId="11">#REF!</definedName>
    <definedName name="_______ben15" localSheetId="1">#REF!</definedName>
    <definedName name="_______ben15" localSheetId="2">#REF!</definedName>
    <definedName name="_______ben15" localSheetId="3">#REF!</definedName>
    <definedName name="_______ben15">#REF!</definedName>
    <definedName name="_______BEN2" localSheetId="13">#REF!</definedName>
    <definedName name="_______BEN2" localSheetId="14">#REF!</definedName>
    <definedName name="_______BEN2" localSheetId="17">#REF!</definedName>
    <definedName name="_______BEN2" localSheetId="12">#REF!</definedName>
    <definedName name="_______BEN2" localSheetId="11">#REF!</definedName>
    <definedName name="_______BEN2">#REF!</definedName>
    <definedName name="_______ben20" localSheetId="13">#REF!</definedName>
    <definedName name="_______ben20" localSheetId="21">#REF!</definedName>
    <definedName name="_______ben20" localSheetId="22">#REF!</definedName>
    <definedName name="_______ben20" localSheetId="5">#REF!</definedName>
    <definedName name="_______ben20" localSheetId="10">#REF!</definedName>
    <definedName name="_______ben20" localSheetId="4">#REF!</definedName>
    <definedName name="_______ben20" localSheetId="0">#REF!</definedName>
    <definedName name="_______ben20" localSheetId="17">#REF!</definedName>
    <definedName name="_______ben20" localSheetId="7">#REF!</definedName>
    <definedName name="_______ben20" localSheetId="8">#REF!</definedName>
    <definedName name="_______ben20" localSheetId="6">#REF!</definedName>
    <definedName name="_______ben20" localSheetId="9">#REF!</definedName>
    <definedName name="_______ben20" localSheetId="19">#REF!</definedName>
    <definedName name="_______ben20" localSheetId="20">#REF!</definedName>
    <definedName name="_______ben20" localSheetId="12">#REF!</definedName>
    <definedName name="_______ben20" localSheetId="11">#REF!</definedName>
    <definedName name="_______ben20" localSheetId="1">#REF!</definedName>
    <definedName name="_______ben20" localSheetId="2">#REF!</definedName>
    <definedName name="_______ben20" localSheetId="3">#REF!</definedName>
    <definedName name="_______ben20">#REF!</definedName>
    <definedName name="_______ben25" localSheetId="13">#REF!</definedName>
    <definedName name="_______ben25" localSheetId="21">#REF!</definedName>
    <definedName name="_______ben25" localSheetId="22">#REF!</definedName>
    <definedName name="_______ben25" localSheetId="5">#REF!</definedName>
    <definedName name="_______ben25" localSheetId="10">#REF!</definedName>
    <definedName name="_______ben25" localSheetId="4">#REF!</definedName>
    <definedName name="_______ben25" localSheetId="0">#REF!</definedName>
    <definedName name="_______ben25" localSheetId="17">#REF!</definedName>
    <definedName name="_______ben25" localSheetId="7">#REF!</definedName>
    <definedName name="_______ben25" localSheetId="8">#REF!</definedName>
    <definedName name="_______ben25" localSheetId="6">#REF!</definedName>
    <definedName name="_______ben25" localSheetId="9">#REF!</definedName>
    <definedName name="_______ben25" localSheetId="19">#REF!</definedName>
    <definedName name="_______ben25" localSheetId="20">#REF!</definedName>
    <definedName name="_______ben25" localSheetId="12">#REF!</definedName>
    <definedName name="_______ben25" localSheetId="11">#REF!</definedName>
    <definedName name="_______ben25" localSheetId="1">#REF!</definedName>
    <definedName name="_______ben25" localSheetId="2">#REF!</definedName>
    <definedName name="_______ben25" localSheetId="3">#REF!</definedName>
    <definedName name="_______ben25">#REF!</definedName>
    <definedName name="_______BEN3" localSheetId="13">#REF!</definedName>
    <definedName name="_______BEN3" localSheetId="21">#REF!</definedName>
    <definedName name="_______BEN3" localSheetId="22">#REF!</definedName>
    <definedName name="_______BEN3" localSheetId="5">#REF!</definedName>
    <definedName name="_______BEN3" localSheetId="10">#REF!</definedName>
    <definedName name="_______BEN3" localSheetId="4">#REF!</definedName>
    <definedName name="_______BEN3" localSheetId="0">#REF!</definedName>
    <definedName name="_______BEN3" localSheetId="17">#REF!</definedName>
    <definedName name="_______BEN3" localSheetId="7">#REF!</definedName>
    <definedName name="_______BEN3" localSheetId="8">#REF!</definedName>
    <definedName name="_______BEN3" localSheetId="6">#REF!</definedName>
    <definedName name="_______BEN3" localSheetId="9">#REF!</definedName>
    <definedName name="_______BEN3" localSheetId="19">#REF!</definedName>
    <definedName name="_______BEN3" localSheetId="20">#REF!</definedName>
    <definedName name="_______BEN3" localSheetId="12">#REF!</definedName>
    <definedName name="_______BEN3" localSheetId="11">#REF!</definedName>
    <definedName name="_______BEN3" localSheetId="1">#REF!</definedName>
    <definedName name="_______BEN3" localSheetId="2">#REF!</definedName>
    <definedName name="_______BEN3" localSheetId="3">#REF!</definedName>
    <definedName name="_______BEN3">#REF!</definedName>
    <definedName name="_______BEN4" localSheetId="13">#REF!</definedName>
    <definedName name="_______BEN4" localSheetId="21">#REF!</definedName>
    <definedName name="_______BEN4" localSheetId="22">#REF!</definedName>
    <definedName name="_______BEN4" localSheetId="5">#REF!</definedName>
    <definedName name="_______BEN4" localSheetId="10">#REF!</definedName>
    <definedName name="_______BEN4" localSheetId="4">#REF!</definedName>
    <definedName name="_______BEN4" localSheetId="0">#REF!</definedName>
    <definedName name="_______BEN4" localSheetId="7">#REF!</definedName>
    <definedName name="_______BEN4" localSheetId="8">#REF!</definedName>
    <definedName name="_______BEN4" localSheetId="6">#REF!</definedName>
    <definedName name="_______BEN4" localSheetId="9">#REF!</definedName>
    <definedName name="_______BEN4" localSheetId="19">#REF!</definedName>
    <definedName name="_______BEN4" localSheetId="20">#REF!</definedName>
    <definedName name="_______BEN4" localSheetId="12">#REF!</definedName>
    <definedName name="_______BEN4" localSheetId="11">#REF!</definedName>
    <definedName name="_______BEN4" localSheetId="1">#REF!</definedName>
    <definedName name="_______BEN4" localSheetId="2">#REF!</definedName>
    <definedName name="_______BEN4" localSheetId="3">#REF!</definedName>
    <definedName name="_______BEN4">#REF!</definedName>
    <definedName name="_______ben5" localSheetId="13">#REF!</definedName>
    <definedName name="_______ben5" localSheetId="21">#REF!</definedName>
    <definedName name="_______ben5" localSheetId="22">#REF!</definedName>
    <definedName name="_______ben5" localSheetId="5">#REF!</definedName>
    <definedName name="_______ben5" localSheetId="10">#REF!</definedName>
    <definedName name="_______ben5" localSheetId="4">#REF!</definedName>
    <definedName name="_______ben5" localSheetId="0">#REF!</definedName>
    <definedName name="_______ben5" localSheetId="7">#REF!</definedName>
    <definedName name="_______ben5" localSheetId="8">#REF!</definedName>
    <definedName name="_______ben5" localSheetId="6">#REF!</definedName>
    <definedName name="_______ben5" localSheetId="9">#REF!</definedName>
    <definedName name="_______ben5" localSheetId="19">#REF!</definedName>
    <definedName name="_______ben5" localSheetId="20">#REF!</definedName>
    <definedName name="_______ben5" localSheetId="12">#REF!</definedName>
    <definedName name="_______ben5" localSheetId="11">#REF!</definedName>
    <definedName name="_______ben5" localSheetId="1">#REF!</definedName>
    <definedName name="_______ben5" localSheetId="2">#REF!</definedName>
    <definedName name="_______ben5" localSheetId="3">#REF!</definedName>
    <definedName name="_______ben5">#REF!</definedName>
    <definedName name="_______tu3" localSheetId="13">#REF!</definedName>
    <definedName name="_______tu3" localSheetId="21">#REF!</definedName>
    <definedName name="_______tu3" localSheetId="22">#REF!</definedName>
    <definedName name="_______tu3" localSheetId="5">#REF!</definedName>
    <definedName name="_______tu3" localSheetId="10">#REF!</definedName>
    <definedName name="_______tu3" localSheetId="4">#REF!</definedName>
    <definedName name="_______tu3" localSheetId="0">#REF!</definedName>
    <definedName name="_______tu3" localSheetId="7">#REF!</definedName>
    <definedName name="_______tu3" localSheetId="8">#REF!</definedName>
    <definedName name="_______tu3" localSheetId="6">#REF!</definedName>
    <definedName name="_______tu3" localSheetId="9">#REF!</definedName>
    <definedName name="_______tu3" localSheetId="19">#REF!</definedName>
    <definedName name="_______tu3" localSheetId="20">#REF!</definedName>
    <definedName name="_______tu3" localSheetId="12">#REF!</definedName>
    <definedName name="_______tu3" localSheetId="11">#REF!</definedName>
    <definedName name="_______tu3" localSheetId="1">#REF!</definedName>
    <definedName name="_______tu3" localSheetId="2">#REF!</definedName>
    <definedName name="_______tu3" localSheetId="3">#REF!</definedName>
    <definedName name="_______tu3">#REF!</definedName>
    <definedName name="______ben1" localSheetId="13">#REF!</definedName>
    <definedName name="______ben1" localSheetId="21">#REF!</definedName>
    <definedName name="______ben1" localSheetId="22">#REF!</definedName>
    <definedName name="______ben1" localSheetId="5">#REF!</definedName>
    <definedName name="______ben1" localSheetId="10">#REF!</definedName>
    <definedName name="______ben1" localSheetId="4">#REF!</definedName>
    <definedName name="______ben1" localSheetId="0">#REF!</definedName>
    <definedName name="______ben1" localSheetId="7">#REF!</definedName>
    <definedName name="______ben1" localSheetId="8">#REF!</definedName>
    <definedName name="______ben1" localSheetId="6">#REF!</definedName>
    <definedName name="______ben1" localSheetId="9">#REF!</definedName>
    <definedName name="______ben1" localSheetId="19">#REF!</definedName>
    <definedName name="______ben1" localSheetId="20">#REF!</definedName>
    <definedName name="______ben1" localSheetId="12">#REF!</definedName>
    <definedName name="______ben1" localSheetId="11">#REF!</definedName>
    <definedName name="______ben1" localSheetId="1">#REF!</definedName>
    <definedName name="______ben1" localSheetId="2">#REF!</definedName>
    <definedName name="______ben1" localSheetId="3">#REF!</definedName>
    <definedName name="______ben1">#REF!</definedName>
    <definedName name="______ben10" localSheetId="13">#REF!</definedName>
    <definedName name="______ben10" localSheetId="21">#REF!</definedName>
    <definedName name="______ben10" localSheetId="22">#REF!</definedName>
    <definedName name="______ben10" localSheetId="5">#REF!</definedName>
    <definedName name="______ben10" localSheetId="10">#REF!</definedName>
    <definedName name="______ben10" localSheetId="4">#REF!</definedName>
    <definedName name="______ben10" localSheetId="0">#REF!</definedName>
    <definedName name="______ben10" localSheetId="7">#REF!</definedName>
    <definedName name="______ben10" localSheetId="8">#REF!</definedName>
    <definedName name="______ben10" localSheetId="6">#REF!</definedName>
    <definedName name="______ben10" localSheetId="9">#REF!</definedName>
    <definedName name="______ben10" localSheetId="19">#REF!</definedName>
    <definedName name="______ben10" localSheetId="20">#REF!</definedName>
    <definedName name="______ben10" localSheetId="12">#REF!</definedName>
    <definedName name="______ben10" localSheetId="11">#REF!</definedName>
    <definedName name="______ben10" localSheetId="1">#REF!</definedName>
    <definedName name="______ben10" localSheetId="2">#REF!</definedName>
    <definedName name="______ben10" localSheetId="3">#REF!</definedName>
    <definedName name="______ben10">#REF!</definedName>
    <definedName name="______ben15" localSheetId="13">#REF!</definedName>
    <definedName name="______ben15" localSheetId="21">#REF!</definedName>
    <definedName name="______ben15" localSheetId="22">#REF!</definedName>
    <definedName name="______ben15" localSheetId="5">#REF!</definedName>
    <definedName name="______ben15" localSheetId="10">#REF!</definedName>
    <definedName name="______ben15" localSheetId="4">#REF!</definedName>
    <definedName name="______ben15" localSheetId="0">#REF!</definedName>
    <definedName name="______ben15" localSheetId="7">#REF!</definedName>
    <definedName name="______ben15" localSheetId="8">#REF!</definedName>
    <definedName name="______ben15" localSheetId="6">#REF!</definedName>
    <definedName name="______ben15" localSheetId="9">#REF!</definedName>
    <definedName name="______ben15" localSheetId="19">#REF!</definedName>
    <definedName name="______ben15" localSheetId="20">#REF!</definedName>
    <definedName name="______ben15" localSheetId="12">#REF!</definedName>
    <definedName name="______ben15" localSheetId="11">#REF!</definedName>
    <definedName name="______ben15" localSheetId="1">#REF!</definedName>
    <definedName name="______ben15" localSheetId="2">#REF!</definedName>
    <definedName name="______ben15" localSheetId="3">#REF!</definedName>
    <definedName name="______ben15">#REF!</definedName>
    <definedName name="______BEN2" localSheetId="13">#REF!</definedName>
    <definedName name="______BEN2" localSheetId="14">#REF!</definedName>
    <definedName name="______BEN2" localSheetId="17">#REF!</definedName>
    <definedName name="______BEN2" localSheetId="12">#REF!</definedName>
    <definedName name="______BEN2" localSheetId="11">#REF!</definedName>
    <definedName name="______BEN2">#REF!</definedName>
    <definedName name="______ben20" localSheetId="13">#REF!</definedName>
    <definedName name="______ben20" localSheetId="21">#REF!</definedName>
    <definedName name="______ben20" localSheetId="22">#REF!</definedName>
    <definedName name="______ben20" localSheetId="5">#REF!</definedName>
    <definedName name="______ben20" localSheetId="10">#REF!</definedName>
    <definedName name="______ben20" localSheetId="4">#REF!</definedName>
    <definedName name="______ben20" localSheetId="0">#REF!</definedName>
    <definedName name="______ben20" localSheetId="17">#REF!</definedName>
    <definedName name="______ben20" localSheetId="7">#REF!</definedName>
    <definedName name="______ben20" localSheetId="8">#REF!</definedName>
    <definedName name="______ben20" localSheetId="6">#REF!</definedName>
    <definedName name="______ben20" localSheetId="9">#REF!</definedName>
    <definedName name="______ben20" localSheetId="19">#REF!</definedName>
    <definedName name="______ben20" localSheetId="20">#REF!</definedName>
    <definedName name="______ben20" localSheetId="12">#REF!</definedName>
    <definedName name="______ben20" localSheetId="11">#REF!</definedName>
    <definedName name="______ben20" localSheetId="1">#REF!</definedName>
    <definedName name="______ben20" localSheetId="2">#REF!</definedName>
    <definedName name="______ben20" localSheetId="3">#REF!</definedName>
    <definedName name="______ben20">#REF!</definedName>
    <definedName name="______ben25" localSheetId="13">#REF!</definedName>
    <definedName name="______ben25" localSheetId="21">#REF!</definedName>
    <definedName name="______ben25" localSheetId="22">#REF!</definedName>
    <definedName name="______ben25" localSheetId="5">#REF!</definedName>
    <definedName name="______ben25" localSheetId="10">#REF!</definedName>
    <definedName name="______ben25" localSheetId="4">#REF!</definedName>
    <definedName name="______ben25" localSheetId="0">#REF!</definedName>
    <definedName name="______ben25" localSheetId="17">#REF!</definedName>
    <definedName name="______ben25" localSheetId="7">#REF!</definedName>
    <definedName name="______ben25" localSheetId="8">#REF!</definedName>
    <definedName name="______ben25" localSheetId="6">#REF!</definedName>
    <definedName name="______ben25" localSheetId="9">#REF!</definedName>
    <definedName name="______ben25" localSheetId="19">#REF!</definedName>
    <definedName name="______ben25" localSheetId="20">#REF!</definedName>
    <definedName name="______ben25" localSheetId="12">#REF!</definedName>
    <definedName name="______ben25" localSheetId="11">#REF!</definedName>
    <definedName name="______ben25" localSheetId="1">#REF!</definedName>
    <definedName name="______ben25" localSheetId="2">#REF!</definedName>
    <definedName name="______ben25" localSheetId="3">#REF!</definedName>
    <definedName name="______ben25">#REF!</definedName>
    <definedName name="______BEN3" localSheetId="13">#REF!</definedName>
    <definedName name="______BEN3" localSheetId="21">#REF!</definedName>
    <definedName name="______BEN3" localSheetId="22">#REF!</definedName>
    <definedName name="______BEN3" localSheetId="5">#REF!</definedName>
    <definedName name="______BEN3" localSheetId="10">#REF!</definedName>
    <definedName name="______BEN3" localSheetId="4">#REF!</definedName>
    <definedName name="______BEN3" localSheetId="0">#REF!</definedName>
    <definedName name="______BEN3" localSheetId="17">#REF!</definedName>
    <definedName name="______BEN3" localSheetId="7">#REF!</definedName>
    <definedName name="______BEN3" localSheetId="8">#REF!</definedName>
    <definedName name="______BEN3" localSheetId="6">#REF!</definedName>
    <definedName name="______BEN3" localSheetId="9">#REF!</definedName>
    <definedName name="______BEN3" localSheetId="19">#REF!</definedName>
    <definedName name="______BEN3" localSheetId="20">#REF!</definedName>
    <definedName name="______BEN3" localSheetId="12">#REF!</definedName>
    <definedName name="______BEN3" localSheetId="11">#REF!</definedName>
    <definedName name="______BEN3" localSheetId="1">#REF!</definedName>
    <definedName name="______BEN3" localSheetId="2">#REF!</definedName>
    <definedName name="______BEN3" localSheetId="3">#REF!</definedName>
    <definedName name="______BEN3">#REF!</definedName>
    <definedName name="______BEN4" localSheetId="13">#REF!</definedName>
    <definedName name="______BEN4" localSheetId="21">#REF!</definedName>
    <definedName name="______BEN4" localSheetId="22">#REF!</definedName>
    <definedName name="______BEN4" localSheetId="5">#REF!</definedName>
    <definedName name="______BEN4" localSheetId="10">#REF!</definedName>
    <definedName name="______BEN4" localSheetId="4">#REF!</definedName>
    <definedName name="______BEN4" localSheetId="0">#REF!</definedName>
    <definedName name="______BEN4" localSheetId="7">#REF!</definedName>
    <definedName name="______BEN4" localSheetId="8">#REF!</definedName>
    <definedName name="______BEN4" localSheetId="6">#REF!</definedName>
    <definedName name="______BEN4" localSheetId="9">#REF!</definedName>
    <definedName name="______BEN4" localSheetId="19">#REF!</definedName>
    <definedName name="______BEN4" localSheetId="20">#REF!</definedName>
    <definedName name="______BEN4" localSheetId="12">#REF!</definedName>
    <definedName name="______BEN4" localSheetId="11">#REF!</definedName>
    <definedName name="______BEN4" localSheetId="1">#REF!</definedName>
    <definedName name="______BEN4" localSheetId="2">#REF!</definedName>
    <definedName name="______BEN4" localSheetId="3">#REF!</definedName>
    <definedName name="______BEN4">#REF!</definedName>
    <definedName name="______ben5" localSheetId="13">#REF!</definedName>
    <definedName name="______ben5" localSheetId="21">#REF!</definedName>
    <definedName name="______ben5" localSheetId="22">#REF!</definedName>
    <definedName name="______ben5" localSheetId="5">#REF!</definedName>
    <definedName name="______ben5" localSheetId="10">#REF!</definedName>
    <definedName name="______ben5" localSheetId="4">#REF!</definedName>
    <definedName name="______ben5" localSheetId="0">#REF!</definedName>
    <definedName name="______ben5" localSheetId="7">#REF!</definedName>
    <definedName name="______ben5" localSheetId="8">#REF!</definedName>
    <definedName name="______ben5" localSheetId="6">#REF!</definedName>
    <definedName name="______ben5" localSheetId="9">#REF!</definedName>
    <definedName name="______ben5" localSheetId="19">#REF!</definedName>
    <definedName name="______ben5" localSheetId="20">#REF!</definedName>
    <definedName name="______ben5" localSheetId="12">#REF!</definedName>
    <definedName name="______ben5" localSheetId="11">#REF!</definedName>
    <definedName name="______ben5" localSheetId="1">#REF!</definedName>
    <definedName name="______ben5" localSheetId="2">#REF!</definedName>
    <definedName name="______ben5" localSheetId="3">#REF!</definedName>
    <definedName name="______ben5">#REF!</definedName>
    <definedName name="______tu3" localSheetId="13">#REF!</definedName>
    <definedName name="______tu3" localSheetId="21">#REF!</definedName>
    <definedName name="______tu3" localSheetId="22">#REF!</definedName>
    <definedName name="______tu3" localSheetId="5">#REF!</definedName>
    <definedName name="______tu3" localSheetId="10">#REF!</definedName>
    <definedName name="______tu3" localSheetId="4">#REF!</definedName>
    <definedName name="______tu3" localSheetId="0">#REF!</definedName>
    <definedName name="______tu3" localSheetId="7">#REF!</definedName>
    <definedName name="______tu3" localSheetId="8">#REF!</definedName>
    <definedName name="______tu3" localSheetId="6">#REF!</definedName>
    <definedName name="______tu3" localSheetId="9">#REF!</definedName>
    <definedName name="______tu3" localSheetId="19">#REF!</definedName>
    <definedName name="______tu3" localSheetId="20">#REF!</definedName>
    <definedName name="______tu3" localSheetId="12">#REF!</definedName>
    <definedName name="______tu3" localSheetId="11">#REF!</definedName>
    <definedName name="______tu3" localSheetId="1">#REF!</definedName>
    <definedName name="______tu3" localSheetId="2">#REF!</definedName>
    <definedName name="______tu3" localSheetId="3">#REF!</definedName>
    <definedName name="______tu3">#REF!</definedName>
    <definedName name="_____ben1" localSheetId="13">#REF!</definedName>
    <definedName name="_____ben1" localSheetId="21">#REF!</definedName>
    <definedName name="_____ben1" localSheetId="22">#REF!</definedName>
    <definedName name="_____ben1" localSheetId="5">#REF!</definedName>
    <definedName name="_____ben1" localSheetId="10">#REF!</definedName>
    <definedName name="_____ben1" localSheetId="4">#REF!</definedName>
    <definedName name="_____ben1" localSheetId="0">#REF!</definedName>
    <definedName name="_____ben1" localSheetId="7">#REF!</definedName>
    <definedName name="_____ben1" localSheetId="8">#REF!</definedName>
    <definedName name="_____ben1" localSheetId="6">#REF!</definedName>
    <definedName name="_____ben1" localSheetId="9">#REF!</definedName>
    <definedName name="_____ben1" localSheetId="19">#REF!</definedName>
    <definedName name="_____ben1" localSheetId="20">#REF!</definedName>
    <definedName name="_____ben1" localSheetId="12">#REF!</definedName>
    <definedName name="_____ben1" localSheetId="11">#REF!</definedName>
    <definedName name="_____ben1" localSheetId="1">#REF!</definedName>
    <definedName name="_____ben1" localSheetId="2">#REF!</definedName>
    <definedName name="_____ben1" localSheetId="3">#REF!</definedName>
    <definedName name="_____ben1">#REF!</definedName>
    <definedName name="_____ben10" localSheetId="13">#REF!</definedName>
    <definedName name="_____ben10" localSheetId="21">#REF!</definedName>
    <definedName name="_____ben10" localSheetId="22">#REF!</definedName>
    <definedName name="_____ben10" localSheetId="5">#REF!</definedName>
    <definedName name="_____ben10" localSheetId="10">#REF!</definedName>
    <definedName name="_____ben10" localSheetId="4">#REF!</definedName>
    <definedName name="_____ben10" localSheetId="0">#REF!</definedName>
    <definedName name="_____ben10" localSheetId="7">#REF!</definedName>
    <definedName name="_____ben10" localSheetId="8">#REF!</definedName>
    <definedName name="_____ben10" localSheetId="6">#REF!</definedName>
    <definedName name="_____ben10" localSheetId="9">#REF!</definedName>
    <definedName name="_____ben10" localSheetId="19">#REF!</definedName>
    <definedName name="_____ben10" localSheetId="20">#REF!</definedName>
    <definedName name="_____ben10" localSheetId="12">#REF!</definedName>
    <definedName name="_____ben10" localSheetId="11">#REF!</definedName>
    <definedName name="_____ben10" localSheetId="1">#REF!</definedName>
    <definedName name="_____ben10" localSheetId="2">#REF!</definedName>
    <definedName name="_____ben10" localSheetId="3">#REF!</definedName>
    <definedName name="_____ben10">#REF!</definedName>
    <definedName name="_____ben15" localSheetId="13">#REF!</definedName>
    <definedName name="_____ben15" localSheetId="21">#REF!</definedName>
    <definedName name="_____ben15" localSheetId="22">#REF!</definedName>
    <definedName name="_____ben15" localSheetId="5">#REF!</definedName>
    <definedName name="_____ben15" localSheetId="10">#REF!</definedName>
    <definedName name="_____ben15" localSheetId="4">#REF!</definedName>
    <definedName name="_____ben15" localSheetId="0">#REF!</definedName>
    <definedName name="_____ben15" localSheetId="7">#REF!</definedName>
    <definedName name="_____ben15" localSheetId="8">#REF!</definedName>
    <definedName name="_____ben15" localSheetId="6">#REF!</definedName>
    <definedName name="_____ben15" localSheetId="9">#REF!</definedName>
    <definedName name="_____ben15" localSheetId="19">#REF!</definedName>
    <definedName name="_____ben15" localSheetId="20">#REF!</definedName>
    <definedName name="_____ben15" localSheetId="12">#REF!</definedName>
    <definedName name="_____ben15" localSheetId="11">#REF!</definedName>
    <definedName name="_____ben15" localSheetId="1">#REF!</definedName>
    <definedName name="_____ben15" localSheetId="2">#REF!</definedName>
    <definedName name="_____ben15" localSheetId="3">#REF!</definedName>
    <definedName name="_____ben15">#REF!</definedName>
    <definedName name="_____BEN2" localSheetId="13">#REF!</definedName>
    <definedName name="_____BEN2" localSheetId="14">#REF!</definedName>
    <definedName name="_____BEN2" localSheetId="17">#REF!</definedName>
    <definedName name="_____BEN2" localSheetId="12">#REF!</definedName>
    <definedName name="_____BEN2" localSheetId="11">#REF!</definedName>
    <definedName name="_____BEN2">#REF!</definedName>
    <definedName name="_____ben20" localSheetId="13">#REF!</definedName>
    <definedName name="_____ben20" localSheetId="21">#REF!</definedName>
    <definedName name="_____ben20" localSheetId="22">#REF!</definedName>
    <definedName name="_____ben20" localSheetId="5">#REF!</definedName>
    <definedName name="_____ben20" localSheetId="10">#REF!</definedName>
    <definedName name="_____ben20" localSheetId="4">#REF!</definedName>
    <definedName name="_____ben20" localSheetId="0">#REF!</definedName>
    <definedName name="_____ben20" localSheetId="17">#REF!</definedName>
    <definedName name="_____ben20" localSheetId="7">#REF!</definedName>
    <definedName name="_____ben20" localSheetId="8">#REF!</definedName>
    <definedName name="_____ben20" localSheetId="6">#REF!</definedName>
    <definedName name="_____ben20" localSheetId="9">#REF!</definedName>
    <definedName name="_____ben20" localSheetId="19">#REF!</definedName>
    <definedName name="_____ben20" localSheetId="20">#REF!</definedName>
    <definedName name="_____ben20" localSheetId="12">#REF!</definedName>
    <definedName name="_____ben20" localSheetId="11">#REF!</definedName>
    <definedName name="_____ben20" localSheetId="1">#REF!</definedName>
    <definedName name="_____ben20" localSheetId="2">#REF!</definedName>
    <definedName name="_____ben20" localSheetId="3">#REF!</definedName>
    <definedName name="_____ben20">#REF!</definedName>
    <definedName name="_____ben25" localSheetId="13">#REF!</definedName>
    <definedName name="_____ben25" localSheetId="21">#REF!</definedName>
    <definedName name="_____ben25" localSheetId="22">#REF!</definedName>
    <definedName name="_____ben25" localSheetId="5">#REF!</definedName>
    <definedName name="_____ben25" localSheetId="10">#REF!</definedName>
    <definedName name="_____ben25" localSheetId="4">#REF!</definedName>
    <definedName name="_____ben25" localSheetId="0">#REF!</definedName>
    <definedName name="_____ben25" localSheetId="17">#REF!</definedName>
    <definedName name="_____ben25" localSheetId="7">#REF!</definedName>
    <definedName name="_____ben25" localSheetId="8">#REF!</definedName>
    <definedName name="_____ben25" localSheetId="6">#REF!</definedName>
    <definedName name="_____ben25" localSheetId="9">#REF!</definedName>
    <definedName name="_____ben25" localSheetId="19">#REF!</definedName>
    <definedName name="_____ben25" localSheetId="20">#REF!</definedName>
    <definedName name="_____ben25" localSheetId="12">#REF!</definedName>
    <definedName name="_____ben25" localSheetId="11">#REF!</definedName>
    <definedName name="_____ben25" localSheetId="1">#REF!</definedName>
    <definedName name="_____ben25" localSheetId="2">#REF!</definedName>
    <definedName name="_____ben25" localSheetId="3">#REF!</definedName>
    <definedName name="_____ben25">#REF!</definedName>
    <definedName name="_____BEN3" localSheetId="13">#REF!</definedName>
    <definedName name="_____BEN3" localSheetId="21">#REF!</definedName>
    <definedName name="_____BEN3" localSheetId="22">#REF!</definedName>
    <definedName name="_____BEN3" localSheetId="5">#REF!</definedName>
    <definedName name="_____BEN3" localSheetId="10">#REF!</definedName>
    <definedName name="_____BEN3" localSheetId="4">#REF!</definedName>
    <definedName name="_____BEN3" localSheetId="0">#REF!</definedName>
    <definedName name="_____BEN3" localSheetId="17">#REF!</definedName>
    <definedName name="_____BEN3" localSheetId="7">#REF!</definedName>
    <definedName name="_____BEN3" localSheetId="8">#REF!</definedName>
    <definedName name="_____BEN3" localSheetId="6">#REF!</definedName>
    <definedName name="_____BEN3" localSheetId="9">#REF!</definedName>
    <definedName name="_____BEN3" localSheetId="19">#REF!</definedName>
    <definedName name="_____BEN3" localSheetId="20">#REF!</definedName>
    <definedName name="_____BEN3" localSheetId="12">#REF!</definedName>
    <definedName name="_____BEN3" localSheetId="11">#REF!</definedName>
    <definedName name="_____BEN3" localSheetId="1">#REF!</definedName>
    <definedName name="_____BEN3" localSheetId="2">#REF!</definedName>
    <definedName name="_____BEN3" localSheetId="3">#REF!</definedName>
    <definedName name="_____BEN3">#REF!</definedName>
    <definedName name="_____BEN4" localSheetId="13">#REF!</definedName>
    <definedName name="_____BEN4" localSheetId="21">#REF!</definedName>
    <definedName name="_____BEN4" localSheetId="22">#REF!</definedName>
    <definedName name="_____BEN4" localSheetId="5">#REF!</definedName>
    <definedName name="_____BEN4" localSheetId="10">#REF!</definedName>
    <definedName name="_____BEN4" localSheetId="4">#REF!</definedName>
    <definedName name="_____BEN4" localSheetId="0">#REF!</definedName>
    <definedName name="_____BEN4" localSheetId="7">#REF!</definedName>
    <definedName name="_____BEN4" localSheetId="8">#REF!</definedName>
    <definedName name="_____BEN4" localSheetId="6">#REF!</definedName>
    <definedName name="_____BEN4" localSheetId="9">#REF!</definedName>
    <definedName name="_____BEN4" localSheetId="19">#REF!</definedName>
    <definedName name="_____BEN4" localSheetId="20">#REF!</definedName>
    <definedName name="_____BEN4" localSheetId="12">#REF!</definedName>
    <definedName name="_____BEN4" localSheetId="11">#REF!</definedName>
    <definedName name="_____BEN4" localSheetId="1">#REF!</definedName>
    <definedName name="_____BEN4" localSheetId="2">#REF!</definedName>
    <definedName name="_____BEN4" localSheetId="3">#REF!</definedName>
    <definedName name="_____BEN4">#REF!</definedName>
    <definedName name="_____ben5" localSheetId="13">#REF!</definedName>
    <definedName name="_____ben5" localSheetId="21">#REF!</definedName>
    <definedName name="_____ben5" localSheetId="22">#REF!</definedName>
    <definedName name="_____ben5" localSheetId="5">#REF!</definedName>
    <definedName name="_____ben5" localSheetId="10">#REF!</definedName>
    <definedName name="_____ben5" localSheetId="4">#REF!</definedName>
    <definedName name="_____ben5" localSheetId="0">#REF!</definedName>
    <definedName name="_____ben5" localSheetId="7">#REF!</definedName>
    <definedName name="_____ben5" localSheetId="8">#REF!</definedName>
    <definedName name="_____ben5" localSheetId="6">#REF!</definedName>
    <definedName name="_____ben5" localSheetId="9">#REF!</definedName>
    <definedName name="_____ben5" localSheetId="19">#REF!</definedName>
    <definedName name="_____ben5" localSheetId="20">#REF!</definedName>
    <definedName name="_____ben5" localSheetId="12">#REF!</definedName>
    <definedName name="_____ben5" localSheetId="11">#REF!</definedName>
    <definedName name="_____ben5" localSheetId="1">#REF!</definedName>
    <definedName name="_____ben5" localSheetId="2">#REF!</definedName>
    <definedName name="_____ben5" localSheetId="3">#REF!</definedName>
    <definedName name="_____ben5">#REF!</definedName>
    <definedName name="_____tu3" localSheetId="13">#REF!</definedName>
    <definedName name="_____tu3" localSheetId="21">#REF!</definedName>
    <definedName name="_____tu3" localSheetId="22">#REF!</definedName>
    <definedName name="_____tu3" localSheetId="5">#REF!</definedName>
    <definedName name="_____tu3" localSheetId="10">#REF!</definedName>
    <definedName name="_____tu3" localSheetId="4">#REF!</definedName>
    <definedName name="_____tu3" localSheetId="0">#REF!</definedName>
    <definedName name="_____tu3" localSheetId="7">#REF!</definedName>
    <definedName name="_____tu3" localSheetId="8">#REF!</definedName>
    <definedName name="_____tu3" localSheetId="6">#REF!</definedName>
    <definedName name="_____tu3" localSheetId="9">#REF!</definedName>
    <definedName name="_____tu3" localSheetId="19">#REF!</definedName>
    <definedName name="_____tu3" localSheetId="20">#REF!</definedName>
    <definedName name="_____tu3" localSheetId="12">#REF!</definedName>
    <definedName name="_____tu3" localSheetId="11">#REF!</definedName>
    <definedName name="_____tu3" localSheetId="1">#REF!</definedName>
    <definedName name="_____tu3" localSheetId="2">#REF!</definedName>
    <definedName name="_____tu3" localSheetId="3">#REF!</definedName>
    <definedName name="_____tu3">#REF!</definedName>
    <definedName name="____ben1" localSheetId="13">#REF!</definedName>
    <definedName name="____ben1" localSheetId="21">#REF!</definedName>
    <definedName name="____ben1" localSheetId="22">#REF!</definedName>
    <definedName name="____ben1" localSheetId="5">#REF!</definedName>
    <definedName name="____ben1" localSheetId="10">#REF!</definedName>
    <definedName name="____ben1" localSheetId="4">#REF!</definedName>
    <definedName name="____ben1" localSheetId="0">#REF!</definedName>
    <definedName name="____ben1" localSheetId="7">#REF!</definedName>
    <definedName name="____ben1" localSheetId="8">#REF!</definedName>
    <definedName name="____ben1" localSheetId="6">#REF!</definedName>
    <definedName name="____ben1" localSheetId="9">#REF!</definedName>
    <definedName name="____ben1" localSheetId="19">#REF!</definedName>
    <definedName name="____ben1" localSheetId="20">#REF!</definedName>
    <definedName name="____ben1" localSheetId="12">#REF!</definedName>
    <definedName name="____ben1" localSheetId="11">#REF!</definedName>
    <definedName name="____ben1" localSheetId="1">#REF!</definedName>
    <definedName name="____ben1" localSheetId="2">#REF!</definedName>
    <definedName name="____ben1" localSheetId="3">#REF!</definedName>
    <definedName name="____ben1">#REF!</definedName>
    <definedName name="____ben10" localSheetId="13">#REF!</definedName>
    <definedName name="____ben10" localSheetId="21">#REF!</definedName>
    <definedName name="____ben10" localSheetId="22">#REF!</definedName>
    <definedName name="____ben10" localSheetId="5">#REF!</definedName>
    <definedName name="____ben10" localSheetId="10">#REF!</definedName>
    <definedName name="____ben10" localSheetId="4">#REF!</definedName>
    <definedName name="____ben10" localSheetId="0">#REF!</definedName>
    <definedName name="____ben10" localSheetId="7">#REF!</definedName>
    <definedName name="____ben10" localSheetId="8">#REF!</definedName>
    <definedName name="____ben10" localSheetId="6">#REF!</definedName>
    <definedName name="____ben10" localSheetId="9">#REF!</definedName>
    <definedName name="____ben10" localSheetId="19">#REF!</definedName>
    <definedName name="____ben10" localSheetId="20">#REF!</definedName>
    <definedName name="____ben10" localSheetId="12">#REF!</definedName>
    <definedName name="____ben10" localSheetId="11">#REF!</definedName>
    <definedName name="____ben10" localSheetId="1">#REF!</definedName>
    <definedName name="____ben10" localSheetId="2">#REF!</definedName>
    <definedName name="____ben10" localSheetId="3">#REF!</definedName>
    <definedName name="____ben10">#REF!</definedName>
    <definedName name="____ben15" localSheetId="13">#REF!</definedName>
    <definedName name="____ben15" localSheetId="21">#REF!</definedName>
    <definedName name="____ben15" localSheetId="22">#REF!</definedName>
    <definedName name="____ben15" localSheetId="5">#REF!</definedName>
    <definedName name="____ben15" localSheetId="10">#REF!</definedName>
    <definedName name="____ben15" localSheetId="4">#REF!</definedName>
    <definedName name="____ben15" localSheetId="0">#REF!</definedName>
    <definedName name="____ben15" localSheetId="7">#REF!</definedName>
    <definedName name="____ben15" localSheetId="8">#REF!</definedName>
    <definedName name="____ben15" localSheetId="6">#REF!</definedName>
    <definedName name="____ben15" localSheetId="9">#REF!</definedName>
    <definedName name="____ben15" localSheetId="19">#REF!</definedName>
    <definedName name="____ben15" localSheetId="20">#REF!</definedName>
    <definedName name="____ben15" localSheetId="12">#REF!</definedName>
    <definedName name="____ben15" localSheetId="11">#REF!</definedName>
    <definedName name="____ben15" localSheetId="1">#REF!</definedName>
    <definedName name="____ben15" localSheetId="2">#REF!</definedName>
    <definedName name="____ben15" localSheetId="3">#REF!</definedName>
    <definedName name="____ben15">#REF!</definedName>
    <definedName name="____BEN2" localSheetId="13">#REF!</definedName>
    <definedName name="____BEN2" localSheetId="14">#REF!</definedName>
    <definedName name="____BEN2" localSheetId="17">#REF!</definedName>
    <definedName name="____BEN2" localSheetId="12">#REF!</definedName>
    <definedName name="____BEN2" localSheetId="11">#REF!</definedName>
    <definedName name="____BEN2">#REF!</definedName>
    <definedName name="____ben20" localSheetId="13">#REF!</definedName>
    <definedName name="____ben20" localSheetId="21">#REF!</definedName>
    <definedName name="____ben20" localSheetId="22">#REF!</definedName>
    <definedName name="____ben20" localSheetId="5">#REF!</definedName>
    <definedName name="____ben20" localSheetId="10">#REF!</definedName>
    <definedName name="____ben20" localSheetId="4">#REF!</definedName>
    <definedName name="____ben20" localSheetId="0">#REF!</definedName>
    <definedName name="____ben20" localSheetId="17">#REF!</definedName>
    <definedName name="____ben20" localSheetId="7">#REF!</definedName>
    <definedName name="____ben20" localSheetId="8">#REF!</definedName>
    <definedName name="____ben20" localSheetId="6">#REF!</definedName>
    <definedName name="____ben20" localSheetId="9">#REF!</definedName>
    <definedName name="____ben20" localSheetId="19">#REF!</definedName>
    <definedName name="____ben20" localSheetId="20">#REF!</definedName>
    <definedName name="____ben20" localSheetId="12">#REF!</definedName>
    <definedName name="____ben20" localSheetId="11">#REF!</definedName>
    <definedName name="____ben20" localSheetId="1">#REF!</definedName>
    <definedName name="____ben20" localSheetId="2">#REF!</definedName>
    <definedName name="____ben20" localSheetId="3">#REF!</definedName>
    <definedName name="____ben20">#REF!</definedName>
    <definedName name="____ben25" localSheetId="13">#REF!</definedName>
    <definedName name="____ben25" localSheetId="21">#REF!</definedName>
    <definedName name="____ben25" localSheetId="22">#REF!</definedName>
    <definedName name="____ben25" localSheetId="5">#REF!</definedName>
    <definedName name="____ben25" localSheetId="10">#REF!</definedName>
    <definedName name="____ben25" localSheetId="4">#REF!</definedName>
    <definedName name="____ben25" localSheetId="0">#REF!</definedName>
    <definedName name="____ben25" localSheetId="17">#REF!</definedName>
    <definedName name="____ben25" localSheetId="7">#REF!</definedName>
    <definedName name="____ben25" localSheetId="8">#REF!</definedName>
    <definedName name="____ben25" localSheetId="6">#REF!</definedName>
    <definedName name="____ben25" localSheetId="9">#REF!</definedName>
    <definedName name="____ben25" localSheetId="19">#REF!</definedName>
    <definedName name="____ben25" localSheetId="20">#REF!</definedName>
    <definedName name="____ben25" localSheetId="12">#REF!</definedName>
    <definedName name="____ben25" localSheetId="11">#REF!</definedName>
    <definedName name="____ben25" localSheetId="1">#REF!</definedName>
    <definedName name="____ben25" localSheetId="2">#REF!</definedName>
    <definedName name="____ben25" localSheetId="3">#REF!</definedName>
    <definedName name="____ben25">#REF!</definedName>
    <definedName name="____BEN3" localSheetId="13">#REF!</definedName>
    <definedName name="____BEN3" localSheetId="21">#REF!</definedName>
    <definedName name="____BEN3" localSheetId="22">#REF!</definedName>
    <definedName name="____BEN3" localSheetId="5">#REF!</definedName>
    <definedName name="____BEN3" localSheetId="10">#REF!</definedName>
    <definedName name="____BEN3" localSheetId="4">#REF!</definedName>
    <definedName name="____BEN3" localSheetId="0">#REF!</definedName>
    <definedName name="____BEN3" localSheetId="17">#REF!</definedName>
    <definedName name="____BEN3" localSheetId="7">#REF!</definedName>
    <definedName name="____BEN3" localSheetId="8">#REF!</definedName>
    <definedName name="____BEN3" localSheetId="6">#REF!</definedName>
    <definedName name="____BEN3" localSheetId="9">#REF!</definedName>
    <definedName name="____BEN3" localSheetId="19">#REF!</definedName>
    <definedName name="____BEN3" localSheetId="20">#REF!</definedName>
    <definedName name="____BEN3" localSheetId="12">#REF!</definedName>
    <definedName name="____BEN3" localSheetId="11">#REF!</definedName>
    <definedName name="____BEN3" localSheetId="1">#REF!</definedName>
    <definedName name="____BEN3" localSheetId="2">#REF!</definedName>
    <definedName name="____BEN3" localSheetId="3">#REF!</definedName>
    <definedName name="____BEN3">#REF!</definedName>
    <definedName name="____BEN4" localSheetId="13">#REF!</definedName>
    <definedName name="____BEN4" localSheetId="21">#REF!</definedName>
    <definedName name="____BEN4" localSheetId="22">#REF!</definedName>
    <definedName name="____BEN4" localSheetId="5">#REF!</definedName>
    <definedName name="____BEN4" localSheetId="10">#REF!</definedName>
    <definedName name="____BEN4" localSheetId="4">#REF!</definedName>
    <definedName name="____BEN4" localSheetId="0">#REF!</definedName>
    <definedName name="____BEN4" localSheetId="7">#REF!</definedName>
    <definedName name="____BEN4" localSheetId="8">#REF!</definedName>
    <definedName name="____BEN4" localSheetId="6">#REF!</definedName>
    <definedName name="____BEN4" localSheetId="9">#REF!</definedName>
    <definedName name="____BEN4" localSheetId="19">#REF!</definedName>
    <definedName name="____BEN4" localSheetId="20">#REF!</definedName>
    <definedName name="____BEN4" localSheetId="12">#REF!</definedName>
    <definedName name="____BEN4" localSheetId="11">#REF!</definedName>
    <definedName name="____BEN4" localSheetId="1">#REF!</definedName>
    <definedName name="____BEN4" localSheetId="2">#REF!</definedName>
    <definedName name="____BEN4" localSheetId="3">#REF!</definedName>
    <definedName name="____BEN4">#REF!</definedName>
    <definedName name="____ben5" localSheetId="13">#REF!</definedName>
    <definedName name="____ben5" localSheetId="21">#REF!</definedName>
    <definedName name="____ben5" localSheetId="22">#REF!</definedName>
    <definedName name="____ben5" localSheetId="5">#REF!</definedName>
    <definedName name="____ben5" localSheetId="10">#REF!</definedName>
    <definedName name="____ben5" localSheetId="4">#REF!</definedName>
    <definedName name="____ben5" localSheetId="0">#REF!</definedName>
    <definedName name="____ben5" localSheetId="7">#REF!</definedName>
    <definedName name="____ben5" localSheetId="8">#REF!</definedName>
    <definedName name="____ben5" localSheetId="6">#REF!</definedName>
    <definedName name="____ben5" localSheetId="9">#REF!</definedName>
    <definedName name="____ben5" localSheetId="19">#REF!</definedName>
    <definedName name="____ben5" localSheetId="20">#REF!</definedName>
    <definedName name="____ben5" localSheetId="12">#REF!</definedName>
    <definedName name="____ben5" localSheetId="11">#REF!</definedName>
    <definedName name="____ben5" localSheetId="1">#REF!</definedName>
    <definedName name="____ben5" localSheetId="2">#REF!</definedName>
    <definedName name="____ben5" localSheetId="3">#REF!</definedName>
    <definedName name="____ben5">#REF!</definedName>
    <definedName name="____tu3" localSheetId="13">#REF!</definedName>
    <definedName name="____tu3" localSheetId="21">#REF!</definedName>
    <definedName name="____tu3" localSheetId="22">#REF!</definedName>
    <definedName name="____tu3" localSheetId="5">#REF!</definedName>
    <definedName name="____tu3" localSheetId="10">#REF!</definedName>
    <definedName name="____tu3" localSheetId="4">#REF!</definedName>
    <definedName name="____tu3" localSheetId="0">#REF!</definedName>
    <definedName name="____tu3" localSheetId="7">#REF!</definedName>
    <definedName name="____tu3" localSheetId="8">#REF!</definedName>
    <definedName name="____tu3" localSheetId="6">#REF!</definedName>
    <definedName name="____tu3" localSheetId="9">#REF!</definedName>
    <definedName name="____tu3" localSheetId="19">#REF!</definedName>
    <definedName name="____tu3" localSheetId="20">#REF!</definedName>
    <definedName name="____tu3" localSheetId="12">#REF!</definedName>
    <definedName name="____tu3" localSheetId="11">#REF!</definedName>
    <definedName name="____tu3" localSheetId="1">#REF!</definedName>
    <definedName name="____tu3" localSheetId="2">#REF!</definedName>
    <definedName name="____tu3" localSheetId="3">#REF!</definedName>
    <definedName name="____tu3">#REF!</definedName>
    <definedName name="___ben1" localSheetId="13">#REF!</definedName>
    <definedName name="___ben1" localSheetId="21">#REF!</definedName>
    <definedName name="___ben1" localSheetId="22">#REF!</definedName>
    <definedName name="___ben1" localSheetId="5">#REF!</definedName>
    <definedName name="___ben1" localSheetId="10">#REF!</definedName>
    <definedName name="___ben1" localSheetId="4">#REF!</definedName>
    <definedName name="___ben1" localSheetId="0">#REF!</definedName>
    <definedName name="___ben1" localSheetId="7">#REF!</definedName>
    <definedName name="___ben1" localSheetId="8">#REF!</definedName>
    <definedName name="___ben1" localSheetId="6">#REF!</definedName>
    <definedName name="___ben1" localSheetId="9">#REF!</definedName>
    <definedName name="___ben1" localSheetId="19">#REF!</definedName>
    <definedName name="___ben1" localSheetId="20">#REF!</definedName>
    <definedName name="___ben1" localSheetId="12">#REF!</definedName>
    <definedName name="___ben1" localSheetId="11">#REF!</definedName>
    <definedName name="___ben1" localSheetId="1">#REF!</definedName>
    <definedName name="___ben1" localSheetId="2">#REF!</definedName>
    <definedName name="___ben1" localSheetId="3">#REF!</definedName>
    <definedName name="___ben1">#REF!</definedName>
    <definedName name="___ben10" localSheetId="13">#REF!</definedName>
    <definedName name="___ben10" localSheetId="21">#REF!</definedName>
    <definedName name="___ben10" localSheetId="22">#REF!</definedName>
    <definedName name="___ben10" localSheetId="5">#REF!</definedName>
    <definedName name="___ben10" localSheetId="10">#REF!</definedName>
    <definedName name="___ben10" localSheetId="4">#REF!</definedName>
    <definedName name="___ben10" localSheetId="0">#REF!</definedName>
    <definedName name="___ben10" localSheetId="7">#REF!</definedName>
    <definedName name="___ben10" localSheetId="8">#REF!</definedName>
    <definedName name="___ben10" localSheetId="6">#REF!</definedName>
    <definedName name="___ben10" localSheetId="9">#REF!</definedName>
    <definedName name="___ben10" localSheetId="19">#REF!</definedName>
    <definedName name="___ben10" localSheetId="20">#REF!</definedName>
    <definedName name="___ben10" localSheetId="12">#REF!</definedName>
    <definedName name="___ben10" localSheetId="11">#REF!</definedName>
    <definedName name="___ben10" localSheetId="1">#REF!</definedName>
    <definedName name="___ben10" localSheetId="2">#REF!</definedName>
    <definedName name="___ben10" localSheetId="3">#REF!</definedName>
    <definedName name="___ben10">#REF!</definedName>
    <definedName name="___ben15" localSheetId="13">#REF!</definedName>
    <definedName name="___ben15" localSheetId="21">#REF!</definedName>
    <definedName name="___ben15" localSheetId="22">#REF!</definedName>
    <definedName name="___ben15" localSheetId="5">#REF!</definedName>
    <definedName name="___ben15" localSheetId="10">#REF!</definedName>
    <definedName name="___ben15" localSheetId="4">#REF!</definedName>
    <definedName name="___ben15" localSheetId="0">#REF!</definedName>
    <definedName name="___ben15" localSheetId="7">#REF!</definedName>
    <definedName name="___ben15" localSheetId="8">#REF!</definedName>
    <definedName name="___ben15" localSheetId="6">#REF!</definedName>
    <definedName name="___ben15" localSheetId="9">#REF!</definedName>
    <definedName name="___ben15" localSheetId="19">#REF!</definedName>
    <definedName name="___ben15" localSheetId="20">#REF!</definedName>
    <definedName name="___ben15" localSheetId="12">#REF!</definedName>
    <definedName name="___ben15" localSheetId="11">#REF!</definedName>
    <definedName name="___ben15" localSheetId="1">#REF!</definedName>
    <definedName name="___ben15" localSheetId="2">#REF!</definedName>
    <definedName name="___ben15" localSheetId="3">#REF!</definedName>
    <definedName name="___ben15">#REF!</definedName>
    <definedName name="___BEN2" localSheetId="13">#REF!</definedName>
    <definedName name="___BEN2" localSheetId="14">#REF!</definedName>
    <definedName name="___BEN2" localSheetId="17">#REF!</definedName>
    <definedName name="___BEN2" localSheetId="12">#REF!</definedName>
    <definedName name="___BEN2" localSheetId="11">#REF!</definedName>
    <definedName name="___BEN2">#REF!</definedName>
    <definedName name="___ben20" localSheetId="13">#REF!</definedName>
    <definedName name="___ben20" localSheetId="21">#REF!</definedName>
    <definedName name="___ben20" localSheetId="22">#REF!</definedName>
    <definedName name="___ben20" localSheetId="5">#REF!</definedName>
    <definedName name="___ben20" localSheetId="10">#REF!</definedName>
    <definedName name="___ben20" localSheetId="4">#REF!</definedName>
    <definedName name="___ben20" localSheetId="0">#REF!</definedName>
    <definedName name="___ben20" localSheetId="17">#REF!</definedName>
    <definedName name="___ben20" localSheetId="7">#REF!</definedName>
    <definedName name="___ben20" localSheetId="8">#REF!</definedName>
    <definedName name="___ben20" localSheetId="6">#REF!</definedName>
    <definedName name="___ben20" localSheetId="9">#REF!</definedName>
    <definedName name="___ben20" localSheetId="19">#REF!</definedName>
    <definedName name="___ben20" localSheetId="20">#REF!</definedName>
    <definedName name="___ben20" localSheetId="12">#REF!</definedName>
    <definedName name="___ben20" localSheetId="11">#REF!</definedName>
    <definedName name="___ben20" localSheetId="1">#REF!</definedName>
    <definedName name="___ben20" localSheetId="2">#REF!</definedName>
    <definedName name="___ben20" localSheetId="3">#REF!</definedName>
    <definedName name="___ben20">#REF!</definedName>
    <definedName name="___ben25" localSheetId="13">#REF!</definedName>
    <definedName name="___ben25" localSheetId="21">#REF!</definedName>
    <definedName name="___ben25" localSheetId="22">#REF!</definedName>
    <definedName name="___ben25" localSheetId="5">#REF!</definedName>
    <definedName name="___ben25" localSheetId="10">#REF!</definedName>
    <definedName name="___ben25" localSheetId="4">#REF!</definedName>
    <definedName name="___ben25" localSheetId="0">#REF!</definedName>
    <definedName name="___ben25" localSheetId="17">#REF!</definedName>
    <definedName name="___ben25" localSheetId="7">#REF!</definedName>
    <definedName name="___ben25" localSheetId="8">#REF!</definedName>
    <definedName name="___ben25" localSheetId="6">#REF!</definedName>
    <definedName name="___ben25" localSheetId="9">#REF!</definedName>
    <definedName name="___ben25" localSheetId="19">#REF!</definedName>
    <definedName name="___ben25" localSheetId="20">#REF!</definedName>
    <definedName name="___ben25" localSheetId="12">#REF!</definedName>
    <definedName name="___ben25" localSheetId="11">#REF!</definedName>
    <definedName name="___ben25" localSheetId="1">#REF!</definedName>
    <definedName name="___ben25" localSheetId="2">#REF!</definedName>
    <definedName name="___ben25" localSheetId="3">#REF!</definedName>
    <definedName name="___ben25">#REF!</definedName>
    <definedName name="___BEN3" localSheetId="13">#REF!</definedName>
    <definedName name="___BEN3" localSheetId="21">#REF!</definedName>
    <definedName name="___BEN3" localSheetId="22">#REF!</definedName>
    <definedName name="___BEN3" localSheetId="5">#REF!</definedName>
    <definedName name="___BEN3" localSheetId="10">#REF!</definedName>
    <definedName name="___BEN3" localSheetId="4">#REF!</definedName>
    <definedName name="___BEN3" localSheetId="0">#REF!</definedName>
    <definedName name="___BEN3" localSheetId="17">#REF!</definedName>
    <definedName name="___BEN3" localSheetId="7">#REF!</definedName>
    <definedName name="___BEN3" localSheetId="8">#REF!</definedName>
    <definedName name="___BEN3" localSheetId="6">#REF!</definedName>
    <definedName name="___BEN3" localSheetId="9">#REF!</definedName>
    <definedName name="___BEN3" localSheetId="19">#REF!</definedName>
    <definedName name="___BEN3" localSheetId="20">#REF!</definedName>
    <definedName name="___BEN3" localSheetId="12">#REF!</definedName>
    <definedName name="___BEN3" localSheetId="11">#REF!</definedName>
    <definedName name="___BEN3" localSheetId="1">#REF!</definedName>
    <definedName name="___BEN3" localSheetId="2">#REF!</definedName>
    <definedName name="___BEN3" localSheetId="3">#REF!</definedName>
    <definedName name="___BEN3">#REF!</definedName>
    <definedName name="___BEN4" localSheetId="13">#REF!</definedName>
    <definedName name="___BEN4" localSheetId="21">#REF!</definedName>
    <definedName name="___BEN4" localSheetId="22">#REF!</definedName>
    <definedName name="___BEN4" localSheetId="5">#REF!</definedName>
    <definedName name="___BEN4" localSheetId="10">#REF!</definedName>
    <definedName name="___BEN4" localSheetId="4">#REF!</definedName>
    <definedName name="___BEN4" localSheetId="0">#REF!</definedName>
    <definedName name="___BEN4" localSheetId="7">#REF!</definedName>
    <definedName name="___BEN4" localSheetId="8">#REF!</definedName>
    <definedName name="___BEN4" localSheetId="6">#REF!</definedName>
    <definedName name="___BEN4" localSheetId="9">#REF!</definedName>
    <definedName name="___BEN4" localSheetId="19">#REF!</definedName>
    <definedName name="___BEN4" localSheetId="20">#REF!</definedName>
    <definedName name="___BEN4" localSheetId="12">#REF!</definedName>
    <definedName name="___BEN4" localSheetId="11">#REF!</definedName>
    <definedName name="___BEN4" localSheetId="1">#REF!</definedName>
    <definedName name="___BEN4" localSheetId="2">#REF!</definedName>
    <definedName name="___BEN4" localSheetId="3">#REF!</definedName>
    <definedName name="___BEN4">#REF!</definedName>
    <definedName name="___ben5" localSheetId="13">#REF!</definedName>
    <definedName name="___ben5" localSheetId="21">#REF!</definedName>
    <definedName name="___ben5" localSheetId="22">#REF!</definedName>
    <definedName name="___ben5" localSheetId="5">#REF!</definedName>
    <definedName name="___ben5" localSheetId="10">#REF!</definedName>
    <definedName name="___ben5" localSheetId="4">#REF!</definedName>
    <definedName name="___ben5" localSheetId="0">#REF!</definedName>
    <definedName name="___ben5" localSheetId="7">#REF!</definedName>
    <definedName name="___ben5" localSheetId="8">#REF!</definedName>
    <definedName name="___ben5" localSheetId="6">#REF!</definedName>
    <definedName name="___ben5" localSheetId="9">#REF!</definedName>
    <definedName name="___ben5" localSheetId="19">#REF!</definedName>
    <definedName name="___ben5" localSheetId="20">#REF!</definedName>
    <definedName name="___ben5" localSheetId="12">#REF!</definedName>
    <definedName name="___ben5" localSheetId="11">#REF!</definedName>
    <definedName name="___ben5" localSheetId="1">#REF!</definedName>
    <definedName name="___ben5" localSheetId="2">#REF!</definedName>
    <definedName name="___ben5" localSheetId="3">#REF!</definedName>
    <definedName name="___ben5">#REF!</definedName>
    <definedName name="___tu3" localSheetId="13">#REF!</definedName>
    <definedName name="___tu3" localSheetId="21">#REF!</definedName>
    <definedName name="___tu3" localSheetId="22">#REF!</definedName>
    <definedName name="___tu3" localSheetId="5">#REF!</definedName>
    <definedName name="___tu3" localSheetId="10">#REF!</definedName>
    <definedName name="___tu3" localSheetId="4">#REF!</definedName>
    <definedName name="___tu3" localSheetId="0">#REF!</definedName>
    <definedName name="___tu3" localSheetId="7">#REF!</definedName>
    <definedName name="___tu3" localSheetId="8">#REF!</definedName>
    <definedName name="___tu3" localSheetId="6">#REF!</definedName>
    <definedName name="___tu3" localSheetId="9">#REF!</definedName>
    <definedName name="___tu3" localSheetId="19">#REF!</definedName>
    <definedName name="___tu3" localSheetId="20">#REF!</definedName>
    <definedName name="___tu3" localSheetId="12">#REF!</definedName>
    <definedName name="___tu3" localSheetId="11">#REF!</definedName>
    <definedName name="___tu3" localSheetId="1">#REF!</definedName>
    <definedName name="___tu3" localSheetId="2">#REF!</definedName>
    <definedName name="___tu3" localSheetId="3">#REF!</definedName>
    <definedName name="___tu3">#REF!</definedName>
    <definedName name="__ben1" localSheetId="13">#REF!</definedName>
    <definedName name="__ben1" localSheetId="21">#REF!</definedName>
    <definedName name="__ben1" localSheetId="22">#REF!</definedName>
    <definedName name="__ben1" localSheetId="5">#REF!</definedName>
    <definedName name="__ben1" localSheetId="10">#REF!</definedName>
    <definedName name="__ben1" localSheetId="4">#REF!</definedName>
    <definedName name="__ben1" localSheetId="0">#REF!</definedName>
    <definedName name="__ben1" localSheetId="7">#REF!</definedName>
    <definedName name="__ben1" localSheetId="8">#REF!</definedName>
    <definedName name="__ben1" localSheetId="6">#REF!</definedName>
    <definedName name="__ben1" localSheetId="9">#REF!</definedName>
    <definedName name="__ben1" localSheetId="19">#REF!</definedName>
    <definedName name="__ben1" localSheetId="20">#REF!</definedName>
    <definedName name="__ben1" localSheetId="12">#REF!</definedName>
    <definedName name="__ben1" localSheetId="11">#REF!</definedName>
    <definedName name="__ben1" localSheetId="1">#REF!</definedName>
    <definedName name="__ben1" localSheetId="2">#REF!</definedName>
    <definedName name="__ben1" localSheetId="3">#REF!</definedName>
    <definedName name="__ben1">#REF!</definedName>
    <definedName name="__ben10" localSheetId="13">#REF!</definedName>
    <definedName name="__ben10" localSheetId="21">#REF!</definedName>
    <definedName name="__ben10" localSheetId="22">#REF!</definedName>
    <definedName name="__ben10" localSheetId="5">#REF!</definedName>
    <definedName name="__ben10" localSheetId="10">#REF!</definedName>
    <definedName name="__ben10" localSheetId="4">#REF!</definedName>
    <definedName name="__ben10" localSheetId="0">#REF!</definedName>
    <definedName name="__ben10" localSheetId="7">#REF!</definedName>
    <definedName name="__ben10" localSheetId="8">#REF!</definedName>
    <definedName name="__ben10" localSheetId="6">#REF!</definedName>
    <definedName name="__ben10" localSheetId="9">#REF!</definedName>
    <definedName name="__ben10" localSheetId="19">#REF!</definedName>
    <definedName name="__ben10" localSheetId="20">#REF!</definedName>
    <definedName name="__ben10" localSheetId="12">#REF!</definedName>
    <definedName name="__ben10" localSheetId="11">#REF!</definedName>
    <definedName name="__ben10" localSheetId="1">#REF!</definedName>
    <definedName name="__ben10" localSheetId="2">#REF!</definedName>
    <definedName name="__ben10" localSheetId="3">#REF!</definedName>
    <definedName name="__ben10">#REF!</definedName>
    <definedName name="__ben15" localSheetId="13">#REF!</definedName>
    <definedName name="__ben15" localSheetId="21">#REF!</definedName>
    <definedName name="__ben15" localSheetId="22">#REF!</definedName>
    <definedName name="__ben15" localSheetId="5">#REF!</definedName>
    <definedName name="__ben15" localSheetId="10">#REF!</definedName>
    <definedName name="__ben15" localSheetId="4">#REF!</definedName>
    <definedName name="__ben15" localSheetId="0">#REF!</definedName>
    <definedName name="__ben15" localSheetId="7">#REF!</definedName>
    <definedName name="__ben15" localSheetId="8">#REF!</definedName>
    <definedName name="__ben15" localSheetId="6">#REF!</definedName>
    <definedName name="__ben15" localSheetId="9">#REF!</definedName>
    <definedName name="__ben15" localSheetId="19">#REF!</definedName>
    <definedName name="__ben15" localSheetId="20">#REF!</definedName>
    <definedName name="__ben15" localSheetId="12">#REF!</definedName>
    <definedName name="__ben15" localSheetId="11">#REF!</definedName>
    <definedName name="__ben15" localSheetId="1">#REF!</definedName>
    <definedName name="__ben15" localSheetId="2">#REF!</definedName>
    <definedName name="__ben15" localSheetId="3">#REF!</definedName>
    <definedName name="__ben15">#REF!</definedName>
    <definedName name="__BEN2" localSheetId="13">#REF!</definedName>
    <definedName name="__BEN2" localSheetId="14">#REF!</definedName>
    <definedName name="__BEN2" localSheetId="17">#REF!</definedName>
    <definedName name="__BEN2" localSheetId="12">#REF!</definedName>
    <definedName name="__BEN2" localSheetId="11">#REF!</definedName>
    <definedName name="__BEN2">#REF!</definedName>
    <definedName name="__ben20" localSheetId="13">#REF!</definedName>
    <definedName name="__ben20" localSheetId="21">#REF!</definedName>
    <definedName name="__ben20" localSheetId="22">#REF!</definedName>
    <definedName name="__ben20" localSheetId="5">#REF!</definedName>
    <definedName name="__ben20" localSheetId="10">#REF!</definedName>
    <definedName name="__ben20" localSheetId="4">#REF!</definedName>
    <definedName name="__ben20" localSheetId="0">#REF!</definedName>
    <definedName name="__ben20" localSheetId="17">#REF!</definedName>
    <definedName name="__ben20" localSheetId="7">#REF!</definedName>
    <definedName name="__ben20" localSheetId="8">#REF!</definedName>
    <definedName name="__ben20" localSheetId="6">#REF!</definedName>
    <definedName name="__ben20" localSheetId="9">#REF!</definedName>
    <definedName name="__ben20" localSheetId="19">#REF!</definedName>
    <definedName name="__ben20" localSheetId="20">#REF!</definedName>
    <definedName name="__ben20" localSheetId="12">#REF!</definedName>
    <definedName name="__ben20" localSheetId="11">#REF!</definedName>
    <definedName name="__ben20" localSheetId="1">#REF!</definedName>
    <definedName name="__ben20" localSheetId="2">#REF!</definedName>
    <definedName name="__ben20" localSheetId="3">#REF!</definedName>
    <definedName name="__ben20">#REF!</definedName>
    <definedName name="__ben25" localSheetId="13">#REF!</definedName>
    <definedName name="__ben25" localSheetId="21">#REF!</definedName>
    <definedName name="__ben25" localSheetId="22">#REF!</definedName>
    <definedName name="__ben25" localSheetId="5">#REF!</definedName>
    <definedName name="__ben25" localSheetId="10">#REF!</definedName>
    <definedName name="__ben25" localSheetId="4">#REF!</definedName>
    <definedName name="__ben25" localSheetId="0">#REF!</definedName>
    <definedName name="__ben25" localSheetId="17">#REF!</definedName>
    <definedName name="__ben25" localSheetId="7">#REF!</definedName>
    <definedName name="__ben25" localSheetId="8">#REF!</definedName>
    <definedName name="__ben25" localSheetId="6">#REF!</definedName>
    <definedName name="__ben25" localSheetId="9">#REF!</definedName>
    <definedName name="__ben25" localSheetId="19">#REF!</definedName>
    <definedName name="__ben25" localSheetId="20">#REF!</definedName>
    <definedName name="__ben25" localSheetId="12">#REF!</definedName>
    <definedName name="__ben25" localSheetId="11">#REF!</definedName>
    <definedName name="__ben25" localSheetId="1">#REF!</definedName>
    <definedName name="__ben25" localSheetId="2">#REF!</definedName>
    <definedName name="__ben25" localSheetId="3">#REF!</definedName>
    <definedName name="__ben25">#REF!</definedName>
    <definedName name="__BEN3" localSheetId="13">#REF!</definedName>
    <definedName name="__BEN3" localSheetId="21">#REF!</definedName>
    <definedName name="__BEN3" localSheetId="22">#REF!</definedName>
    <definedName name="__BEN3" localSheetId="5">#REF!</definedName>
    <definedName name="__BEN3" localSheetId="10">#REF!</definedName>
    <definedName name="__BEN3" localSheetId="4">#REF!</definedName>
    <definedName name="__BEN3" localSheetId="0">#REF!</definedName>
    <definedName name="__BEN3" localSheetId="17">#REF!</definedName>
    <definedName name="__BEN3" localSheetId="7">#REF!</definedName>
    <definedName name="__BEN3" localSheetId="8">#REF!</definedName>
    <definedName name="__BEN3" localSheetId="6">#REF!</definedName>
    <definedName name="__BEN3" localSheetId="9">#REF!</definedName>
    <definedName name="__BEN3" localSheetId="19">#REF!</definedName>
    <definedName name="__BEN3" localSheetId="20">#REF!</definedName>
    <definedName name="__BEN3" localSheetId="12">#REF!</definedName>
    <definedName name="__BEN3" localSheetId="11">#REF!</definedName>
    <definedName name="__BEN3" localSheetId="1">#REF!</definedName>
    <definedName name="__BEN3" localSheetId="2">#REF!</definedName>
    <definedName name="__BEN3" localSheetId="3">#REF!</definedName>
    <definedName name="__BEN3">#REF!</definedName>
    <definedName name="__BEN4" localSheetId="13">#REF!</definedName>
    <definedName name="__BEN4" localSheetId="21">#REF!</definedName>
    <definedName name="__BEN4" localSheetId="22">#REF!</definedName>
    <definedName name="__BEN4" localSheetId="5">#REF!</definedName>
    <definedName name="__BEN4" localSheetId="10">#REF!</definedName>
    <definedName name="__BEN4" localSheetId="4">#REF!</definedName>
    <definedName name="__BEN4" localSheetId="0">#REF!</definedName>
    <definedName name="__BEN4" localSheetId="7">#REF!</definedName>
    <definedName name="__BEN4" localSheetId="8">#REF!</definedName>
    <definedName name="__BEN4" localSheetId="6">#REF!</definedName>
    <definedName name="__BEN4" localSheetId="9">#REF!</definedName>
    <definedName name="__BEN4" localSheetId="19">#REF!</definedName>
    <definedName name="__BEN4" localSheetId="20">#REF!</definedName>
    <definedName name="__BEN4" localSheetId="12">#REF!</definedName>
    <definedName name="__BEN4" localSheetId="11">#REF!</definedName>
    <definedName name="__BEN4" localSheetId="1">#REF!</definedName>
    <definedName name="__BEN4" localSheetId="2">#REF!</definedName>
    <definedName name="__BEN4" localSheetId="3">#REF!</definedName>
    <definedName name="__BEN4">#REF!</definedName>
    <definedName name="__ben5" localSheetId="13">#REF!</definedName>
    <definedName name="__ben5" localSheetId="21">#REF!</definedName>
    <definedName name="__ben5" localSheetId="22">#REF!</definedName>
    <definedName name="__ben5" localSheetId="5">#REF!</definedName>
    <definedName name="__ben5" localSheetId="10">#REF!</definedName>
    <definedName name="__ben5" localSheetId="4">#REF!</definedName>
    <definedName name="__ben5" localSheetId="0">#REF!</definedName>
    <definedName name="__ben5" localSheetId="7">#REF!</definedName>
    <definedName name="__ben5" localSheetId="8">#REF!</definedName>
    <definedName name="__ben5" localSheetId="6">#REF!</definedName>
    <definedName name="__ben5" localSheetId="9">#REF!</definedName>
    <definedName name="__ben5" localSheetId="19">#REF!</definedName>
    <definedName name="__ben5" localSheetId="20">#REF!</definedName>
    <definedName name="__ben5" localSheetId="12">#REF!</definedName>
    <definedName name="__ben5" localSheetId="11">#REF!</definedName>
    <definedName name="__ben5" localSheetId="1">#REF!</definedName>
    <definedName name="__ben5" localSheetId="2">#REF!</definedName>
    <definedName name="__ben5" localSheetId="3">#REF!</definedName>
    <definedName name="__ben5">#REF!</definedName>
    <definedName name="__HJJ2">#REF!</definedName>
    <definedName name="__tu3" localSheetId="13">#REF!</definedName>
    <definedName name="__tu3" localSheetId="21">#REF!</definedName>
    <definedName name="__tu3" localSheetId="22">#REF!</definedName>
    <definedName name="__tu3" localSheetId="5">#REF!</definedName>
    <definedName name="__tu3" localSheetId="10">#REF!</definedName>
    <definedName name="__tu3" localSheetId="4">#REF!</definedName>
    <definedName name="__tu3" localSheetId="0">#REF!</definedName>
    <definedName name="__tu3" localSheetId="7">#REF!</definedName>
    <definedName name="__tu3" localSheetId="8">#REF!</definedName>
    <definedName name="__tu3" localSheetId="6">#REF!</definedName>
    <definedName name="__tu3" localSheetId="9">#REF!</definedName>
    <definedName name="__tu3" localSheetId="19">#REF!</definedName>
    <definedName name="__tu3" localSheetId="20">#REF!</definedName>
    <definedName name="__tu3" localSheetId="12">#REF!</definedName>
    <definedName name="__tu3" localSheetId="11">#REF!</definedName>
    <definedName name="__tu3" localSheetId="1">#REF!</definedName>
    <definedName name="__tu3" localSheetId="2">#REF!</definedName>
    <definedName name="__tu3" localSheetId="3">#REF!</definedName>
    <definedName name="__tu3">#REF!</definedName>
    <definedName name="_3FLE">#REF!</definedName>
    <definedName name="_6PRINT_AREA">#REF!</definedName>
    <definedName name="_ben1" localSheetId="13">#REF!</definedName>
    <definedName name="_ben1" localSheetId="21">#REF!</definedName>
    <definedName name="_ben1" localSheetId="22">#REF!</definedName>
    <definedName name="_ben1" localSheetId="5">#REF!</definedName>
    <definedName name="_ben1" localSheetId="10">#REF!</definedName>
    <definedName name="_ben1" localSheetId="4">#REF!</definedName>
    <definedName name="_ben1" localSheetId="0">#REF!</definedName>
    <definedName name="_ben1" localSheetId="7">#REF!</definedName>
    <definedName name="_ben1" localSheetId="8">#REF!</definedName>
    <definedName name="_ben1" localSheetId="6">#REF!</definedName>
    <definedName name="_ben1" localSheetId="9">#REF!</definedName>
    <definedName name="_ben1" localSheetId="19">#REF!</definedName>
    <definedName name="_ben1" localSheetId="20">#REF!</definedName>
    <definedName name="_ben1" localSheetId="12">#REF!</definedName>
    <definedName name="_ben1" localSheetId="11">#REF!</definedName>
    <definedName name="_ben1" localSheetId="1">#REF!</definedName>
    <definedName name="_ben1" localSheetId="2">#REF!</definedName>
    <definedName name="_ben1" localSheetId="3">#REF!</definedName>
    <definedName name="_ben1">#REF!</definedName>
    <definedName name="_ben10" localSheetId="13">#REF!</definedName>
    <definedName name="_ben10" localSheetId="21">#REF!</definedName>
    <definedName name="_ben10" localSheetId="22">#REF!</definedName>
    <definedName name="_ben10" localSheetId="5">#REF!</definedName>
    <definedName name="_ben10" localSheetId="10">#REF!</definedName>
    <definedName name="_ben10" localSheetId="4">#REF!</definedName>
    <definedName name="_ben10" localSheetId="0">#REF!</definedName>
    <definedName name="_ben10" localSheetId="7">#REF!</definedName>
    <definedName name="_ben10" localSheetId="8">#REF!</definedName>
    <definedName name="_ben10" localSheetId="6">#REF!</definedName>
    <definedName name="_ben10" localSheetId="9">#REF!</definedName>
    <definedName name="_ben10" localSheetId="19">#REF!</definedName>
    <definedName name="_ben10" localSheetId="20">#REF!</definedName>
    <definedName name="_ben10" localSheetId="12">#REF!</definedName>
    <definedName name="_ben10" localSheetId="11">#REF!</definedName>
    <definedName name="_ben10" localSheetId="1">#REF!</definedName>
    <definedName name="_ben10" localSheetId="2">#REF!</definedName>
    <definedName name="_ben10" localSheetId="3">#REF!</definedName>
    <definedName name="_ben10">#REF!</definedName>
    <definedName name="_ben15" localSheetId="13">#REF!</definedName>
    <definedName name="_ben15" localSheetId="21">#REF!</definedName>
    <definedName name="_ben15" localSheetId="22">#REF!</definedName>
    <definedName name="_ben15" localSheetId="5">#REF!</definedName>
    <definedName name="_ben15" localSheetId="10">#REF!</definedName>
    <definedName name="_ben15" localSheetId="4">#REF!</definedName>
    <definedName name="_ben15" localSheetId="0">#REF!</definedName>
    <definedName name="_ben15" localSheetId="7">#REF!</definedName>
    <definedName name="_ben15" localSheetId="8">#REF!</definedName>
    <definedName name="_ben15" localSheetId="6">#REF!</definedName>
    <definedName name="_ben15" localSheetId="9">#REF!</definedName>
    <definedName name="_ben15" localSheetId="19">#REF!</definedName>
    <definedName name="_ben15" localSheetId="20">#REF!</definedName>
    <definedName name="_ben15" localSheetId="12">#REF!</definedName>
    <definedName name="_ben15" localSheetId="11">#REF!</definedName>
    <definedName name="_ben15" localSheetId="1">#REF!</definedName>
    <definedName name="_ben15" localSheetId="2">#REF!</definedName>
    <definedName name="_ben15" localSheetId="3">#REF!</definedName>
    <definedName name="_ben15">#REF!</definedName>
    <definedName name="_BEN2" localSheetId="13">#REF!</definedName>
    <definedName name="_BEN2" localSheetId="14">#REF!</definedName>
    <definedName name="_BEN2" localSheetId="17">#REF!</definedName>
    <definedName name="_BEN2" localSheetId="12">#REF!</definedName>
    <definedName name="_BEN2" localSheetId="11">#REF!</definedName>
    <definedName name="_BEN2">#REF!</definedName>
    <definedName name="_ben20" localSheetId="13">#REF!</definedName>
    <definedName name="_ben20" localSheetId="21">#REF!</definedName>
    <definedName name="_ben20" localSheetId="22">#REF!</definedName>
    <definedName name="_ben20" localSheetId="5">#REF!</definedName>
    <definedName name="_ben20" localSheetId="10">#REF!</definedName>
    <definedName name="_ben20" localSheetId="4">#REF!</definedName>
    <definedName name="_ben20" localSheetId="0">#REF!</definedName>
    <definedName name="_ben20" localSheetId="17">#REF!</definedName>
    <definedName name="_ben20" localSheetId="7">#REF!</definedName>
    <definedName name="_ben20" localSheetId="8">#REF!</definedName>
    <definedName name="_ben20" localSheetId="6">#REF!</definedName>
    <definedName name="_ben20" localSheetId="9">#REF!</definedName>
    <definedName name="_ben20" localSheetId="19">#REF!</definedName>
    <definedName name="_ben20" localSheetId="20">#REF!</definedName>
    <definedName name="_ben20" localSheetId="12">#REF!</definedName>
    <definedName name="_ben20" localSheetId="11">#REF!</definedName>
    <definedName name="_ben20" localSheetId="1">#REF!</definedName>
    <definedName name="_ben20" localSheetId="2">#REF!</definedName>
    <definedName name="_ben20" localSheetId="3">#REF!</definedName>
    <definedName name="_ben20">#REF!</definedName>
    <definedName name="_ben21" localSheetId="13">#REF!</definedName>
    <definedName name="_ben21" localSheetId="21">#REF!</definedName>
    <definedName name="_ben21" localSheetId="22">#REF!</definedName>
    <definedName name="_ben21" localSheetId="5">#REF!</definedName>
    <definedName name="_ben21" localSheetId="10">#REF!</definedName>
    <definedName name="_ben21" localSheetId="4">#REF!</definedName>
    <definedName name="_ben21" localSheetId="0">#REF!</definedName>
    <definedName name="_ben21" localSheetId="17">#REF!</definedName>
    <definedName name="_ben21" localSheetId="7">#REF!</definedName>
    <definedName name="_ben21" localSheetId="8">#REF!</definedName>
    <definedName name="_ben21" localSheetId="6">#REF!</definedName>
    <definedName name="_ben21" localSheetId="9">#REF!</definedName>
    <definedName name="_ben21" localSheetId="19">#REF!</definedName>
    <definedName name="_ben21" localSheetId="20">#REF!</definedName>
    <definedName name="_ben21" localSheetId="12">#REF!</definedName>
    <definedName name="_ben21" localSheetId="11">#REF!</definedName>
    <definedName name="_ben21" localSheetId="1">#REF!</definedName>
    <definedName name="_ben21" localSheetId="2">#REF!</definedName>
    <definedName name="_ben21" localSheetId="3">#REF!</definedName>
    <definedName name="_ben21">#REF!</definedName>
    <definedName name="_ben25" localSheetId="13">#REF!</definedName>
    <definedName name="_ben25" localSheetId="21">#REF!</definedName>
    <definedName name="_ben25" localSheetId="22">#REF!</definedName>
    <definedName name="_ben25" localSheetId="5">#REF!</definedName>
    <definedName name="_ben25" localSheetId="10">#REF!</definedName>
    <definedName name="_ben25" localSheetId="4">#REF!</definedName>
    <definedName name="_ben25" localSheetId="0">#REF!</definedName>
    <definedName name="_ben25" localSheetId="17">#REF!</definedName>
    <definedName name="_ben25" localSheetId="7">#REF!</definedName>
    <definedName name="_ben25" localSheetId="8">#REF!</definedName>
    <definedName name="_ben25" localSheetId="6">#REF!</definedName>
    <definedName name="_ben25" localSheetId="9">#REF!</definedName>
    <definedName name="_ben25" localSheetId="19">#REF!</definedName>
    <definedName name="_ben25" localSheetId="20">#REF!</definedName>
    <definedName name="_ben25" localSheetId="12">#REF!</definedName>
    <definedName name="_ben25" localSheetId="11">#REF!</definedName>
    <definedName name="_ben25" localSheetId="1">#REF!</definedName>
    <definedName name="_ben25" localSheetId="2">#REF!</definedName>
    <definedName name="_ben25" localSheetId="3">#REF!</definedName>
    <definedName name="_ben25">#REF!</definedName>
    <definedName name="_ben29" localSheetId="13">#REF!</definedName>
    <definedName name="_ben29" localSheetId="21">#REF!</definedName>
    <definedName name="_ben29" localSheetId="22">#REF!</definedName>
    <definedName name="_ben29" localSheetId="5">#REF!</definedName>
    <definedName name="_ben29" localSheetId="10">#REF!</definedName>
    <definedName name="_ben29" localSheetId="4">#REF!</definedName>
    <definedName name="_ben29" localSheetId="0">#REF!</definedName>
    <definedName name="_ben29" localSheetId="7">#REF!</definedName>
    <definedName name="_ben29" localSheetId="8">#REF!</definedName>
    <definedName name="_ben29" localSheetId="6">#REF!</definedName>
    <definedName name="_ben29" localSheetId="9">#REF!</definedName>
    <definedName name="_ben29" localSheetId="19">#REF!</definedName>
    <definedName name="_ben29" localSheetId="20">#REF!</definedName>
    <definedName name="_ben29" localSheetId="12">#REF!</definedName>
    <definedName name="_ben29" localSheetId="11">#REF!</definedName>
    <definedName name="_ben29" localSheetId="1">#REF!</definedName>
    <definedName name="_ben29" localSheetId="2">#REF!</definedName>
    <definedName name="_ben29" localSheetId="3">#REF!</definedName>
    <definedName name="_ben29">#REF!</definedName>
    <definedName name="_BEN3" localSheetId="13">#REF!</definedName>
    <definedName name="_BEN3" localSheetId="21">#REF!</definedName>
    <definedName name="_BEN3" localSheetId="22">#REF!</definedName>
    <definedName name="_BEN3" localSheetId="5">#REF!</definedName>
    <definedName name="_BEN3" localSheetId="10">#REF!</definedName>
    <definedName name="_BEN3" localSheetId="4">#REF!</definedName>
    <definedName name="_BEN3" localSheetId="0">#REF!</definedName>
    <definedName name="_BEN3" localSheetId="7">#REF!</definedName>
    <definedName name="_BEN3" localSheetId="8">#REF!</definedName>
    <definedName name="_BEN3" localSheetId="6">#REF!</definedName>
    <definedName name="_BEN3" localSheetId="9">#REF!</definedName>
    <definedName name="_BEN3" localSheetId="19">#REF!</definedName>
    <definedName name="_BEN3" localSheetId="20">#REF!</definedName>
    <definedName name="_BEN3" localSheetId="12">#REF!</definedName>
    <definedName name="_BEN3" localSheetId="11">#REF!</definedName>
    <definedName name="_BEN3" localSheetId="1">#REF!</definedName>
    <definedName name="_BEN3" localSheetId="2">#REF!</definedName>
    <definedName name="_BEN3" localSheetId="3">#REF!</definedName>
    <definedName name="_BEN3">#REF!</definedName>
    <definedName name="_ben30" localSheetId="13">#REF!</definedName>
    <definedName name="_ben30" localSheetId="21">#REF!</definedName>
    <definedName name="_ben30" localSheetId="22">#REF!</definedName>
    <definedName name="_ben30" localSheetId="5">#REF!</definedName>
    <definedName name="_ben30" localSheetId="10">#REF!</definedName>
    <definedName name="_ben30" localSheetId="4">#REF!</definedName>
    <definedName name="_ben30" localSheetId="0">#REF!</definedName>
    <definedName name="_ben30" localSheetId="7">#REF!</definedName>
    <definedName name="_ben30" localSheetId="8">#REF!</definedName>
    <definedName name="_ben30" localSheetId="6">#REF!</definedName>
    <definedName name="_ben30" localSheetId="9">#REF!</definedName>
    <definedName name="_ben30" localSheetId="19">#REF!</definedName>
    <definedName name="_ben30" localSheetId="20">#REF!</definedName>
    <definedName name="_ben30" localSheetId="12">#REF!</definedName>
    <definedName name="_ben30" localSheetId="11">#REF!</definedName>
    <definedName name="_ben30" localSheetId="1">#REF!</definedName>
    <definedName name="_ben30" localSheetId="2">#REF!</definedName>
    <definedName name="_ben30" localSheetId="3">#REF!</definedName>
    <definedName name="_ben30">#REF!</definedName>
    <definedName name="_BEN4" localSheetId="13">#REF!</definedName>
    <definedName name="_BEN4" localSheetId="21">#REF!</definedName>
    <definedName name="_BEN4" localSheetId="22">#REF!</definedName>
    <definedName name="_BEN4" localSheetId="5">#REF!</definedName>
    <definedName name="_BEN4" localSheetId="10">#REF!</definedName>
    <definedName name="_BEN4" localSheetId="4">#REF!</definedName>
    <definedName name="_BEN4" localSheetId="0">#REF!</definedName>
    <definedName name="_BEN4" localSheetId="7">#REF!</definedName>
    <definedName name="_BEN4" localSheetId="8">#REF!</definedName>
    <definedName name="_BEN4" localSheetId="6">#REF!</definedName>
    <definedName name="_BEN4" localSheetId="9">#REF!</definedName>
    <definedName name="_BEN4" localSheetId="19">#REF!</definedName>
    <definedName name="_BEN4" localSheetId="20">#REF!</definedName>
    <definedName name="_BEN4" localSheetId="12">#REF!</definedName>
    <definedName name="_BEN4" localSheetId="11">#REF!</definedName>
    <definedName name="_BEN4" localSheetId="1">#REF!</definedName>
    <definedName name="_BEN4" localSheetId="2">#REF!</definedName>
    <definedName name="_BEN4" localSheetId="3">#REF!</definedName>
    <definedName name="_BEN4">#REF!</definedName>
    <definedName name="_ben5" localSheetId="13">#REF!</definedName>
    <definedName name="_ben5" localSheetId="21">#REF!</definedName>
    <definedName name="_ben5" localSheetId="22">#REF!</definedName>
    <definedName name="_ben5" localSheetId="5">#REF!</definedName>
    <definedName name="_ben5" localSheetId="10">#REF!</definedName>
    <definedName name="_ben5" localSheetId="4">#REF!</definedName>
    <definedName name="_ben5" localSheetId="0">#REF!</definedName>
    <definedName name="_ben5" localSheetId="7">#REF!</definedName>
    <definedName name="_ben5" localSheetId="8">#REF!</definedName>
    <definedName name="_ben5" localSheetId="6">#REF!</definedName>
    <definedName name="_ben5" localSheetId="9">#REF!</definedName>
    <definedName name="_ben5" localSheetId="19">#REF!</definedName>
    <definedName name="_ben5" localSheetId="20">#REF!</definedName>
    <definedName name="_ben5" localSheetId="12">#REF!</definedName>
    <definedName name="_ben5" localSheetId="11">#REF!</definedName>
    <definedName name="_ben5" localSheetId="1">#REF!</definedName>
    <definedName name="_ben5" localSheetId="2">#REF!</definedName>
    <definedName name="_ben5" localSheetId="3">#REF!</definedName>
    <definedName name="_ben5">#REF!</definedName>
    <definedName name="_ben52" localSheetId="13">#REF!</definedName>
    <definedName name="_ben52" localSheetId="21">#REF!</definedName>
    <definedName name="_ben52" localSheetId="22">#REF!</definedName>
    <definedName name="_ben52" localSheetId="5">#REF!</definedName>
    <definedName name="_ben52" localSheetId="10">#REF!</definedName>
    <definedName name="_ben52" localSheetId="4">#REF!</definedName>
    <definedName name="_ben52" localSheetId="0">#REF!</definedName>
    <definedName name="_ben52" localSheetId="7">#REF!</definedName>
    <definedName name="_ben52" localSheetId="8">#REF!</definedName>
    <definedName name="_ben52" localSheetId="6">#REF!</definedName>
    <definedName name="_ben52" localSheetId="9">#REF!</definedName>
    <definedName name="_ben52" localSheetId="19">#REF!</definedName>
    <definedName name="_ben52" localSheetId="20">#REF!</definedName>
    <definedName name="_ben52" localSheetId="12">#REF!</definedName>
    <definedName name="_ben52" localSheetId="11">#REF!</definedName>
    <definedName name="_ben52" localSheetId="1">#REF!</definedName>
    <definedName name="_ben52" localSheetId="2">#REF!</definedName>
    <definedName name="_ben52" localSheetId="3">#REF!</definedName>
    <definedName name="_ben52">#REF!</definedName>
    <definedName name="_d2" localSheetId="13" hidden="1">{"NORMAL",#N/A,FALSE,"02"}</definedName>
    <definedName name="_d2" localSheetId="21" hidden="1">{"NORMAL",#N/A,FALSE,"02"}</definedName>
    <definedName name="_d2" localSheetId="22" hidden="1">{"NORMAL",#N/A,FALSE,"02"}</definedName>
    <definedName name="_d2" localSheetId="14" hidden="1">{"NORMAL",#N/A,FALSE,"02"}</definedName>
    <definedName name="_d2" localSheetId="17" hidden="1">{"NORMAL",#N/A,FALSE,"02"}</definedName>
    <definedName name="_d2" localSheetId="19" hidden="1">{"NORMAL",#N/A,FALSE,"02"}</definedName>
    <definedName name="_d2" localSheetId="20" hidden="1">{"NORMAL",#N/A,FALSE,"02"}</definedName>
    <definedName name="_d2" localSheetId="12" hidden="1">{"NORMAL",#N/A,FALSE,"02"}</definedName>
    <definedName name="_d2" localSheetId="11" hidden="1">{"NORMAL",#N/A,FALSE,"02"}</definedName>
    <definedName name="_d2" localSheetId="23" hidden="1">{"NORMAL",#N/A,FALSE,"02"}</definedName>
    <definedName name="_d2" hidden="1">{"NORMAL",#N/A,FALSE,"02"}</definedName>
    <definedName name="_f" localSheetId="13" hidden="1">{"DECIMAL",#N/A,FALSE,"02"}</definedName>
    <definedName name="_f" localSheetId="21" hidden="1">{"DECIMAL",#N/A,FALSE,"02"}</definedName>
    <definedName name="_f" localSheetId="22" hidden="1">{"DECIMAL",#N/A,FALSE,"02"}</definedName>
    <definedName name="_f" localSheetId="14" hidden="1">{"DECIMAL",#N/A,FALSE,"02"}</definedName>
    <definedName name="_f" localSheetId="17" hidden="1">{"DECIMAL",#N/A,FALSE,"02"}</definedName>
    <definedName name="_f" localSheetId="19" hidden="1">{"DECIMAL",#N/A,FALSE,"02"}</definedName>
    <definedName name="_f" localSheetId="20" hidden="1">{"DECIMAL",#N/A,FALSE,"02"}</definedName>
    <definedName name="_f" localSheetId="12" hidden="1">{"DECIMAL",#N/A,FALSE,"02"}</definedName>
    <definedName name="_f" localSheetId="11" hidden="1">{"DECIMAL",#N/A,FALSE,"02"}</definedName>
    <definedName name="_f" localSheetId="23" hidden="1">{"DECIMAL",#N/A,FALSE,"02"}</definedName>
    <definedName name="_f" hidden="1">{"DECIMAL",#N/A,FALSE,"02"}</definedName>
    <definedName name="_Fill" localSheetId="13" hidden="1">#REF!</definedName>
    <definedName name="_Fill" localSheetId="21" hidden="1">#REF!</definedName>
    <definedName name="_Fill" localSheetId="22" hidden="1">#REF!</definedName>
    <definedName name="_Fill" localSheetId="5" hidden="1">#REF!</definedName>
    <definedName name="_Fill" localSheetId="10" hidden="1">#REF!</definedName>
    <definedName name="_Fill" localSheetId="4" hidden="1">#REF!</definedName>
    <definedName name="_Fill" localSheetId="14" hidden="1">#REF!</definedName>
    <definedName name="_Fill" localSheetId="0" hidden="1">#REF!</definedName>
    <definedName name="_Fill" localSheetId="17" hidden="1">#REF!</definedName>
    <definedName name="_Fill" localSheetId="7" hidden="1">#REF!</definedName>
    <definedName name="_Fill" localSheetId="8" hidden="1">#REF!</definedName>
    <definedName name="_Fill" localSheetId="6" hidden="1">#REF!</definedName>
    <definedName name="_Fill" localSheetId="9" hidden="1">#REF!</definedName>
    <definedName name="_Fill" localSheetId="19" hidden="1">#REF!</definedName>
    <definedName name="_Fill" localSheetId="20" hidden="1">#REF!</definedName>
    <definedName name="_Fill" localSheetId="12" hidden="1">#REF!</definedName>
    <definedName name="_Fill" localSheetId="11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localSheetId="13" hidden="1">'01'!$A$8:$V$218</definedName>
    <definedName name="_xlnm._FilterDatabase" localSheetId="21" hidden="1">'01 (2)'!$D$1:$D$254</definedName>
    <definedName name="_xlnm._FilterDatabase" localSheetId="22" hidden="1">ADICIONALES!#REF!</definedName>
    <definedName name="_xlnm._FilterDatabase" localSheetId="4" hidden="1">Facturacion!$A$10:$AC$58</definedName>
    <definedName name="_xlnm._FilterDatabase" localSheetId="19" hidden="1">'Pto. 01 Cert.'!$B$9:$K$59</definedName>
    <definedName name="_xlnm._FilterDatabase" localSheetId="20" hidden="1">'Pto. 02 Cert.'!$B$9:$K$57</definedName>
    <definedName name="_xlnm._FilterDatabase" localSheetId="12" hidden="1">'Pto. Costos'!$B$9:$K$242</definedName>
    <definedName name="_xlnm._FilterDatabase" localSheetId="11" hidden="1">'Pto. Vta.'!$B$9:$L$240</definedName>
    <definedName name="_xlnm._FilterDatabase" localSheetId="23" hidden="1">'TC USD MEP'!$B$5:$C$6</definedName>
    <definedName name="_GoBack" localSheetId="13">'01'!#REF!</definedName>
    <definedName name="_GoBack" localSheetId="21">'01 (2)'!#REF!</definedName>
    <definedName name="_GoBack" localSheetId="22">ADICIONALES!#REF!</definedName>
    <definedName name="_GoBack" localSheetId="19">'Pto. 01 Cert.'!#REF!</definedName>
    <definedName name="_GoBack" localSheetId="20">'Pto. 02 Cert.'!#REF!</definedName>
    <definedName name="_GoBack" localSheetId="12">'Pto. Costos'!#REF!</definedName>
    <definedName name="_GoBack" localSheetId="11">'Pto. Vta.'!#REF!</definedName>
    <definedName name="_HJJ2" localSheetId="13">#REF!</definedName>
    <definedName name="_HJJ2" localSheetId="14">#REF!</definedName>
    <definedName name="_HJJ2" localSheetId="17">#REF!</definedName>
    <definedName name="_HJJ2" localSheetId="12">#REF!</definedName>
    <definedName name="_HJJ2" localSheetId="11">#REF!</definedName>
    <definedName name="_HJJ2">#REF!</definedName>
    <definedName name="_Key1" localSheetId="17" hidden="1">#REF!</definedName>
    <definedName name="_Key1" localSheetId="12" hidden="1">#REF!</definedName>
    <definedName name="_Key1" localSheetId="11" hidden="1">#REF!</definedName>
    <definedName name="_Key1" hidden="1">#REF!</definedName>
    <definedName name="_KH170" localSheetId="17">#REF!</definedName>
    <definedName name="_KH170" localSheetId="12">#REF!</definedName>
    <definedName name="_KH170" localSheetId="11">#REF!</definedName>
    <definedName name="_KH170">#REF!</definedName>
    <definedName name="_MatMult_A" localSheetId="13" hidden="1">#REF!</definedName>
    <definedName name="_MatMult_A" localSheetId="21" hidden="1">#REF!</definedName>
    <definedName name="_MatMult_A" localSheetId="22" hidden="1">#REF!</definedName>
    <definedName name="_MatMult_A" localSheetId="5" hidden="1">#REF!</definedName>
    <definedName name="_MatMult_A" localSheetId="10" hidden="1">#REF!</definedName>
    <definedName name="_MatMult_A" localSheetId="4" hidden="1">#REF!</definedName>
    <definedName name="_MatMult_A" localSheetId="14" hidden="1">#REF!</definedName>
    <definedName name="_MatMult_A" localSheetId="0" hidden="1">#REF!</definedName>
    <definedName name="_MatMult_A" localSheetId="7" hidden="1">#REF!</definedName>
    <definedName name="_MatMult_A" localSheetId="8" hidden="1">#REF!</definedName>
    <definedName name="_MatMult_A" localSheetId="6" hidden="1">#REF!</definedName>
    <definedName name="_MatMult_A" localSheetId="9" hidden="1">#REF!</definedName>
    <definedName name="_MatMult_A" localSheetId="19" hidden="1">#REF!</definedName>
    <definedName name="_MatMult_A" localSheetId="20" hidden="1">#REF!</definedName>
    <definedName name="_MatMult_A" localSheetId="12" hidden="1">#REF!</definedName>
    <definedName name="_MatMult_A" localSheetId="11" hidden="1">#REF!</definedName>
    <definedName name="_MatMult_A" localSheetId="1" hidden="1">#REF!</definedName>
    <definedName name="_MatMult_A" localSheetId="2" hidden="1">#REF!</definedName>
    <definedName name="_MatMult_A" localSheetId="3" hidden="1">#REF!</definedName>
    <definedName name="_MatMult_A" hidden="1">#REF!</definedName>
    <definedName name="_Order1">255</definedName>
    <definedName name="_Order2">255</definedName>
    <definedName name="_prc6" localSheetId="13">#REF!</definedName>
    <definedName name="_prc6" localSheetId="14">#REF!</definedName>
    <definedName name="_prc6" localSheetId="17">#REF!</definedName>
    <definedName name="_prc6" localSheetId="12">#REF!</definedName>
    <definedName name="_prc6" localSheetId="11">#REF!</definedName>
    <definedName name="_prc6">#REF!</definedName>
    <definedName name="_R" localSheetId="13">#REF!</definedName>
    <definedName name="_R" localSheetId="14">#REF!</definedName>
    <definedName name="_R" localSheetId="17">#REF!</definedName>
    <definedName name="_R" localSheetId="12">#REF!</definedName>
    <definedName name="_R" localSheetId="11">#REF!</definedName>
    <definedName name="_R">#REF!</definedName>
    <definedName name="_RAN1" localSheetId="13">#REF!</definedName>
    <definedName name="_RAN1" localSheetId="14">#REF!</definedName>
    <definedName name="_RAN1" localSheetId="17">#REF!</definedName>
    <definedName name="_RAN1" localSheetId="12">#REF!</definedName>
    <definedName name="_RAN1" localSheetId="11">#REF!</definedName>
    <definedName name="_RAN1">#REF!</definedName>
    <definedName name="_RAN2">#N/A</definedName>
    <definedName name="_RAN3" localSheetId="13">#REF!</definedName>
    <definedName name="_RAN3" localSheetId="14">#REF!</definedName>
    <definedName name="_RAN3" localSheetId="17">#REF!</definedName>
    <definedName name="_RAN3" localSheetId="12">#REF!</definedName>
    <definedName name="_RAN3" localSheetId="11">#REF!</definedName>
    <definedName name="_RAN3">#REF!</definedName>
    <definedName name="_Sort" localSheetId="13" hidden="1">#REF!</definedName>
    <definedName name="_Sort" localSheetId="14" hidden="1">#REF!</definedName>
    <definedName name="_Sort" localSheetId="17" hidden="1">#REF!</definedName>
    <definedName name="_Sort" localSheetId="12" hidden="1">#REF!</definedName>
    <definedName name="_Sort" localSheetId="11" hidden="1">#REF!</definedName>
    <definedName name="_Sort" hidden="1">#REF!</definedName>
    <definedName name="_to11" localSheetId="13">#REF!</definedName>
    <definedName name="_to11" localSheetId="14">#REF!</definedName>
    <definedName name="_to11" localSheetId="17">#REF!</definedName>
    <definedName name="_to11" localSheetId="12">#REF!</definedName>
    <definedName name="_to11" localSheetId="1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13">'01'!#REF!</definedName>
    <definedName name="_Toc502326724" localSheetId="21">'01 (2)'!#REF!</definedName>
    <definedName name="_Toc502326724" localSheetId="22">ADICIONALES!#REF!</definedName>
    <definedName name="_Toc502326724" localSheetId="19">'Pto. 01 Cert.'!#REF!</definedName>
    <definedName name="_Toc502326724" localSheetId="20">'Pto. 02 Cert.'!#REF!</definedName>
    <definedName name="_Toc502326724" localSheetId="12">'Pto. Costos'!#REF!</definedName>
    <definedName name="_Toc502326724" localSheetId="11">'Pto. Vta.'!#REF!</definedName>
    <definedName name="_Toc502326725" localSheetId="13">'01'!#REF!</definedName>
    <definedName name="_Toc502326725" localSheetId="21">'01 (2)'!#REF!</definedName>
    <definedName name="_Toc502326725" localSheetId="22">ADICIONALES!#REF!</definedName>
    <definedName name="_Toc502326725" localSheetId="19">'Pto. 01 Cert.'!#REF!</definedName>
    <definedName name="_Toc502326725" localSheetId="20">'Pto. 02 Cert.'!#REF!</definedName>
    <definedName name="_Toc502326725" localSheetId="12">'Pto. Costos'!#REF!</definedName>
    <definedName name="_Toc502326725" localSheetId="11">'Pto. Vta.'!#REF!</definedName>
    <definedName name="_Toc502326726" localSheetId="13">'01'!#REF!</definedName>
    <definedName name="_Toc502326726" localSheetId="21">'01 (2)'!#REF!</definedName>
    <definedName name="_Toc502326726" localSheetId="22">ADICIONALES!#REF!</definedName>
    <definedName name="_Toc502326726" localSheetId="19">'Pto. 01 Cert.'!#REF!</definedName>
    <definedName name="_Toc502326726" localSheetId="20">'Pto. 02 Cert.'!#REF!</definedName>
    <definedName name="_Toc502326726" localSheetId="12">'Pto. Costos'!#REF!</definedName>
    <definedName name="_Toc502326726" localSheetId="11">'Pto. Vta.'!#REF!</definedName>
    <definedName name="_tu3" localSheetId="13">#REF!</definedName>
    <definedName name="_tu3" localSheetId="21">#REF!</definedName>
    <definedName name="_tu3" localSheetId="22">#REF!</definedName>
    <definedName name="_tu3" localSheetId="5">#REF!</definedName>
    <definedName name="_tu3" localSheetId="10">#REF!</definedName>
    <definedName name="_tu3" localSheetId="4">#REF!</definedName>
    <definedName name="_tu3" localSheetId="0">#REF!</definedName>
    <definedName name="_tu3" localSheetId="7">#REF!</definedName>
    <definedName name="_tu3" localSheetId="8">#REF!</definedName>
    <definedName name="_tu3" localSheetId="6">#REF!</definedName>
    <definedName name="_tu3" localSheetId="9">#REF!</definedName>
    <definedName name="_tu3" localSheetId="19">#REF!</definedName>
    <definedName name="_tu3" localSheetId="20">#REF!</definedName>
    <definedName name="_tu3" localSheetId="12">#REF!</definedName>
    <definedName name="_tu3" localSheetId="11">#REF!</definedName>
    <definedName name="_tu3" localSheetId="1">#REF!</definedName>
    <definedName name="_tu3" localSheetId="2">#REF!</definedName>
    <definedName name="_tu3" localSheetId="3">#REF!</definedName>
    <definedName name="_tu3">#REF!</definedName>
    <definedName name="_VS2">#REF!</definedName>
    <definedName name="_VS3">#REF!</definedName>
    <definedName name="a" localSheetId="5">#REF!</definedName>
    <definedName name="a" localSheetId="10">#REF!</definedName>
    <definedName name="a" localSheetId="4">#REF!</definedName>
    <definedName name="a" localSheetId="0">#REF!</definedName>
    <definedName name="A" localSheetId="17">SUM(#REF!)</definedName>
    <definedName name="a" localSheetId="7">#REF!</definedName>
    <definedName name="a" localSheetId="8">#REF!</definedName>
    <definedName name="a" localSheetId="6">#REF!</definedName>
    <definedName name="a" localSheetId="9">#REF!</definedName>
    <definedName name="a" localSheetId="1">#REF!</definedName>
    <definedName name="a" localSheetId="2">#REF!</definedName>
    <definedName name="a" localSheetId="3">#REF!</definedName>
    <definedName name="a">#REF!</definedName>
    <definedName name="A.1" localSheetId="13">#REF!</definedName>
    <definedName name="A.1" localSheetId="14">#REF!</definedName>
    <definedName name="A.1" localSheetId="17">#REF!</definedName>
    <definedName name="A.1" localSheetId="12">#REF!</definedName>
    <definedName name="A.1" localSheetId="11">#REF!</definedName>
    <definedName name="A.1">#REF!</definedName>
    <definedName name="A.2" localSheetId="13">#REF!</definedName>
    <definedName name="A.2" localSheetId="14">#REF!</definedName>
    <definedName name="A.2" localSheetId="17">#REF!</definedName>
    <definedName name="A.2" localSheetId="12">#REF!</definedName>
    <definedName name="A.2" localSheetId="11">#REF!</definedName>
    <definedName name="A.2">#REF!</definedName>
    <definedName name="A_impresión_IM" localSheetId="13">#REF!</definedName>
    <definedName name="A_impresión_IM" localSheetId="21">#REF!</definedName>
    <definedName name="A_impresión_IM" localSheetId="22">#REF!</definedName>
    <definedName name="A_impresión_IM" localSheetId="5">#REF!</definedName>
    <definedName name="A_impresión_IM" localSheetId="10">#REF!</definedName>
    <definedName name="A_impresión_IM" localSheetId="4">#REF!</definedName>
    <definedName name="A_impresión_IM" localSheetId="0">#REF!</definedName>
    <definedName name="A_impresión_IM" localSheetId="17">#REF!</definedName>
    <definedName name="A_impresión_IM" localSheetId="7">#REF!</definedName>
    <definedName name="A_impresión_IM" localSheetId="8">#REF!</definedName>
    <definedName name="A_impresión_IM" localSheetId="6">#REF!</definedName>
    <definedName name="A_impresión_IM" localSheetId="9">#REF!</definedName>
    <definedName name="A_impresión_IM" localSheetId="19">#REF!</definedName>
    <definedName name="A_impresión_IM" localSheetId="20">#REF!</definedName>
    <definedName name="A_impresión_IM" localSheetId="12">#REF!</definedName>
    <definedName name="A_impresión_IM" localSheetId="11">#REF!</definedName>
    <definedName name="A_impresión_IM" localSheetId="1">#REF!</definedName>
    <definedName name="A_impresión_IM" localSheetId="2">#REF!</definedName>
    <definedName name="A_impresión_IM" localSheetId="3">#REF!</definedName>
    <definedName name="A_impresión_IM">#REF!</definedName>
    <definedName name="ABA15A" localSheetId="13">#REF!</definedName>
    <definedName name="ABA15A" localSheetId="14">#REF!</definedName>
    <definedName name="ABA15A" localSheetId="17">#REF!</definedName>
    <definedName name="ABA15A" localSheetId="12">#REF!</definedName>
    <definedName name="ABA15A" localSheetId="11">#REF!</definedName>
    <definedName name="ABA15A">#REF!</definedName>
    <definedName name="ABA15B" localSheetId="13">#REF!</definedName>
    <definedName name="ABA15B" localSheetId="14">#REF!</definedName>
    <definedName name="ABA15B" localSheetId="17">#REF!</definedName>
    <definedName name="ABA15B" localSheetId="12">#REF!</definedName>
    <definedName name="ABA15B" localSheetId="11">#REF!</definedName>
    <definedName name="ABA15B">#REF!</definedName>
    <definedName name="ABELSON" localSheetId="13">#REF!</definedName>
    <definedName name="ABELSON" localSheetId="17">#REF!</definedName>
    <definedName name="ABELSON" localSheetId="12">#REF!</definedName>
    <definedName name="ABELSON" localSheetId="11">#REF!</definedName>
    <definedName name="ABELSON">#REF!</definedName>
    <definedName name="abr.23" localSheetId="23">'[1]Indice CAC'!#REF!</definedName>
    <definedName name="abr.23">'Indice CAC'!#REF!</definedName>
    <definedName name="abr.24">'Indice CAC'!#REF!</definedName>
    <definedName name="abr.25">'Indice CAC'!$B$13</definedName>
    <definedName name="abril23" localSheetId="23">'[1]Indice CAC'!#REF!</definedName>
    <definedName name="abril23">'Indice CAC'!#REF!</definedName>
    <definedName name="abril24">'Indice CAC'!#REF!</definedName>
    <definedName name="acdul" localSheetId="13">#REF!</definedName>
    <definedName name="acdul" localSheetId="14">#REF!</definedName>
    <definedName name="acdul" localSheetId="17">#REF!</definedName>
    <definedName name="acdul" localSheetId="12">#REF!</definedName>
    <definedName name="acdul" localSheetId="11">#REF!</definedName>
    <definedName name="acdul">#REF!</definedName>
    <definedName name="Acero" localSheetId="13">#REF!</definedName>
    <definedName name="Acero" localSheetId="14">#REF!</definedName>
    <definedName name="Acero" localSheetId="17">#REF!</definedName>
    <definedName name="Acero" localSheetId="12">#REF!</definedName>
    <definedName name="Acero" localSheetId="11">#REF!</definedName>
    <definedName name="Acero">#REF!</definedName>
    <definedName name="acero1200" localSheetId="13">#REF!</definedName>
    <definedName name="acero1200" localSheetId="14">#REF!</definedName>
    <definedName name="acero1200" localSheetId="17">#REF!</definedName>
    <definedName name="acero1200" localSheetId="12">#REF!</definedName>
    <definedName name="acero1200" localSheetId="11">#REF!</definedName>
    <definedName name="acero1200">#REF!</definedName>
    <definedName name="acesp" localSheetId="13">#REF!</definedName>
    <definedName name="acesp" localSheetId="14">#REF!</definedName>
    <definedName name="acesp" localSheetId="17">#REF!</definedName>
    <definedName name="acesp" localSheetId="12">#REF!</definedName>
    <definedName name="acesp" localSheetId="11">#REF!</definedName>
    <definedName name="acesp">#REF!</definedName>
    <definedName name="acindec" localSheetId="13">#REF!</definedName>
    <definedName name="acindec" localSheetId="14">#REF!</definedName>
    <definedName name="acindec" localSheetId="17">#REF!</definedName>
    <definedName name="acindec" localSheetId="12">#REF!</definedName>
    <definedName name="acindec" localSheetId="11">#REF!</definedName>
    <definedName name="acindec">#REF!</definedName>
    <definedName name="aCLaccesoreadec" localSheetId="13">#REF!</definedName>
    <definedName name="aCLaccesoreadec" localSheetId="14">#REF!</definedName>
    <definedName name="aCLaccesoreadec" localSheetId="17">#REF!</definedName>
    <definedName name="aCLaccesoreadec" localSheetId="12">#REF!</definedName>
    <definedName name="aCLaccesoreadec" localSheetId="11">#REF!</definedName>
    <definedName name="aCLaccesoreadec">#REF!</definedName>
    <definedName name="aCLacondct" localSheetId="13">#REF!</definedName>
    <definedName name="aCLacondct" localSheetId="14">#REF!</definedName>
    <definedName name="aCLacondct" localSheetId="17">#REF!</definedName>
    <definedName name="aCLacondct" localSheetId="12">#REF!</definedName>
    <definedName name="aCLacondct" localSheetId="11">#REF!</definedName>
    <definedName name="aCLacondct">#REF!</definedName>
    <definedName name="aCLalcantarilla" localSheetId="13">#REF!</definedName>
    <definedName name="aCLalcantarilla" localSheetId="17">#REF!</definedName>
    <definedName name="aCLalcantarilla" localSheetId="12">#REF!</definedName>
    <definedName name="aCLalcantarilla" localSheetId="11">#REF!</definedName>
    <definedName name="aCLalcantarilla">#REF!</definedName>
    <definedName name="aCLalteo" localSheetId="13">#REF!</definedName>
    <definedName name="aCLalteo" localSheetId="14">#REF!</definedName>
    <definedName name="aCLalteo" localSheetId="17">#REF!</definedName>
    <definedName name="aCLalteo" localSheetId="12">#REF!</definedName>
    <definedName name="aCLalteo" localSheetId="11">#REF!</definedName>
    <definedName name="aCLalteo">#REF!</definedName>
    <definedName name="aCLalteoreadec" localSheetId="13">#REF!</definedName>
    <definedName name="aCLalteoreadec" localSheetId="14">#REF!</definedName>
    <definedName name="aCLalteoreadec" localSheetId="17">#REF!</definedName>
    <definedName name="aCLalteoreadec" localSheetId="12">#REF!</definedName>
    <definedName name="aCLalteoreadec" localSheetId="11">#REF!</definedName>
    <definedName name="aCLalteoreadec">#REF!</definedName>
    <definedName name="aclam" localSheetId="13">#REF!</definedName>
    <definedName name="aclam" localSheetId="14">#REF!</definedName>
    <definedName name="aclam" localSheetId="17">#REF!</definedName>
    <definedName name="aclam" localSheetId="12">#REF!</definedName>
    <definedName name="aclam" localSheetId="11">#REF!</definedName>
    <definedName name="aclam">#REF!</definedName>
    <definedName name="aCLApartido" localSheetId="13">#REF!</definedName>
    <definedName name="aCLApartido" localSheetId="17">#REF!</definedName>
    <definedName name="aCLApartido" localSheetId="12">#REF!</definedName>
    <definedName name="aCLApartido" localSheetId="11">#REF!</definedName>
    <definedName name="aCLApartido">#REF!</definedName>
    <definedName name="aCLapoyos" localSheetId="17">#REF!</definedName>
    <definedName name="aCLapoyos">#REF!</definedName>
    <definedName name="aCLbacheo" localSheetId="17">#REF!</definedName>
    <definedName name="aCLbacheo">#REF!</definedName>
    <definedName name="aCLbacheosan">#REF!</definedName>
    <definedName name="aCLbandason">#REF!</definedName>
    <definedName name="aCLbanquina">#REF!</definedName>
    <definedName name="aCLbaranda" localSheetId="13">#REF!</definedName>
    <definedName name="aCLbaranda" localSheetId="14">#REF!</definedName>
    <definedName name="aCLbaranda" localSheetId="17">#REF!</definedName>
    <definedName name="aCLbaranda" localSheetId="12">#REF!</definedName>
    <definedName name="aCLbaranda" localSheetId="11">#REF!</definedName>
    <definedName name="aCLbaranda">#REF!</definedName>
    <definedName name="aCLbase" localSheetId="13">#REF!</definedName>
    <definedName name="aCLbase" localSheetId="17">#REF!</definedName>
    <definedName name="aCLbase" localSheetId="12">#REF!</definedName>
    <definedName name="aCLbase" localSheetId="11">#REF!</definedName>
    <definedName name="aCLbase">#REF!</definedName>
    <definedName name="aCLcabezales" localSheetId="17">#REF!</definedName>
    <definedName name="aCLcabezales">#REF!</definedName>
    <definedName name="aCLcalzadas" localSheetId="17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 localSheetId="13">#REF!</definedName>
    <definedName name="aCLCCurareadec" localSheetId="14">#REF!</definedName>
    <definedName name="aCLCCurareadec" localSheetId="17">#REF!</definedName>
    <definedName name="aCLCCurareadec" localSheetId="12">#REF!</definedName>
    <definedName name="aCLCCurareadec" localSheetId="11">#REF!</definedName>
    <definedName name="aCLCCurareadec">#REF!</definedName>
    <definedName name="aCLciclovía" localSheetId="13">#REF!</definedName>
    <definedName name="aCLciclovía" localSheetId="17">#REF!</definedName>
    <definedName name="aCLciclovía" localSheetId="12">#REF!</definedName>
    <definedName name="aCLciclovía" localSheetId="11">#REF!</definedName>
    <definedName name="aCLciclovía">#REF!</definedName>
    <definedName name="aCLciclovíareadec" localSheetId="13">#REF!</definedName>
    <definedName name="aCLciclovíareadec" localSheetId="14">#REF!</definedName>
    <definedName name="aCLciclovíareadec" localSheetId="17">#REF!</definedName>
    <definedName name="aCLciclovíareadec" localSheetId="12">#REF!</definedName>
    <definedName name="aCLciclovíareadec" localSheetId="11">#REF!</definedName>
    <definedName name="aCLciclovíareadec">#REF!</definedName>
    <definedName name="aCLcolumnas" localSheetId="13">#REF!</definedName>
    <definedName name="aCLcolumnas" localSheetId="17">#REF!</definedName>
    <definedName name="aCLcolumnas" localSheetId="12">#REF!</definedName>
    <definedName name="aCLcolumnas" localSheetId="11">#REF!</definedName>
    <definedName name="aCLcolumnas">#REF!</definedName>
    <definedName name="aCLcortepasto" localSheetId="17">#REF!</definedName>
    <definedName name="aCLcortepasto">#REF!</definedName>
    <definedName name="aCLdemolicion" localSheetId="17">#REF!</definedName>
    <definedName name="aCLdemolicion">#REF!</definedName>
    <definedName name="aCLdesembanque">#REF!</definedName>
    <definedName name="aCLdren" localSheetId="13">#REF!</definedName>
    <definedName name="aCLdren" localSheetId="14">#REF!</definedName>
    <definedName name="aCLdren" localSheetId="17">#REF!</definedName>
    <definedName name="aCLdren" localSheetId="12">#REF!</definedName>
    <definedName name="aCLdren" localSheetId="11">#REF!</definedName>
    <definedName name="aCLdren">#REF!</definedName>
    <definedName name="aCLescarifbanq" localSheetId="13">#REF!</definedName>
    <definedName name="aCLescarifbanq" localSheetId="17">#REF!</definedName>
    <definedName name="aCLescarifbanq" localSheetId="12">#REF!</definedName>
    <definedName name="aCLescarifbanq" localSheetId="11">#REF!</definedName>
    <definedName name="aCLescarifbanq">#REF!</definedName>
    <definedName name="aCLescarificado" localSheetId="13">#REF!</definedName>
    <definedName name="aCLescarificado" localSheetId="14">#REF!</definedName>
    <definedName name="aCLescarificado" localSheetId="17">#REF!</definedName>
    <definedName name="aCLescarificado" localSheetId="12">#REF!</definedName>
    <definedName name="aCLescarificado" localSheetId="11">#REF!</definedName>
    <definedName name="aCLescarificado">#REF!</definedName>
    <definedName name="aCLestribos" localSheetId="13">#REF!</definedName>
    <definedName name="aCLestribos" localSheetId="17">#REF!</definedName>
    <definedName name="aCLestribos" localSheetId="12">#REF!</definedName>
    <definedName name="aCLestribos" localSheetId="11">#REF!</definedName>
    <definedName name="aCLestribos">#REF!</definedName>
    <definedName name="aCLexcavacion" localSheetId="17">#REF!</definedName>
    <definedName name="aCLexcavacion">#REF!</definedName>
    <definedName name="aCLexcavacionreadec" localSheetId="13">#REF!</definedName>
    <definedName name="aCLexcavacionreadec" localSheetId="14">#REF!</definedName>
    <definedName name="aCLexcavacionreadec" localSheetId="17">#REF!</definedName>
    <definedName name="aCLexcavacionreadec" localSheetId="12">#REF!</definedName>
    <definedName name="aCLexcavacionreadec" localSheetId="11">#REF!</definedName>
    <definedName name="aCLexcavacionreadec">#REF!</definedName>
    <definedName name="aCLgaviones" localSheetId="13">#REF!</definedName>
    <definedName name="aCLgaviones" localSheetId="14">#REF!</definedName>
    <definedName name="aCLgaviones" localSheetId="17">#REF!</definedName>
    <definedName name="aCLgaviones" localSheetId="12">#REF!</definedName>
    <definedName name="aCLgaviones" localSheetId="11">#REF!</definedName>
    <definedName name="aCLgaviones">#REF!</definedName>
    <definedName name="aCLhorC" localSheetId="13">#REF!</definedName>
    <definedName name="aCLhorC" localSheetId="17">#REF!</definedName>
    <definedName name="aCLhorC" localSheetId="12">#REF!</definedName>
    <definedName name="aCLhorC" localSheetId="11">#REF!</definedName>
    <definedName name="aCLhorC">#REF!</definedName>
    <definedName name="aCLhormigon" localSheetId="13">#REF!</definedName>
    <definedName name="aCLhormigon" localSheetId="14">#REF!</definedName>
    <definedName name="aCLhormigon" localSheetId="17">#REF!</definedName>
    <definedName name="aCLhormigon" localSheetId="12">#REF!</definedName>
    <definedName name="aCLhormigon" localSheetId="11">#REF!</definedName>
    <definedName name="aCLhormigon">#REF!</definedName>
    <definedName name="aCLimprimacion" localSheetId="13">#REF!</definedName>
    <definedName name="aCLimprimacion" localSheetId="14">#REF!</definedName>
    <definedName name="aCLimprimacion" localSheetId="17">#REF!</definedName>
    <definedName name="aCLimprimacion" localSheetId="12">#REF!</definedName>
    <definedName name="aCLimprimacion" localSheetId="11">#REF!</definedName>
    <definedName name="aCLimprimacion">#REF!</definedName>
    <definedName name="aCLimprimacionreadec" localSheetId="13">#REF!</definedName>
    <definedName name="aCLimprimacionreadec" localSheetId="14">#REF!</definedName>
    <definedName name="aCLimprimacionreadec" localSheetId="17">#REF!</definedName>
    <definedName name="aCLimprimacionreadec" localSheetId="12">#REF!</definedName>
    <definedName name="aCLimprimacionreadec" localSheetId="11">#REF!</definedName>
    <definedName name="aCLimprimacionreadec">#REF!</definedName>
    <definedName name="aCLimprimrefor" localSheetId="13">#REF!</definedName>
    <definedName name="aCLimprimrefor" localSheetId="17">#REF!</definedName>
    <definedName name="aCLimprimrefor" localSheetId="12">#REF!</definedName>
    <definedName name="aCLimprimrefor" localSheetId="11">#REF!</definedName>
    <definedName name="aCLimprimrefor">#REF!</definedName>
    <definedName name="aCLinvernal" localSheetId="17">#REF!</definedName>
    <definedName name="aCLinvernal">#REF!</definedName>
    <definedName name="aCLjunta" localSheetId="17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 localSheetId="13">#REF!</definedName>
    <definedName name="aCLlimptransp" localSheetId="14">#REF!</definedName>
    <definedName name="aCLlimptransp" localSheetId="17">#REF!</definedName>
    <definedName name="aCLlimptransp" localSheetId="12">#REF!</definedName>
    <definedName name="aCLlimptransp" localSheetId="11">#REF!</definedName>
    <definedName name="aCLlimptransp">#REF!</definedName>
    <definedName name="aCLlosa" localSheetId="13">#REF!</definedName>
    <definedName name="aCLlosa" localSheetId="17">#REF!</definedName>
    <definedName name="aCLlosa" localSheetId="12">#REF!</definedName>
    <definedName name="aCLlosa" localSheetId="11">#REF!</definedName>
    <definedName name="aCLlosa">#REF!</definedName>
    <definedName name="aCLmicroaglom" localSheetId="17">#REF!</definedName>
    <definedName name="aCLmicroaglom">#REF!</definedName>
    <definedName name="aCLmicroaglomreadec" localSheetId="17">#REF!</definedName>
    <definedName name="aCLmicroaglomreadec">#REF!</definedName>
    <definedName name="aCLmicroreadec" localSheetId="13">#REF!</definedName>
    <definedName name="aCLmicroreadec" localSheetId="14">#REF!</definedName>
    <definedName name="aCLmicroreadec" localSheetId="17">#REF!</definedName>
    <definedName name="aCLmicroreadec" localSheetId="12">#REF!</definedName>
    <definedName name="aCLmicroreadec" localSheetId="11">#REF!</definedName>
    <definedName name="aCLmicroreadec">#REF!</definedName>
    <definedName name="aCLmontaje" localSheetId="13">#REF!</definedName>
    <definedName name="aCLmontaje" localSheetId="17">#REF!</definedName>
    <definedName name="aCLmontaje" localSheetId="12">#REF!</definedName>
    <definedName name="aCLmontaje" localSheetId="11">#REF!</definedName>
    <definedName name="aCLmontaje">#REF!</definedName>
    <definedName name="aCLpasamano" localSheetId="17">#REF!</definedName>
    <definedName name="aCLpasamano">#REF!</definedName>
    <definedName name="aCLperfilado" localSheetId="13">#REF!</definedName>
    <definedName name="aCLperfilado" localSheetId="14">#REF!</definedName>
    <definedName name="aCLperfilado" localSheetId="17">#REF!</definedName>
    <definedName name="aCLperfilado" localSheetId="12">#REF!</definedName>
    <definedName name="aCLperfilado" localSheetId="11">#REF!</definedName>
    <definedName name="aCLperfilado">#REF!</definedName>
    <definedName name="aCLpilotes" localSheetId="13">#REF!</definedName>
    <definedName name="aCLpilotes" localSheetId="17">#REF!</definedName>
    <definedName name="aCLpilotes" localSheetId="12">#REF!</definedName>
    <definedName name="aCLpilotes" localSheetId="11">#REF!</definedName>
    <definedName name="aCLpilotes">#REF!</definedName>
    <definedName name="aCLpintado" localSheetId="17">#REF!</definedName>
    <definedName name="aCLpintado">#REF!</definedName>
    <definedName name="aCLpretiles" localSheetId="17">#REF!</definedName>
    <definedName name="aCLpretiles">#REF!</definedName>
    <definedName name="aCLpretilesreadec" localSheetId="13">#REF!</definedName>
    <definedName name="aCLpretilesreadec" localSheetId="14">#REF!</definedName>
    <definedName name="aCLpretilesreadec" localSheetId="17">#REF!</definedName>
    <definedName name="aCLpretilesreadec" localSheetId="12">#REF!</definedName>
    <definedName name="aCLpretilesreadec" localSheetId="11">#REF!</definedName>
    <definedName name="aCLpretilesreadec">#REF!</definedName>
    <definedName name="aCLprolongacion" localSheetId="13">#REF!</definedName>
    <definedName name="aCLprolongacion" localSheetId="17">#REF!</definedName>
    <definedName name="aCLprolongacion" localSheetId="12">#REF!</definedName>
    <definedName name="aCLprolongacion" localSheetId="11">#REF!</definedName>
    <definedName name="aCLprolongacion">#REF!</definedName>
    <definedName name="aCLproteccion" localSheetId="17">#REF!</definedName>
    <definedName name="aCLproteccion">#REF!</definedName>
    <definedName name="aCLrelleno" localSheetId="17">#REF!</definedName>
    <definedName name="aCLrelleno">#REF!</definedName>
    <definedName name="aCLrellenoreadec" localSheetId="13">#REF!</definedName>
    <definedName name="aCLrellenoreadec" localSheetId="14">#REF!</definedName>
    <definedName name="aCLrellenoreadec" localSheetId="17">#REF!</definedName>
    <definedName name="aCLrellenoreadec" localSheetId="12">#REF!</definedName>
    <definedName name="aCLrellenoreadec" localSheetId="11">#REF!</definedName>
    <definedName name="aCLrellenoreadec">#REF!</definedName>
    <definedName name="aCLrep8026" localSheetId="13">#REF!</definedName>
    <definedName name="aCLrep8026" localSheetId="17">#REF!</definedName>
    <definedName name="aCLrep8026" localSheetId="12">#REF!</definedName>
    <definedName name="aCLrep8026" localSheetId="11">#REF!</definedName>
    <definedName name="aCLrep8026">#REF!</definedName>
    <definedName name="aCLrep8026readec" localSheetId="13">#REF!</definedName>
    <definedName name="aCLrep8026readec" localSheetId="14">#REF!</definedName>
    <definedName name="aCLrep8026readec" localSheetId="17">#REF!</definedName>
    <definedName name="aCLrep8026readec" localSheetId="12">#REF!</definedName>
    <definedName name="aCLrep8026readec" localSheetId="11">#REF!</definedName>
    <definedName name="aCLrep8026readec">#REF!</definedName>
    <definedName name="aCLrepalc" localSheetId="13">#REF!</definedName>
    <definedName name="aCLrepalc" localSheetId="17">#REF!</definedName>
    <definedName name="aCLrepalc" localSheetId="12">#REF!</definedName>
    <definedName name="aCLrepalc" localSheetId="11">#REF!</definedName>
    <definedName name="aCLrepalc">#REF!</definedName>
    <definedName name="aCLrestdrenaje" localSheetId="13">#REF!</definedName>
    <definedName name="aCLrestdrenaje" localSheetId="14">#REF!</definedName>
    <definedName name="aCLrestdrenaje" localSheetId="17">#REF!</definedName>
    <definedName name="aCLrestdrenaje" localSheetId="12">#REF!</definedName>
    <definedName name="aCLrestdrenaje" localSheetId="11">#REF!</definedName>
    <definedName name="aCLrestdrenaje">#REF!</definedName>
    <definedName name="aCLretderrumbe" localSheetId="13">#REF!</definedName>
    <definedName name="aCLretderrumbe" localSheetId="14">#REF!</definedName>
    <definedName name="aCLretderrumbe" localSheetId="17">#REF!</definedName>
    <definedName name="aCLretderrumbe" localSheetId="12">#REF!</definedName>
    <definedName name="aCLretderrumbe" localSheetId="11">#REF!</definedName>
    <definedName name="aCLretderrumbe">#REF!</definedName>
    <definedName name="aCLretrecolbaranda" localSheetId="13">#REF!</definedName>
    <definedName name="aCLretrecolbaranda" localSheetId="14">#REF!</definedName>
    <definedName name="aCLretrecolbaranda" localSheetId="17">#REF!</definedName>
    <definedName name="aCLretrecolbaranda" localSheetId="12">#REF!</definedName>
    <definedName name="aCLretrecolbaranda" localSheetId="11">#REF!</definedName>
    <definedName name="aCLretrecolbaranda">#REF!</definedName>
    <definedName name="aCLRHermoso" localSheetId="13">#REF!</definedName>
    <definedName name="aCLRHermoso" localSheetId="17">#REF!</definedName>
    <definedName name="aCLRHermoso" localSheetId="12">#REF!</definedName>
    <definedName name="aCLRHermoso" localSheetId="11">#REF!</definedName>
    <definedName name="aCLRHermoso">#REF!</definedName>
    <definedName name="aCLRHermosoreadec" localSheetId="13">#REF!</definedName>
    <definedName name="aCLRHermosoreadec" localSheetId="14">#REF!</definedName>
    <definedName name="aCLRHermosoreadec" localSheetId="17">#REF!</definedName>
    <definedName name="aCLRHermosoreadec" localSheetId="12">#REF!</definedName>
    <definedName name="aCLRHermosoreadec" localSheetId="11">#REF!</definedName>
    <definedName name="aCLRHermosoreadec">#REF!</definedName>
    <definedName name="aCLriego" localSheetId="13">#REF!</definedName>
    <definedName name="aCLriego" localSheetId="17">#REF!</definedName>
    <definedName name="aCLriego" localSheetId="12">#REF!</definedName>
    <definedName name="aCLriego" localSheetId="11">#REF!</definedName>
    <definedName name="aCLriego">#REF!</definedName>
    <definedName name="aCLrotondas" localSheetId="17">#REF!</definedName>
    <definedName name="aCLrotondas">#REF!</definedName>
    <definedName name="aCLsandef" localSheetId="13">#REF!</definedName>
    <definedName name="aCLsandef" localSheetId="14">#REF!</definedName>
    <definedName name="aCLsandef" localSheetId="17">#REF!</definedName>
    <definedName name="aCLsandef" localSheetId="12">#REF!</definedName>
    <definedName name="aCLsandef" localSheetId="11">#REF!</definedName>
    <definedName name="aCLsandef">#REF!</definedName>
    <definedName name="aCLsellado" localSheetId="13">#REF!</definedName>
    <definedName name="aCLsellado" localSheetId="17">#REF!</definedName>
    <definedName name="aCLsellado" localSheetId="12">#REF!</definedName>
    <definedName name="aCLsellado" localSheetId="11">#REF!</definedName>
    <definedName name="aCLsellado">#REF!</definedName>
    <definedName name="aCLsenda" localSheetId="17">#REF!</definedName>
    <definedName name="aCLsenda">#REF!</definedName>
    <definedName name="aCLsendareadec" localSheetId="13">#REF!</definedName>
    <definedName name="aCLsendareadec" localSheetId="14">#REF!</definedName>
    <definedName name="aCLsendareadec" localSheetId="17">#REF!</definedName>
    <definedName name="aCLsendareadec" localSheetId="12">#REF!</definedName>
    <definedName name="aCLsendareadec" localSheetId="11">#REF!</definedName>
    <definedName name="aCLsendareadec">#REF!</definedName>
    <definedName name="aCLseñalamiento" localSheetId="13">#REF!</definedName>
    <definedName name="aCLseñalamiento" localSheetId="17">#REF!</definedName>
    <definedName name="aCLseñalamiento" localSheetId="12">#REF!</definedName>
    <definedName name="aCLseñalamiento" localSheetId="11">#REF!</definedName>
    <definedName name="aCLseñalamiento">#REF!</definedName>
    <definedName name="aCLseñalextrusion" localSheetId="17">#REF!</definedName>
    <definedName name="aCLseñalextrusion">#REF!</definedName>
    <definedName name="aCLseñalizacion" localSheetId="17">#REF!</definedName>
    <definedName name="aCLseñalizacion">#REF!</definedName>
    <definedName name="aCLseñalvertreadec" localSheetId="13">#REF!</definedName>
    <definedName name="aCLseñalvertreadec" localSheetId="14">#REF!</definedName>
    <definedName name="aCLseñalvertreadec" localSheetId="17">#REF!</definedName>
    <definedName name="aCLseñalvertreadec" localSheetId="12">#REF!</definedName>
    <definedName name="aCLseñalvertreadec" localSheetId="11">#REF!</definedName>
    <definedName name="aCLseñalvertreadec">#REF!</definedName>
    <definedName name="aCLsistdren1071" localSheetId="13">#REF!</definedName>
    <definedName name="aCLsistdren1071" localSheetId="17">#REF!</definedName>
    <definedName name="aCLsistdren1071" localSheetId="12">#REF!</definedName>
    <definedName name="aCLsistdren1071" localSheetId="11">#REF!</definedName>
    <definedName name="aCLsistdren1071">#REF!</definedName>
    <definedName name="aCLsubbase" localSheetId="17">#REF!</definedName>
    <definedName name="aCLsubbase">#REF!</definedName>
    <definedName name="aCLterraplen" localSheetId="13">#REF!</definedName>
    <definedName name="aCLterraplen" localSheetId="14">#REF!</definedName>
    <definedName name="aCLterraplen" localSheetId="17">#REF!</definedName>
    <definedName name="aCLterraplen" localSheetId="12">#REF!</definedName>
    <definedName name="aCLterraplen" localSheetId="11">#REF!</definedName>
    <definedName name="aCLterraplen">#REF!</definedName>
    <definedName name="aCLterrapreadec" localSheetId="13">#REF!</definedName>
    <definedName name="aCLterrapreadec" localSheetId="14">#REF!</definedName>
    <definedName name="aCLterrapreadec" localSheetId="17">#REF!</definedName>
    <definedName name="aCLterrapreadec" localSheetId="12">#REF!</definedName>
    <definedName name="aCLterrapreadec" localSheetId="11">#REF!</definedName>
    <definedName name="aCLterrapreadec">#REF!</definedName>
    <definedName name="aCLterrsincomp" localSheetId="13">#REF!</definedName>
    <definedName name="aCLterrsincomp" localSheetId="17">#REF!</definedName>
    <definedName name="aCLterrsincomp" localSheetId="12">#REF!</definedName>
    <definedName name="aCLterrsincomp" localSheetId="11">#REF!</definedName>
    <definedName name="aCLterrsincomp">#REF!</definedName>
    <definedName name="aCLtravesia" localSheetId="17">#REF!</definedName>
    <definedName name="aCLtravesia">#REF!</definedName>
    <definedName name="aCLvigas" localSheetId="17">#REF!</definedName>
    <definedName name="aCLvigas">#REF!</definedName>
    <definedName name="ACTUAL">#REF!</definedName>
    <definedName name="ACUEDUCTO_A_LOS_FRENTONES_Y_H._CAMPO" localSheetId="13">#REF!</definedName>
    <definedName name="ACUEDUCTO_A_LOS_FRENTONES_Y_H._CAMPO" localSheetId="17">#REF!</definedName>
    <definedName name="ACUEDUCTO_A_LOS_FRENTONES_Y_H._CAMPO" localSheetId="12">#REF!</definedName>
    <definedName name="ACUEDUCTO_A_LOS_FRENTONES_Y_H._CAMPO" localSheetId="11">#REF!</definedName>
    <definedName name="ACUEDUCTO_A_LOS_FRENTONES_Y_H._CAMPO">#REF!</definedName>
    <definedName name="ACUEDUCTO_A_PAMPA_DEL_INDIO" localSheetId="17">#REF!</definedName>
    <definedName name="ACUEDUCTO_A_PAMPA_DEL_INDIO">#REF!</definedName>
    <definedName name="ACUEDUCTO_A_S._SYLVINA_Y_v._BERTHET" localSheetId="17">#REF!</definedName>
    <definedName name="ACUEDUCTO_A_S._SYLVINA_Y_v._BERTHET">#REF!</definedName>
    <definedName name="ACUMULADA">#REF!</definedName>
    <definedName name="ACUMULADO" localSheetId="13">#REF!</definedName>
    <definedName name="ACUMULADO" localSheetId="14">#REF!</definedName>
    <definedName name="ACUMULADO" localSheetId="17">#REF!</definedName>
    <definedName name="ACUMULADO" localSheetId="12">#REF!</definedName>
    <definedName name="ACUMULADO" localSheetId="11">#REF!</definedName>
    <definedName name="ACUMULADO">#REF!</definedName>
    <definedName name="Adecuación" localSheetId="13">L2C1:L372C15</definedName>
    <definedName name="Adecuación" localSheetId="21">L2C1:L372C15</definedName>
    <definedName name="Adecuación" localSheetId="22">L2C1:L372C15</definedName>
    <definedName name="Adecuación" localSheetId="16">L2C1:L372C15</definedName>
    <definedName name="Adecuación" localSheetId="14">L2C1:L372C15</definedName>
    <definedName name="Adecuación" localSheetId="17">L2C1:L372C15</definedName>
    <definedName name="Adecuación" localSheetId="7">L2C1:L372C15</definedName>
    <definedName name="Adecuación" localSheetId="8">L2C1:L372C15</definedName>
    <definedName name="Adecuación" localSheetId="9">L2C1:L372C15</definedName>
    <definedName name="Adecuación" localSheetId="19">L2C1:L372C15</definedName>
    <definedName name="Adecuación" localSheetId="20">L2C1:L372C15</definedName>
    <definedName name="Adecuación" localSheetId="12">L2C1:L372C15</definedName>
    <definedName name="Adecuación" localSheetId="11">L2C1:L372C15</definedName>
    <definedName name="Adecuación" localSheetId="2">L2C1:L372C15</definedName>
    <definedName name="Adecuación" localSheetId="3">L2C1:L372C15</definedName>
    <definedName name="Adecuación" localSheetId="23">L2C1:L372C15</definedName>
    <definedName name="Adecuación">L2C1:L372C15</definedName>
    <definedName name="ADICT" localSheetId="13">#REF!</definedName>
    <definedName name="ADICT" localSheetId="14">#REF!</definedName>
    <definedName name="ADICT" localSheetId="17">#REF!</definedName>
    <definedName name="ADICT" localSheetId="12">#REF!</definedName>
    <definedName name="ADICT" localSheetId="11">#REF!</definedName>
    <definedName name="ADICT">#REF!</definedName>
    <definedName name="ADICT1" localSheetId="17">#REF!</definedName>
    <definedName name="ADICT1" localSheetId="12">#REF!</definedName>
    <definedName name="ADICT1" localSheetId="11">#REF!</definedName>
    <definedName name="ADICT1">#REF!</definedName>
    <definedName name="aeir" localSheetId="13">#REF!</definedName>
    <definedName name="aeir" localSheetId="14">#REF!</definedName>
    <definedName name="aeir" localSheetId="17">#REF!</definedName>
    <definedName name="aeir" localSheetId="12">#REF!</definedName>
    <definedName name="aeir" localSheetId="11">#REF!</definedName>
    <definedName name="aeir">#REF!</definedName>
    <definedName name="ago.22" localSheetId="23">'[1]Indice CAC'!#REF!</definedName>
    <definedName name="ago.22">'Indice CAC'!#REF!</definedName>
    <definedName name="ago.23" localSheetId="23">'[1]Indice CAC'!#REF!</definedName>
    <definedName name="ago.23">'Indice CAC'!#REF!</definedName>
    <definedName name="ago.24">'Indice CAC'!#REF!</definedName>
    <definedName name="agos22" localSheetId="23">'[1]Indice CAC'!#REF!</definedName>
    <definedName name="agos22">'Indice CAC'!#REF!</definedName>
    <definedName name="agos23" localSheetId="23">'[1]Indice CAC'!#REF!</definedName>
    <definedName name="agos23">'Indice CAC'!#REF!</definedName>
    <definedName name="agos24">'Indice CAC'!#REF!</definedName>
    <definedName name="AIML" localSheetId="13">#REF!</definedName>
    <definedName name="AIML" localSheetId="10">#REF!</definedName>
    <definedName name="AIML" localSheetId="4">#REF!</definedName>
    <definedName name="AIML" localSheetId="14">#REF!</definedName>
    <definedName name="AIML" localSheetId="0">#REF!</definedName>
    <definedName name="AIML" localSheetId="17">#REF!</definedName>
    <definedName name="AIML" localSheetId="12">#REF!</definedName>
    <definedName name="AIML" localSheetId="11">#REF!</definedName>
    <definedName name="AIML">#REF!</definedName>
    <definedName name="AISS" localSheetId="13">#REF!</definedName>
    <definedName name="AISS" localSheetId="4">#REF!</definedName>
    <definedName name="AISS" localSheetId="14">#REF!</definedName>
    <definedName name="AISS" localSheetId="0">#REF!</definedName>
    <definedName name="AISS" localSheetId="17">#REF!</definedName>
    <definedName name="AISS" localSheetId="12">#REF!</definedName>
    <definedName name="AISS" localSheetId="11">#REF!</definedName>
    <definedName name="AISS">#REF!</definedName>
    <definedName name="ALFA" localSheetId="13">#REF!</definedName>
    <definedName name="ALFA" localSheetId="17">#REF!</definedName>
    <definedName name="ALFA" localSheetId="12">#REF!</definedName>
    <definedName name="ALFA" localSheetId="11">#REF!</definedName>
    <definedName name="ALFA">#REF!</definedName>
    <definedName name="alfa_s" localSheetId="13">#REF!</definedName>
    <definedName name="alfa_s" localSheetId="14">#REF!</definedName>
    <definedName name="alfa_s" localSheetId="17">#REF!</definedName>
    <definedName name="alfa_s" localSheetId="12">#REF!</definedName>
    <definedName name="alfa_s" localSheetId="11">#REF!</definedName>
    <definedName name="alfa_s">#REF!</definedName>
    <definedName name="alfa_s_c" localSheetId="13">#REF!</definedName>
    <definedName name="alfa_s_c" localSheetId="14">#REF!</definedName>
    <definedName name="alfa_s_c" localSheetId="17">#REF!</definedName>
    <definedName name="alfa_s_c" localSheetId="12">#REF!</definedName>
    <definedName name="alfa_s_c" localSheetId="11">#REF!</definedName>
    <definedName name="alfa_s_c">#REF!</definedName>
    <definedName name="ALTR" localSheetId="13">#REF!</definedName>
    <definedName name="ALTR" localSheetId="14">#REF!</definedName>
    <definedName name="ALTR" localSheetId="0">#REF!</definedName>
    <definedName name="ALTR" localSheetId="17">#REF!</definedName>
    <definedName name="ALTR" localSheetId="12">#REF!</definedName>
    <definedName name="ALTR" localSheetId="11">#REF!</definedName>
    <definedName name="ALTR">#REF!</definedName>
    <definedName name="am1cañodren" localSheetId="13">#REF!</definedName>
    <definedName name="am1cañodren" localSheetId="17">#REF!</definedName>
    <definedName name="am1cañodren" localSheetId="12">#REF!</definedName>
    <definedName name="am1cañodren" localSheetId="11">#REF!</definedName>
    <definedName name="am1cañodren">#REF!</definedName>
    <definedName name="am1cemento" localSheetId="17">#REF!</definedName>
    <definedName name="am1cemento">#REF!</definedName>
    <definedName name="am1hierro" localSheetId="17">#REF!</definedName>
    <definedName name="am1hierro">#REF!</definedName>
    <definedName name="aMacceso">#REF!</definedName>
    <definedName name="aMaccesoreadec" localSheetId="13">#REF!</definedName>
    <definedName name="aMaccesoreadec" localSheetId="14">#REF!</definedName>
    <definedName name="aMaccesoreadec" localSheetId="17">#REF!</definedName>
    <definedName name="aMaccesoreadec" localSheetId="12">#REF!</definedName>
    <definedName name="aMaccesoreadec" localSheetId="11">#REF!</definedName>
    <definedName name="aMaccesoreadec">#REF!</definedName>
    <definedName name="aMacondct" localSheetId="13">#REF!</definedName>
    <definedName name="aMacondct" localSheetId="14">#REF!</definedName>
    <definedName name="aMacondct" localSheetId="17">#REF!</definedName>
    <definedName name="aMacondct" localSheetId="12">#REF!</definedName>
    <definedName name="aMacondct" localSheetId="11">#REF!</definedName>
    <definedName name="aMacondct">#REF!</definedName>
    <definedName name="aMalcantarilla" localSheetId="13">#REF!</definedName>
    <definedName name="aMalcantarilla" localSheetId="14">#REF!</definedName>
    <definedName name="aMalcantarilla" localSheetId="17">#REF!</definedName>
    <definedName name="aMalcantarilla" localSheetId="12">#REF!</definedName>
    <definedName name="aMalcantarilla" localSheetId="11">#REF!</definedName>
    <definedName name="aMalcantarilla">#REF!</definedName>
    <definedName name="aMalteo" localSheetId="13">#REF!</definedName>
    <definedName name="aMalteo" localSheetId="14">#REF!</definedName>
    <definedName name="aMalteo" localSheetId="17">#REF!</definedName>
    <definedName name="aMalteo" localSheetId="12">#REF!</definedName>
    <definedName name="aMalteo" localSheetId="11">#REF!</definedName>
    <definedName name="aMalteo">#REF!</definedName>
    <definedName name="aMalteoreadec" localSheetId="13">#REF!</definedName>
    <definedName name="aMalteoreadec" localSheetId="14">#REF!</definedName>
    <definedName name="aMalteoreadec" localSheetId="17">#REF!</definedName>
    <definedName name="aMalteoreadec" localSheetId="12">#REF!</definedName>
    <definedName name="aMalteoreadec" localSheetId="11">#REF!</definedName>
    <definedName name="aMalteoreadec">#REF!</definedName>
    <definedName name="aMApartido" localSheetId="13">#REF!</definedName>
    <definedName name="aMApartido" localSheetId="17">#REF!</definedName>
    <definedName name="aMApartido" localSheetId="12">#REF!</definedName>
    <definedName name="aMApartido" localSheetId="11">#REF!</definedName>
    <definedName name="aMApartido">#REF!</definedName>
    <definedName name="aMapoyos" localSheetId="17">#REF!</definedName>
    <definedName name="aMapoyos">#REF!</definedName>
    <definedName name="aMbacheo" localSheetId="17">#REF!</definedName>
    <definedName name="aMbacheo">#REF!</definedName>
    <definedName name="aMbacheosan">#REF!</definedName>
    <definedName name="aMbandason">#REF!</definedName>
    <definedName name="aMbanquina">#REF!</definedName>
    <definedName name="aMbaranda" localSheetId="13">#REF!</definedName>
    <definedName name="aMbaranda" localSheetId="14">#REF!</definedName>
    <definedName name="aMbaranda" localSheetId="17">#REF!</definedName>
    <definedName name="aMbaranda" localSheetId="12">#REF!</definedName>
    <definedName name="aMbaranda" localSheetId="11">#REF!</definedName>
    <definedName name="aMbaranda">#REF!</definedName>
    <definedName name="aMbase" localSheetId="13">#REF!</definedName>
    <definedName name="aMbase" localSheetId="17">#REF!</definedName>
    <definedName name="aMbase" localSheetId="12">#REF!</definedName>
    <definedName name="aMbase" localSheetId="11">#REF!</definedName>
    <definedName name="aMbase">#REF!</definedName>
    <definedName name="aMcabezales" localSheetId="17">#REF!</definedName>
    <definedName name="aMcabezales">#REF!</definedName>
    <definedName name="aMcalzadas" localSheetId="17">#REF!</definedName>
    <definedName name="aMcalzadas">#REF!</definedName>
    <definedName name="aMcarpeta">#REF!</definedName>
    <definedName name="aMcarpetariego">#REF!</definedName>
    <definedName name="aMCCura">#REF!</definedName>
    <definedName name="aMCCurareadec" localSheetId="13">#REF!</definedName>
    <definedName name="aMCCurareadec" localSheetId="14">#REF!</definedName>
    <definedName name="aMCCurareadec" localSheetId="17">#REF!</definedName>
    <definedName name="aMCCurareadec" localSheetId="12">#REF!</definedName>
    <definedName name="aMCCurareadec" localSheetId="11">#REF!</definedName>
    <definedName name="aMCCurareadec">#REF!</definedName>
    <definedName name="aMciclovía" localSheetId="13">#REF!</definedName>
    <definedName name="aMciclovía" localSheetId="17">#REF!</definedName>
    <definedName name="aMciclovía" localSheetId="12">#REF!</definedName>
    <definedName name="aMciclovía" localSheetId="11">#REF!</definedName>
    <definedName name="aMciclovía">#REF!</definedName>
    <definedName name="aMciclovíareadec" localSheetId="13">#REF!</definedName>
    <definedName name="aMciclovíareadec" localSheetId="14">#REF!</definedName>
    <definedName name="aMciclovíareadec" localSheetId="17">#REF!</definedName>
    <definedName name="aMciclovíareadec" localSheetId="12">#REF!</definedName>
    <definedName name="aMciclovíareadec" localSheetId="11">#REF!</definedName>
    <definedName name="aMciclovíareadec">#REF!</definedName>
    <definedName name="aMcolumnas" localSheetId="13">#REF!</definedName>
    <definedName name="aMcolumnas" localSheetId="17">#REF!</definedName>
    <definedName name="aMcolumnas" localSheetId="12">#REF!</definedName>
    <definedName name="aMcolumnas" localSheetId="11">#REF!</definedName>
    <definedName name="aMcolumnas">#REF!</definedName>
    <definedName name="aMcortepasto" localSheetId="17">#REF!</definedName>
    <definedName name="aMcortepasto">#REF!</definedName>
    <definedName name="aMdemolicion" localSheetId="17">#REF!</definedName>
    <definedName name="aMdemolicion">#REF!</definedName>
    <definedName name="aMdesembanque">#REF!</definedName>
    <definedName name="aMdren" localSheetId="13">#REF!</definedName>
    <definedName name="aMdren" localSheetId="14">#REF!</definedName>
    <definedName name="aMdren" localSheetId="17">#REF!</definedName>
    <definedName name="aMdren" localSheetId="12">#REF!</definedName>
    <definedName name="aMdren" localSheetId="11">#REF!</definedName>
    <definedName name="aMdren">#REF!</definedName>
    <definedName name="AMEA" localSheetId="13">#REF!</definedName>
    <definedName name="AMEA" localSheetId="14">#REF!</definedName>
    <definedName name="AMEA" localSheetId="0">#REF!</definedName>
    <definedName name="AMEA" localSheetId="17">#REF!</definedName>
    <definedName name="AMEA" localSheetId="12">#REF!</definedName>
    <definedName name="AMEA" localSheetId="11">#REF!</definedName>
    <definedName name="AMEA">#REF!</definedName>
    <definedName name="aMEacceso" localSheetId="13">#REF!</definedName>
    <definedName name="aMEacceso" localSheetId="17">#REF!</definedName>
    <definedName name="aMEacceso" localSheetId="12">#REF!</definedName>
    <definedName name="aMEacceso" localSheetId="11">#REF!</definedName>
    <definedName name="aMEacceso">#REF!</definedName>
    <definedName name="aMEaccesoreadec" localSheetId="13">#REF!</definedName>
    <definedName name="aMEaccesoreadec" localSheetId="14">#REF!</definedName>
    <definedName name="aMEaccesoreadec" localSheetId="17">#REF!</definedName>
    <definedName name="aMEaccesoreadec" localSheetId="12">#REF!</definedName>
    <definedName name="aMEaccesoreadec" localSheetId="11">#REF!</definedName>
    <definedName name="aMEaccesoreadec">#REF!</definedName>
    <definedName name="aMEacondct" localSheetId="13">#REF!</definedName>
    <definedName name="aMEacondct" localSheetId="14">#REF!</definedName>
    <definedName name="aMEacondct" localSheetId="17">#REF!</definedName>
    <definedName name="aMEacondct" localSheetId="12">#REF!</definedName>
    <definedName name="aMEacondct" localSheetId="11">#REF!</definedName>
    <definedName name="aMEacondct">#REF!</definedName>
    <definedName name="aMEalcantarilla" localSheetId="13">#REF!</definedName>
    <definedName name="aMEalcantarilla" localSheetId="17">#REF!</definedName>
    <definedName name="aMEalcantarilla" localSheetId="12">#REF!</definedName>
    <definedName name="aMEalcantarilla" localSheetId="11">#REF!</definedName>
    <definedName name="aMEalcantarilla">#REF!</definedName>
    <definedName name="aMEalteo" localSheetId="13">#REF!</definedName>
    <definedName name="aMEalteo" localSheetId="14">#REF!</definedName>
    <definedName name="aMEalteo" localSheetId="17">#REF!</definedName>
    <definedName name="aMEalteo" localSheetId="12">#REF!</definedName>
    <definedName name="aMEalteo" localSheetId="11">#REF!</definedName>
    <definedName name="aMEalteo">#REF!</definedName>
    <definedName name="aMEalteoreadec" localSheetId="13">#REF!</definedName>
    <definedName name="aMEalteoreadec" localSheetId="14">#REF!</definedName>
    <definedName name="aMEalteoreadec" localSheetId="17">#REF!</definedName>
    <definedName name="aMEalteoreadec" localSheetId="12">#REF!</definedName>
    <definedName name="aMEalteoreadec" localSheetId="11">#REF!</definedName>
    <definedName name="aMEalteoreadec">#REF!</definedName>
    <definedName name="aMEApartido" localSheetId="13">#REF!</definedName>
    <definedName name="aMEApartido" localSheetId="17">#REF!</definedName>
    <definedName name="aMEApartido" localSheetId="12">#REF!</definedName>
    <definedName name="aMEApartido" localSheetId="11">#REF!</definedName>
    <definedName name="aMEApartido">#REF!</definedName>
    <definedName name="aMEapoyos" localSheetId="17">#REF!</definedName>
    <definedName name="aMEapoyos">#REF!</definedName>
    <definedName name="aMEbacheo" localSheetId="17">#REF!</definedName>
    <definedName name="aMEbacheo">#REF!</definedName>
    <definedName name="aMEbacheosan">#REF!</definedName>
    <definedName name="aMEbandason">#REF!</definedName>
    <definedName name="aMEbanquina">#REF!</definedName>
    <definedName name="aMEbaranda" localSheetId="13">#REF!</definedName>
    <definedName name="aMEbaranda" localSheetId="14">#REF!</definedName>
    <definedName name="aMEbaranda" localSheetId="17">#REF!</definedName>
    <definedName name="aMEbaranda" localSheetId="12">#REF!</definedName>
    <definedName name="aMEbaranda" localSheetId="11">#REF!</definedName>
    <definedName name="aMEbaranda">#REF!</definedName>
    <definedName name="AMEC" localSheetId="13">#REF!</definedName>
    <definedName name="AMEC" localSheetId="14">#REF!</definedName>
    <definedName name="AMEC" localSheetId="0">#REF!</definedName>
    <definedName name="AMEC" localSheetId="17">#REF!</definedName>
    <definedName name="AMEC" localSheetId="12">#REF!</definedName>
    <definedName name="AMEC" localSheetId="11">#REF!</definedName>
    <definedName name="AMEC">#REF!</definedName>
    <definedName name="aMEcabezales" localSheetId="13">#REF!</definedName>
    <definedName name="aMEcabezales" localSheetId="17">#REF!</definedName>
    <definedName name="aMEcabezales" localSheetId="12">#REF!</definedName>
    <definedName name="aMEcabezales" localSheetId="11">#REF!</definedName>
    <definedName name="aMEcabezales">#REF!</definedName>
    <definedName name="aMEcalzadas" localSheetId="17">#REF!</definedName>
    <definedName name="aMEcalzadas">#REF!</definedName>
    <definedName name="aMEcarpeta" localSheetId="17">#REF!</definedName>
    <definedName name="aMEcarpeta">#REF!</definedName>
    <definedName name="aMEcarpetariego">#REF!</definedName>
    <definedName name="aMECCura">#REF!</definedName>
    <definedName name="aMECCurareadec" localSheetId="13">#REF!</definedName>
    <definedName name="aMECCurareadec" localSheetId="14">#REF!</definedName>
    <definedName name="aMECCurareadec" localSheetId="17">#REF!</definedName>
    <definedName name="aMECCurareadec" localSheetId="12">#REF!</definedName>
    <definedName name="aMECCurareadec" localSheetId="11">#REF!</definedName>
    <definedName name="aMECCurareadec">#REF!</definedName>
    <definedName name="aMEciclovía" localSheetId="13">#REF!</definedName>
    <definedName name="aMEciclovía" localSheetId="17">#REF!</definedName>
    <definedName name="aMEciclovía" localSheetId="12">#REF!</definedName>
    <definedName name="aMEciclovía" localSheetId="11">#REF!</definedName>
    <definedName name="aMEciclovía">#REF!</definedName>
    <definedName name="aMEciclovíareadec" localSheetId="13">#REF!</definedName>
    <definedName name="aMEciclovíareadec" localSheetId="14">#REF!</definedName>
    <definedName name="aMEciclovíareadec" localSheetId="17">#REF!</definedName>
    <definedName name="aMEciclovíareadec" localSheetId="12">#REF!</definedName>
    <definedName name="aMEciclovíareadec" localSheetId="11">#REF!</definedName>
    <definedName name="aMEciclovíareadec">#REF!</definedName>
    <definedName name="AMECL" localSheetId="13">#REF!</definedName>
    <definedName name="AMECL" localSheetId="14">#REF!</definedName>
    <definedName name="AMECL" localSheetId="0">#REF!</definedName>
    <definedName name="AMECL" localSheetId="17">#REF!</definedName>
    <definedName name="AMECL" localSheetId="12">#REF!</definedName>
    <definedName name="AMECL" localSheetId="11">#REF!</definedName>
    <definedName name="AMECL">#REF!</definedName>
    <definedName name="aMEcolumnas" localSheetId="13">#REF!</definedName>
    <definedName name="aMEcolumnas" localSheetId="17">#REF!</definedName>
    <definedName name="aMEcolumnas" localSheetId="12">#REF!</definedName>
    <definedName name="aMEcolumnas" localSheetId="11">#REF!</definedName>
    <definedName name="aMEcolumnas">#REF!</definedName>
    <definedName name="aMEcortepasto" localSheetId="17">#REF!</definedName>
    <definedName name="aMEcortepasto">#REF!</definedName>
    <definedName name="AMECT" localSheetId="13">#REF!</definedName>
    <definedName name="AMECT" localSheetId="14">#REF!</definedName>
    <definedName name="AMECT" localSheetId="0">#REF!</definedName>
    <definedName name="AMECT" localSheetId="17">#REF!</definedName>
    <definedName name="AMECT" localSheetId="12">#REF!</definedName>
    <definedName name="AMECT" localSheetId="11">#REF!</definedName>
    <definedName name="AMECT">#REF!</definedName>
    <definedName name="aMEdemolicion" localSheetId="13">#REF!</definedName>
    <definedName name="aMEdemolicion" localSheetId="17">#REF!</definedName>
    <definedName name="aMEdemolicion" localSheetId="12">#REF!</definedName>
    <definedName name="aMEdemolicion" localSheetId="11">#REF!</definedName>
    <definedName name="aMEdemolicion">#REF!</definedName>
    <definedName name="aMEdesembanque" localSheetId="17">#REF!</definedName>
    <definedName name="aMEdesembanque">#REF!</definedName>
    <definedName name="aMEdren" localSheetId="13">#REF!</definedName>
    <definedName name="aMEdren" localSheetId="14">#REF!</definedName>
    <definedName name="aMEdren" localSheetId="17">#REF!</definedName>
    <definedName name="aMEdren" localSheetId="12">#REF!</definedName>
    <definedName name="aMEdren" localSheetId="11">#REF!</definedName>
    <definedName name="aMEdren">#REF!</definedName>
    <definedName name="AMEE" localSheetId="13">#REF!</definedName>
    <definedName name="AMEE" localSheetId="14">#REF!</definedName>
    <definedName name="AMEE" localSheetId="0">#REF!</definedName>
    <definedName name="AMEE" localSheetId="17">#REF!</definedName>
    <definedName name="AMEE" localSheetId="12">#REF!</definedName>
    <definedName name="AMEE" localSheetId="11">#REF!</definedName>
    <definedName name="AMEE">#REF!</definedName>
    <definedName name="aMEescarifbanq" localSheetId="13">#REF!</definedName>
    <definedName name="aMEescarifbanq" localSheetId="17">#REF!</definedName>
    <definedName name="aMEescarifbanq" localSheetId="12">#REF!</definedName>
    <definedName name="aMEescarifbanq" localSheetId="11">#REF!</definedName>
    <definedName name="aMEescarifbanq">#REF!</definedName>
    <definedName name="aMEescarificado" localSheetId="17">#REF!</definedName>
    <definedName name="aMEescarificado">#REF!</definedName>
    <definedName name="aMEescarificadoreadec" localSheetId="13">#REF!</definedName>
    <definedName name="aMEescarificadoreadec" localSheetId="14">#REF!</definedName>
    <definedName name="aMEescarificadoreadec" localSheetId="17">#REF!</definedName>
    <definedName name="aMEescarificadoreadec" localSheetId="12">#REF!</definedName>
    <definedName name="aMEescarificadoreadec" localSheetId="11">#REF!</definedName>
    <definedName name="aMEescarificadoreadec">#REF!</definedName>
    <definedName name="aMEestribos" localSheetId="13">#REF!</definedName>
    <definedName name="aMEestribos" localSheetId="17">#REF!</definedName>
    <definedName name="aMEestribos" localSheetId="12">#REF!</definedName>
    <definedName name="aMEestribos" localSheetId="11">#REF!</definedName>
    <definedName name="aMEestribos">#REF!</definedName>
    <definedName name="aMEexcavacion" localSheetId="17">#REF!</definedName>
    <definedName name="aMEexcavacion">#REF!</definedName>
    <definedName name="aMEexcavacionreadec" localSheetId="13">#REF!</definedName>
    <definedName name="aMEexcavacionreadec" localSheetId="14">#REF!</definedName>
    <definedName name="aMEexcavacionreadec" localSheetId="17">#REF!</definedName>
    <definedName name="aMEexcavacionreadec" localSheetId="12">#REF!</definedName>
    <definedName name="aMEexcavacionreadec" localSheetId="11">#REF!</definedName>
    <definedName name="aMEexcavacionreadec">#REF!</definedName>
    <definedName name="AMEF" localSheetId="13">#REF!</definedName>
    <definedName name="AMEF" localSheetId="14">#REF!</definedName>
    <definedName name="AMEF" localSheetId="0">#REF!</definedName>
    <definedName name="AMEF" localSheetId="17">#REF!</definedName>
    <definedName name="AMEF" localSheetId="12">#REF!</definedName>
    <definedName name="AMEF" localSheetId="11">#REF!</definedName>
    <definedName name="AMEF">#REF!</definedName>
    <definedName name="AMEG" localSheetId="13">#REF!</definedName>
    <definedName name="AMEG" localSheetId="14">#REF!</definedName>
    <definedName name="AMEG" localSheetId="0">#REF!</definedName>
    <definedName name="AMEG" localSheetId="17">#REF!</definedName>
    <definedName name="AMEG" localSheetId="12">#REF!</definedName>
    <definedName name="AMEG" localSheetId="11">#REF!</definedName>
    <definedName name="AMEG">#REF!</definedName>
    <definedName name="aMEgaviones" localSheetId="13">#REF!</definedName>
    <definedName name="aMEgaviones" localSheetId="14">#REF!</definedName>
    <definedName name="aMEgaviones" localSheetId="17">#REF!</definedName>
    <definedName name="aMEgaviones" localSheetId="12">#REF!</definedName>
    <definedName name="aMEgaviones" localSheetId="11">#REF!</definedName>
    <definedName name="aMEgaviones">#REF!</definedName>
    <definedName name="aMEHermosoreadec" localSheetId="13">#REF!</definedName>
    <definedName name="aMEHermosoreadec" localSheetId="14">#REF!</definedName>
    <definedName name="aMEHermosoreadec" localSheetId="17">#REF!</definedName>
    <definedName name="aMEHermosoreadec" localSheetId="12">#REF!</definedName>
    <definedName name="aMEHermosoreadec" localSheetId="11">#REF!</definedName>
    <definedName name="aMEHermosoreadec">#REF!</definedName>
    <definedName name="aMEhorC" localSheetId="13">#REF!</definedName>
    <definedName name="aMEhorC" localSheetId="17">#REF!</definedName>
    <definedName name="aMEhorC" localSheetId="12">#REF!</definedName>
    <definedName name="aMEhorC" localSheetId="11">#REF!</definedName>
    <definedName name="aMEhorC">#REF!</definedName>
    <definedName name="aMEhormigon" localSheetId="13">#REF!</definedName>
    <definedName name="aMEhormigon" localSheetId="14">#REF!</definedName>
    <definedName name="aMEhormigon" localSheetId="17">#REF!</definedName>
    <definedName name="aMEhormigon" localSheetId="12">#REF!</definedName>
    <definedName name="aMEhormigon" localSheetId="11">#REF!</definedName>
    <definedName name="aMEhormigon">#REF!</definedName>
    <definedName name="aMEimprimacion" localSheetId="13">#REF!</definedName>
    <definedName name="aMEimprimacion" localSheetId="14">#REF!</definedName>
    <definedName name="aMEimprimacion" localSheetId="17">#REF!</definedName>
    <definedName name="aMEimprimacion" localSheetId="12">#REF!</definedName>
    <definedName name="aMEimprimacion" localSheetId="11">#REF!</definedName>
    <definedName name="aMEimprimacion">#REF!</definedName>
    <definedName name="aMEimprimacionreadec" localSheetId="13">#REF!</definedName>
    <definedName name="aMEimprimacionreadec" localSheetId="14">#REF!</definedName>
    <definedName name="aMEimprimacionreadec" localSheetId="17">#REF!</definedName>
    <definedName name="aMEimprimacionreadec" localSheetId="12">#REF!</definedName>
    <definedName name="aMEimprimacionreadec" localSheetId="11">#REF!</definedName>
    <definedName name="aMEimprimacionreadec">#REF!</definedName>
    <definedName name="aMEimprimrefor" localSheetId="13">#REF!</definedName>
    <definedName name="aMEimprimrefor" localSheetId="17">#REF!</definedName>
    <definedName name="aMEimprimrefor" localSheetId="12">#REF!</definedName>
    <definedName name="aMEimprimrefor" localSheetId="11">#REF!</definedName>
    <definedName name="aMEimprimrefor">#REF!</definedName>
    <definedName name="aMEinvernal" localSheetId="17">#REF!</definedName>
    <definedName name="aMEinvernal">#REF!</definedName>
    <definedName name="aMEjunta" localSheetId="17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 localSheetId="13">#REF!</definedName>
    <definedName name="aMElimptransp" localSheetId="14">#REF!</definedName>
    <definedName name="aMElimptransp" localSheetId="17">#REF!</definedName>
    <definedName name="aMElimptransp" localSheetId="12">#REF!</definedName>
    <definedName name="aMElimptransp" localSheetId="11">#REF!</definedName>
    <definedName name="aMElimptransp">#REF!</definedName>
    <definedName name="aMElosa" localSheetId="13">#REF!</definedName>
    <definedName name="aMElosa" localSheetId="17">#REF!</definedName>
    <definedName name="aMElosa" localSheetId="12">#REF!</definedName>
    <definedName name="aMElosa" localSheetId="11">#REF!</definedName>
    <definedName name="aMElosa">#REF!</definedName>
    <definedName name="aMEmicroaglom" localSheetId="17">#REF!</definedName>
    <definedName name="aMEmicroaglom">#REF!</definedName>
    <definedName name="aMEmicroaglomreadec" localSheetId="17">#REF!</definedName>
    <definedName name="aMEmicroaglomreadec">#REF!</definedName>
    <definedName name="aMEmicroreadec" localSheetId="13">#REF!</definedName>
    <definedName name="aMEmicroreadec" localSheetId="14">#REF!</definedName>
    <definedName name="aMEmicroreadec" localSheetId="17">#REF!</definedName>
    <definedName name="aMEmicroreadec" localSheetId="12">#REF!</definedName>
    <definedName name="aMEmicroreadec" localSheetId="11">#REF!</definedName>
    <definedName name="aMEmicroreadec">#REF!</definedName>
    <definedName name="aMEmontaje" localSheetId="13">#REF!</definedName>
    <definedName name="aMEmontaje" localSheetId="17">#REF!</definedName>
    <definedName name="aMEmontaje" localSheetId="12">#REF!</definedName>
    <definedName name="aMEmontaje" localSheetId="11">#REF!</definedName>
    <definedName name="aMEmontaje">#REF!</definedName>
    <definedName name="aMEpasamano" localSheetId="17">#REF!</definedName>
    <definedName name="aMEpasamano">#REF!</definedName>
    <definedName name="aMEperfilado" localSheetId="13">#REF!</definedName>
    <definedName name="aMEperfilado" localSheetId="14">#REF!</definedName>
    <definedName name="aMEperfilado" localSheetId="17">#REF!</definedName>
    <definedName name="aMEperfilado" localSheetId="12">#REF!</definedName>
    <definedName name="aMEperfilado" localSheetId="11">#REF!</definedName>
    <definedName name="aMEperfilado">#REF!</definedName>
    <definedName name="aMEpilotes" localSheetId="13">#REF!</definedName>
    <definedName name="aMEpilotes" localSheetId="17">#REF!</definedName>
    <definedName name="aMEpilotes" localSheetId="12">#REF!</definedName>
    <definedName name="aMEpilotes" localSheetId="11">#REF!</definedName>
    <definedName name="aMEpilotes">#REF!</definedName>
    <definedName name="aMEpintado" localSheetId="17">#REF!</definedName>
    <definedName name="aMEpintado">#REF!</definedName>
    <definedName name="aMEpretiles" localSheetId="17">#REF!</definedName>
    <definedName name="aMEpretiles">#REF!</definedName>
    <definedName name="aMEpretilesreadec" localSheetId="13">#REF!</definedName>
    <definedName name="aMEpretilesreadec" localSheetId="14">#REF!</definedName>
    <definedName name="aMEpretilesreadec" localSheetId="17">#REF!</definedName>
    <definedName name="aMEpretilesreadec" localSheetId="12">#REF!</definedName>
    <definedName name="aMEpretilesreadec" localSheetId="11">#REF!</definedName>
    <definedName name="aMEpretilesreadec">#REF!</definedName>
    <definedName name="aMEprolongacion" localSheetId="13">#REF!</definedName>
    <definedName name="aMEprolongacion" localSheetId="17">#REF!</definedName>
    <definedName name="aMEprolongacion" localSheetId="12">#REF!</definedName>
    <definedName name="aMEprolongacion" localSheetId="11">#REF!</definedName>
    <definedName name="aMEprolongacion">#REF!</definedName>
    <definedName name="aMEprolongacionreadec" localSheetId="13">#REF!</definedName>
    <definedName name="aMEprolongacionreadec" localSheetId="14">#REF!</definedName>
    <definedName name="aMEprolongacionreadec" localSheetId="17">#REF!</definedName>
    <definedName name="aMEprolongacionreadec" localSheetId="12">#REF!</definedName>
    <definedName name="aMEprolongacionreadec" localSheetId="11">#REF!</definedName>
    <definedName name="aMEprolongacionreadec">#REF!</definedName>
    <definedName name="aMEproteccion" localSheetId="13">#REF!</definedName>
    <definedName name="aMEproteccion" localSheetId="17">#REF!</definedName>
    <definedName name="aMEproteccion" localSheetId="12">#REF!</definedName>
    <definedName name="aMEproteccion" localSheetId="11">#REF!</definedName>
    <definedName name="aMEproteccion">#REF!</definedName>
    <definedName name="aMErelleno" localSheetId="17">#REF!</definedName>
    <definedName name="aMErelleno">#REF!</definedName>
    <definedName name="aMErellenoreadec" localSheetId="13">#REF!</definedName>
    <definedName name="aMErellenoreadec" localSheetId="14">#REF!</definedName>
    <definedName name="aMErellenoreadec" localSheetId="17">#REF!</definedName>
    <definedName name="aMErellenoreadec" localSheetId="12">#REF!</definedName>
    <definedName name="aMErellenoreadec" localSheetId="11">#REF!</definedName>
    <definedName name="aMErellenoreadec">#REF!</definedName>
    <definedName name="aMErep8026" localSheetId="13">#REF!</definedName>
    <definedName name="aMErep8026" localSheetId="17">#REF!</definedName>
    <definedName name="aMErep8026" localSheetId="12">#REF!</definedName>
    <definedName name="aMErep8026" localSheetId="11">#REF!</definedName>
    <definedName name="aMErep8026">#REF!</definedName>
    <definedName name="aMErep8026readec" localSheetId="13">#REF!</definedName>
    <definedName name="aMErep8026readec" localSheetId="14">#REF!</definedName>
    <definedName name="aMErep8026readec" localSheetId="17">#REF!</definedName>
    <definedName name="aMErep8026readec" localSheetId="12">#REF!</definedName>
    <definedName name="aMErep8026readec" localSheetId="11">#REF!</definedName>
    <definedName name="aMErep8026readec">#REF!</definedName>
    <definedName name="aMErepalc" localSheetId="13">#REF!</definedName>
    <definedName name="aMErepalc" localSheetId="17">#REF!</definedName>
    <definedName name="aMErepalc" localSheetId="12">#REF!</definedName>
    <definedName name="aMErepalc" localSheetId="11">#REF!</definedName>
    <definedName name="aMErepalc">#REF!</definedName>
    <definedName name="aMErestdrenaje" localSheetId="13">#REF!</definedName>
    <definedName name="aMErestdrenaje" localSheetId="14">#REF!</definedName>
    <definedName name="aMErestdrenaje" localSheetId="17">#REF!</definedName>
    <definedName name="aMErestdrenaje" localSheetId="12">#REF!</definedName>
    <definedName name="aMErestdrenaje" localSheetId="11">#REF!</definedName>
    <definedName name="aMErestdrenaje">#REF!</definedName>
    <definedName name="aMErestdrenajereadec" localSheetId="13">#REF!</definedName>
    <definedName name="aMErestdrenajereadec" localSheetId="14">#REF!</definedName>
    <definedName name="aMErestdrenajereadec" localSheetId="17">#REF!</definedName>
    <definedName name="aMErestdrenajereadec" localSheetId="12">#REF!</definedName>
    <definedName name="aMErestdrenajereadec" localSheetId="11">#REF!</definedName>
    <definedName name="aMErestdrenajereadec">#REF!</definedName>
    <definedName name="aMEretderrumbe" localSheetId="13">#REF!</definedName>
    <definedName name="aMEretderrumbe" localSheetId="14">#REF!</definedName>
    <definedName name="aMEretderrumbe" localSheetId="17">#REF!</definedName>
    <definedName name="aMEretderrumbe" localSheetId="12">#REF!</definedName>
    <definedName name="aMEretderrumbe" localSheetId="11">#REF!</definedName>
    <definedName name="aMEretderrumbe">#REF!</definedName>
    <definedName name="aMEretrecolbaranda" localSheetId="13">#REF!</definedName>
    <definedName name="aMEretrecolbaranda" localSheetId="14">#REF!</definedName>
    <definedName name="aMEretrecolbaranda" localSheetId="17">#REF!</definedName>
    <definedName name="aMEretrecolbaranda" localSheetId="12">#REF!</definedName>
    <definedName name="aMEretrecolbaranda" localSheetId="11">#REF!</definedName>
    <definedName name="aMEretrecolbaranda">#REF!</definedName>
    <definedName name="aMERHermoso" localSheetId="13">#REF!</definedName>
    <definedName name="aMERHermoso" localSheetId="17">#REF!</definedName>
    <definedName name="aMERHermoso" localSheetId="12">#REF!</definedName>
    <definedName name="aMERHermoso" localSheetId="11">#REF!</definedName>
    <definedName name="aMERHermoso">#REF!</definedName>
    <definedName name="aMEriego" localSheetId="17">#REF!</definedName>
    <definedName name="aMEriego">#REF!</definedName>
    <definedName name="aMErotondas" localSheetId="17">#REF!</definedName>
    <definedName name="aMErotondas">#REF!</definedName>
    <definedName name="aMEsandef" localSheetId="13">#REF!</definedName>
    <definedName name="aMEsandef" localSheetId="14">#REF!</definedName>
    <definedName name="aMEsandef" localSheetId="17">#REF!</definedName>
    <definedName name="aMEsandef" localSheetId="12">#REF!</definedName>
    <definedName name="aMEsandef" localSheetId="11">#REF!</definedName>
    <definedName name="aMEsandef">#REF!</definedName>
    <definedName name="aMescarifbanq" localSheetId="13">#REF!</definedName>
    <definedName name="aMescarifbanq" localSheetId="17">#REF!</definedName>
    <definedName name="aMescarifbanq" localSheetId="12">#REF!</definedName>
    <definedName name="aMescarifbanq" localSheetId="11">#REF!</definedName>
    <definedName name="aMescarifbanq">#REF!</definedName>
    <definedName name="aMescarificado" localSheetId="17">#REF!</definedName>
    <definedName name="aMescarificado">#REF!</definedName>
    <definedName name="aMEsellado" localSheetId="17">#REF!</definedName>
    <definedName name="aMEsellado">#REF!</definedName>
    <definedName name="aMEsenda">#REF!</definedName>
    <definedName name="aMEsendareadec" localSheetId="13">#REF!</definedName>
    <definedName name="aMEsendareadec" localSheetId="14">#REF!</definedName>
    <definedName name="aMEsendareadec" localSheetId="17">#REF!</definedName>
    <definedName name="aMEsendareadec" localSheetId="12">#REF!</definedName>
    <definedName name="aMEsendareadec" localSheetId="11">#REF!</definedName>
    <definedName name="aMEsendareadec">#REF!</definedName>
    <definedName name="aMEseñalamiento" localSheetId="13">#REF!</definedName>
    <definedName name="aMEseñalamiento" localSheetId="17">#REF!</definedName>
    <definedName name="aMEseñalamiento" localSheetId="12">#REF!</definedName>
    <definedName name="aMEseñalamiento" localSheetId="11">#REF!</definedName>
    <definedName name="aMEseñalamiento">#REF!</definedName>
    <definedName name="aMEseñalamientoreadec" localSheetId="13">#REF!</definedName>
    <definedName name="aMEseñalamientoreadec" localSheetId="14">#REF!</definedName>
    <definedName name="aMEseñalamientoreadec" localSheetId="17">#REF!</definedName>
    <definedName name="aMEseñalamientoreadec" localSheetId="12">#REF!</definedName>
    <definedName name="aMEseñalamientoreadec" localSheetId="11">#REF!</definedName>
    <definedName name="aMEseñalamientoreadec">#REF!</definedName>
    <definedName name="aMEseñalextrusion" localSheetId="13">#REF!</definedName>
    <definedName name="aMEseñalextrusion" localSheetId="17">#REF!</definedName>
    <definedName name="aMEseñalextrusion" localSheetId="12">#REF!</definedName>
    <definedName name="aMEseñalextrusion" localSheetId="11">#REF!</definedName>
    <definedName name="aMEseñalextrusion">#REF!</definedName>
    <definedName name="aMEseñalextrusionreadec" localSheetId="13">#REF!</definedName>
    <definedName name="aMEseñalextrusionreadec" localSheetId="14">#REF!</definedName>
    <definedName name="aMEseñalextrusionreadec" localSheetId="17">#REF!</definedName>
    <definedName name="aMEseñalextrusionreadec" localSheetId="12">#REF!</definedName>
    <definedName name="aMEseñalextrusionreadec" localSheetId="11">#REF!</definedName>
    <definedName name="aMEseñalextrusionreadec">#REF!</definedName>
    <definedName name="aMEseñalizacion" localSheetId="13">#REF!</definedName>
    <definedName name="aMEseñalizacion" localSheetId="17">#REF!</definedName>
    <definedName name="aMEseñalizacion" localSheetId="12">#REF!</definedName>
    <definedName name="aMEseñalizacion" localSheetId="11">#REF!</definedName>
    <definedName name="aMEseñalizacion">#REF!</definedName>
    <definedName name="aMEseñalizacionreadec" localSheetId="13">#REF!</definedName>
    <definedName name="aMEseñalizacionreadec" localSheetId="14">#REF!</definedName>
    <definedName name="aMEseñalizacionreadec" localSheetId="17">#REF!</definedName>
    <definedName name="aMEseñalizacionreadec" localSheetId="12">#REF!</definedName>
    <definedName name="aMEseñalizacionreadec" localSheetId="11">#REF!</definedName>
    <definedName name="aMEseñalizacionreadec">#REF!</definedName>
    <definedName name="aMEseñalvertreadec" localSheetId="13">#REF!</definedName>
    <definedName name="aMEseñalvertreadec" localSheetId="14">#REF!</definedName>
    <definedName name="aMEseñalvertreadec" localSheetId="17">#REF!</definedName>
    <definedName name="aMEseñalvertreadec" localSheetId="12">#REF!</definedName>
    <definedName name="aMEseñalvertreadec" localSheetId="11">#REF!</definedName>
    <definedName name="aMEseñalvertreadec">#REF!</definedName>
    <definedName name="aMEsistdren1071" localSheetId="13">#REF!</definedName>
    <definedName name="aMEsistdren1071" localSheetId="17">#REF!</definedName>
    <definedName name="aMEsistdren1071" localSheetId="12">#REF!</definedName>
    <definedName name="aMEsistdren1071" localSheetId="11">#REF!</definedName>
    <definedName name="aMEsistdren1071">#REF!</definedName>
    <definedName name="aMestribos" localSheetId="17">#REF!</definedName>
    <definedName name="aMestribos">#REF!</definedName>
    <definedName name="aMEsubbase" localSheetId="17">#REF!</definedName>
    <definedName name="aMEsubbase">#REF!</definedName>
    <definedName name="aMEterraplen" localSheetId="13">#REF!</definedName>
    <definedName name="aMEterraplen" localSheetId="14">#REF!</definedName>
    <definedName name="aMEterraplen" localSheetId="17">#REF!</definedName>
    <definedName name="aMEterraplen" localSheetId="12">#REF!</definedName>
    <definedName name="aMEterraplen" localSheetId="11">#REF!</definedName>
    <definedName name="aMEterraplen">#REF!</definedName>
    <definedName name="aMEterrapreadec" localSheetId="13">#REF!</definedName>
    <definedName name="aMEterrapreadec" localSheetId="14">#REF!</definedName>
    <definedName name="aMEterrapreadec" localSheetId="17">#REF!</definedName>
    <definedName name="aMEterrapreadec" localSheetId="12">#REF!</definedName>
    <definedName name="aMEterrapreadec" localSheetId="11">#REF!</definedName>
    <definedName name="aMEterrapreadec">#REF!</definedName>
    <definedName name="aMEterrsincomp" localSheetId="13">#REF!</definedName>
    <definedName name="aMEterrsincomp" localSheetId="17">#REF!</definedName>
    <definedName name="aMEterrsincomp" localSheetId="12">#REF!</definedName>
    <definedName name="aMEterrsincomp" localSheetId="11">#REF!</definedName>
    <definedName name="aMEterrsincomp">#REF!</definedName>
    <definedName name="aMEtravesia" localSheetId="17">#REF!</definedName>
    <definedName name="aMEtravesia">#REF!</definedName>
    <definedName name="aMEvigas" localSheetId="17">#REF!</definedName>
    <definedName name="aMEvigas">#REF!</definedName>
    <definedName name="aMexcavacion">#REF!</definedName>
    <definedName name="aMexcavacionreadec" localSheetId="13">#REF!</definedName>
    <definedName name="aMexcavacionreadec" localSheetId="14">#REF!</definedName>
    <definedName name="aMexcavacionreadec" localSheetId="17">#REF!</definedName>
    <definedName name="aMexcavacionreadec" localSheetId="12">#REF!</definedName>
    <definedName name="aMexcavacionreadec" localSheetId="11">#REF!</definedName>
    <definedName name="aMexcavacionreadec">#REF!</definedName>
    <definedName name="aMgaviones" localSheetId="13">#REF!</definedName>
    <definedName name="aMgaviones" localSheetId="14">#REF!</definedName>
    <definedName name="aMgaviones" localSheetId="17">#REF!</definedName>
    <definedName name="aMgaviones" localSheetId="12">#REF!</definedName>
    <definedName name="aMgaviones" localSheetId="11">#REF!</definedName>
    <definedName name="aMgaviones">#REF!</definedName>
    <definedName name="aMHermosoreadec" localSheetId="13">#REF!</definedName>
    <definedName name="aMHermosoreadec" localSheetId="14">#REF!</definedName>
    <definedName name="aMHermosoreadec" localSheetId="17">#REF!</definedName>
    <definedName name="aMHermosoreadec" localSheetId="12">#REF!</definedName>
    <definedName name="aMHermosoreadec" localSheetId="11">#REF!</definedName>
    <definedName name="aMHermosoreadec">#REF!</definedName>
    <definedName name="aMhorC" localSheetId="13">#REF!</definedName>
    <definedName name="aMhorC" localSheetId="17">#REF!</definedName>
    <definedName name="aMhorC" localSheetId="12">#REF!</definedName>
    <definedName name="aMhorC" localSheetId="11">#REF!</definedName>
    <definedName name="aMhorC">#REF!</definedName>
    <definedName name="aMhormigon" localSheetId="13">#REF!</definedName>
    <definedName name="aMhormigon" localSheetId="14">#REF!</definedName>
    <definedName name="aMhormigon" localSheetId="17">#REF!</definedName>
    <definedName name="aMhormigon" localSheetId="12">#REF!</definedName>
    <definedName name="aMhormigon" localSheetId="11">#REF!</definedName>
    <definedName name="aMhormigon">#REF!</definedName>
    <definedName name="aMimprimacion" localSheetId="13">#REF!</definedName>
    <definedName name="aMimprimacion" localSheetId="14">#REF!</definedName>
    <definedName name="aMimprimacion" localSheetId="17">#REF!</definedName>
    <definedName name="aMimprimacion" localSheetId="12">#REF!</definedName>
    <definedName name="aMimprimacion" localSheetId="11">#REF!</definedName>
    <definedName name="aMimprimacion">#REF!</definedName>
    <definedName name="aMimprimacionreadec" localSheetId="13">#REF!</definedName>
    <definedName name="aMimprimacionreadec" localSheetId="14">#REF!</definedName>
    <definedName name="aMimprimacionreadec" localSheetId="17">#REF!</definedName>
    <definedName name="aMimprimacionreadec" localSheetId="12">#REF!</definedName>
    <definedName name="aMimprimacionreadec" localSheetId="11">#REF!</definedName>
    <definedName name="aMimprimacionreadec">#REF!</definedName>
    <definedName name="aMimprimrefor" localSheetId="13">#REF!</definedName>
    <definedName name="aMimprimrefor" localSheetId="17">#REF!</definedName>
    <definedName name="aMimprimrefor" localSheetId="12">#REF!</definedName>
    <definedName name="aMimprimrefor" localSheetId="11">#REF!</definedName>
    <definedName name="aMimprimrefor">#REF!</definedName>
    <definedName name="aMinvernal" localSheetId="17">#REF!</definedName>
    <definedName name="aMinvernal">#REF!</definedName>
    <definedName name="aMjunta" localSheetId="17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 localSheetId="13">#REF!</definedName>
    <definedName name="aMlimptransp" localSheetId="14">#REF!</definedName>
    <definedName name="aMlimptransp" localSheetId="17">#REF!</definedName>
    <definedName name="aMlimptransp" localSheetId="12">#REF!</definedName>
    <definedName name="aMlimptransp" localSheetId="11">#REF!</definedName>
    <definedName name="aMlimptransp">#REF!</definedName>
    <definedName name="aMlosa" localSheetId="13">#REF!</definedName>
    <definedName name="aMlosa" localSheetId="17">#REF!</definedName>
    <definedName name="aMlosa" localSheetId="12">#REF!</definedName>
    <definedName name="aMlosa" localSheetId="11">#REF!</definedName>
    <definedName name="aMlosa">#REF!</definedName>
    <definedName name="aMmatbase" localSheetId="13">#REF!</definedName>
    <definedName name="aMmatbase" localSheetId="14">#REF!</definedName>
    <definedName name="aMmatbase" localSheetId="17">#REF!</definedName>
    <definedName name="aMmatbase" localSheetId="12">#REF!</definedName>
    <definedName name="aMmatbase" localSheetId="11">#REF!</definedName>
    <definedName name="aMmatbase">#REF!</definedName>
    <definedName name="aMmicroaglem" localSheetId="13">#REF!</definedName>
    <definedName name="aMmicroaglem" localSheetId="17">#REF!</definedName>
    <definedName name="aMmicroaglem" localSheetId="12">#REF!</definedName>
    <definedName name="aMmicroaglem" localSheetId="11">#REF!</definedName>
    <definedName name="aMmicroaglem">#REF!</definedName>
    <definedName name="aMmicroaglom" localSheetId="17">#REF!</definedName>
    <definedName name="aMmicroaglom">#REF!</definedName>
    <definedName name="aMmicroaglomreadec" localSheetId="17">#REF!</definedName>
    <definedName name="aMmicroaglomreadec">#REF!</definedName>
    <definedName name="aMmicroreadec" localSheetId="13">#REF!</definedName>
    <definedName name="aMmicroreadec" localSheetId="14">#REF!</definedName>
    <definedName name="aMmicroreadec" localSheetId="17">#REF!</definedName>
    <definedName name="aMmicroreadec" localSheetId="12">#REF!</definedName>
    <definedName name="aMmicroreadec" localSheetId="11">#REF!</definedName>
    <definedName name="aMmicroreadec">#REF!</definedName>
    <definedName name="aMmontaje" localSheetId="13">#REF!</definedName>
    <definedName name="aMmontaje" localSheetId="17">#REF!</definedName>
    <definedName name="aMmontaje" localSheetId="12">#REF!</definedName>
    <definedName name="aMmontaje" localSheetId="11">#REF!</definedName>
    <definedName name="aMmontaje">#REF!</definedName>
    <definedName name="aMOacceso" localSheetId="17">#REF!</definedName>
    <definedName name="aMOacceso">#REF!</definedName>
    <definedName name="aMOaccesoreadec" localSheetId="13">#REF!</definedName>
    <definedName name="aMOaccesoreadec" localSheetId="14">#REF!</definedName>
    <definedName name="aMOaccesoreadec" localSheetId="17">#REF!</definedName>
    <definedName name="aMOaccesoreadec" localSheetId="12">#REF!</definedName>
    <definedName name="aMOaccesoreadec" localSheetId="11">#REF!</definedName>
    <definedName name="aMOaccesoreadec">#REF!</definedName>
    <definedName name="aMOacondct" localSheetId="13">#REF!</definedName>
    <definedName name="aMOacondct" localSheetId="14">#REF!</definedName>
    <definedName name="aMOacondct" localSheetId="17">#REF!</definedName>
    <definedName name="aMOacondct" localSheetId="12">#REF!</definedName>
    <definedName name="aMOacondct" localSheetId="11">#REF!</definedName>
    <definedName name="aMOacondct">#REF!</definedName>
    <definedName name="aMOalcantarilla" localSheetId="13">#REF!</definedName>
    <definedName name="aMOalcantarilla" localSheetId="17">#REF!</definedName>
    <definedName name="aMOalcantarilla" localSheetId="12">#REF!</definedName>
    <definedName name="aMOalcantarilla" localSheetId="11">#REF!</definedName>
    <definedName name="aMOalcantarilla">#REF!</definedName>
    <definedName name="aMOalcantarillareadec" localSheetId="13">#REF!</definedName>
    <definedName name="aMOalcantarillareadec" localSheetId="14">#REF!</definedName>
    <definedName name="aMOalcantarillareadec" localSheetId="17">#REF!</definedName>
    <definedName name="aMOalcantarillareadec" localSheetId="12">#REF!</definedName>
    <definedName name="aMOalcantarillareadec" localSheetId="11">#REF!</definedName>
    <definedName name="aMOalcantarillareadec">#REF!</definedName>
    <definedName name="aMOalteo" localSheetId="13">#REF!</definedName>
    <definedName name="aMOalteo" localSheetId="14">#REF!</definedName>
    <definedName name="aMOalteo" localSheetId="17">#REF!</definedName>
    <definedName name="aMOalteo" localSheetId="12">#REF!</definedName>
    <definedName name="aMOalteo" localSheetId="11">#REF!</definedName>
    <definedName name="aMOalteo">#REF!</definedName>
    <definedName name="aMOalteoreadec" localSheetId="13">#REF!</definedName>
    <definedName name="aMOalteoreadec" localSheetId="14">#REF!</definedName>
    <definedName name="aMOalteoreadec" localSheetId="17">#REF!</definedName>
    <definedName name="aMOalteoreadec" localSheetId="12">#REF!</definedName>
    <definedName name="aMOalteoreadec" localSheetId="11">#REF!</definedName>
    <definedName name="aMOalteoreadec">#REF!</definedName>
    <definedName name="aMOApartido" localSheetId="13">#REF!</definedName>
    <definedName name="aMOApartido" localSheetId="17">#REF!</definedName>
    <definedName name="aMOApartido" localSheetId="12">#REF!</definedName>
    <definedName name="aMOApartido" localSheetId="11">#REF!</definedName>
    <definedName name="aMOApartido">#REF!</definedName>
    <definedName name="aMOapoyos" localSheetId="17">#REF!</definedName>
    <definedName name="aMOapoyos">#REF!</definedName>
    <definedName name="aMObacheo" localSheetId="17">#REF!</definedName>
    <definedName name="aMObacheo">#REF!</definedName>
    <definedName name="aMObacheosan">#REF!</definedName>
    <definedName name="aMObandason">#REF!</definedName>
    <definedName name="aMObanquina">#REF!</definedName>
    <definedName name="aMObaranda" localSheetId="13">#REF!</definedName>
    <definedName name="aMObaranda" localSheetId="14">#REF!</definedName>
    <definedName name="aMObaranda" localSheetId="17">#REF!</definedName>
    <definedName name="aMObaranda" localSheetId="12">#REF!</definedName>
    <definedName name="aMObaranda" localSheetId="11">#REF!</definedName>
    <definedName name="aMObaranda">#REF!</definedName>
    <definedName name="aMObarandareadec" localSheetId="13">#REF!</definedName>
    <definedName name="aMObarandareadec" localSheetId="14">#REF!</definedName>
    <definedName name="aMObarandareadec" localSheetId="17">#REF!</definedName>
    <definedName name="aMObarandareadec" localSheetId="12">#REF!</definedName>
    <definedName name="aMObarandareadec" localSheetId="11">#REF!</definedName>
    <definedName name="aMObarandareadec">#REF!</definedName>
    <definedName name="aMObase" localSheetId="13">#REF!</definedName>
    <definedName name="aMObase" localSheetId="14">#REF!</definedName>
    <definedName name="aMObase" localSheetId="17">#REF!</definedName>
    <definedName name="aMObase" localSheetId="12">#REF!</definedName>
    <definedName name="aMObase" localSheetId="11">#REF!</definedName>
    <definedName name="aMObase">#REF!</definedName>
    <definedName name="aMOcabezales" localSheetId="13">#REF!</definedName>
    <definedName name="aMOcabezales" localSheetId="17">#REF!</definedName>
    <definedName name="aMOcabezales" localSheetId="12">#REF!</definedName>
    <definedName name="aMOcabezales" localSheetId="11">#REF!</definedName>
    <definedName name="aMOcabezales">#REF!</definedName>
    <definedName name="aMOcalzadahorm" localSheetId="17">#REF!</definedName>
    <definedName name="aMOcalzadahorm">#REF!</definedName>
    <definedName name="aMOcalzadas" localSheetId="17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 localSheetId="13">#REF!</definedName>
    <definedName name="aMOCCurareadec" localSheetId="14">#REF!</definedName>
    <definedName name="aMOCCurareadec" localSheetId="17">#REF!</definedName>
    <definedName name="aMOCCurareadec" localSheetId="12">#REF!</definedName>
    <definedName name="aMOCCurareadec" localSheetId="11">#REF!</definedName>
    <definedName name="aMOCCurareadec">#REF!</definedName>
    <definedName name="aMOciclovía" localSheetId="13">#REF!</definedName>
    <definedName name="aMOciclovía" localSheetId="17">#REF!</definedName>
    <definedName name="aMOciclovía" localSheetId="12">#REF!</definedName>
    <definedName name="aMOciclovía" localSheetId="11">#REF!</definedName>
    <definedName name="aMOciclovía">#REF!</definedName>
    <definedName name="aMOciclovíareadec" localSheetId="13">#REF!</definedName>
    <definedName name="aMOciclovíareadec" localSheetId="14">#REF!</definedName>
    <definedName name="aMOciclovíareadec" localSheetId="17">#REF!</definedName>
    <definedName name="aMOciclovíareadec" localSheetId="12">#REF!</definedName>
    <definedName name="aMOciclovíareadec" localSheetId="11">#REF!</definedName>
    <definedName name="aMOciclovíareadec">#REF!</definedName>
    <definedName name="aMOcolumnas" localSheetId="13">#REF!</definedName>
    <definedName name="aMOcolumnas" localSheetId="17">#REF!</definedName>
    <definedName name="aMOcolumnas" localSheetId="12">#REF!</definedName>
    <definedName name="aMOcolumnas" localSheetId="11">#REF!</definedName>
    <definedName name="aMOcolumnas">#REF!</definedName>
    <definedName name="aMOcortepasto" localSheetId="17">#REF!</definedName>
    <definedName name="aMOcortepasto">#REF!</definedName>
    <definedName name="aMOdemolicion" localSheetId="17">#REF!</definedName>
    <definedName name="aMOdemolicion">#REF!</definedName>
    <definedName name="aMOdesembanque">#REF!</definedName>
    <definedName name="aMOdren" localSheetId="13">#REF!</definedName>
    <definedName name="aMOdren" localSheetId="14">#REF!</definedName>
    <definedName name="aMOdren" localSheetId="17">#REF!</definedName>
    <definedName name="aMOdren" localSheetId="12">#REF!</definedName>
    <definedName name="aMOdren" localSheetId="11">#REF!</definedName>
    <definedName name="aMOdren">#REF!</definedName>
    <definedName name="aMOescarifbanq" localSheetId="13">#REF!</definedName>
    <definedName name="aMOescarifbanq" localSheetId="17">#REF!</definedName>
    <definedName name="aMOescarifbanq" localSheetId="12">#REF!</definedName>
    <definedName name="aMOescarifbanq" localSheetId="11">#REF!</definedName>
    <definedName name="aMOescarifbanq">#REF!</definedName>
    <definedName name="aMOescarificado" localSheetId="13">#REF!</definedName>
    <definedName name="aMOescarificado" localSheetId="14">#REF!</definedName>
    <definedName name="aMOescarificado" localSheetId="17">#REF!</definedName>
    <definedName name="aMOescarificado" localSheetId="12">#REF!</definedName>
    <definedName name="aMOescarificado" localSheetId="11">#REF!</definedName>
    <definedName name="aMOescarificado">#REF!</definedName>
    <definedName name="aMOestribos" localSheetId="13">#REF!</definedName>
    <definedName name="aMOestribos" localSheetId="17">#REF!</definedName>
    <definedName name="aMOestribos" localSheetId="12">#REF!</definedName>
    <definedName name="aMOestribos" localSheetId="11">#REF!</definedName>
    <definedName name="aMOestribos">#REF!</definedName>
    <definedName name="aMOexcavacion" localSheetId="17">#REF!</definedName>
    <definedName name="aMOexcavacion">#REF!</definedName>
    <definedName name="aMOexcavacionreadec" localSheetId="13">#REF!</definedName>
    <definedName name="aMOexcavacionreadec" localSheetId="14">#REF!</definedName>
    <definedName name="aMOexcavacionreadec" localSheetId="17">#REF!</definedName>
    <definedName name="aMOexcavacionreadec" localSheetId="12">#REF!</definedName>
    <definedName name="aMOexcavacionreadec" localSheetId="11">#REF!</definedName>
    <definedName name="aMOexcavacionreadec">#REF!</definedName>
    <definedName name="aMOgaviones" localSheetId="13">#REF!</definedName>
    <definedName name="aMOgaviones" localSheetId="17">#REF!</definedName>
    <definedName name="aMOgaviones" localSheetId="12">#REF!</definedName>
    <definedName name="aMOgaviones" localSheetId="11">#REF!</definedName>
    <definedName name="aMOgaviones">#REF!</definedName>
    <definedName name="aMOHermosoreadec" localSheetId="13">#REF!</definedName>
    <definedName name="aMOHermosoreadec" localSheetId="14">#REF!</definedName>
    <definedName name="aMOHermosoreadec" localSheetId="17">#REF!</definedName>
    <definedName name="aMOHermosoreadec" localSheetId="12">#REF!</definedName>
    <definedName name="aMOHermosoreadec" localSheetId="11">#REF!</definedName>
    <definedName name="aMOHermosoreadec">#REF!</definedName>
    <definedName name="aMOhorC" localSheetId="13">#REF!</definedName>
    <definedName name="aMOhorC" localSheetId="17">#REF!</definedName>
    <definedName name="aMOhorC" localSheetId="12">#REF!</definedName>
    <definedName name="aMOhorC" localSheetId="11">#REF!</definedName>
    <definedName name="aMOhorC">#REF!</definedName>
    <definedName name="aMOhormigon" localSheetId="13">#REF!</definedName>
    <definedName name="aMOhormigon" localSheetId="14">#REF!</definedName>
    <definedName name="aMOhormigon" localSheetId="17">#REF!</definedName>
    <definedName name="aMOhormigon" localSheetId="12">#REF!</definedName>
    <definedName name="aMOhormigon" localSheetId="11">#REF!</definedName>
    <definedName name="aMOhormigon">#REF!</definedName>
    <definedName name="aMOimprimacion" localSheetId="13">#REF!</definedName>
    <definedName name="aMOimprimacion" localSheetId="14">#REF!</definedName>
    <definedName name="aMOimprimacion" localSheetId="17">#REF!</definedName>
    <definedName name="aMOimprimacion" localSheetId="12">#REF!</definedName>
    <definedName name="aMOimprimacion" localSheetId="11">#REF!</definedName>
    <definedName name="aMOimprimacion">#REF!</definedName>
    <definedName name="aMOimprimacionreadec" localSheetId="13">#REF!</definedName>
    <definedName name="aMOimprimacionreadec" localSheetId="14">#REF!</definedName>
    <definedName name="aMOimprimacionreadec" localSheetId="17">#REF!</definedName>
    <definedName name="aMOimprimacionreadec" localSheetId="12">#REF!</definedName>
    <definedName name="aMOimprimacionreadec" localSheetId="11">#REF!</definedName>
    <definedName name="aMOimprimacionreadec">#REF!</definedName>
    <definedName name="aMOimprimrefor" localSheetId="13">#REF!</definedName>
    <definedName name="aMOimprimrefor" localSheetId="17">#REF!</definedName>
    <definedName name="aMOimprimrefor" localSheetId="12">#REF!</definedName>
    <definedName name="aMOimprimrefor" localSheetId="11">#REF!</definedName>
    <definedName name="aMOimprimrefor">#REF!</definedName>
    <definedName name="aMOinvernal" localSheetId="17">#REF!</definedName>
    <definedName name="aMOinvernal">#REF!</definedName>
    <definedName name="aMOjunta" localSheetId="17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 localSheetId="13">#REF!</definedName>
    <definedName name="aMOlimptransp" localSheetId="14">#REF!</definedName>
    <definedName name="aMOlimptransp" localSheetId="17">#REF!</definedName>
    <definedName name="aMOlimptransp" localSheetId="12">#REF!</definedName>
    <definedName name="aMOlimptransp" localSheetId="11">#REF!</definedName>
    <definedName name="aMOlimptransp">#REF!</definedName>
    <definedName name="aMOlosa" localSheetId="13">#REF!</definedName>
    <definedName name="aMOlosa" localSheetId="17">#REF!</definedName>
    <definedName name="aMOlosa" localSheetId="12">#REF!</definedName>
    <definedName name="aMOlosa" localSheetId="11">#REF!</definedName>
    <definedName name="aMOlosa">#REF!</definedName>
    <definedName name="aMOmatbase" localSheetId="13">#REF!</definedName>
    <definedName name="aMOmatbase" localSheetId="14">#REF!</definedName>
    <definedName name="aMOmatbase" localSheetId="17">#REF!</definedName>
    <definedName name="aMOmatbase" localSheetId="12">#REF!</definedName>
    <definedName name="aMOmatbase" localSheetId="11">#REF!</definedName>
    <definedName name="aMOmatbase">#REF!</definedName>
    <definedName name="aMOmicroaglom" localSheetId="13">#REF!</definedName>
    <definedName name="aMOmicroaglom" localSheetId="17">#REF!</definedName>
    <definedName name="aMOmicroaglom" localSheetId="12">#REF!</definedName>
    <definedName name="aMOmicroaglom" localSheetId="11">#REF!</definedName>
    <definedName name="aMOmicroaglom">#REF!</definedName>
    <definedName name="aMOmicroaglomreadec" localSheetId="17">#REF!</definedName>
    <definedName name="aMOmicroaglomreadec">#REF!</definedName>
    <definedName name="aMOmicroreadec" localSheetId="13">#REF!</definedName>
    <definedName name="aMOmicroreadec" localSheetId="14">#REF!</definedName>
    <definedName name="aMOmicroreadec" localSheetId="17">#REF!</definedName>
    <definedName name="aMOmicroreadec" localSheetId="12">#REF!</definedName>
    <definedName name="aMOmicroreadec" localSheetId="11">#REF!</definedName>
    <definedName name="aMOmicroreadec">#REF!</definedName>
    <definedName name="aMOmontaje" localSheetId="13">#REF!</definedName>
    <definedName name="aMOmontaje" localSheetId="17">#REF!</definedName>
    <definedName name="aMOmontaje" localSheetId="12">#REF!</definedName>
    <definedName name="aMOmontaje" localSheetId="11">#REF!</definedName>
    <definedName name="aMOmontaje">#REF!</definedName>
    <definedName name="aMOpasamano" localSheetId="17">#REF!</definedName>
    <definedName name="aMOpasamano">#REF!</definedName>
    <definedName name="aMOperfilado" localSheetId="13">#REF!</definedName>
    <definedName name="aMOperfilado" localSheetId="14">#REF!</definedName>
    <definedName name="aMOperfilado" localSheetId="17">#REF!</definedName>
    <definedName name="aMOperfilado" localSheetId="12">#REF!</definedName>
    <definedName name="aMOperfilado" localSheetId="11">#REF!</definedName>
    <definedName name="aMOperfilado">#REF!</definedName>
    <definedName name="aMOpintado" localSheetId="13">#REF!</definedName>
    <definedName name="aMOpintado" localSheetId="17">#REF!</definedName>
    <definedName name="aMOpintado" localSheetId="12">#REF!</definedName>
    <definedName name="aMOpintado" localSheetId="11">#REF!</definedName>
    <definedName name="aMOpintado">#REF!</definedName>
    <definedName name="aMOpretiles" localSheetId="17">#REF!</definedName>
    <definedName name="aMOpretiles">#REF!</definedName>
    <definedName name="aMOpretilesreadec" localSheetId="13">#REF!</definedName>
    <definedName name="aMOpretilesreadec" localSheetId="14">#REF!</definedName>
    <definedName name="aMOpretilesreadec" localSheetId="17">#REF!</definedName>
    <definedName name="aMOpretilesreadec" localSheetId="12">#REF!</definedName>
    <definedName name="aMOpretilesreadec" localSheetId="11">#REF!</definedName>
    <definedName name="aMOpretilesreadec">#REF!</definedName>
    <definedName name="aMOprolongacion" localSheetId="13">#REF!</definedName>
    <definedName name="aMOprolongacion" localSheetId="17">#REF!</definedName>
    <definedName name="aMOprolongacion" localSheetId="12">#REF!</definedName>
    <definedName name="aMOprolongacion" localSheetId="11">#REF!</definedName>
    <definedName name="aMOprolongacion">#REF!</definedName>
    <definedName name="aMOprolongacionreadec" localSheetId="13">#REF!</definedName>
    <definedName name="aMOprolongacionreadec" localSheetId="14">#REF!</definedName>
    <definedName name="aMOprolongacionreadec" localSheetId="17">#REF!</definedName>
    <definedName name="aMOprolongacionreadec" localSheetId="12">#REF!</definedName>
    <definedName name="aMOprolongacionreadec" localSheetId="11">#REF!</definedName>
    <definedName name="aMOprolongacionreadec">#REF!</definedName>
    <definedName name="aMOproteccion" localSheetId="13">#REF!</definedName>
    <definedName name="aMOproteccion" localSheetId="17">#REF!</definedName>
    <definedName name="aMOproteccion" localSheetId="12">#REF!</definedName>
    <definedName name="aMOproteccion" localSheetId="11">#REF!</definedName>
    <definedName name="aMOproteccion">#REF!</definedName>
    <definedName name="aMOrelleno" localSheetId="17">#REF!</definedName>
    <definedName name="aMOrelleno">#REF!</definedName>
    <definedName name="aMOrellenoreadec" localSheetId="13">#REF!</definedName>
    <definedName name="aMOrellenoreadec" localSheetId="14">#REF!</definedName>
    <definedName name="aMOrellenoreadec" localSheetId="17">#REF!</definedName>
    <definedName name="aMOrellenoreadec" localSheetId="12">#REF!</definedName>
    <definedName name="aMOrellenoreadec" localSheetId="11">#REF!</definedName>
    <definedName name="aMOrellenoreadec">#REF!</definedName>
    <definedName name="aMOrep8026" localSheetId="13">#REF!</definedName>
    <definedName name="aMOrep8026" localSheetId="17">#REF!</definedName>
    <definedName name="aMOrep8026" localSheetId="12">#REF!</definedName>
    <definedName name="aMOrep8026" localSheetId="11">#REF!</definedName>
    <definedName name="aMOrep8026">#REF!</definedName>
    <definedName name="aMOrep8026readec" localSheetId="13">#REF!</definedName>
    <definedName name="aMOrep8026readec" localSheetId="14">#REF!</definedName>
    <definedName name="aMOrep8026readec" localSheetId="17">#REF!</definedName>
    <definedName name="aMOrep8026readec" localSheetId="12">#REF!</definedName>
    <definedName name="aMOrep8026readec" localSheetId="11">#REF!</definedName>
    <definedName name="aMOrep8026readec">#REF!</definedName>
    <definedName name="aMOrepalc" localSheetId="13">#REF!</definedName>
    <definedName name="aMOrepalc" localSheetId="17">#REF!</definedName>
    <definedName name="aMOrepalc" localSheetId="12">#REF!</definedName>
    <definedName name="aMOrepalc" localSheetId="11">#REF!</definedName>
    <definedName name="aMOrepalc">#REF!</definedName>
    <definedName name="aMOrestdrenaje" localSheetId="13">#REF!</definedName>
    <definedName name="aMOrestdrenaje" localSheetId="14">#REF!</definedName>
    <definedName name="aMOrestdrenaje" localSheetId="17">#REF!</definedName>
    <definedName name="aMOrestdrenaje" localSheetId="12">#REF!</definedName>
    <definedName name="aMOrestdrenaje" localSheetId="11">#REF!</definedName>
    <definedName name="aMOrestdrenaje">#REF!</definedName>
    <definedName name="aMOrestdrenajereadec" localSheetId="13">#REF!</definedName>
    <definedName name="aMOrestdrenajereadec" localSheetId="14">#REF!</definedName>
    <definedName name="aMOrestdrenajereadec" localSheetId="17">#REF!</definedName>
    <definedName name="aMOrestdrenajereadec" localSheetId="12">#REF!</definedName>
    <definedName name="aMOrestdrenajereadec" localSheetId="11">#REF!</definedName>
    <definedName name="aMOrestdrenajereadec">#REF!</definedName>
    <definedName name="aMOretderrumbe" localSheetId="13">#REF!</definedName>
    <definedName name="aMOretderrumbe" localSheetId="14">#REF!</definedName>
    <definedName name="aMOretderrumbe" localSheetId="17">#REF!</definedName>
    <definedName name="aMOretderrumbe" localSheetId="12">#REF!</definedName>
    <definedName name="aMOretderrumbe" localSheetId="11">#REF!</definedName>
    <definedName name="aMOretderrumbe">#REF!</definedName>
    <definedName name="aMOretrecolbaranda" localSheetId="13">#REF!</definedName>
    <definedName name="aMOretrecolbaranda" localSheetId="14">#REF!</definedName>
    <definedName name="aMOretrecolbaranda" localSheetId="17">#REF!</definedName>
    <definedName name="aMOretrecolbaranda" localSheetId="12">#REF!</definedName>
    <definedName name="aMOretrecolbaranda" localSheetId="11">#REF!</definedName>
    <definedName name="aMOretrecolbaranda">#REF!</definedName>
    <definedName name="aMOrexcavacion" localSheetId="13">#REF!</definedName>
    <definedName name="aMOrexcavacion" localSheetId="17">#REF!</definedName>
    <definedName name="aMOrexcavacion" localSheetId="12">#REF!</definedName>
    <definedName name="aMOrexcavacion" localSheetId="11">#REF!</definedName>
    <definedName name="aMOrexcavacion">#REF!</definedName>
    <definedName name="aMORHermoso" localSheetId="17">#REF!</definedName>
    <definedName name="aMORHermoso">#REF!</definedName>
    <definedName name="aMOriego" localSheetId="17">#REF!</definedName>
    <definedName name="aMOriego">#REF!</definedName>
    <definedName name="aMOrotondas">#REF!</definedName>
    <definedName name="aMOsandef" localSheetId="13">#REF!</definedName>
    <definedName name="aMOsandef" localSheetId="14">#REF!</definedName>
    <definedName name="aMOsandef" localSheetId="17">#REF!</definedName>
    <definedName name="aMOsandef" localSheetId="12">#REF!</definedName>
    <definedName name="aMOsandef" localSheetId="11">#REF!</definedName>
    <definedName name="aMOsandef">#REF!</definedName>
    <definedName name="aMOsellado" localSheetId="13">#REF!</definedName>
    <definedName name="aMOsellado" localSheetId="17">#REF!</definedName>
    <definedName name="aMOsellado" localSheetId="12">#REF!</definedName>
    <definedName name="aMOsellado" localSheetId="11">#REF!</definedName>
    <definedName name="aMOsellado">#REF!</definedName>
    <definedName name="aMOsenda" localSheetId="17">#REF!</definedName>
    <definedName name="aMOsenda">#REF!</definedName>
    <definedName name="aMOsendareadec" localSheetId="13">#REF!</definedName>
    <definedName name="aMOsendareadec" localSheetId="14">#REF!</definedName>
    <definedName name="aMOsendareadec" localSheetId="17">#REF!</definedName>
    <definedName name="aMOsendareadec" localSheetId="12">#REF!</definedName>
    <definedName name="aMOsendareadec" localSheetId="11">#REF!</definedName>
    <definedName name="aMOsendareadec">#REF!</definedName>
    <definedName name="aMOseñalamiento" localSheetId="13">#REF!</definedName>
    <definedName name="aMOseñalamiento" localSheetId="17">#REF!</definedName>
    <definedName name="aMOseñalamiento" localSheetId="12">#REF!</definedName>
    <definedName name="aMOseñalamiento" localSheetId="11">#REF!</definedName>
    <definedName name="aMOseñalamiento">#REF!</definedName>
    <definedName name="aMOseñalamientoreadec" localSheetId="13">#REF!</definedName>
    <definedName name="aMOseñalamientoreadec" localSheetId="14">#REF!</definedName>
    <definedName name="aMOseñalamientoreadec" localSheetId="17">#REF!</definedName>
    <definedName name="aMOseñalamientoreadec" localSheetId="12">#REF!</definedName>
    <definedName name="aMOseñalamientoreadec" localSheetId="11">#REF!</definedName>
    <definedName name="aMOseñalamientoreadec">#REF!</definedName>
    <definedName name="aMOseñalextrusion" localSheetId="13">#REF!</definedName>
    <definedName name="aMOseñalextrusion" localSheetId="17">#REF!</definedName>
    <definedName name="aMOseñalextrusion" localSheetId="12">#REF!</definedName>
    <definedName name="aMOseñalextrusion" localSheetId="11">#REF!</definedName>
    <definedName name="aMOseñalextrusion">#REF!</definedName>
    <definedName name="aMOseñalextrusionreadec" localSheetId="13">#REF!</definedName>
    <definedName name="aMOseñalextrusionreadec" localSheetId="14">#REF!</definedName>
    <definedName name="aMOseñalextrusionreadec" localSheetId="17">#REF!</definedName>
    <definedName name="aMOseñalextrusionreadec" localSheetId="12">#REF!</definedName>
    <definedName name="aMOseñalextrusionreadec" localSheetId="11">#REF!</definedName>
    <definedName name="aMOseñalextrusionreadec">#REF!</definedName>
    <definedName name="aMOseñalizacion" localSheetId="13">#REF!</definedName>
    <definedName name="aMOseñalizacion" localSheetId="17">#REF!</definedName>
    <definedName name="aMOseñalizacion" localSheetId="12">#REF!</definedName>
    <definedName name="aMOseñalizacion" localSheetId="11">#REF!</definedName>
    <definedName name="aMOseñalizacion">#REF!</definedName>
    <definedName name="aMOseñalizacionreadec" localSheetId="13">#REF!</definedName>
    <definedName name="aMOseñalizacionreadec" localSheetId="14">#REF!</definedName>
    <definedName name="aMOseñalizacionreadec" localSheetId="17">#REF!</definedName>
    <definedName name="aMOseñalizacionreadec" localSheetId="12">#REF!</definedName>
    <definedName name="aMOseñalizacionreadec" localSheetId="11">#REF!</definedName>
    <definedName name="aMOseñalizacionreadec">#REF!</definedName>
    <definedName name="aMOseñalvertreadec" localSheetId="13">#REF!</definedName>
    <definedName name="aMOseñalvertreadec" localSheetId="14">#REF!</definedName>
    <definedName name="aMOseñalvertreadec" localSheetId="17">#REF!</definedName>
    <definedName name="aMOseñalvertreadec" localSheetId="12">#REF!</definedName>
    <definedName name="aMOseñalvertreadec" localSheetId="11">#REF!</definedName>
    <definedName name="aMOseñalvertreadec">#REF!</definedName>
    <definedName name="aMOsistdren1071" localSheetId="13">#REF!</definedName>
    <definedName name="aMOsistdren1071" localSheetId="17">#REF!</definedName>
    <definedName name="aMOsistdren1071" localSheetId="12">#REF!</definedName>
    <definedName name="aMOsistdren1071" localSheetId="11">#REF!</definedName>
    <definedName name="aMOsistdren1071">#REF!</definedName>
    <definedName name="aMOsubbase" localSheetId="17">#REF!</definedName>
    <definedName name="aMOsubbase">#REF!</definedName>
    <definedName name="aMOterraplen" localSheetId="13">#REF!</definedName>
    <definedName name="aMOterraplen" localSheetId="14">#REF!</definedName>
    <definedName name="aMOterraplen" localSheetId="17">#REF!</definedName>
    <definedName name="aMOterraplen" localSheetId="12">#REF!</definedName>
    <definedName name="aMOterraplen" localSheetId="11">#REF!</definedName>
    <definedName name="aMOterraplen">#REF!</definedName>
    <definedName name="aMOterrapreadec" localSheetId="13">#REF!</definedName>
    <definedName name="aMOterrapreadec" localSheetId="14">#REF!</definedName>
    <definedName name="aMOterrapreadec" localSheetId="17">#REF!</definedName>
    <definedName name="aMOterrapreadec" localSheetId="12">#REF!</definedName>
    <definedName name="aMOterrapreadec" localSheetId="11">#REF!</definedName>
    <definedName name="aMOterrapreadec">#REF!</definedName>
    <definedName name="aMOterrsincomp" localSheetId="13">#REF!</definedName>
    <definedName name="aMOterrsincomp" localSheetId="17">#REF!</definedName>
    <definedName name="aMOterrsincomp" localSheetId="12">#REF!</definedName>
    <definedName name="aMOterrsincomp" localSheetId="11">#REF!</definedName>
    <definedName name="aMOterrsincomp">#REF!</definedName>
    <definedName name="aMOtravesia" localSheetId="17">#REF!</definedName>
    <definedName name="aMOtravesia">#REF!</definedName>
    <definedName name="aMOvigas" localSheetId="17">#REF!</definedName>
    <definedName name="aMOvigas">#REF!</definedName>
    <definedName name="aMpasamano">#REF!</definedName>
    <definedName name="aMperfilado" localSheetId="13">#REF!</definedName>
    <definedName name="aMperfilado" localSheetId="14">#REF!</definedName>
    <definedName name="aMperfilado" localSheetId="17">#REF!</definedName>
    <definedName name="aMperfilado" localSheetId="12">#REF!</definedName>
    <definedName name="aMperfilado" localSheetId="11">#REF!</definedName>
    <definedName name="aMperfilado">#REF!</definedName>
    <definedName name="aMpilotes" localSheetId="13">#REF!</definedName>
    <definedName name="aMpilotes" localSheetId="17">#REF!</definedName>
    <definedName name="aMpilotes" localSheetId="12">#REF!</definedName>
    <definedName name="aMpilotes" localSheetId="11">#REF!</definedName>
    <definedName name="aMpilotes">#REF!</definedName>
    <definedName name="aMpintado" localSheetId="17">#REF!</definedName>
    <definedName name="aMpintado">#REF!</definedName>
    <definedName name="aMpretiles" localSheetId="17">#REF!</definedName>
    <definedName name="aMpretiles">#REF!</definedName>
    <definedName name="aMpretilesreadec" localSheetId="13">#REF!</definedName>
    <definedName name="aMpretilesreadec" localSheetId="14">#REF!</definedName>
    <definedName name="aMpretilesreadec" localSheetId="17">#REF!</definedName>
    <definedName name="aMpretilesreadec" localSheetId="12">#REF!</definedName>
    <definedName name="aMpretilesreadec" localSheetId="11">#REF!</definedName>
    <definedName name="aMpretilesreadec">#REF!</definedName>
    <definedName name="aMprolongacion" localSheetId="13">#REF!</definedName>
    <definedName name="aMprolongacion" localSheetId="17">#REF!</definedName>
    <definedName name="aMprolongacion" localSheetId="12">#REF!</definedName>
    <definedName name="aMprolongacion" localSheetId="11">#REF!</definedName>
    <definedName name="aMprolongacion">#REF!</definedName>
    <definedName name="aMprolongacionreadec" localSheetId="13">#REF!</definedName>
    <definedName name="aMprolongacionreadec" localSheetId="14">#REF!</definedName>
    <definedName name="aMprolongacionreadec" localSheetId="17">#REF!</definedName>
    <definedName name="aMprolongacionreadec" localSheetId="12">#REF!</definedName>
    <definedName name="aMprolongacionreadec" localSheetId="11">#REF!</definedName>
    <definedName name="aMprolongacionreadec">#REF!</definedName>
    <definedName name="aMproteccion" localSheetId="13">#REF!</definedName>
    <definedName name="aMproteccion" localSheetId="17">#REF!</definedName>
    <definedName name="aMproteccion" localSheetId="12">#REF!</definedName>
    <definedName name="aMproteccion" localSheetId="11">#REF!</definedName>
    <definedName name="aMproteccion">#REF!</definedName>
    <definedName name="aMrelleno" localSheetId="17">#REF!</definedName>
    <definedName name="aMrelleno">#REF!</definedName>
    <definedName name="aMrellenoreadec" localSheetId="13">#REF!</definedName>
    <definedName name="aMrellenoreadec" localSheetId="14">#REF!</definedName>
    <definedName name="aMrellenoreadec" localSheetId="17">#REF!</definedName>
    <definedName name="aMrellenoreadec" localSheetId="12">#REF!</definedName>
    <definedName name="aMrellenoreadec" localSheetId="11">#REF!</definedName>
    <definedName name="aMrellenoreadec">#REF!</definedName>
    <definedName name="aMrep8026" localSheetId="13">#REF!</definedName>
    <definedName name="aMrep8026" localSheetId="17">#REF!</definedName>
    <definedName name="aMrep8026" localSheetId="12">#REF!</definedName>
    <definedName name="aMrep8026" localSheetId="11">#REF!</definedName>
    <definedName name="aMrep8026">#REF!</definedName>
    <definedName name="aMrep8026readec" localSheetId="13">#REF!</definedName>
    <definedName name="aMrep8026readec" localSheetId="14">#REF!</definedName>
    <definedName name="aMrep8026readec" localSheetId="17">#REF!</definedName>
    <definedName name="aMrep8026readec" localSheetId="12">#REF!</definedName>
    <definedName name="aMrep8026readec" localSheetId="11">#REF!</definedName>
    <definedName name="aMrep8026readec">#REF!</definedName>
    <definedName name="aMrepalc" localSheetId="13">#REF!</definedName>
    <definedName name="aMrepalc" localSheetId="17">#REF!</definedName>
    <definedName name="aMrepalc" localSheetId="12">#REF!</definedName>
    <definedName name="aMrepalc" localSheetId="11">#REF!</definedName>
    <definedName name="aMrepalc">#REF!</definedName>
    <definedName name="aMrestdrenaje" localSheetId="13">#REF!</definedName>
    <definedName name="aMrestdrenaje" localSheetId="14">#REF!</definedName>
    <definedName name="aMrestdrenaje" localSheetId="17">#REF!</definedName>
    <definedName name="aMrestdrenaje" localSheetId="12">#REF!</definedName>
    <definedName name="aMrestdrenaje" localSheetId="11">#REF!</definedName>
    <definedName name="aMrestdrenaje">#REF!</definedName>
    <definedName name="aMrestdrenajereadec" localSheetId="13">#REF!</definedName>
    <definedName name="aMrestdrenajereadec" localSheetId="14">#REF!</definedName>
    <definedName name="aMrestdrenajereadec" localSheetId="17">#REF!</definedName>
    <definedName name="aMrestdrenajereadec" localSheetId="12">#REF!</definedName>
    <definedName name="aMrestdrenajereadec" localSheetId="11">#REF!</definedName>
    <definedName name="aMrestdrenajereadec">#REF!</definedName>
    <definedName name="aMretderrumbe" localSheetId="13">#REF!</definedName>
    <definedName name="aMretderrumbe" localSheetId="14">#REF!</definedName>
    <definedName name="aMretderrumbe" localSheetId="17">#REF!</definedName>
    <definedName name="aMretderrumbe" localSheetId="12">#REF!</definedName>
    <definedName name="aMretderrumbe" localSheetId="11">#REF!</definedName>
    <definedName name="aMretderrumbe">#REF!</definedName>
    <definedName name="aMretrecolbaranda" localSheetId="13">#REF!</definedName>
    <definedName name="aMretrecolbaranda" localSheetId="14">#REF!</definedName>
    <definedName name="aMretrecolbaranda" localSheetId="17">#REF!</definedName>
    <definedName name="aMretrecolbaranda" localSheetId="12">#REF!</definedName>
    <definedName name="aMretrecolbaranda" localSheetId="11">#REF!</definedName>
    <definedName name="aMretrecolbaranda">#REF!</definedName>
    <definedName name="aMRHermoso" localSheetId="13">#REF!</definedName>
    <definedName name="aMRHermoso" localSheetId="17">#REF!</definedName>
    <definedName name="aMRHermoso" localSheetId="12">#REF!</definedName>
    <definedName name="aMRHermoso" localSheetId="11">#REF!</definedName>
    <definedName name="aMRHermoso">#REF!</definedName>
    <definedName name="aMriego" localSheetId="17">#REF!</definedName>
    <definedName name="aMriego">#REF!</definedName>
    <definedName name="aMrotondas" localSheetId="17">#REF!</definedName>
    <definedName name="aMrotondas">#REF!</definedName>
    <definedName name="aMsandef" localSheetId="13">#REF!</definedName>
    <definedName name="aMsandef" localSheetId="14">#REF!</definedName>
    <definedName name="aMsandef" localSheetId="17">#REF!</definedName>
    <definedName name="aMsandef" localSheetId="12">#REF!</definedName>
    <definedName name="aMsandef" localSheetId="11">#REF!</definedName>
    <definedName name="aMsandef">#REF!</definedName>
    <definedName name="aMsellado" localSheetId="13">#REF!</definedName>
    <definedName name="aMsellado" localSheetId="17">#REF!</definedName>
    <definedName name="aMsellado" localSheetId="12">#REF!</definedName>
    <definedName name="aMsellado" localSheetId="11">#REF!</definedName>
    <definedName name="aMsellado">#REF!</definedName>
    <definedName name="aMsenda" localSheetId="17">#REF!</definedName>
    <definedName name="aMsenda">#REF!</definedName>
    <definedName name="aMsendareadec" localSheetId="13">#REF!</definedName>
    <definedName name="aMsendareadec" localSheetId="14">#REF!</definedName>
    <definedName name="aMsendareadec" localSheetId="17">#REF!</definedName>
    <definedName name="aMsendareadec" localSheetId="12">#REF!</definedName>
    <definedName name="aMsendareadec" localSheetId="11">#REF!</definedName>
    <definedName name="aMsendareadec">#REF!</definedName>
    <definedName name="aMseñalamiento" localSheetId="13">#REF!</definedName>
    <definedName name="aMseñalamiento" localSheetId="17">#REF!</definedName>
    <definedName name="aMseñalamiento" localSheetId="12">#REF!</definedName>
    <definedName name="aMseñalamiento" localSheetId="11">#REF!</definedName>
    <definedName name="aMseñalamiento">#REF!</definedName>
    <definedName name="aMseñalamientoreadec" localSheetId="13">#REF!</definedName>
    <definedName name="aMseñalamientoreadec" localSheetId="14">#REF!</definedName>
    <definedName name="aMseñalamientoreadec" localSheetId="17">#REF!</definedName>
    <definedName name="aMseñalamientoreadec" localSheetId="12">#REF!</definedName>
    <definedName name="aMseñalamientoreadec" localSheetId="11">#REF!</definedName>
    <definedName name="aMseñalamientoreadec">#REF!</definedName>
    <definedName name="aMseñalextrusion" localSheetId="13">#REF!</definedName>
    <definedName name="aMseñalextrusion" localSheetId="17">#REF!</definedName>
    <definedName name="aMseñalextrusion" localSheetId="12">#REF!</definedName>
    <definedName name="aMseñalextrusion" localSheetId="11">#REF!</definedName>
    <definedName name="aMseñalextrusion">#REF!</definedName>
    <definedName name="aMseñalextrusionreadec" localSheetId="13">#REF!</definedName>
    <definedName name="aMseñalextrusionreadec" localSheetId="14">#REF!</definedName>
    <definedName name="aMseñalextrusionreadec" localSheetId="17">#REF!</definedName>
    <definedName name="aMseñalextrusionreadec" localSheetId="12">#REF!</definedName>
    <definedName name="aMseñalextrusionreadec" localSheetId="11">#REF!</definedName>
    <definedName name="aMseñalextrusionreadec">#REF!</definedName>
    <definedName name="aMseñalizacion" localSheetId="13">#REF!</definedName>
    <definedName name="aMseñalizacion" localSheetId="17">#REF!</definedName>
    <definedName name="aMseñalizacion" localSheetId="12">#REF!</definedName>
    <definedName name="aMseñalizacion" localSheetId="11">#REF!</definedName>
    <definedName name="aMseñalizacion">#REF!</definedName>
    <definedName name="aMseñalizacionreadec" localSheetId="13">#REF!</definedName>
    <definedName name="aMseñalizacionreadec" localSheetId="14">#REF!</definedName>
    <definedName name="aMseñalizacionreadec" localSheetId="17">#REF!</definedName>
    <definedName name="aMseñalizacionreadec" localSheetId="12">#REF!</definedName>
    <definedName name="aMseñalizacionreadec" localSheetId="11">#REF!</definedName>
    <definedName name="aMseñalizacionreadec">#REF!</definedName>
    <definedName name="aMseñalvertreadec" localSheetId="13">#REF!</definedName>
    <definedName name="aMseñalvertreadec" localSheetId="14">#REF!</definedName>
    <definedName name="aMseñalvertreadec" localSheetId="17">#REF!</definedName>
    <definedName name="aMseñalvertreadec" localSheetId="12">#REF!</definedName>
    <definedName name="aMseñalvertreadec" localSheetId="11">#REF!</definedName>
    <definedName name="aMseñalvertreadec">#REF!</definedName>
    <definedName name="aMsistdren1071" localSheetId="13">#REF!</definedName>
    <definedName name="aMsistdren1071" localSheetId="17">#REF!</definedName>
    <definedName name="aMsistdren1071" localSheetId="12">#REF!</definedName>
    <definedName name="aMsistdren1071" localSheetId="11">#REF!</definedName>
    <definedName name="aMsistdren1071">#REF!</definedName>
    <definedName name="aMsubbase" localSheetId="17">#REF!</definedName>
    <definedName name="aMsubbase">#REF!</definedName>
    <definedName name="AMTE" localSheetId="13">#REF!</definedName>
    <definedName name="AMTE" localSheetId="14">#REF!</definedName>
    <definedName name="AMTE" localSheetId="0">#REF!</definedName>
    <definedName name="AMTE" localSheetId="17">#REF!</definedName>
    <definedName name="AMTE" localSheetId="12">#REF!</definedName>
    <definedName name="AMTE" localSheetId="11">#REF!</definedName>
    <definedName name="AMTE">#REF!</definedName>
    <definedName name="aMterraplen" localSheetId="13">#REF!</definedName>
    <definedName name="aMterraplen" localSheetId="14">#REF!</definedName>
    <definedName name="aMterraplen" localSheetId="17">#REF!</definedName>
    <definedName name="aMterraplen" localSheetId="12">#REF!</definedName>
    <definedName name="aMterraplen" localSheetId="11">#REF!</definedName>
    <definedName name="aMterraplen">#REF!</definedName>
    <definedName name="aMterrapreadec" localSheetId="13">#REF!</definedName>
    <definedName name="aMterrapreadec" localSheetId="14">#REF!</definedName>
    <definedName name="aMterrapreadec" localSheetId="17">#REF!</definedName>
    <definedName name="aMterrapreadec" localSheetId="12">#REF!</definedName>
    <definedName name="aMterrapreadec" localSheetId="11">#REF!</definedName>
    <definedName name="aMterrapreadec">#REF!</definedName>
    <definedName name="aMterrsincomp" localSheetId="13">#REF!</definedName>
    <definedName name="aMterrsincomp" localSheetId="17">#REF!</definedName>
    <definedName name="aMterrsincomp" localSheetId="12">#REF!</definedName>
    <definedName name="aMterrsincomp" localSheetId="11">#REF!</definedName>
    <definedName name="aMterrsincomp">#REF!</definedName>
    <definedName name="aMtravesia" localSheetId="17">#REF!</definedName>
    <definedName name="aMtravesia">#REF!</definedName>
    <definedName name="aMvigas" localSheetId="17">#REF!</definedName>
    <definedName name="aMvigas">#REF!</definedName>
    <definedName name="Ana_Cent_Com" localSheetId="13">#REF!</definedName>
    <definedName name="Ana_Cent_Com" localSheetId="14">#REF!</definedName>
    <definedName name="Ana_Cent_Com" localSheetId="17">#REF!</definedName>
    <definedName name="Ana_Cent_Com" localSheetId="12">#REF!</definedName>
    <definedName name="Ana_Cent_Com" localSheetId="11">#REF!</definedName>
    <definedName name="Ana_Cent_Com">#REF!</definedName>
    <definedName name="Ana_Ed_3" localSheetId="13">#REF!</definedName>
    <definedName name="Ana_Ed_3" localSheetId="14">#REF!</definedName>
    <definedName name="Ana_Ed_3" localSheetId="17">#REF!</definedName>
    <definedName name="Ana_Ed_3" localSheetId="12">#REF!</definedName>
    <definedName name="Ana_Ed_3" localSheetId="11">#REF!</definedName>
    <definedName name="Ana_Ed_3">#REF!</definedName>
    <definedName name="Ana_Edi_1" localSheetId="13">#REF!</definedName>
    <definedName name="Ana_Edi_1" localSheetId="14">#REF!</definedName>
    <definedName name="Ana_Edi_1" localSheetId="17">#REF!</definedName>
    <definedName name="Ana_Edi_1" localSheetId="12">#REF!</definedName>
    <definedName name="Ana_Edi_1" localSheetId="11">#REF!</definedName>
    <definedName name="Ana_Edi_1">#REF!</definedName>
    <definedName name="Ana_Edi_2" localSheetId="13">#REF!</definedName>
    <definedName name="Ana_Edi_2" localSheetId="14">#REF!</definedName>
    <definedName name="Ana_Edi_2" localSheetId="17">#REF!</definedName>
    <definedName name="Ana_Edi_2" localSheetId="12">#REF!</definedName>
    <definedName name="Ana_Edi_2" localSheetId="11">#REF!</definedName>
    <definedName name="Ana_Edi_2">#REF!</definedName>
    <definedName name="Ana_Edi_2_Var" localSheetId="13">#REF!</definedName>
    <definedName name="Ana_Edi_2_Var" localSheetId="14">#REF!</definedName>
    <definedName name="Ana_Edi_2_Var" localSheetId="17">#REF!</definedName>
    <definedName name="Ana_Edi_2_Var" localSheetId="12">#REF!</definedName>
    <definedName name="Ana_Edi_2_Var" localSheetId="11">#REF!</definedName>
    <definedName name="Ana_Edi_2_Var">#REF!</definedName>
    <definedName name="Ana_Edi_3_Var" localSheetId="13">#REF!</definedName>
    <definedName name="Ana_Edi_3_Var" localSheetId="14">#REF!</definedName>
    <definedName name="Ana_Edi_3_Var" localSheetId="17">#REF!</definedName>
    <definedName name="Ana_Edi_3_Var" localSheetId="12">#REF!</definedName>
    <definedName name="Ana_Edi_3_Var" localSheetId="11">#REF!</definedName>
    <definedName name="Ana_Edi_3_Var">#REF!</definedName>
    <definedName name="Ana_OEX" localSheetId="13">#REF!</definedName>
    <definedName name="Ana_OEX" localSheetId="14">#REF!</definedName>
    <definedName name="Ana_OEX" localSheetId="17">#REF!</definedName>
    <definedName name="Ana_OEX" localSheetId="12">#REF!</definedName>
    <definedName name="Ana_OEX" localSheetId="11">#REF!</definedName>
    <definedName name="Ana_OEX">#REF!</definedName>
    <definedName name="Ana_Resumen" localSheetId="13">#REF!</definedName>
    <definedName name="Ana_Resumen" localSheetId="14">#REF!</definedName>
    <definedName name="Ana_Resumen" localSheetId="17">#REF!</definedName>
    <definedName name="Ana_Resumen" localSheetId="12">#REF!</definedName>
    <definedName name="Ana_Resumen" localSheetId="11">#REF!</definedName>
    <definedName name="Ana_Resumen">#REF!</definedName>
    <definedName name="ANAE1" localSheetId="5">#REF!</definedName>
    <definedName name="ANAE1" localSheetId="10">#REF!</definedName>
    <definedName name="ANAE1" localSheetId="4">#REF!</definedName>
    <definedName name="ANAE1" localSheetId="14">#REF!</definedName>
    <definedName name="ANAE1" localSheetId="0">#REF!</definedName>
    <definedName name="ANAE1" localSheetId="17">#REF!</definedName>
    <definedName name="ANAE1" localSheetId="7">#REF!</definedName>
    <definedName name="ANAE1" localSheetId="8">#REF!</definedName>
    <definedName name="ANAE1" localSheetId="6">#REF!</definedName>
    <definedName name="ANAE1" localSheetId="9">#REF!</definedName>
    <definedName name="ANAE1" localSheetId="1">#REF!</definedName>
    <definedName name="ANAE1" localSheetId="2">#REF!</definedName>
    <definedName name="ANAE1" localSheetId="3">#REF!</definedName>
    <definedName name="ANAE1">#REF!</definedName>
    <definedName name="analiprecios" localSheetId="13">#REF!</definedName>
    <definedName name="analiprecios" localSheetId="21">#REF!</definedName>
    <definedName name="analiprecios" localSheetId="22">#REF!</definedName>
    <definedName name="analiprecios" localSheetId="5">#REF!</definedName>
    <definedName name="analiprecios" localSheetId="10">#REF!</definedName>
    <definedName name="analiprecios" localSheetId="4">#REF!</definedName>
    <definedName name="analiprecios" localSheetId="0">#REF!</definedName>
    <definedName name="analiprecios" localSheetId="17">#REF!</definedName>
    <definedName name="analiprecios" localSheetId="7">#REF!</definedName>
    <definedName name="analiprecios" localSheetId="8">#REF!</definedName>
    <definedName name="analiprecios" localSheetId="6">#REF!</definedName>
    <definedName name="analiprecios" localSheetId="9">#REF!</definedName>
    <definedName name="analiprecios" localSheetId="19">#REF!</definedName>
    <definedName name="analiprecios" localSheetId="20">#REF!</definedName>
    <definedName name="analiprecios" localSheetId="12">#REF!</definedName>
    <definedName name="analiprecios" localSheetId="11">#REF!</definedName>
    <definedName name="analiprecios" localSheetId="1">#REF!</definedName>
    <definedName name="analiprecios" localSheetId="2">#REF!</definedName>
    <definedName name="analiprecios" localSheetId="3">#REF!</definedName>
    <definedName name="analiprecios">#REF!</definedName>
    <definedName name="ANALISIS" localSheetId="5">#REF!</definedName>
    <definedName name="ANALISIS" localSheetId="10">#REF!</definedName>
    <definedName name="ANALISIS" localSheetId="4">#REF!</definedName>
    <definedName name="ANALISIS" localSheetId="0">#REF!</definedName>
    <definedName name="ANALISIS" localSheetId="17">#REF!</definedName>
    <definedName name="ANALISIS" localSheetId="7">#REF!</definedName>
    <definedName name="ANALISIS" localSheetId="8">#REF!</definedName>
    <definedName name="ANALISIS" localSheetId="6">#REF!</definedName>
    <definedName name="ANALISIS" localSheetId="9">#REF!</definedName>
    <definedName name="ANALISIS" localSheetId="1">#REF!</definedName>
    <definedName name="ANALISIS" localSheetId="2">#REF!</definedName>
    <definedName name="ANALISIS" localSheetId="3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13">#REF!</definedName>
    <definedName name="analisisequipo" localSheetId="21">#REF!</definedName>
    <definedName name="analisisequipo" localSheetId="22">#REF!</definedName>
    <definedName name="analisisequipo" localSheetId="5">#REF!</definedName>
    <definedName name="analisisequipo" localSheetId="10">#REF!</definedName>
    <definedName name="analisisequipo" localSheetId="4">#REF!</definedName>
    <definedName name="analisisequipo" localSheetId="0">#REF!</definedName>
    <definedName name="analisisequipo" localSheetId="7">#REF!</definedName>
    <definedName name="analisisequipo" localSheetId="8">#REF!</definedName>
    <definedName name="analisisequipo" localSheetId="6">#REF!</definedName>
    <definedName name="analisisequipo" localSheetId="9">#REF!</definedName>
    <definedName name="analisisequipo" localSheetId="19">#REF!</definedName>
    <definedName name="analisisequipo" localSheetId="20">#REF!</definedName>
    <definedName name="analisisequipo" localSheetId="12">#REF!</definedName>
    <definedName name="analisisequipo" localSheetId="11">#REF!</definedName>
    <definedName name="analisisequipo" localSheetId="1">#REF!</definedName>
    <definedName name="analisisequipo" localSheetId="2">#REF!</definedName>
    <definedName name="analisisequipo" localSheetId="3">#REF!</definedName>
    <definedName name="analisisequipo">#REF!</definedName>
    <definedName name="analizado" localSheetId="13">#REF!</definedName>
    <definedName name="analizado" localSheetId="14">#REF!</definedName>
    <definedName name="analizado" localSheetId="17">#REF!</definedName>
    <definedName name="analizado" localSheetId="12">#REF!</definedName>
    <definedName name="analizado" localSheetId="11">#REF!</definedName>
    <definedName name="analizado">#REF!</definedName>
    <definedName name="angulo" localSheetId="13">#REF!</definedName>
    <definedName name="angulo" localSheetId="14">#REF!</definedName>
    <definedName name="angulo" localSheetId="17">#REF!</definedName>
    <definedName name="angulo" localSheetId="12">#REF!</definedName>
    <definedName name="angulo" localSheetId="11">#REF!</definedName>
    <definedName name="angulo">#REF!</definedName>
    <definedName name="angulo_lim" localSheetId="13">#REF!</definedName>
    <definedName name="angulo_lim" localSheetId="17">#REF!</definedName>
    <definedName name="angulo_lim" localSheetId="12">#REF!</definedName>
    <definedName name="angulo_lim" localSheetId="11">#REF!</definedName>
    <definedName name="angulo_lim">#REF!</definedName>
    <definedName name="angulolim" localSheetId="13">#REF!</definedName>
    <definedName name="angulolim" localSheetId="14">#REF!</definedName>
    <definedName name="angulolim" localSheetId="17">#REF!</definedName>
    <definedName name="angulolim" localSheetId="12">#REF!</definedName>
    <definedName name="angulolim" localSheetId="11">#REF!</definedName>
    <definedName name="angulolim">#REF!</definedName>
    <definedName name="angulolim_c" localSheetId="13">#REF!</definedName>
    <definedName name="angulolim_c" localSheetId="17">#REF!</definedName>
    <definedName name="angulolim_c" localSheetId="12">#REF!</definedName>
    <definedName name="angulolim_c" localSheetId="11">#REF!</definedName>
    <definedName name="angulolim_c">#REF!</definedName>
    <definedName name="ANTICIPO" localSheetId="17">#REF!</definedName>
    <definedName name="ANTICIPO">#REF!</definedName>
    <definedName name="AR" localSheetId="17">#REF!</definedName>
    <definedName name="AR">#REF!</definedName>
    <definedName name="Arand.">#REF!</definedName>
    <definedName name="ardos">#REF!</definedName>
    <definedName name="AREA_DE_IMPRESION">#REF!</definedName>
    <definedName name="AREA1" localSheetId="13">#REF!</definedName>
    <definedName name="AREA1" localSheetId="14">#REF!</definedName>
    <definedName name="AREA1" localSheetId="17">#REF!</definedName>
    <definedName name="AREA1" localSheetId="12">#REF!</definedName>
    <definedName name="AREA1" localSheetId="11">#REF!</definedName>
    <definedName name="AREA1">#REF!</definedName>
    <definedName name="AREA2" localSheetId="17">#REF!</definedName>
    <definedName name="AREA2" localSheetId="12">#REF!</definedName>
    <definedName name="AREA2" localSheetId="11">#REF!</definedName>
    <definedName name="AREA2">#REF!</definedName>
    <definedName name="arena" localSheetId="13">#REF!</definedName>
    <definedName name="arena" localSheetId="14">#REF!</definedName>
    <definedName name="arena" localSheetId="17">#REF!</definedName>
    <definedName name="arena" localSheetId="12">#REF!</definedName>
    <definedName name="arena" localSheetId="11">#REF!</definedName>
    <definedName name="arena">#REF!</definedName>
    <definedName name="AReq" localSheetId="17">#REF!</definedName>
    <definedName name="AReq">#REF!</definedName>
    <definedName name="Armadura" localSheetId="17">#REF!</definedName>
    <definedName name="Armadura">#REF!</definedName>
    <definedName name="armco" localSheetId="13">#REF!</definedName>
    <definedName name="armco" localSheetId="14">#REF!</definedName>
    <definedName name="armco" localSheetId="17">#REF!</definedName>
    <definedName name="armco" localSheetId="12">#REF!</definedName>
    <definedName name="armco" localSheetId="11">#REF!</definedName>
    <definedName name="armco">#REF!</definedName>
    <definedName name="armdis" localSheetId="13">#REF!</definedName>
    <definedName name="armdis" localSheetId="17">#REF!</definedName>
    <definedName name="armdis" localSheetId="12">#REF!</definedName>
    <definedName name="armdis" localSheetId="11">#REF!</definedName>
    <definedName name="armdis">#REF!</definedName>
    <definedName name="ARR">#N/A</definedName>
    <definedName name="ARRA" localSheetId="13">#REF!</definedName>
    <definedName name="ARRA" localSheetId="10">#REF!</definedName>
    <definedName name="ARRA" localSheetId="4">#REF!</definedName>
    <definedName name="ARRA" localSheetId="14">#REF!</definedName>
    <definedName name="ARRA" localSheetId="0">#REF!</definedName>
    <definedName name="ARRA" localSheetId="17">#REF!</definedName>
    <definedName name="ARRA">#REF!</definedName>
    <definedName name="ARRC" localSheetId="13">#REF!</definedName>
    <definedName name="ARRC" localSheetId="4">#REF!</definedName>
    <definedName name="ARRC" localSheetId="14">#REF!</definedName>
    <definedName name="ARRC" localSheetId="0">#REF!</definedName>
    <definedName name="ARRC" localSheetId="17">#REF!</definedName>
    <definedName name="ARRC" localSheetId="12">#REF!</definedName>
    <definedName name="ARRC" localSheetId="11">#REF!</definedName>
    <definedName name="ARRC">#REF!</definedName>
    <definedName name="ARREM" localSheetId="13">#REF!</definedName>
    <definedName name="ARREM" localSheetId="14">#REF!</definedName>
    <definedName name="ARREM" localSheetId="0">#REF!</definedName>
    <definedName name="ARREM" localSheetId="17">#REF!</definedName>
    <definedName name="ARREM" localSheetId="12">#REF!</definedName>
    <definedName name="ARREM" localSheetId="11">#REF!</definedName>
    <definedName name="ARREM">#REF!</definedName>
    <definedName name="ARREP" localSheetId="13">#REF!</definedName>
    <definedName name="ARREP" localSheetId="14">#REF!</definedName>
    <definedName name="ARREP" localSheetId="0">#REF!</definedName>
    <definedName name="ARREP" localSheetId="17">#REF!</definedName>
    <definedName name="ARREP" localSheetId="12">#REF!</definedName>
    <definedName name="ARREP" localSheetId="11">#REF!</definedName>
    <definedName name="ARREP">#REF!</definedName>
    <definedName name="arriba" localSheetId="5">#REF!</definedName>
    <definedName name="arriba" localSheetId="10">#REF!</definedName>
    <definedName name="arriba" localSheetId="4">#REF!</definedName>
    <definedName name="arriba" localSheetId="14">#REF!</definedName>
    <definedName name="arriba" localSheetId="0">#REF!</definedName>
    <definedName name="arriba" localSheetId="17">#REF!</definedName>
    <definedName name="arriba" localSheetId="7">#REF!</definedName>
    <definedName name="arriba" localSheetId="8">#REF!</definedName>
    <definedName name="arriba" localSheetId="6">#REF!</definedName>
    <definedName name="arriba" localSheetId="9">#REF!</definedName>
    <definedName name="arriba" localSheetId="1">#REF!</definedName>
    <definedName name="arriba" localSheetId="2">#REF!</definedName>
    <definedName name="arriba" localSheetId="3">#REF!</definedName>
    <definedName name="arriba">#REF!</definedName>
    <definedName name="ARRRR" localSheetId="13">#REF!</definedName>
    <definedName name="ARRRR" localSheetId="14">#REF!</definedName>
    <definedName name="ARRRR" localSheetId="0">#REF!</definedName>
    <definedName name="ARRRR" localSheetId="17">#REF!</definedName>
    <definedName name="ARRRR" localSheetId="12">#REF!</definedName>
    <definedName name="ARRRR" localSheetId="11">#REF!</definedName>
    <definedName name="ARRRR">#REF!</definedName>
    <definedName name="ARSC" localSheetId="13">#REF!</definedName>
    <definedName name="ARSC" localSheetId="14">#REF!</definedName>
    <definedName name="ARSC" localSheetId="0">#REF!</definedName>
    <definedName name="ARSC" localSheetId="17">#REF!</definedName>
    <definedName name="ARSC" localSheetId="12">#REF!</definedName>
    <definedName name="ARSC" localSheetId="11">#REF!</definedName>
    <definedName name="ARSC">#REF!</definedName>
    <definedName name="ARSCE" localSheetId="13">#REF!</definedName>
    <definedName name="ARSCE" localSheetId="14">#REF!</definedName>
    <definedName name="ARSCE" localSheetId="0">#REF!</definedName>
    <definedName name="ARSCE" localSheetId="17">#REF!</definedName>
    <definedName name="ARSCE" localSheetId="12">#REF!</definedName>
    <definedName name="ARSCE" localSheetId="11">#REF!</definedName>
    <definedName name="ARSCE">#REF!</definedName>
    <definedName name="ARSDA" localSheetId="13">#REF!</definedName>
    <definedName name="ARSDA" localSheetId="14">#REF!</definedName>
    <definedName name="ARSDA" localSheetId="0">#REF!</definedName>
    <definedName name="ARSDA" localSheetId="17">#REF!</definedName>
    <definedName name="ARSDA" localSheetId="12">#REF!</definedName>
    <definedName name="ARSDA" localSheetId="11">#REF!</definedName>
    <definedName name="ARSDA">#REF!</definedName>
    <definedName name="ARSEC" localSheetId="13">#REF!</definedName>
    <definedName name="ARSEC" localSheetId="14">#REF!</definedName>
    <definedName name="ARSEC" localSheetId="0">#REF!</definedName>
    <definedName name="ARSEC" localSheetId="17">#REF!</definedName>
    <definedName name="ARSEC" localSheetId="12">#REF!</definedName>
    <definedName name="ARSEC" localSheetId="11">#REF!</definedName>
    <definedName name="ARSEC">#REF!</definedName>
    <definedName name="ARSED" localSheetId="13">#REF!</definedName>
    <definedName name="ARSED" localSheetId="14">#REF!</definedName>
    <definedName name="ARSED" localSheetId="0">#REF!</definedName>
    <definedName name="ARSED" localSheetId="17">#REF!</definedName>
    <definedName name="ARSED" localSheetId="12">#REF!</definedName>
    <definedName name="ARSED" localSheetId="11">#REF!</definedName>
    <definedName name="ARSED">#REF!</definedName>
    <definedName name="ARSEM" localSheetId="13">#REF!</definedName>
    <definedName name="ARSEM" localSheetId="14">#REF!</definedName>
    <definedName name="ARSEM" localSheetId="0">#REF!</definedName>
    <definedName name="ARSEM" localSheetId="17">#REF!</definedName>
    <definedName name="ARSEM" localSheetId="12">#REF!</definedName>
    <definedName name="ARSEM" localSheetId="11">#REF!</definedName>
    <definedName name="ARSEM">#REF!</definedName>
    <definedName name="ARSEP" localSheetId="13">#REF!</definedName>
    <definedName name="ARSEP" localSheetId="14">#REF!</definedName>
    <definedName name="ARSEP" localSheetId="0">#REF!</definedName>
    <definedName name="ARSEP" localSheetId="17">#REF!</definedName>
    <definedName name="ARSEP" localSheetId="12">#REF!</definedName>
    <definedName name="ARSEP" localSheetId="11">#REF!</definedName>
    <definedName name="ARSEP">#REF!</definedName>
    <definedName name="ARSLE" localSheetId="13">#REF!</definedName>
    <definedName name="ARSLE" localSheetId="14">#REF!</definedName>
    <definedName name="ARSLE" localSheetId="0">#REF!</definedName>
    <definedName name="ARSLE" localSheetId="17">#REF!</definedName>
    <definedName name="ARSLE" localSheetId="12">#REF!</definedName>
    <definedName name="ARSLE" localSheetId="11">#REF!</definedName>
    <definedName name="ARSLE">#REF!</definedName>
    <definedName name="ARSNA" localSheetId="13">#REF!</definedName>
    <definedName name="ARSNA" localSheetId="14">#REF!</definedName>
    <definedName name="ARSNA" localSheetId="0">#REF!</definedName>
    <definedName name="ARSNA" localSheetId="17">#REF!</definedName>
    <definedName name="ARSNA" localSheetId="12">#REF!</definedName>
    <definedName name="ARSNA" localSheetId="11">#REF!</definedName>
    <definedName name="ARSNA">#REF!</definedName>
    <definedName name="ART" localSheetId="13">#REF!</definedName>
    <definedName name="ART" localSheetId="14">#REF!</definedName>
    <definedName name="ART" localSheetId="17">#REF!</definedName>
    <definedName name="ART" localSheetId="12">#REF!</definedName>
    <definedName name="ART" localSheetId="11">#REF!</definedName>
    <definedName name="ART">#REF!</definedName>
    <definedName name="ART_Cargo_Fijo" localSheetId="13">#REF!</definedName>
    <definedName name="ART_Cargo_Fijo" localSheetId="14">#REF!</definedName>
    <definedName name="ART_Cargo_Fijo" localSheetId="17">#REF!</definedName>
    <definedName name="ART_Cargo_Fijo" localSheetId="12">#REF!</definedName>
    <definedName name="ART_Cargo_Fijo" localSheetId="11">#REF!</definedName>
    <definedName name="ART_Cargo_Fijo">#REF!</definedName>
    <definedName name="aruno" localSheetId="13">#REF!</definedName>
    <definedName name="aruno" localSheetId="17">#REF!</definedName>
    <definedName name="aruno" localSheetId="12">#REF!</definedName>
    <definedName name="aruno" localSheetId="11">#REF!</definedName>
    <definedName name="aruno">#REF!</definedName>
    <definedName name="as" localSheetId="17">#REF!</definedName>
    <definedName name="as">#REF!</definedName>
    <definedName name="asd" localSheetId="13">L2C1:L372C15</definedName>
    <definedName name="asd" localSheetId="21">L2C1:L372C15</definedName>
    <definedName name="asd" localSheetId="22">L2C1:L372C15</definedName>
    <definedName name="asd" localSheetId="16">L2C1:L372C15</definedName>
    <definedName name="asd" localSheetId="14">L2C1:L372C15</definedName>
    <definedName name="asd" localSheetId="17">L2C1:L372C15</definedName>
    <definedName name="asd" localSheetId="7">L2C1:L372C15</definedName>
    <definedName name="asd" localSheetId="8">L2C1:L372C15</definedName>
    <definedName name="asd" localSheetId="9">L2C1:L372C15</definedName>
    <definedName name="asd" localSheetId="19">L2C1:L372C15</definedName>
    <definedName name="asd" localSheetId="20">L2C1:L372C15</definedName>
    <definedName name="asd" localSheetId="12">L2C1:L372C15</definedName>
    <definedName name="asd" localSheetId="11">L2C1:L372C15</definedName>
    <definedName name="asd" localSheetId="2">L2C1:L372C15</definedName>
    <definedName name="asd" localSheetId="3">L2C1:L372C15</definedName>
    <definedName name="asd" localSheetId="23">L2C1:L372C15</definedName>
    <definedName name="asd">L2C1:L372C15</definedName>
    <definedName name="asdaaa" localSheetId="5">#REF!</definedName>
    <definedName name="asdaaa" localSheetId="10">#REF!</definedName>
    <definedName name="asdaaa" localSheetId="4">#REF!</definedName>
    <definedName name="asdaaa" localSheetId="14">#REF!</definedName>
    <definedName name="asdaaa" localSheetId="0">#REF!</definedName>
    <definedName name="asdaaa" localSheetId="17">#REF!</definedName>
    <definedName name="asdaaa" localSheetId="7">#REF!</definedName>
    <definedName name="asdaaa" localSheetId="8">#REF!</definedName>
    <definedName name="asdaaa" localSheetId="6">#REF!</definedName>
    <definedName name="asdaaa" localSheetId="9">#REF!</definedName>
    <definedName name="asdaaa" localSheetId="12">#REF!</definedName>
    <definedName name="asdaaa" localSheetId="11">#REF!</definedName>
    <definedName name="asdaaa" localSheetId="1">#REF!</definedName>
    <definedName name="asdaaa" localSheetId="2">#REF!</definedName>
    <definedName name="asdaaa" localSheetId="3">#REF!</definedName>
    <definedName name="asdaaa">#REF!</definedName>
    <definedName name="ASDAASD" localSheetId="13">L2C1:L372C15</definedName>
    <definedName name="ASDAASD" localSheetId="21">L2C1:L372C15</definedName>
    <definedName name="ASDAASD" localSheetId="22">L2C1:L372C15</definedName>
    <definedName name="ASDAASD" localSheetId="16">L2C1:L372C15</definedName>
    <definedName name="ASDAASD" localSheetId="14">L2C1:L372C15</definedName>
    <definedName name="ASDAASD" localSheetId="17">L2C1:L372C15</definedName>
    <definedName name="ASDAASD" localSheetId="7">L2C1:L372C15</definedName>
    <definedName name="ASDAASD" localSheetId="8">L2C1:L372C15</definedName>
    <definedName name="ASDAASD" localSheetId="9">L2C1:L372C15</definedName>
    <definedName name="ASDAASD" localSheetId="19">L2C1:L372C15</definedName>
    <definedName name="ASDAASD" localSheetId="20">L2C1:L372C15</definedName>
    <definedName name="ASDAASD" localSheetId="12">L2C1:L372C15</definedName>
    <definedName name="ASDAASD" localSheetId="11">L2C1:L372C15</definedName>
    <definedName name="ASDAASD" localSheetId="2">L2C1:L372C15</definedName>
    <definedName name="ASDAASD" localSheetId="3">L2C1:L372C15</definedName>
    <definedName name="ASDAASD" localSheetId="23">L2C1:L372C15</definedName>
    <definedName name="ASDAASD">L2C1:L372C15</definedName>
    <definedName name="asdis" localSheetId="13">#REF!</definedName>
    <definedName name="asdis" localSheetId="14">#REF!</definedName>
    <definedName name="asdis" localSheetId="17">#REF!</definedName>
    <definedName name="asdis" localSheetId="12">#REF!</definedName>
    <definedName name="asdis" localSheetId="11">#REF!</definedName>
    <definedName name="asdis">#REF!</definedName>
    <definedName name="asew" localSheetId="5">#REF!</definedName>
    <definedName name="asew" localSheetId="10">#REF!</definedName>
    <definedName name="asew" localSheetId="4">#REF!</definedName>
    <definedName name="asew" localSheetId="14">#REF!</definedName>
    <definedName name="asew" localSheetId="0">#REF!</definedName>
    <definedName name="asew" localSheetId="17">#REF!</definedName>
    <definedName name="asew" localSheetId="7">#REF!</definedName>
    <definedName name="asew" localSheetId="8">#REF!</definedName>
    <definedName name="asew" localSheetId="6">#REF!</definedName>
    <definedName name="asew" localSheetId="9">#REF!</definedName>
    <definedName name="asew" localSheetId="12">#REF!</definedName>
    <definedName name="asew" localSheetId="11">#REF!</definedName>
    <definedName name="asew" localSheetId="1">#REF!</definedName>
    <definedName name="asew" localSheetId="2">#REF!</definedName>
    <definedName name="asew" localSheetId="3">#REF!</definedName>
    <definedName name="asew">#REF!</definedName>
    <definedName name="Asistencia" localSheetId="13">#REF!</definedName>
    <definedName name="Asistencia" localSheetId="14">#REF!</definedName>
    <definedName name="Asistencia" localSheetId="17">#REF!</definedName>
    <definedName name="Asistencia" localSheetId="12">#REF!</definedName>
    <definedName name="Asistencia" localSheetId="11">#REF!</definedName>
    <definedName name="Asistencia">#REF!</definedName>
    <definedName name="at1cañodren" localSheetId="13">#REF!</definedName>
    <definedName name="at1cañodren" localSheetId="17">#REF!</definedName>
    <definedName name="at1cañodren" localSheetId="12">#REF!</definedName>
    <definedName name="at1cañodren" localSheetId="11">#REF!</definedName>
    <definedName name="at1cañodren">#REF!</definedName>
    <definedName name="at1cemento" localSheetId="17">#REF!</definedName>
    <definedName name="at1cemento">#REF!</definedName>
    <definedName name="at1hierro" localSheetId="17">#REF!</definedName>
    <definedName name="at1hierro">#REF!</definedName>
    <definedName name="aTacceso">#REF!</definedName>
    <definedName name="aTaccesoreadec" localSheetId="13">#REF!</definedName>
    <definedName name="aTaccesoreadec" localSheetId="14">#REF!</definedName>
    <definedName name="aTaccesoreadec" localSheetId="17">#REF!</definedName>
    <definedName name="aTaccesoreadec" localSheetId="12">#REF!</definedName>
    <definedName name="aTaccesoreadec" localSheetId="11">#REF!</definedName>
    <definedName name="aTaccesoreadec">#REF!</definedName>
    <definedName name="aTacondct" localSheetId="13">#REF!</definedName>
    <definedName name="aTacondct" localSheetId="14">#REF!</definedName>
    <definedName name="aTacondct" localSheetId="17">#REF!</definedName>
    <definedName name="aTacondct" localSheetId="12">#REF!</definedName>
    <definedName name="aTacondct" localSheetId="11">#REF!</definedName>
    <definedName name="aTacondct">#REF!</definedName>
    <definedName name="aTalcantarilla" localSheetId="13">#REF!</definedName>
    <definedName name="aTalcantarilla" localSheetId="17">#REF!</definedName>
    <definedName name="aTalcantarilla" localSheetId="12">#REF!</definedName>
    <definedName name="aTalcantarilla" localSheetId="11">#REF!</definedName>
    <definedName name="aTalcantarilla">#REF!</definedName>
    <definedName name="aTalcantarillareadec" localSheetId="13">#REF!</definedName>
    <definedName name="aTalcantarillareadec" localSheetId="14">#REF!</definedName>
    <definedName name="aTalcantarillareadec" localSheetId="17">#REF!</definedName>
    <definedName name="aTalcantarillareadec" localSheetId="12">#REF!</definedName>
    <definedName name="aTalcantarillareadec" localSheetId="11">#REF!</definedName>
    <definedName name="aTalcantarillareadec">#REF!</definedName>
    <definedName name="aTalteo" localSheetId="13">#REF!</definedName>
    <definedName name="aTalteo" localSheetId="14">#REF!</definedName>
    <definedName name="aTalteo" localSheetId="17">#REF!</definedName>
    <definedName name="aTalteo" localSheetId="12">#REF!</definedName>
    <definedName name="aTalteo" localSheetId="11">#REF!</definedName>
    <definedName name="aTalteo">#REF!</definedName>
    <definedName name="aTalteoreadec" localSheetId="13">#REF!</definedName>
    <definedName name="aTalteoreadec" localSheetId="14">#REF!</definedName>
    <definedName name="aTalteoreadec" localSheetId="17">#REF!</definedName>
    <definedName name="aTalteoreadec" localSheetId="12">#REF!</definedName>
    <definedName name="aTalteoreadec" localSheetId="11">#REF!</definedName>
    <definedName name="aTalteoreadec">#REF!</definedName>
    <definedName name="aTApartido" localSheetId="13">#REF!</definedName>
    <definedName name="aTApartido" localSheetId="17">#REF!</definedName>
    <definedName name="aTApartido" localSheetId="12">#REF!</definedName>
    <definedName name="aTApartido" localSheetId="11">#REF!</definedName>
    <definedName name="aTApartido">#REF!</definedName>
    <definedName name="aTbacheo" localSheetId="17">#REF!</definedName>
    <definedName name="aTbacheo">#REF!</definedName>
    <definedName name="aTbacheosan" localSheetId="17">#REF!</definedName>
    <definedName name="aTbacheosan">#REF!</definedName>
    <definedName name="aTbandason">#REF!</definedName>
    <definedName name="aTbanquina">#REF!</definedName>
    <definedName name="aTbaranda" localSheetId="13">#REF!</definedName>
    <definedName name="aTbaranda" localSheetId="14">#REF!</definedName>
    <definedName name="aTbaranda" localSheetId="17">#REF!</definedName>
    <definedName name="aTbaranda" localSheetId="12">#REF!</definedName>
    <definedName name="aTbaranda" localSheetId="11">#REF!</definedName>
    <definedName name="aTbaranda">#REF!</definedName>
    <definedName name="aTbarandareadec" localSheetId="13">#REF!</definedName>
    <definedName name="aTbarandareadec" localSheetId="14">#REF!</definedName>
    <definedName name="aTbarandareadec" localSheetId="17">#REF!</definedName>
    <definedName name="aTbarandareadec" localSheetId="12">#REF!</definedName>
    <definedName name="aTbarandareadec" localSheetId="11">#REF!</definedName>
    <definedName name="aTbarandareadec">#REF!</definedName>
    <definedName name="aTbase" localSheetId="13">#REF!</definedName>
    <definedName name="aTbase" localSheetId="14">#REF!</definedName>
    <definedName name="aTbase" localSheetId="17">#REF!</definedName>
    <definedName name="aTbase" localSheetId="12">#REF!</definedName>
    <definedName name="aTbase" localSheetId="11">#REF!</definedName>
    <definedName name="aTbase">#REF!</definedName>
    <definedName name="aTcabezales" localSheetId="13">#REF!</definedName>
    <definedName name="aTcabezales" localSheetId="17">#REF!</definedName>
    <definedName name="aTcabezales" localSheetId="12">#REF!</definedName>
    <definedName name="aTcabezales" localSheetId="11">#REF!</definedName>
    <definedName name="aTcabezales">#REF!</definedName>
    <definedName name="aTcalzadahorm" localSheetId="17">#REF!</definedName>
    <definedName name="aTcalzadahorm">#REF!</definedName>
    <definedName name="aTcalzadas" localSheetId="17">#REF!</definedName>
    <definedName name="aTcalzadas">#REF!</definedName>
    <definedName name="aTcarpeta">#REF!</definedName>
    <definedName name="aTcarpetariego">#REF!</definedName>
    <definedName name="aTCCura">#REF!</definedName>
    <definedName name="aTCCurareadec" localSheetId="13">#REF!</definedName>
    <definedName name="aTCCurareadec" localSheetId="14">#REF!</definedName>
    <definedName name="aTCCurareadec" localSheetId="17">#REF!</definedName>
    <definedName name="aTCCurareadec" localSheetId="12">#REF!</definedName>
    <definedName name="aTCCurareadec" localSheetId="11">#REF!</definedName>
    <definedName name="aTCCurareadec">#REF!</definedName>
    <definedName name="aTciclovía" localSheetId="13">#REF!</definedName>
    <definedName name="aTciclovía" localSheetId="17">#REF!</definedName>
    <definedName name="aTciclovía" localSheetId="12">#REF!</definedName>
    <definedName name="aTciclovía" localSheetId="11">#REF!</definedName>
    <definedName name="aTciclovía">#REF!</definedName>
    <definedName name="aTciclovíareadec" localSheetId="13">#REF!</definedName>
    <definedName name="aTciclovíareadec" localSheetId="14">#REF!</definedName>
    <definedName name="aTciclovíareadec" localSheetId="17">#REF!</definedName>
    <definedName name="aTciclovíareadec" localSheetId="12">#REF!</definedName>
    <definedName name="aTciclovíareadec" localSheetId="11">#REF!</definedName>
    <definedName name="aTciclovíareadec">#REF!</definedName>
    <definedName name="aTcolumnas" localSheetId="13">#REF!</definedName>
    <definedName name="aTcolumnas" localSheetId="17">#REF!</definedName>
    <definedName name="aTcolumnas" localSheetId="12">#REF!</definedName>
    <definedName name="aTcolumnas" localSheetId="11">#REF!</definedName>
    <definedName name="aTcolumnas">#REF!</definedName>
    <definedName name="aTcortepasto" localSheetId="17">#REF!</definedName>
    <definedName name="aTcortepasto">#REF!</definedName>
    <definedName name="aTdemolicion" localSheetId="17">#REF!</definedName>
    <definedName name="aTdemolicion">#REF!</definedName>
    <definedName name="aTdesembanque">#REF!</definedName>
    <definedName name="aTdren" localSheetId="13">#REF!</definedName>
    <definedName name="aTdren" localSheetId="14">#REF!</definedName>
    <definedName name="aTdren" localSheetId="17">#REF!</definedName>
    <definedName name="aTdren" localSheetId="12">#REF!</definedName>
    <definedName name="aTdren" localSheetId="11">#REF!</definedName>
    <definedName name="aTdren">#REF!</definedName>
    <definedName name="aTescarifbanq" localSheetId="13">#REF!</definedName>
    <definedName name="aTescarifbanq" localSheetId="17">#REF!</definedName>
    <definedName name="aTescarifbanq" localSheetId="12">#REF!</definedName>
    <definedName name="aTescarifbanq" localSheetId="11">#REF!</definedName>
    <definedName name="aTescarifbanq">#REF!</definedName>
    <definedName name="aTescarificado" localSheetId="13">#REF!</definedName>
    <definedName name="aTescarificado" localSheetId="14">#REF!</definedName>
    <definedName name="aTescarificado" localSheetId="17">#REF!</definedName>
    <definedName name="aTescarificado" localSheetId="12">#REF!</definedName>
    <definedName name="aTescarificado" localSheetId="11">#REF!</definedName>
    <definedName name="aTescarificado">#REF!</definedName>
    <definedName name="aTestribos" localSheetId="13">#REF!</definedName>
    <definedName name="aTestribos" localSheetId="17">#REF!</definedName>
    <definedName name="aTestribos" localSheetId="12">#REF!</definedName>
    <definedName name="aTestribos" localSheetId="11">#REF!</definedName>
    <definedName name="aTestribos">#REF!</definedName>
    <definedName name="aTexcavacion" localSheetId="17">#REF!</definedName>
    <definedName name="aTexcavacion">#REF!</definedName>
    <definedName name="aTexcavacionreadec" localSheetId="13">#REF!</definedName>
    <definedName name="aTexcavacionreadec" localSheetId="14">#REF!</definedName>
    <definedName name="aTexcavacionreadec" localSheetId="17">#REF!</definedName>
    <definedName name="aTexcavacionreadec" localSheetId="12">#REF!</definedName>
    <definedName name="aTexcavacionreadec" localSheetId="11">#REF!</definedName>
    <definedName name="aTexcavacionreadec">#REF!</definedName>
    <definedName name="aTgaviones" localSheetId="13">#REF!</definedName>
    <definedName name="aTgaviones" localSheetId="14">#REF!</definedName>
    <definedName name="aTgaviones" localSheetId="17">#REF!</definedName>
    <definedName name="aTgaviones" localSheetId="12">#REF!</definedName>
    <definedName name="aTgaviones" localSheetId="11">#REF!</definedName>
    <definedName name="aTgaviones">#REF!</definedName>
    <definedName name="aTHermosoreadec" localSheetId="13">#REF!</definedName>
    <definedName name="aTHermosoreadec" localSheetId="14">#REF!</definedName>
    <definedName name="aTHermosoreadec" localSheetId="17">#REF!</definedName>
    <definedName name="aTHermosoreadec" localSheetId="12">#REF!</definedName>
    <definedName name="aTHermosoreadec" localSheetId="11">#REF!</definedName>
    <definedName name="aTHermosoreadec">#REF!</definedName>
    <definedName name="aThorC" localSheetId="13">#REF!</definedName>
    <definedName name="aThorC" localSheetId="17">#REF!</definedName>
    <definedName name="aThorC" localSheetId="12">#REF!</definedName>
    <definedName name="aThorC" localSheetId="11">#REF!</definedName>
    <definedName name="aThorC">#REF!</definedName>
    <definedName name="aThormigon" localSheetId="13">#REF!</definedName>
    <definedName name="aThormigon" localSheetId="14">#REF!</definedName>
    <definedName name="aThormigon" localSheetId="17">#REF!</definedName>
    <definedName name="aThormigon" localSheetId="12">#REF!</definedName>
    <definedName name="aThormigon" localSheetId="11">#REF!</definedName>
    <definedName name="aThormigon">#REF!</definedName>
    <definedName name="aTimprimacion" localSheetId="13">#REF!</definedName>
    <definedName name="aTimprimacion" localSheetId="14">#REF!</definedName>
    <definedName name="aTimprimacion" localSheetId="17">#REF!</definedName>
    <definedName name="aTimprimacion" localSheetId="12">#REF!</definedName>
    <definedName name="aTimprimacion" localSheetId="11">#REF!</definedName>
    <definedName name="aTimprimacion">#REF!</definedName>
    <definedName name="aTimprimacionreadec" localSheetId="13">#REF!</definedName>
    <definedName name="aTimprimacionreadec" localSheetId="14">#REF!</definedName>
    <definedName name="aTimprimacionreadec" localSheetId="17">#REF!</definedName>
    <definedName name="aTimprimacionreadec" localSheetId="12">#REF!</definedName>
    <definedName name="aTimprimacionreadec" localSheetId="11">#REF!</definedName>
    <definedName name="aTimprimacionreadec">#REF!</definedName>
    <definedName name="aTimprimrefor" localSheetId="13">#REF!</definedName>
    <definedName name="aTimprimrefor" localSheetId="17">#REF!</definedName>
    <definedName name="aTimprimrefor" localSheetId="12">#REF!</definedName>
    <definedName name="aTimprimrefor" localSheetId="11">#REF!</definedName>
    <definedName name="aTimprimrefor">#REF!</definedName>
    <definedName name="aTinvernal" localSheetId="17">#REF!</definedName>
    <definedName name="aTinvernal">#REF!</definedName>
    <definedName name="aTjunta" localSheetId="17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 localSheetId="13">#REF!</definedName>
    <definedName name="aTlimptransp" localSheetId="14">#REF!</definedName>
    <definedName name="aTlimptransp" localSheetId="17">#REF!</definedName>
    <definedName name="aTlimptransp" localSheetId="12">#REF!</definedName>
    <definedName name="aTlimptransp" localSheetId="11">#REF!</definedName>
    <definedName name="aTlimptransp">#REF!</definedName>
    <definedName name="aTlosa" localSheetId="13">#REF!</definedName>
    <definedName name="aTlosa" localSheetId="17">#REF!</definedName>
    <definedName name="aTlosa" localSheetId="12">#REF!</definedName>
    <definedName name="aTlosa" localSheetId="11">#REF!</definedName>
    <definedName name="aTlosa">#REF!</definedName>
    <definedName name="aTmatbase" localSheetId="13">#REF!</definedName>
    <definedName name="aTmatbase" localSheetId="14">#REF!</definedName>
    <definedName name="aTmatbase" localSheetId="17">#REF!</definedName>
    <definedName name="aTmatbase" localSheetId="12">#REF!</definedName>
    <definedName name="aTmatbase" localSheetId="11">#REF!</definedName>
    <definedName name="aTmatbase">#REF!</definedName>
    <definedName name="aTmicroaglom" localSheetId="13">#REF!</definedName>
    <definedName name="aTmicroaglom" localSheetId="17">#REF!</definedName>
    <definedName name="aTmicroaglom" localSheetId="12">#REF!</definedName>
    <definedName name="aTmicroaglom" localSheetId="11">#REF!</definedName>
    <definedName name="aTmicroaglom">#REF!</definedName>
    <definedName name="aTmicroaglomreadec" localSheetId="17">#REF!</definedName>
    <definedName name="aTmicroaglomreadec">#REF!</definedName>
    <definedName name="aTmicroreadec" localSheetId="13">#REF!</definedName>
    <definedName name="aTmicroreadec" localSheetId="14">#REF!</definedName>
    <definedName name="aTmicroreadec" localSheetId="17">#REF!</definedName>
    <definedName name="aTmicroreadec" localSheetId="12">#REF!</definedName>
    <definedName name="aTmicroreadec" localSheetId="11">#REF!</definedName>
    <definedName name="aTmicroreadec">#REF!</definedName>
    <definedName name="aTmontaje" localSheetId="13">#REF!</definedName>
    <definedName name="aTmontaje" localSheetId="17">#REF!</definedName>
    <definedName name="aTmontaje" localSheetId="12">#REF!</definedName>
    <definedName name="aTmontaje" localSheetId="11">#REF!</definedName>
    <definedName name="aTmontaje">#REF!</definedName>
    <definedName name="aTpasamano" localSheetId="17">#REF!</definedName>
    <definedName name="aTpasamano">#REF!</definedName>
    <definedName name="aTperfilado" localSheetId="13">#REF!</definedName>
    <definedName name="aTperfilado" localSheetId="14">#REF!</definedName>
    <definedName name="aTperfilado" localSheetId="17">#REF!</definedName>
    <definedName name="aTperfilado" localSheetId="12">#REF!</definedName>
    <definedName name="aTperfilado" localSheetId="11">#REF!</definedName>
    <definedName name="aTperfilado">#REF!</definedName>
    <definedName name="aTpilotes" localSheetId="13">#REF!</definedName>
    <definedName name="aTpilotes" localSheetId="17">#REF!</definedName>
    <definedName name="aTpilotes" localSheetId="12">#REF!</definedName>
    <definedName name="aTpilotes" localSheetId="11">#REF!</definedName>
    <definedName name="aTpilotes">#REF!</definedName>
    <definedName name="aTpintado" localSheetId="17">#REF!</definedName>
    <definedName name="aTpintado">#REF!</definedName>
    <definedName name="aTpretiles" localSheetId="17">#REF!</definedName>
    <definedName name="aTpretiles">#REF!</definedName>
    <definedName name="aTpretilesreadec" localSheetId="13">#REF!</definedName>
    <definedName name="aTpretilesreadec" localSheetId="14">#REF!</definedName>
    <definedName name="aTpretilesreadec" localSheetId="17">#REF!</definedName>
    <definedName name="aTpretilesreadec" localSheetId="12">#REF!</definedName>
    <definedName name="aTpretilesreadec" localSheetId="11">#REF!</definedName>
    <definedName name="aTpretilesreadec">#REF!</definedName>
    <definedName name="aTprolongacion" localSheetId="13">#REF!</definedName>
    <definedName name="aTprolongacion" localSheetId="17">#REF!</definedName>
    <definedName name="aTprolongacion" localSheetId="12">#REF!</definedName>
    <definedName name="aTprolongacion" localSheetId="11">#REF!</definedName>
    <definedName name="aTprolongacion">#REF!</definedName>
    <definedName name="aTprolongacionreadec" localSheetId="13">#REF!</definedName>
    <definedName name="aTprolongacionreadec" localSheetId="14">#REF!</definedName>
    <definedName name="aTprolongacionreadec" localSheetId="17">#REF!</definedName>
    <definedName name="aTprolongacionreadec" localSheetId="12">#REF!</definedName>
    <definedName name="aTprolongacionreadec" localSheetId="11">#REF!</definedName>
    <definedName name="aTprolongacionreadec">#REF!</definedName>
    <definedName name="aTproteccion" localSheetId="13">#REF!</definedName>
    <definedName name="aTproteccion" localSheetId="17">#REF!</definedName>
    <definedName name="aTproteccion" localSheetId="12">#REF!</definedName>
    <definedName name="aTproteccion" localSheetId="11">#REF!</definedName>
    <definedName name="aTproteccion">#REF!</definedName>
    <definedName name="aTrelleno" localSheetId="17">#REF!</definedName>
    <definedName name="aTrelleno">#REF!</definedName>
    <definedName name="aTrellenoreadec" localSheetId="13">#REF!</definedName>
    <definedName name="aTrellenoreadec" localSheetId="14">#REF!</definedName>
    <definedName name="aTrellenoreadec" localSheetId="17">#REF!</definedName>
    <definedName name="aTrellenoreadec" localSheetId="12">#REF!</definedName>
    <definedName name="aTrellenoreadec" localSheetId="11">#REF!</definedName>
    <definedName name="aTrellenoreadec">#REF!</definedName>
    <definedName name="aTrep8026" localSheetId="13">#REF!</definedName>
    <definedName name="aTrep8026" localSheetId="17">#REF!</definedName>
    <definedName name="aTrep8026" localSheetId="12">#REF!</definedName>
    <definedName name="aTrep8026" localSheetId="11">#REF!</definedName>
    <definedName name="aTrep8026">#REF!</definedName>
    <definedName name="aTrep8026readec" localSheetId="13">#REF!</definedName>
    <definedName name="aTrep8026readec" localSheetId="14">#REF!</definedName>
    <definedName name="aTrep8026readec" localSheetId="17">#REF!</definedName>
    <definedName name="aTrep8026readec" localSheetId="12">#REF!</definedName>
    <definedName name="aTrep8026readec" localSheetId="11">#REF!</definedName>
    <definedName name="aTrep8026readec">#REF!</definedName>
    <definedName name="aTrepalc" localSheetId="13">#REF!</definedName>
    <definedName name="aTrepalc" localSheetId="17">#REF!</definedName>
    <definedName name="aTrepalc" localSheetId="12">#REF!</definedName>
    <definedName name="aTrepalc" localSheetId="11">#REF!</definedName>
    <definedName name="aTrepalc">#REF!</definedName>
    <definedName name="aTrepalcreadec" localSheetId="17">#REF!</definedName>
    <definedName name="aTrepalcreadec">#REF!</definedName>
    <definedName name="aTrestdrenaje" localSheetId="13">#REF!</definedName>
    <definedName name="aTrestdrenaje" localSheetId="14">#REF!</definedName>
    <definedName name="aTrestdrenaje" localSheetId="17">#REF!</definedName>
    <definedName name="aTrestdrenaje" localSheetId="12">#REF!</definedName>
    <definedName name="aTrestdrenaje" localSheetId="11">#REF!</definedName>
    <definedName name="aTrestdrenaje">#REF!</definedName>
    <definedName name="aTrestdrenajereadec" localSheetId="13">#REF!</definedName>
    <definedName name="aTrestdrenajereadec" localSheetId="14">#REF!</definedName>
    <definedName name="aTrestdrenajereadec" localSheetId="17">#REF!</definedName>
    <definedName name="aTrestdrenajereadec" localSheetId="12">#REF!</definedName>
    <definedName name="aTrestdrenajereadec" localSheetId="11">#REF!</definedName>
    <definedName name="aTrestdrenajereadec">#REF!</definedName>
    <definedName name="aTretderrumbe" localSheetId="13">#REF!</definedName>
    <definedName name="aTretderrumbe" localSheetId="14">#REF!</definedName>
    <definedName name="aTretderrumbe" localSheetId="17">#REF!</definedName>
    <definedName name="aTretderrumbe" localSheetId="12">#REF!</definedName>
    <definedName name="aTretderrumbe" localSheetId="11">#REF!</definedName>
    <definedName name="aTretderrumbe">#REF!</definedName>
    <definedName name="aTretrecolbaranda" localSheetId="13">#REF!</definedName>
    <definedName name="aTretrecolbaranda" localSheetId="14">#REF!</definedName>
    <definedName name="aTretrecolbaranda" localSheetId="17">#REF!</definedName>
    <definedName name="aTretrecolbaranda" localSheetId="12">#REF!</definedName>
    <definedName name="aTretrecolbaranda" localSheetId="11">#REF!</definedName>
    <definedName name="aTretrecolbaranda">#REF!</definedName>
    <definedName name="aTRHermoso" localSheetId="13">#REF!</definedName>
    <definedName name="aTRHermoso" localSheetId="17">#REF!</definedName>
    <definedName name="aTRHermoso" localSheetId="12">#REF!</definedName>
    <definedName name="aTRHermoso" localSheetId="11">#REF!</definedName>
    <definedName name="aTRHermoso">#REF!</definedName>
    <definedName name="aTriego" localSheetId="17">#REF!</definedName>
    <definedName name="aTriego">#REF!</definedName>
    <definedName name="aTrotondas" localSheetId="17">#REF!</definedName>
    <definedName name="aTrotondas">#REF!</definedName>
    <definedName name="aTsandef" localSheetId="13">#REF!</definedName>
    <definedName name="aTsandef" localSheetId="14">#REF!</definedName>
    <definedName name="aTsandef" localSheetId="17">#REF!</definedName>
    <definedName name="aTsandef" localSheetId="12">#REF!</definedName>
    <definedName name="aTsandef" localSheetId="11">#REF!</definedName>
    <definedName name="aTsandef">#REF!</definedName>
    <definedName name="aTsellado" localSheetId="13">#REF!</definedName>
    <definedName name="aTsellado" localSheetId="17">#REF!</definedName>
    <definedName name="aTsellado" localSheetId="12">#REF!</definedName>
    <definedName name="aTsellado" localSheetId="11">#REF!</definedName>
    <definedName name="aTsellado">#REF!</definedName>
    <definedName name="aTsenda" localSheetId="17">#REF!</definedName>
    <definedName name="aTsenda">#REF!</definedName>
    <definedName name="aTsendareadec" localSheetId="13">#REF!</definedName>
    <definedName name="aTsendareadec" localSheetId="14">#REF!</definedName>
    <definedName name="aTsendareadec" localSheetId="17">#REF!</definedName>
    <definedName name="aTsendareadec" localSheetId="12">#REF!</definedName>
    <definedName name="aTsendareadec" localSheetId="11">#REF!</definedName>
    <definedName name="aTsendareadec">#REF!</definedName>
    <definedName name="aTseñalamiento" localSheetId="13">#REF!</definedName>
    <definedName name="aTseñalamiento" localSheetId="17">#REF!</definedName>
    <definedName name="aTseñalamiento" localSheetId="12">#REF!</definedName>
    <definedName name="aTseñalamiento" localSheetId="11">#REF!</definedName>
    <definedName name="aTseñalamiento">#REF!</definedName>
    <definedName name="aTseñalamientoreadec" localSheetId="13">#REF!</definedName>
    <definedName name="aTseñalamientoreadec" localSheetId="14">#REF!</definedName>
    <definedName name="aTseñalamientoreadec" localSheetId="17">#REF!</definedName>
    <definedName name="aTseñalamientoreadec" localSheetId="12">#REF!</definedName>
    <definedName name="aTseñalamientoreadec" localSheetId="11">#REF!</definedName>
    <definedName name="aTseñalamientoreadec">#REF!</definedName>
    <definedName name="aTseñalextrusion" localSheetId="13">#REF!</definedName>
    <definedName name="aTseñalextrusion" localSheetId="17">#REF!</definedName>
    <definedName name="aTseñalextrusion" localSheetId="12">#REF!</definedName>
    <definedName name="aTseñalextrusion" localSheetId="11">#REF!</definedName>
    <definedName name="aTseñalextrusion">#REF!</definedName>
    <definedName name="aTseñalextrusionreadec" localSheetId="13">#REF!</definedName>
    <definedName name="aTseñalextrusionreadec" localSheetId="14">#REF!</definedName>
    <definedName name="aTseñalextrusionreadec" localSheetId="17">#REF!</definedName>
    <definedName name="aTseñalextrusionreadec" localSheetId="12">#REF!</definedName>
    <definedName name="aTseñalextrusionreadec" localSheetId="11">#REF!</definedName>
    <definedName name="aTseñalextrusionreadec">#REF!</definedName>
    <definedName name="aTseñalizacion" localSheetId="13">#REF!</definedName>
    <definedName name="aTseñalizacion" localSheetId="17">#REF!</definedName>
    <definedName name="aTseñalizacion" localSheetId="12">#REF!</definedName>
    <definedName name="aTseñalizacion" localSheetId="11">#REF!</definedName>
    <definedName name="aTseñalizacion">#REF!</definedName>
    <definedName name="aTseñalizacionreadec" localSheetId="13">#REF!</definedName>
    <definedName name="aTseñalizacionreadec" localSheetId="14">#REF!</definedName>
    <definedName name="aTseñalizacionreadec" localSheetId="17">#REF!</definedName>
    <definedName name="aTseñalizacionreadec" localSheetId="12">#REF!</definedName>
    <definedName name="aTseñalizacionreadec" localSheetId="11">#REF!</definedName>
    <definedName name="aTseñalizacionreadec">#REF!</definedName>
    <definedName name="aTseñalvertreadec" localSheetId="13">#REF!</definedName>
    <definedName name="aTseñalvertreadec" localSheetId="14">#REF!</definedName>
    <definedName name="aTseñalvertreadec" localSheetId="17">#REF!</definedName>
    <definedName name="aTseñalvertreadec" localSheetId="12">#REF!</definedName>
    <definedName name="aTseñalvertreadec" localSheetId="11">#REF!</definedName>
    <definedName name="aTseñalvertreadec">#REF!</definedName>
    <definedName name="aTsistdren1071" localSheetId="13">#REF!</definedName>
    <definedName name="aTsistdren1071" localSheetId="17">#REF!</definedName>
    <definedName name="aTsistdren1071" localSheetId="12">#REF!</definedName>
    <definedName name="aTsistdren1071" localSheetId="11">#REF!</definedName>
    <definedName name="aTsistdren1071">#REF!</definedName>
    <definedName name="aTsubbase" localSheetId="17">#REF!</definedName>
    <definedName name="aTsubbase">#REF!</definedName>
    <definedName name="aTterraplen" localSheetId="13">#REF!</definedName>
    <definedName name="aTterraplen" localSheetId="14">#REF!</definedName>
    <definedName name="aTterraplen" localSheetId="17">#REF!</definedName>
    <definedName name="aTterraplen" localSheetId="12">#REF!</definedName>
    <definedName name="aTterraplen" localSheetId="11">#REF!</definedName>
    <definedName name="aTterraplen">#REF!</definedName>
    <definedName name="aTterrapreadec" localSheetId="13">#REF!</definedName>
    <definedName name="aTterrapreadec" localSheetId="14">#REF!</definedName>
    <definedName name="aTterrapreadec" localSheetId="17">#REF!</definedName>
    <definedName name="aTterrapreadec" localSheetId="12">#REF!</definedName>
    <definedName name="aTterrapreadec" localSheetId="11">#REF!</definedName>
    <definedName name="aTterrapreadec">#REF!</definedName>
    <definedName name="aTterrsincomp" localSheetId="13">#REF!</definedName>
    <definedName name="aTterrsincomp" localSheetId="17">#REF!</definedName>
    <definedName name="aTterrsincomp" localSheetId="12">#REF!</definedName>
    <definedName name="aTterrsincomp" localSheetId="11">#REF!</definedName>
    <definedName name="aTterrsincomp">#REF!</definedName>
    <definedName name="aTtravesia" localSheetId="17">#REF!</definedName>
    <definedName name="aTtravesia">#REF!</definedName>
    <definedName name="aTvigas" localSheetId="17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localSheetId="13" hidden="1">{#N/A,#N/A,FALSE,"Monthly report";#N/A,#N/A,FALSE,"M.R. UEM";#N/A,#N/A,FALSE,"M.R. VCM"}</definedName>
    <definedName name="Avance" localSheetId="21" hidden="1">{#N/A,#N/A,FALSE,"Monthly report";#N/A,#N/A,FALSE,"M.R. UEM";#N/A,#N/A,FALSE,"M.R. VCM"}</definedName>
    <definedName name="Avance" localSheetId="22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localSheetId="17" hidden="1">{#N/A,#N/A,FALSE,"Monthly report";#N/A,#N/A,FALSE,"M.R. UEM";#N/A,#N/A,FALSE,"M.R. VCM"}</definedName>
    <definedName name="Avance" localSheetId="19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localSheetId="11" hidden="1">{#N/A,#N/A,FALSE,"Monthly report";#N/A,#N/A,FALSE,"M.R. UEM";#N/A,#N/A,FALSE,"M.R. VCM"}</definedName>
    <definedName name="Avance" localSheetId="23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2" localSheetId="13" hidden="1">{#N/A,#N/A,FALSE,"Monthly report";#N/A,#N/A,FALSE,"M.R. UEM";#N/A,#N/A,FALSE,"M.R. VCM"}</definedName>
    <definedName name="Avance2" localSheetId="21" hidden="1">{#N/A,#N/A,FALSE,"Monthly report";#N/A,#N/A,FALSE,"M.R. UEM";#N/A,#N/A,FALSE,"M.R. VCM"}</definedName>
    <definedName name="Avance2" localSheetId="22" hidden="1">{#N/A,#N/A,FALSE,"Monthly report";#N/A,#N/A,FALSE,"M.R. UEM";#N/A,#N/A,FALSE,"M.R. VCM"}</definedName>
    <definedName name="Avance2" localSheetId="14" hidden="1">{#N/A,#N/A,FALSE,"Monthly report";#N/A,#N/A,FALSE,"M.R. UEM";#N/A,#N/A,FALSE,"M.R. VCM"}</definedName>
    <definedName name="Avance2" localSheetId="17" hidden="1">{#N/A,#N/A,FALSE,"Monthly report";#N/A,#N/A,FALSE,"M.R. UEM";#N/A,#N/A,FALSE,"M.R. VCM"}</definedName>
    <definedName name="Avance2" localSheetId="19" hidden="1">{#N/A,#N/A,FALSE,"Monthly report";#N/A,#N/A,FALSE,"M.R. UEM";#N/A,#N/A,FALSE,"M.R. VCM"}</definedName>
    <definedName name="Avance2" localSheetId="20" hidden="1">{#N/A,#N/A,FALSE,"Monthly report";#N/A,#N/A,FALSE,"M.R. UEM";#N/A,#N/A,FALSE,"M.R. VCM"}</definedName>
    <definedName name="Avance2" localSheetId="12" hidden="1">{#N/A,#N/A,FALSE,"Monthly report";#N/A,#N/A,FALSE,"M.R. UEM";#N/A,#N/A,FALSE,"M.R. VCM"}</definedName>
    <definedName name="Avance2" localSheetId="11" hidden="1">{#N/A,#N/A,FALSE,"Monthly report";#N/A,#N/A,FALSE,"M.R. UEM";#N/A,#N/A,FALSE,"M.R. VCM"}</definedName>
    <definedName name="Avance2" localSheetId="23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 localSheetId="13">#REF!</definedName>
    <definedName name="ayudante" localSheetId="5">#REF!</definedName>
    <definedName name="ayudante" localSheetId="10">#REF!</definedName>
    <definedName name="ayudante" localSheetId="4">#REF!</definedName>
    <definedName name="ayudante" localSheetId="14">#REF!</definedName>
    <definedName name="ayudante" localSheetId="17">#REF!</definedName>
    <definedName name="ayudante" localSheetId="7">#REF!</definedName>
    <definedName name="ayudante" localSheetId="8">#REF!</definedName>
    <definedName name="ayudante" localSheetId="6">#REF!</definedName>
    <definedName name="ayudante" localSheetId="9">#REF!</definedName>
    <definedName name="ayudante" localSheetId="12">#REF!</definedName>
    <definedName name="ayudante" localSheetId="11">#REF!</definedName>
    <definedName name="ayudante" localSheetId="1">#REF!</definedName>
    <definedName name="ayudante" localSheetId="2">#REF!</definedName>
    <definedName name="ayudante" localSheetId="3">#REF!</definedName>
    <definedName name="ayudante">#REF!</definedName>
    <definedName name="ayudante4" localSheetId="13">#REF!</definedName>
    <definedName name="ayudante4" localSheetId="14">#REF!</definedName>
    <definedName name="ayudante4" localSheetId="17">#REF!</definedName>
    <definedName name="ayudante4" localSheetId="12">#REF!</definedName>
    <definedName name="ayudante4" localSheetId="11">#REF!</definedName>
    <definedName name="ayudante4">#REF!</definedName>
    <definedName name="ayudante6" localSheetId="13">#REF!</definedName>
    <definedName name="ayudante6" localSheetId="14">#REF!</definedName>
    <definedName name="ayudante6" localSheetId="17">#REF!</definedName>
    <definedName name="ayudante6" localSheetId="12">#REF!</definedName>
    <definedName name="ayudante6" localSheetId="11">#REF!</definedName>
    <definedName name="ayudante6">#REF!</definedName>
    <definedName name="ayudante8" localSheetId="13">#REF!</definedName>
    <definedName name="ayudante8" localSheetId="14">#REF!</definedName>
    <definedName name="ayudante8" localSheetId="17">#REF!</definedName>
    <definedName name="ayudante8" localSheetId="12">#REF!</definedName>
    <definedName name="ayudante8" localSheetId="11">#REF!</definedName>
    <definedName name="ayudante8">#REF!</definedName>
    <definedName name="ayudr" localSheetId="13">#REF!</definedName>
    <definedName name="ayudr" localSheetId="14">#REF!</definedName>
    <definedName name="ayudr" localSheetId="17">#REF!</definedName>
    <definedName name="ayudr" localSheetId="12">#REF!</definedName>
    <definedName name="ayudr" localSheetId="11">#REF!</definedName>
    <definedName name="ayudr">#REF!</definedName>
    <definedName name="b" localSheetId="13">#REF!</definedName>
    <definedName name="B" localSheetId="17">SUM(#REF!)</definedName>
    <definedName name="b" localSheetId="12">#REF!</definedName>
    <definedName name="b" localSheetId="11">#REF!</definedName>
    <definedName name="b">#REF!</definedName>
    <definedName name="B.1" localSheetId="17">#REF!</definedName>
    <definedName name="B.1">#REF!</definedName>
    <definedName name="B.2">#N/A</definedName>
    <definedName name="b_rec_h" localSheetId="13">#REF!</definedName>
    <definedName name="b_rec_h" localSheetId="14">#REF!</definedName>
    <definedName name="b_rec_h" localSheetId="17">#REF!</definedName>
    <definedName name="b_rec_h" localSheetId="12">#REF!</definedName>
    <definedName name="b_rec_h" localSheetId="11">#REF!</definedName>
    <definedName name="b_rec_h">#REF!</definedName>
    <definedName name="b_rec_v" localSheetId="13">#REF!</definedName>
    <definedName name="b_rec_v" localSheetId="14">#REF!</definedName>
    <definedName name="b_rec_v" localSheetId="17">#REF!</definedName>
    <definedName name="b_rec_v" localSheetId="12">#REF!</definedName>
    <definedName name="b_rec_v" localSheetId="11">#REF!</definedName>
    <definedName name="b_rec_v">#REF!</definedName>
    <definedName name="BASE" localSheetId="13">#REF!</definedName>
    <definedName name="BASE" localSheetId="14">#REF!</definedName>
    <definedName name="BASE" localSheetId="17">#REF!</definedName>
    <definedName name="BASE" localSheetId="12">#REF!</definedName>
    <definedName name="BASE" localSheetId="11">#REF!</definedName>
    <definedName name="BASE">#REF!</definedName>
    <definedName name="base_insumos" localSheetId="13">#REF!</definedName>
    <definedName name="base_insumos" localSheetId="14">#REF!</definedName>
    <definedName name="base_insumos" localSheetId="17">#REF!</definedName>
    <definedName name="base_insumos" localSheetId="12">#REF!</definedName>
    <definedName name="base_insumos" localSheetId="11">#REF!</definedName>
    <definedName name="base_insumos">#REF!</definedName>
    <definedName name="BASEABELSON" localSheetId="13">#REF!</definedName>
    <definedName name="BASEABELSON" localSheetId="17">#REF!</definedName>
    <definedName name="BASEABELSON" localSheetId="12">#REF!</definedName>
    <definedName name="BASEABELSON" localSheetId="11">#REF!</definedName>
    <definedName name="BASEABELSON">#REF!</definedName>
    <definedName name="BASEINSU" localSheetId="13">L2C1:L372C15</definedName>
    <definedName name="BASEINSU" localSheetId="21">L2C1:L372C15</definedName>
    <definedName name="BASEINSU" localSheetId="22">L2C1:L372C15</definedName>
    <definedName name="BASEINSU" localSheetId="16">L2C1:L372C15</definedName>
    <definedName name="BASEINSU" localSheetId="14">L2C1:L372C15</definedName>
    <definedName name="BASEINSU" localSheetId="17">L2C1:L372C15</definedName>
    <definedName name="BASEINSU" localSheetId="7">L2C1:L372C15</definedName>
    <definedName name="BASEINSU" localSheetId="8">L2C1:L372C15</definedName>
    <definedName name="BASEINSU" localSheetId="9">L2C1:L372C15</definedName>
    <definedName name="BASEINSU" localSheetId="19">L2C1:L372C15</definedName>
    <definedName name="BASEINSU" localSheetId="20">L2C1:L372C15</definedName>
    <definedName name="BASEINSU" localSheetId="12">L2C1:L372C15</definedName>
    <definedName name="BASEINSU" localSheetId="11">L2C1:L372C15</definedName>
    <definedName name="BASEINSU" localSheetId="2">L2C1:L372C15</definedName>
    <definedName name="BASEINSU" localSheetId="3">L2C1:L372C15</definedName>
    <definedName name="BASEINSU" localSheetId="23">L2C1:L372C15</definedName>
    <definedName name="BASEINSU">L2C1:L372C15</definedName>
    <definedName name="baseinsumos" localSheetId="13">L2C1:L372C15</definedName>
    <definedName name="baseinsumos" localSheetId="21">L2C1:L372C15</definedName>
    <definedName name="baseinsumos" localSheetId="22">L2C1:L372C15</definedName>
    <definedName name="baseinsumos" localSheetId="16">L2C1:L372C15</definedName>
    <definedName name="baseinsumos" localSheetId="14">L2C1:L372C15</definedName>
    <definedName name="baseinsumos" localSheetId="17">L2C1:L372C15</definedName>
    <definedName name="baseinsumos" localSheetId="7">L2C1:L372C15</definedName>
    <definedName name="baseinsumos" localSheetId="8">L2C1:L372C15</definedName>
    <definedName name="baseinsumos" localSheetId="9">L2C1:L372C15</definedName>
    <definedName name="baseinsumos" localSheetId="19">L2C1:L372C15</definedName>
    <definedName name="baseinsumos" localSheetId="20">L2C1:L372C15</definedName>
    <definedName name="baseinsumos" localSheetId="12">L2C1:L372C15</definedName>
    <definedName name="baseinsumos" localSheetId="11">L2C1:L372C15</definedName>
    <definedName name="baseinsumos" localSheetId="2">L2C1:L372C15</definedName>
    <definedName name="baseinsumos" localSheetId="3">L2C1:L372C15</definedName>
    <definedName name="baseinsumos" localSheetId="23">L2C1:L372C15</definedName>
    <definedName name="baseinsumos">L2C1:L372C15</definedName>
    <definedName name="be" localSheetId="13">#REF!</definedName>
    <definedName name="be" localSheetId="14">#REF!</definedName>
    <definedName name="be" localSheetId="17">#REF!</definedName>
    <definedName name="be" localSheetId="12">#REF!</definedName>
    <definedName name="be" localSheetId="11">#REF!</definedName>
    <definedName name="be">#REF!</definedName>
    <definedName name="Beg_Bal" localSheetId="17">#REF!</definedName>
    <definedName name="Beg_Bal" localSheetId="12">#REF!</definedName>
    <definedName name="Beg_Bal" localSheetId="11">#REF!</definedName>
    <definedName name="Beg_Bal">#REF!</definedName>
    <definedName name="bene" localSheetId="13">#REF!</definedName>
    <definedName name="bene" localSheetId="21">#REF!</definedName>
    <definedName name="bene" localSheetId="22">#REF!</definedName>
    <definedName name="bene" localSheetId="5">#REF!</definedName>
    <definedName name="bene" localSheetId="10">#REF!</definedName>
    <definedName name="bene" localSheetId="4">#REF!</definedName>
    <definedName name="bene" localSheetId="0">#REF!</definedName>
    <definedName name="bene" localSheetId="17">#REF!</definedName>
    <definedName name="bene" localSheetId="7">#REF!</definedName>
    <definedName name="bene" localSheetId="8">#REF!</definedName>
    <definedName name="bene" localSheetId="6">#REF!</definedName>
    <definedName name="bene" localSheetId="9">#REF!</definedName>
    <definedName name="bene" localSheetId="19">#REF!</definedName>
    <definedName name="bene" localSheetId="20">#REF!</definedName>
    <definedName name="bene" localSheetId="12">#REF!</definedName>
    <definedName name="bene" localSheetId="11">#REF!</definedName>
    <definedName name="bene" localSheetId="1">#REF!</definedName>
    <definedName name="bene" localSheetId="2">#REF!</definedName>
    <definedName name="bene" localSheetId="3">#REF!</definedName>
    <definedName name="bene">#REF!</definedName>
    <definedName name="BENEFICIO">#REF!</definedName>
    <definedName name="BETA">#N/A</definedName>
    <definedName name="betar">#REF!</definedName>
    <definedName name="betar_c" localSheetId="13">#REF!</definedName>
    <definedName name="betar_c" localSheetId="14">#REF!</definedName>
    <definedName name="betar_c" localSheetId="17">#REF!</definedName>
    <definedName name="betar_c" localSheetId="12">#REF!</definedName>
    <definedName name="betar_c" localSheetId="11">#REF!</definedName>
    <definedName name="betar_c">#REF!</definedName>
    <definedName name="betas" localSheetId="13">#REF!</definedName>
    <definedName name="betas" localSheetId="14">#REF!</definedName>
    <definedName name="betas" localSheetId="17">#REF!</definedName>
    <definedName name="betas" localSheetId="12">#REF!</definedName>
    <definedName name="betas" localSheetId="11">#REF!</definedName>
    <definedName name="betas">#REF!</definedName>
    <definedName name="betas_c" localSheetId="13">#REF!</definedName>
    <definedName name="betas_c" localSheetId="14">#REF!</definedName>
    <definedName name="betas_c" localSheetId="17">#REF!</definedName>
    <definedName name="betas_c" localSheetId="12">#REF!</definedName>
    <definedName name="betas_c" localSheetId="11">#REF!</definedName>
    <definedName name="betas_c">#REF!</definedName>
    <definedName name="BETON" localSheetId="13">#REF!</definedName>
    <definedName name="BETON" localSheetId="17">#REF!</definedName>
    <definedName name="BETON" localSheetId="12">#REF!</definedName>
    <definedName name="BETON" localSheetId="11">#REF!</definedName>
    <definedName name="BETON">#REF!</definedName>
    <definedName name="bettar" localSheetId="13">#REF!</definedName>
    <definedName name="bettar" localSheetId="14">#REF!</definedName>
    <definedName name="bettar" localSheetId="17">#REF!</definedName>
    <definedName name="bettar" localSheetId="12">#REF!</definedName>
    <definedName name="bettar" localSheetId="11">#REF!</definedName>
    <definedName name="bettar">#REF!</definedName>
    <definedName name="BI" localSheetId="13">L2C1:L372C15</definedName>
    <definedName name="BI" localSheetId="21">L2C1:L372C15</definedName>
    <definedName name="BI" localSheetId="22">L2C1:L372C15</definedName>
    <definedName name="BI" localSheetId="16">L2C1:L372C15</definedName>
    <definedName name="BI" localSheetId="14">L2C1:L372C15</definedName>
    <definedName name="BI" localSheetId="17">L2C1:L372C15</definedName>
    <definedName name="BI" localSheetId="7">L2C1:L372C15</definedName>
    <definedName name="BI" localSheetId="8">L2C1:L372C15</definedName>
    <definedName name="BI" localSheetId="9">L2C1:L372C15</definedName>
    <definedName name="BI" localSheetId="19">L2C1:L372C15</definedName>
    <definedName name="BI" localSheetId="20">L2C1:L372C15</definedName>
    <definedName name="BI" localSheetId="12">L2C1:L372C15</definedName>
    <definedName name="BI" localSheetId="11">L2C1:L372C15</definedName>
    <definedName name="BI" localSheetId="2">L2C1:L372C15</definedName>
    <definedName name="BI" localSheetId="3">L2C1:L372C15</definedName>
    <definedName name="BI" localSheetId="23">L2C1:L372C15</definedName>
    <definedName name="BI">L2C1:L372C15</definedName>
    <definedName name="bloque20x20x40" localSheetId="13">#REF!</definedName>
    <definedName name="bloque20x20x40" localSheetId="14">#REF!</definedName>
    <definedName name="bloque20x20x40" localSheetId="17">#REF!</definedName>
    <definedName name="bloque20x20x40" localSheetId="12">#REF!</definedName>
    <definedName name="bloque20x20x40" localSheetId="11">#REF!</definedName>
    <definedName name="bloque20x20x40">#REF!</definedName>
    <definedName name="br" localSheetId="13">#REF!</definedName>
    <definedName name="br" localSheetId="14">#REF!</definedName>
    <definedName name="br" localSheetId="17">#REF!</definedName>
    <definedName name="br" localSheetId="12">#REF!</definedName>
    <definedName name="br" localSheetId="11">#REF!</definedName>
    <definedName name="br">#REF!</definedName>
    <definedName name="BRAZ" localSheetId="13">#REF!</definedName>
    <definedName name="BRAZ" localSheetId="17">#REF!</definedName>
    <definedName name="BRAZ" localSheetId="12">#REF!</definedName>
    <definedName name="BRAZ" localSheetId="11">#REF!</definedName>
    <definedName name="BRAZ">#REF!</definedName>
    <definedName name="BRAZO" localSheetId="17">#REF!</definedName>
    <definedName name="BRAZO">#REF!</definedName>
    <definedName name="bs" localSheetId="17">#REF!</definedName>
    <definedName name="bs">#REF!</definedName>
    <definedName name="BSociales" localSheetId="13">#REF!</definedName>
    <definedName name="BSociales" localSheetId="14">#REF!</definedName>
    <definedName name="BSociales" localSheetId="17">#REF!</definedName>
    <definedName name="BSociales" localSheetId="12">#REF!</definedName>
    <definedName name="BSociales" localSheetId="11">#REF!</definedName>
    <definedName name="BSociales">#REF!</definedName>
    <definedName name="bss" localSheetId="13">#REF!</definedName>
    <definedName name="bss" localSheetId="14">#REF!</definedName>
    <definedName name="bss" localSheetId="17">#REF!</definedName>
    <definedName name="bss" localSheetId="12">#REF!</definedName>
    <definedName name="bss" localSheetId="11">#REF!</definedName>
    <definedName name="bss">#REF!</definedName>
    <definedName name="bsss" localSheetId="13">#REF!</definedName>
    <definedName name="bsss" localSheetId="17">#REF!</definedName>
    <definedName name="bsss" localSheetId="12">#REF!</definedName>
    <definedName name="bsss" localSheetId="11">#REF!</definedName>
    <definedName name="bsss">#REF!</definedName>
    <definedName name="C_" localSheetId="17">INDEX(#REF!,MATCH("*[C]*",#REF!,0))</definedName>
    <definedName name="C_">#REF!</definedName>
    <definedName name="ca" localSheetId="13">#REF!</definedName>
    <definedName name="ca" localSheetId="14">#REF!</definedName>
    <definedName name="ca" localSheetId="17">#REF!</definedName>
    <definedName name="ca" localSheetId="12">#REF!</definedName>
    <definedName name="ca" localSheetId="11">#REF!</definedName>
    <definedName name="ca">#REF!</definedName>
    <definedName name="Caeacceso" localSheetId="13">#REF!</definedName>
    <definedName name="Caeacceso" localSheetId="17">#REF!</definedName>
    <definedName name="Caeacceso" localSheetId="12">#REF!</definedName>
    <definedName name="Caeacceso" localSheetId="11">#REF!</definedName>
    <definedName name="Caeacceso">#REF!</definedName>
    <definedName name="Caeacondct" localSheetId="13">#REF!</definedName>
    <definedName name="Caeacondct" localSheetId="14">#REF!</definedName>
    <definedName name="Caeacondct" localSheetId="17">#REF!</definedName>
    <definedName name="Caeacondct" localSheetId="12">#REF!</definedName>
    <definedName name="Caeacondct" localSheetId="11">#REF!</definedName>
    <definedName name="Caeacondct">#REF!</definedName>
    <definedName name="Caealcantarilla" localSheetId="13">#REF!</definedName>
    <definedName name="Caealcantarilla" localSheetId="17">#REF!</definedName>
    <definedName name="Caealcantarilla" localSheetId="12">#REF!</definedName>
    <definedName name="Caealcantarilla" localSheetId="11">#REF!</definedName>
    <definedName name="Caealcantarilla">#REF!</definedName>
    <definedName name="Caealcantarillareadec" localSheetId="13">#REF!</definedName>
    <definedName name="Caealcantarillareadec" localSheetId="14">#REF!</definedName>
    <definedName name="Caealcantarillareadec" localSheetId="17">#REF!</definedName>
    <definedName name="Caealcantarillareadec" localSheetId="12">#REF!</definedName>
    <definedName name="Caealcantarillareadec" localSheetId="11">#REF!</definedName>
    <definedName name="Caealcantarillareadec">#REF!</definedName>
    <definedName name="Caealteomyg" localSheetId="13">#REF!</definedName>
    <definedName name="Caealteomyg" localSheetId="14">#REF!</definedName>
    <definedName name="Caealteomyg" localSheetId="17">#REF!</definedName>
    <definedName name="Caealteomyg" localSheetId="12">#REF!</definedName>
    <definedName name="Caealteomyg" localSheetId="11">#REF!</definedName>
    <definedName name="Caealteomyg">#REF!</definedName>
    <definedName name="CaeApartido" localSheetId="13">#REF!</definedName>
    <definedName name="CaeApartido" localSheetId="17">#REF!</definedName>
    <definedName name="CaeApartido" localSheetId="12">#REF!</definedName>
    <definedName name="CaeApartido" localSheetId="11">#REF!</definedName>
    <definedName name="CaeApartido">#REF!</definedName>
    <definedName name="Caeapoyos" localSheetId="17">#REF!</definedName>
    <definedName name="Caeapoyos">#REF!</definedName>
    <definedName name="Caebacheo" localSheetId="17">#REF!</definedName>
    <definedName name="Caebacheo">#REF!</definedName>
    <definedName name="Caebandason">#REF!</definedName>
    <definedName name="Caebandasonreadec" localSheetId="13">#REF!</definedName>
    <definedName name="Caebandasonreadec" localSheetId="14">#REF!</definedName>
    <definedName name="Caebandasonreadec" localSheetId="17">#REF!</definedName>
    <definedName name="Caebandasonreadec" localSheetId="12">#REF!</definedName>
    <definedName name="Caebandasonreadec" localSheetId="11">#REF!</definedName>
    <definedName name="Caebandasonreadec">#REF!</definedName>
    <definedName name="Caebanquina" localSheetId="13">#REF!</definedName>
    <definedName name="Caebanquina" localSheetId="17">#REF!</definedName>
    <definedName name="Caebanquina" localSheetId="12">#REF!</definedName>
    <definedName name="Caebanquina" localSheetId="11">#REF!</definedName>
    <definedName name="Caebanquina">#REF!</definedName>
    <definedName name="Caebaranda" localSheetId="13">#REF!</definedName>
    <definedName name="Caebaranda" localSheetId="14">#REF!</definedName>
    <definedName name="Caebaranda" localSheetId="17">#REF!</definedName>
    <definedName name="Caebaranda" localSheetId="12">#REF!</definedName>
    <definedName name="Caebaranda" localSheetId="11">#REF!</definedName>
    <definedName name="Caebaranda">#REF!</definedName>
    <definedName name="Caebarandareadec" localSheetId="13">#REF!</definedName>
    <definedName name="Caebarandareadec" localSheetId="14">#REF!</definedName>
    <definedName name="Caebarandareadec" localSheetId="17">#REF!</definedName>
    <definedName name="Caebarandareadec" localSheetId="12">#REF!</definedName>
    <definedName name="Caebarandareadec" localSheetId="11">#REF!</definedName>
    <definedName name="Caebarandareadec">#REF!</definedName>
    <definedName name="Caebase" localSheetId="13">#REF!</definedName>
    <definedName name="Caebase" localSheetId="14">#REF!</definedName>
    <definedName name="Caebase" localSheetId="17">#REF!</definedName>
    <definedName name="Caebase" localSheetId="12">#REF!</definedName>
    <definedName name="Caebase" localSheetId="11">#REF!</definedName>
    <definedName name="Caebase">#REF!</definedName>
    <definedName name="Caecabezales" localSheetId="13">#REF!</definedName>
    <definedName name="Caecabezales" localSheetId="17">#REF!</definedName>
    <definedName name="Caecabezales" localSheetId="12">#REF!</definedName>
    <definedName name="Caecabezales" localSheetId="11">#REF!</definedName>
    <definedName name="Caecabezales">#REF!</definedName>
    <definedName name="Caecalzadahorm" localSheetId="17">#REF!</definedName>
    <definedName name="Caecalzadahorm">#REF!</definedName>
    <definedName name="Caecalzadas" localSheetId="17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 localSheetId="13">#REF!</definedName>
    <definedName name="Caeescarificado" localSheetId="14">#REF!</definedName>
    <definedName name="Caeescarificado" localSheetId="17">#REF!</definedName>
    <definedName name="Caeescarificado" localSheetId="12">#REF!</definedName>
    <definedName name="Caeescarificado" localSheetId="11">#REF!</definedName>
    <definedName name="Caeescarificado">#REF!</definedName>
    <definedName name="Caeestribos" localSheetId="13">#REF!</definedName>
    <definedName name="Caeestribos" localSheetId="17">#REF!</definedName>
    <definedName name="Caeestribos" localSheetId="12">#REF!</definedName>
    <definedName name="Caeestribos" localSheetId="11">#REF!</definedName>
    <definedName name="Caeestribos">#REF!</definedName>
    <definedName name="Caeexcavacion" localSheetId="17">#REF!</definedName>
    <definedName name="Caeexcavacion">#REF!</definedName>
    <definedName name="Caeexcavacionreadec" localSheetId="13">#REF!</definedName>
    <definedName name="Caeexcavacionreadec" localSheetId="14">#REF!</definedName>
    <definedName name="Caeexcavacionreadec" localSheetId="17">#REF!</definedName>
    <definedName name="Caeexcavacionreadec" localSheetId="12">#REF!</definedName>
    <definedName name="Caeexcavacionreadec" localSheetId="11">#REF!</definedName>
    <definedName name="Caeexcavacionreadec">#REF!</definedName>
    <definedName name="Caegaviones" localSheetId="13">#REF!</definedName>
    <definedName name="Caegaviones" localSheetId="14">#REF!</definedName>
    <definedName name="Caegaviones" localSheetId="17">#REF!</definedName>
    <definedName name="Caegaviones" localSheetId="12">#REF!</definedName>
    <definedName name="Caegaviones" localSheetId="11">#REF!</definedName>
    <definedName name="Caegaviones">#REF!</definedName>
    <definedName name="Caehor" localSheetId="13">#REF!</definedName>
    <definedName name="Caehor" localSheetId="14">#REF!</definedName>
    <definedName name="Caehor" localSheetId="17">#REF!</definedName>
    <definedName name="Caehor" localSheetId="12">#REF!</definedName>
    <definedName name="Caehor" localSheetId="11">#REF!</definedName>
    <definedName name="Caehor">#REF!</definedName>
    <definedName name="CaehorC" localSheetId="13">#REF!</definedName>
    <definedName name="CaehorC" localSheetId="17">#REF!</definedName>
    <definedName name="CaehorC" localSheetId="12">#REF!</definedName>
    <definedName name="CaehorC" localSheetId="11">#REF!</definedName>
    <definedName name="CaehorC">#REF!</definedName>
    <definedName name="CaehorCreadec" localSheetId="13">#REF!</definedName>
    <definedName name="CaehorCreadec" localSheetId="14">#REF!</definedName>
    <definedName name="CaehorCreadec" localSheetId="17">#REF!</definedName>
    <definedName name="CaehorCreadec" localSheetId="12">#REF!</definedName>
    <definedName name="CaehorCreadec" localSheetId="11">#REF!</definedName>
    <definedName name="CaehorCreadec">#REF!</definedName>
    <definedName name="Caeimprimacion" localSheetId="13">#REF!</definedName>
    <definedName name="Caeimprimacion" localSheetId="14">#REF!</definedName>
    <definedName name="Caeimprimacion" localSheetId="17">#REF!</definedName>
    <definedName name="Caeimprimacion" localSheetId="12">#REF!</definedName>
    <definedName name="Caeimprimacion" localSheetId="11">#REF!</definedName>
    <definedName name="Caeimprimacion">#REF!</definedName>
    <definedName name="Caeimprimrefor" localSheetId="13">#REF!</definedName>
    <definedName name="Caeimprimrefor" localSheetId="17">#REF!</definedName>
    <definedName name="Caeimprimrefor" localSheetId="12">#REF!</definedName>
    <definedName name="Caeimprimrefor" localSheetId="11">#REF!</definedName>
    <definedName name="Caeimprimrefor">#REF!</definedName>
    <definedName name="Caeinvernal" localSheetId="17">#REF!</definedName>
    <definedName name="Caeinvernal">#REF!</definedName>
    <definedName name="Caejunta" localSheetId="17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 localSheetId="13">#REF!</definedName>
    <definedName name="Caelimptransp" localSheetId="14">#REF!</definedName>
    <definedName name="Caelimptransp" localSheetId="17">#REF!</definedName>
    <definedName name="Caelimptransp" localSheetId="12">#REF!</definedName>
    <definedName name="Caelimptransp" localSheetId="11">#REF!</definedName>
    <definedName name="Caelimptransp">#REF!</definedName>
    <definedName name="Caelosa" localSheetId="13">#REF!</definedName>
    <definedName name="Caelosa" localSheetId="17">#REF!</definedName>
    <definedName name="Caelosa" localSheetId="12">#REF!</definedName>
    <definedName name="Caelosa" localSheetId="11">#REF!</definedName>
    <definedName name="Caelosa">#REF!</definedName>
    <definedName name="Caematbase" localSheetId="13">#REF!</definedName>
    <definedName name="Caematbase" localSheetId="14">#REF!</definedName>
    <definedName name="Caematbase" localSheetId="17">#REF!</definedName>
    <definedName name="Caematbase" localSheetId="12">#REF!</definedName>
    <definedName name="Caematbase" localSheetId="11">#REF!</definedName>
    <definedName name="Caematbase">#REF!</definedName>
    <definedName name="Caemicroaglom" localSheetId="13">#REF!</definedName>
    <definedName name="Caemicroaglom" localSheetId="17">#REF!</definedName>
    <definedName name="Caemicroaglom" localSheetId="12">#REF!</definedName>
    <definedName name="Caemicroaglom" localSheetId="11">#REF!</definedName>
    <definedName name="Caemicroaglom">#REF!</definedName>
    <definedName name="Caemicroaglomreadec" localSheetId="17">#REF!</definedName>
    <definedName name="Caemicroaglomreadec">#REF!</definedName>
    <definedName name="Caepasamano" localSheetId="17">#REF!</definedName>
    <definedName name="Caepasamano">#REF!</definedName>
    <definedName name="Caeperfilado" localSheetId="13">#REF!</definedName>
    <definedName name="Caeperfilado" localSheetId="14">#REF!</definedName>
    <definedName name="Caeperfilado" localSheetId="17">#REF!</definedName>
    <definedName name="Caeperfilado" localSheetId="12">#REF!</definedName>
    <definedName name="Caeperfilado" localSheetId="11">#REF!</definedName>
    <definedName name="Caeperfilado">#REF!</definedName>
    <definedName name="Caepintado" localSheetId="13">#REF!</definedName>
    <definedName name="Caepintado" localSheetId="17">#REF!</definedName>
    <definedName name="Caepintado" localSheetId="12">#REF!</definedName>
    <definedName name="Caepintado" localSheetId="11">#REF!</definedName>
    <definedName name="Caepintado">#REF!</definedName>
    <definedName name="Caepretiles" localSheetId="17">#REF!</definedName>
    <definedName name="Caepretiles">#REF!</definedName>
    <definedName name="Caeprolongacion" localSheetId="17">#REF!</definedName>
    <definedName name="Caeprolongacion">#REF!</definedName>
    <definedName name="Caeprolongacionreadec" localSheetId="13">#REF!</definedName>
    <definedName name="Caeprolongacionreadec" localSheetId="14">#REF!</definedName>
    <definedName name="Caeprolongacionreadec" localSheetId="17">#REF!</definedName>
    <definedName name="Caeprolongacionreadec" localSheetId="12">#REF!</definedName>
    <definedName name="Caeprolongacionreadec" localSheetId="11">#REF!</definedName>
    <definedName name="Caeprolongacionreadec">#REF!</definedName>
    <definedName name="Caeproteccion" localSheetId="13">#REF!</definedName>
    <definedName name="Caeproteccion" localSheetId="17">#REF!</definedName>
    <definedName name="Caeproteccion" localSheetId="12">#REF!</definedName>
    <definedName name="Caeproteccion" localSheetId="11">#REF!</definedName>
    <definedName name="Caeproteccion">#REF!</definedName>
    <definedName name="Caereadsistdren1071" localSheetId="13">#REF!</definedName>
    <definedName name="Caereadsistdren1071" localSheetId="14">#REF!</definedName>
    <definedName name="Caereadsistdren1071" localSheetId="17">#REF!</definedName>
    <definedName name="Caereadsistdren1071" localSheetId="12">#REF!</definedName>
    <definedName name="Caereadsistdren1071" localSheetId="11">#REF!</definedName>
    <definedName name="Caereadsistdren1071">#REF!</definedName>
    <definedName name="Caerelleno" localSheetId="13">#REF!</definedName>
    <definedName name="Caerelleno" localSheetId="17">#REF!</definedName>
    <definedName name="Caerelleno" localSheetId="12">#REF!</definedName>
    <definedName name="Caerelleno" localSheetId="11">#REF!</definedName>
    <definedName name="Caerelleno">#REF!</definedName>
    <definedName name="CaeRep8026" localSheetId="17">#REF!</definedName>
    <definedName name="CaeRep8026">#REF!</definedName>
    <definedName name="Caerepalc" localSheetId="17">#REF!</definedName>
    <definedName name="Caerepalc">#REF!</definedName>
    <definedName name="Caerestdrenajereadec" localSheetId="13">#REF!</definedName>
    <definedName name="Caerestdrenajereadec" localSheetId="14">#REF!</definedName>
    <definedName name="Caerestdrenajereadec" localSheetId="17">#REF!</definedName>
    <definedName name="Caerestdrenajereadec" localSheetId="12">#REF!</definedName>
    <definedName name="Caerestdrenajereadec" localSheetId="11">#REF!</definedName>
    <definedName name="Caerestdrenajereadec">#REF!</definedName>
    <definedName name="Caeretderrumbe" localSheetId="13">#REF!</definedName>
    <definedName name="Caeretderrumbe" localSheetId="14">#REF!</definedName>
    <definedName name="Caeretderrumbe" localSheetId="17">#REF!</definedName>
    <definedName name="Caeretderrumbe" localSheetId="12">#REF!</definedName>
    <definedName name="Caeretderrumbe" localSheetId="11">#REF!</definedName>
    <definedName name="Caeretderrumbe">#REF!</definedName>
    <definedName name="Caeretrecolbaranda" localSheetId="13">#REF!</definedName>
    <definedName name="Caeretrecolbaranda" localSheetId="14">#REF!</definedName>
    <definedName name="Caeretrecolbaranda" localSheetId="17">#REF!</definedName>
    <definedName name="Caeretrecolbaranda" localSheetId="12">#REF!</definedName>
    <definedName name="Caeretrecolbaranda" localSheetId="11">#REF!</definedName>
    <definedName name="Caeretrecolbaranda">#REF!</definedName>
    <definedName name="CaeRHermoso" localSheetId="13">#REF!</definedName>
    <definedName name="CaeRHermoso" localSheetId="17">#REF!</definedName>
    <definedName name="CaeRHermoso" localSheetId="12">#REF!</definedName>
    <definedName name="CaeRHermoso" localSheetId="11">#REF!</definedName>
    <definedName name="CaeRHermoso">#REF!</definedName>
    <definedName name="Caeriego" localSheetId="17">#REF!</definedName>
    <definedName name="Caeriego">#REF!</definedName>
    <definedName name="Caerotondas" localSheetId="17">#REF!</definedName>
    <definedName name="Caerotondas">#REF!</definedName>
    <definedName name="Caesandef" localSheetId="13">#REF!</definedName>
    <definedName name="Caesandef" localSheetId="14">#REF!</definedName>
    <definedName name="Caesandef" localSheetId="17">#REF!</definedName>
    <definedName name="Caesandef" localSheetId="12">#REF!</definedName>
    <definedName name="Caesandef" localSheetId="11">#REF!</definedName>
    <definedName name="Caesandef">#REF!</definedName>
    <definedName name="Caesellado" localSheetId="13">#REF!</definedName>
    <definedName name="Caesellado" localSheetId="17">#REF!</definedName>
    <definedName name="Caesellado" localSheetId="12">#REF!</definedName>
    <definedName name="Caesellado" localSheetId="11">#REF!</definedName>
    <definedName name="Caesellado">#REF!</definedName>
    <definedName name="Caesenda" localSheetId="17">#REF!</definedName>
    <definedName name="Caesenda">#REF!</definedName>
    <definedName name="Caeseñalamiento" localSheetId="17">#REF!</definedName>
    <definedName name="Caeseñalamiento">#REF!</definedName>
    <definedName name="Caeseñalamientoreadec" localSheetId="13">#REF!</definedName>
    <definedName name="Caeseñalamientoreadec" localSheetId="14">#REF!</definedName>
    <definedName name="Caeseñalamientoreadec" localSheetId="17">#REF!</definedName>
    <definedName name="Caeseñalamientoreadec" localSheetId="12">#REF!</definedName>
    <definedName name="Caeseñalamientoreadec" localSheetId="11">#REF!</definedName>
    <definedName name="Caeseñalamientoreadec">#REF!</definedName>
    <definedName name="Caeseñalextrusion" localSheetId="13">#REF!</definedName>
    <definedName name="Caeseñalextrusion" localSheetId="17">#REF!</definedName>
    <definedName name="Caeseñalextrusion" localSheetId="12">#REF!</definedName>
    <definedName name="Caeseñalextrusion" localSheetId="11">#REF!</definedName>
    <definedName name="Caeseñalextrusion">#REF!</definedName>
    <definedName name="Caeseñalextrusionreadec" localSheetId="13">#REF!</definedName>
    <definedName name="Caeseñalextrusionreadec" localSheetId="14">#REF!</definedName>
    <definedName name="Caeseñalextrusionreadec" localSheetId="17">#REF!</definedName>
    <definedName name="Caeseñalextrusionreadec" localSheetId="12">#REF!</definedName>
    <definedName name="Caeseñalextrusionreadec" localSheetId="11">#REF!</definedName>
    <definedName name="Caeseñalextrusionreadec">#REF!</definedName>
    <definedName name="Caeseñalizacion" localSheetId="13">#REF!</definedName>
    <definedName name="Caeseñalizacion" localSheetId="17">#REF!</definedName>
    <definedName name="Caeseñalizacion" localSheetId="12">#REF!</definedName>
    <definedName name="Caeseñalizacion" localSheetId="11">#REF!</definedName>
    <definedName name="Caeseñalizacion">#REF!</definedName>
    <definedName name="Caeseñalizacionreadec" localSheetId="13">#REF!</definedName>
    <definedName name="Caeseñalizacionreadec" localSheetId="14">#REF!</definedName>
    <definedName name="Caeseñalizacionreadec" localSheetId="17">#REF!</definedName>
    <definedName name="Caeseñalizacionreadec" localSheetId="12">#REF!</definedName>
    <definedName name="Caeseñalizacionreadec" localSheetId="11">#REF!</definedName>
    <definedName name="Caeseñalizacionreadec">#REF!</definedName>
    <definedName name="Caeseñalvertreadec" localSheetId="13">#REF!</definedName>
    <definedName name="Caeseñalvertreadec" localSheetId="14">#REF!</definedName>
    <definedName name="Caeseñalvertreadec" localSheetId="17">#REF!</definedName>
    <definedName name="Caeseñalvertreadec" localSheetId="12">#REF!</definedName>
    <definedName name="Caeseñalvertreadec" localSheetId="11">#REF!</definedName>
    <definedName name="Caeseñalvertreadec">#REF!</definedName>
    <definedName name="Caesistdren" localSheetId="13">#REF!</definedName>
    <definedName name="Caesistdren" localSheetId="14">#REF!</definedName>
    <definedName name="Caesistdren" localSheetId="17">#REF!</definedName>
    <definedName name="Caesistdren" localSheetId="12">#REF!</definedName>
    <definedName name="Caesistdren" localSheetId="11">#REF!</definedName>
    <definedName name="Caesistdren">#REF!</definedName>
    <definedName name="Caesistdrenreadec" localSheetId="13">#REF!</definedName>
    <definedName name="Caesistdrenreadec" localSheetId="14">#REF!</definedName>
    <definedName name="Caesistdrenreadec" localSheetId="17">#REF!</definedName>
    <definedName name="Caesistdrenreadec" localSheetId="12">#REF!</definedName>
    <definedName name="Caesistdrenreadec" localSheetId="11">#REF!</definedName>
    <definedName name="Caesistdrenreadec">#REF!</definedName>
    <definedName name="Caesubbase" localSheetId="13">#REF!</definedName>
    <definedName name="Caesubbase" localSheetId="17">#REF!</definedName>
    <definedName name="Caesubbase" localSheetId="12">#REF!</definedName>
    <definedName name="Caesubbase" localSheetId="11">#REF!</definedName>
    <definedName name="Caesubbase">#REF!</definedName>
    <definedName name="Caeterraplen" localSheetId="17">#REF!</definedName>
    <definedName name="Caeterraplen">#REF!</definedName>
    <definedName name="Caeterraplenreadec" localSheetId="13">#REF!</definedName>
    <definedName name="Caeterraplenreadec" localSheetId="14">#REF!</definedName>
    <definedName name="Caeterraplenreadec" localSheetId="17">#REF!</definedName>
    <definedName name="Caeterraplenreadec" localSheetId="12">#REF!</definedName>
    <definedName name="Caeterraplenreadec" localSheetId="11">#REF!</definedName>
    <definedName name="Caeterraplenreadec">#REF!</definedName>
    <definedName name="Caeterrsincomp" localSheetId="13">#REF!</definedName>
    <definedName name="Caeterrsincomp" localSheetId="17">#REF!</definedName>
    <definedName name="Caeterrsincomp" localSheetId="12">#REF!</definedName>
    <definedName name="Caeterrsincomp" localSheetId="11">#REF!</definedName>
    <definedName name="Caeterrsincomp">#REF!</definedName>
    <definedName name="Caetravesia" localSheetId="17">#REF!</definedName>
    <definedName name="Caetravesia">#REF!</definedName>
    <definedName name="Caevigas" localSheetId="17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 localSheetId="13">#REF!</definedName>
    <definedName name="calHidr" localSheetId="14">#REF!</definedName>
    <definedName name="calHidr" localSheetId="17">#REF!</definedName>
    <definedName name="calHidr" localSheetId="12">#REF!</definedName>
    <definedName name="calHidr" localSheetId="11">#REF!</definedName>
    <definedName name="calHidr">#REF!</definedName>
    <definedName name="CalidadAcero" localSheetId="13">#REF!</definedName>
    <definedName name="CalidadAcero" localSheetId="17">#REF!</definedName>
    <definedName name="CalidadAcero" localSheetId="12">#REF!</definedName>
    <definedName name="CalidadAcero" localSheetId="11">#REF!</definedName>
    <definedName name="CalidadAcero">#REF!</definedName>
    <definedName name="campocodigoanalisis" localSheetId="13">#REF!</definedName>
    <definedName name="campocodigoanalisis" localSheetId="14">#REF!</definedName>
    <definedName name="campocodigoanalisis" localSheetId="17">#REF!</definedName>
    <definedName name="campocodigoanalisis" localSheetId="12">#REF!</definedName>
    <definedName name="campocodigoanalisis" localSheetId="11">#REF!</definedName>
    <definedName name="campocodigoanalisis">#REF!</definedName>
    <definedName name="CAÑERIA_DE_IMPULSION__P._LAVALLE_SAENZ_PEÑA" localSheetId="13">#REF!</definedName>
    <definedName name="CAÑERIA_DE_IMPULSION__P._LAVALLE_SAENZ_PEÑA" localSheetId="17">#REF!</definedName>
    <definedName name="CAÑERIA_DE_IMPULSION__P._LAVALLE_SAENZ_PEÑA" localSheetId="12">#REF!</definedName>
    <definedName name="CAÑERIA_DE_IMPULSION__P._LAVALLE_SAENZ_PEÑA" localSheetId="11">#REF!</definedName>
    <definedName name="CAÑERIA_DE_IMPULSION__P._LAVALLE_SAENZ_PEÑA">#REF!</definedName>
    <definedName name="Caracteres_del_Alfabeto_Griego" localSheetId="17">#REF!</definedName>
    <definedName name="Caracteres_del_Alfabeto_Griego">#REF!</definedName>
    <definedName name="CARGAS" localSheetId="13">#REF!</definedName>
    <definedName name="CARGAS" localSheetId="14">#REF!</definedName>
    <definedName name="CARGAS" localSheetId="17">#REF!</definedName>
    <definedName name="CARGAS" localSheetId="12">#REF!</definedName>
    <definedName name="CARGAS" localSheetId="11">#REF!</definedName>
    <definedName name="CARGAS">#REF!</definedName>
    <definedName name="Cargas_Sociales" localSheetId="13">#REF!</definedName>
    <definedName name="Cargas_Sociales" localSheetId="14">#REF!</definedName>
    <definedName name="Cargas_Sociales" localSheetId="17">#REF!</definedName>
    <definedName name="Cargas_Sociales" localSheetId="12">#REF!</definedName>
    <definedName name="Cargas_Sociales" localSheetId="11">#REF!</definedName>
    <definedName name="Cargas_Sociales">#REF!</definedName>
    <definedName name="carlosa" localSheetId="13">#REF!</definedName>
    <definedName name="carlosa" localSheetId="17">#REF!</definedName>
    <definedName name="carlosa" localSheetId="12">#REF!</definedName>
    <definedName name="carlosa" localSheetId="11">#REF!</definedName>
    <definedName name="carlosa">#REF!</definedName>
    <definedName name="carlosar" localSheetId="17">#REF!</definedName>
    <definedName name="carlosar">#REF!</definedName>
    <definedName name="cascada" localSheetId="13">#REF!</definedName>
    <definedName name="cascada" localSheetId="14">#REF!</definedName>
    <definedName name="cascada" localSheetId="17">#REF!</definedName>
    <definedName name="cascada" localSheetId="12">#REF!</definedName>
    <definedName name="cascada" localSheetId="11">#REF!</definedName>
    <definedName name="cascada">#REF!</definedName>
    <definedName name="CAT" localSheetId="13">#REF!</definedName>
    <definedName name="CAT" localSheetId="17">#REF!</definedName>
    <definedName name="CAT" localSheetId="12">#REF!</definedName>
    <definedName name="CAT" localSheetId="11">#REF!</definedName>
    <definedName name="CAT">#REF!</definedName>
    <definedName name="CC" localSheetId="17">#REF!</definedName>
    <definedName name="CC">#REF!</definedName>
    <definedName name="cccccc" localSheetId="5">#REF!</definedName>
    <definedName name="cccccc" localSheetId="10">#REF!</definedName>
    <definedName name="cccccc" localSheetId="4">#REF!</definedName>
    <definedName name="cccccc" localSheetId="0">#REF!</definedName>
    <definedName name="cccccc" localSheetId="17">#REF!</definedName>
    <definedName name="cccccc" localSheetId="7">#REF!</definedName>
    <definedName name="cccccc" localSheetId="8">#REF!</definedName>
    <definedName name="cccccc" localSheetId="6">#REF!</definedName>
    <definedName name="cccccc" localSheetId="9">#REF!</definedName>
    <definedName name="cccccc" localSheetId="1">#REF!</definedName>
    <definedName name="cccccc" localSheetId="2">#REF!</definedName>
    <definedName name="cccccc" localSheetId="3">#REF!</definedName>
    <definedName name="cccccc">#REF!</definedName>
    <definedName name="cd" localSheetId="17">#REF!</definedName>
    <definedName name="cd">#REF!</definedName>
    <definedName name="cddos" localSheetId="17">#REF!</definedName>
    <definedName name="cddos">#REF!</definedName>
    <definedName name="CDT" localSheetId="17">#REF!</definedName>
    <definedName name="CDT">#REF!</definedName>
    <definedName name="CE0" localSheetId="13">#REF!</definedName>
    <definedName name="CE0" localSheetId="10">#REF!</definedName>
    <definedName name="CE0" localSheetId="4">#REF!</definedName>
    <definedName name="CE0" localSheetId="14">#REF!</definedName>
    <definedName name="CE0" localSheetId="0">#REF!</definedName>
    <definedName name="CE0" localSheetId="17">#REF!</definedName>
    <definedName name="CE0" localSheetId="12">#REF!</definedName>
    <definedName name="CE0" localSheetId="11">#REF!</definedName>
    <definedName name="CE0">#REF!</definedName>
    <definedName name="CE1_" localSheetId="13">#REF!</definedName>
    <definedName name="CE1_" localSheetId="4">#REF!</definedName>
    <definedName name="CE1_" localSheetId="14">#REF!</definedName>
    <definedName name="CE1_" localSheetId="0">#REF!</definedName>
    <definedName name="CE1_" localSheetId="17">#REF!</definedName>
    <definedName name="CE1_" localSheetId="12">#REF!</definedName>
    <definedName name="CE1_" localSheetId="11">#REF!</definedName>
    <definedName name="CE1_">#REF!</definedName>
    <definedName name="CE2_" localSheetId="13">#REF!</definedName>
    <definedName name="CE2_" localSheetId="14">#REF!</definedName>
    <definedName name="CE2_" localSheetId="0">#REF!</definedName>
    <definedName name="CE2_" localSheetId="17">#REF!</definedName>
    <definedName name="CE2_" localSheetId="12">#REF!</definedName>
    <definedName name="CE2_" localSheetId="11">#REF!</definedName>
    <definedName name="CE2_">#REF!</definedName>
    <definedName name="CE3_" localSheetId="13">#REF!</definedName>
    <definedName name="CE3_" localSheetId="14">#REF!</definedName>
    <definedName name="CE3_" localSheetId="0">#REF!</definedName>
    <definedName name="CE3_" localSheetId="17">#REF!</definedName>
    <definedName name="CE3_" localSheetId="12">#REF!</definedName>
    <definedName name="CE3_" localSheetId="11">#REF!</definedName>
    <definedName name="CE3_">#REF!</definedName>
    <definedName name="CEBE" localSheetId="13">#REF!</definedName>
    <definedName name="CEBE" localSheetId="14">#REF!</definedName>
    <definedName name="CEBE" localSheetId="17">#REF!</definedName>
    <definedName name="CEBE" localSheetId="12">#REF!</definedName>
    <definedName name="CEBE" localSheetId="11">#REF!</definedName>
    <definedName name="CEBE">#REF!</definedName>
    <definedName name="CECF" localSheetId="13">#REF!</definedName>
    <definedName name="CECF" localSheetId="14">#REF!</definedName>
    <definedName name="CECF" localSheetId="17">#REF!</definedName>
    <definedName name="CECF" localSheetId="12">#REF!</definedName>
    <definedName name="CECF" localSheetId="11">#REF!</definedName>
    <definedName name="CECF">#REF!</definedName>
    <definedName name="CEGG" localSheetId="13">#REF!</definedName>
    <definedName name="CEGG" localSheetId="14">#REF!</definedName>
    <definedName name="CEGG" localSheetId="17">#REF!</definedName>
    <definedName name="CEGG" localSheetId="12">#REF!</definedName>
    <definedName name="CEGG" localSheetId="11">#REF!</definedName>
    <definedName name="CEGG">#REF!</definedName>
    <definedName name="CEIM" localSheetId="13">#REF!</definedName>
    <definedName name="CEIM" localSheetId="14">#REF!</definedName>
    <definedName name="CEIM" localSheetId="17">#REF!</definedName>
    <definedName name="CEIM" localSheetId="12">#REF!</definedName>
    <definedName name="CEIM" localSheetId="11">#REF!</definedName>
    <definedName name="CEIM">#REF!</definedName>
    <definedName name="ceme" localSheetId="13">#REF!</definedName>
    <definedName name="ceme" localSheetId="14">#REF!</definedName>
    <definedName name="ceme" localSheetId="17">#REF!</definedName>
    <definedName name="ceme" localSheetId="12">#REF!</definedName>
    <definedName name="ceme" localSheetId="11">#REF!</definedName>
    <definedName name="ceme">#REF!</definedName>
    <definedName name="cemento" localSheetId="13">#REF!</definedName>
    <definedName name="cemento" localSheetId="14">#REF!</definedName>
    <definedName name="cemento" localSheetId="17">#REF!</definedName>
    <definedName name="cemento" localSheetId="12">#REF!</definedName>
    <definedName name="cemento" localSheetId="11">#REF!</definedName>
    <definedName name="cemento">#REF!</definedName>
    <definedName name="CEMR" localSheetId="13">#REF!</definedName>
    <definedName name="CEMR" localSheetId="14">#REF!</definedName>
    <definedName name="CEMR" localSheetId="17">#REF!</definedName>
    <definedName name="CEMR" localSheetId="12">#REF!</definedName>
    <definedName name="CEMR" localSheetId="11">#REF!</definedName>
    <definedName name="CEMR">#REF!</definedName>
    <definedName name="CEo" localSheetId="13">#REF!</definedName>
    <definedName name="CEo" localSheetId="17">#REF!</definedName>
    <definedName name="CEo" localSheetId="12">#REF!</definedName>
    <definedName name="CEo" localSheetId="11">#REF!</definedName>
    <definedName name="CEo">#REF!</definedName>
    <definedName name="Certificado2" localSheetId="13">#REF!</definedName>
    <definedName name="Certificado2" localSheetId="21">#REF!</definedName>
    <definedName name="Certificado2" localSheetId="22">#REF!</definedName>
    <definedName name="Certificado2" localSheetId="5">#REF!</definedName>
    <definedName name="Certificado2" localSheetId="10">#REF!</definedName>
    <definedName name="Certificado2" localSheetId="4">#REF!</definedName>
    <definedName name="Certificado2" localSheetId="0">#REF!</definedName>
    <definedName name="Certificado2" localSheetId="17">#REF!</definedName>
    <definedName name="Certificado2" localSheetId="7">#REF!</definedName>
    <definedName name="Certificado2" localSheetId="8">#REF!</definedName>
    <definedName name="Certificado2" localSheetId="6">#REF!</definedName>
    <definedName name="Certificado2" localSheetId="9">#REF!</definedName>
    <definedName name="Certificado2" localSheetId="19">#REF!</definedName>
    <definedName name="Certificado2" localSheetId="20">#REF!</definedName>
    <definedName name="Certificado2" localSheetId="12">#REF!</definedName>
    <definedName name="Certificado2" localSheetId="11">#REF!</definedName>
    <definedName name="Certificado2" localSheetId="1">#REF!</definedName>
    <definedName name="Certificado2" localSheetId="2">#REF!</definedName>
    <definedName name="Certificado2" localSheetId="3">#REF!</definedName>
    <definedName name="Certificado2">#REF!</definedName>
    <definedName name="Ch.Tech" localSheetId="17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 localSheetId="13">#REF!</definedName>
    <definedName name="CICVH" localSheetId="4">#REF!</definedName>
    <definedName name="CICVH" localSheetId="14">#REF!</definedName>
    <definedName name="CICVH" localSheetId="0">#REF!</definedName>
    <definedName name="CICVH" localSheetId="17">#REF!</definedName>
    <definedName name="CICVH" localSheetId="12">#REF!</definedName>
    <definedName name="CICVH" localSheetId="11">#REF!</definedName>
    <definedName name="CICVH">#REF!</definedName>
    <definedName name="CIEA" localSheetId="13">#REF!</definedName>
    <definedName name="CIEA" localSheetId="4">#REF!</definedName>
    <definedName name="CIEA" localSheetId="14">#REF!</definedName>
    <definedName name="CIEA" localSheetId="0">#REF!</definedName>
    <definedName name="CIEA" localSheetId="17">#REF!</definedName>
    <definedName name="CIEA" localSheetId="12">#REF!</definedName>
    <definedName name="CIEA" localSheetId="11">#REF!</definedName>
    <definedName name="CIEA">#REF!</definedName>
    <definedName name="CIEE" localSheetId="13">#REF!</definedName>
    <definedName name="CIEE" localSheetId="14">#REF!</definedName>
    <definedName name="CIEE" localSheetId="0">#REF!</definedName>
    <definedName name="CIEE" localSheetId="17">#REF!</definedName>
    <definedName name="CIEE" localSheetId="12">#REF!</definedName>
    <definedName name="CIEE" localSheetId="11">#REF!</definedName>
    <definedName name="CIEE">#REF!</definedName>
    <definedName name="CIEF" localSheetId="13">#REF!</definedName>
    <definedName name="CIEF" localSheetId="14">#REF!</definedName>
    <definedName name="CIEF" localSheetId="0">#REF!</definedName>
    <definedName name="CIEF" localSheetId="17">#REF!</definedName>
    <definedName name="CIEF" localSheetId="12">#REF!</definedName>
    <definedName name="CIEF" localSheetId="11">#REF!</definedName>
    <definedName name="CIEF">#REF!</definedName>
    <definedName name="CIEG" localSheetId="13">#REF!</definedName>
    <definedName name="CIEG" localSheetId="14">#REF!</definedName>
    <definedName name="CIEG" localSheetId="0">#REF!</definedName>
    <definedName name="CIEG" localSheetId="17">#REF!</definedName>
    <definedName name="CIEG" localSheetId="12">#REF!</definedName>
    <definedName name="CIEG" localSheetId="11">#REF!</definedName>
    <definedName name="CIEG">#REF!</definedName>
    <definedName name="CISTERNA_Y_E.E._EN_SAENZ_PEÑA" localSheetId="13">#REF!</definedName>
    <definedName name="CISTERNA_Y_E.E._EN_SAENZ_PEÑA" localSheetId="17">#REF!</definedName>
    <definedName name="CISTERNA_Y_E.E._EN_SAENZ_PEÑA" localSheetId="12">#REF!</definedName>
    <definedName name="CISTERNA_Y_E.E._EN_SAENZ_PEÑA" localSheetId="11">#REF!</definedName>
    <definedName name="CISTERNA_Y_E.E._EN_SAENZ_PEÑA">#REF!</definedName>
    <definedName name="clase" localSheetId="13">#REF!</definedName>
    <definedName name="clase" localSheetId="14">#REF!</definedName>
    <definedName name="clase" localSheetId="17">#REF!</definedName>
    <definedName name="clase" localSheetId="12">#REF!</definedName>
    <definedName name="clase" localSheetId="11">#REF!</definedName>
    <definedName name="clase">#REF!</definedName>
    <definedName name="Clases_Edificios" localSheetId="13">#REF!</definedName>
    <definedName name="Clases_Edificios" localSheetId="14">#REF!</definedName>
    <definedName name="Clases_Edificios" localSheetId="17">#REF!</definedName>
    <definedName name="Clases_Edificios" localSheetId="12">#REF!</definedName>
    <definedName name="Clases_Edificios" localSheetId="11">#REF!</definedName>
    <definedName name="Clases_Edificios">#REF!</definedName>
    <definedName name="clav" localSheetId="13">#REF!</definedName>
    <definedName name="clav" localSheetId="14">#REF!</definedName>
    <definedName name="clav" localSheetId="17">#REF!</definedName>
    <definedName name="clav" localSheetId="12">#REF!</definedName>
    <definedName name="clav" localSheetId="11">#REF!</definedName>
    <definedName name="clav">#REF!</definedName>
    <definedName name="clavos" localSheetId="13">#REF!</definedName>
    <definedName name="clavos" localSheetId="14">#REF!</definedName>
    <definedName name="clavos" localSheetId="17">#REF!</definedName>
    <definedName name="clavos" localSheetId="12">#REF!</definedName>
    <definedName name="clavos" localSheetId="11">#REF!</definedName>
    <definedName name="clavos">#REF!</definedName>
    <definedName name="cm_prsum">#REF!</definedName>
    <definedName name="cm_sum">#REF!</definedName>
    <definedName name="CM0" localSheetId="13">#REF!</definedName>
    <definedName name="CM0" localSheetId="14">#REF!</definedName>
    <definedName name="CM0" localSheetId="0">#REF!</definedName>
    <definedName name="CM0" localSheetId="17">#REF!</definedName>
    <definedName name="CM0" localSheetId="12">#REF!</definedName>
    <definedName name="CM0" localSheetId="11">#REF!</definedName>
    <definedName name="CM0">#REF!</definedName>
    <definedName name="CM1_" localSheetId="13">#REF!</definedName>
    <definedName name="CM1_" localSheetId="14">#REF!</definedName>
    <definedName name="CM1_" localSheetId="0">#REF!</definedName>
    <definedName name="CM1_" localSheetId="17">#REF!</definedName>
    <definedName name="CM1_" localSheetId="12">#REF!</definedName>
    <definedName name="CM1_" localSheetId="11">#REF!</definedName>
    <definedName name="CM1_">#REF!</definedName>
    <definedName name="CM3_" localSheetId="13">#REF!</definedName>
    <definedName name="CM3_" localSheetId="14">#REF!</definedName>
    <definedName name="CM3_" localSheetId="0">#REF!</definedName>
    <definedName name="CM3_" localSheetId="17">#REF!</definedName>
    <definedName name="CM3_" localSheetId="12">#REF!</definedName>
    <definedName name="CM3_" localSheetId="11">#REF!</definedName>
    <definedName name="CM3_">#REF!</definedName>
    <definedName name="CM4_" localSheetId="13">#REF!</definedName>
    <definedName name="CM4_" localSheetId="14">#REF!</definedName>
    <definedName name="CM4_" localSheetId="0">#REF!</definedName>
    <definedName name="CM4_" localSheetId="17">#REF!</definedName>
    <definedName name="CM4_" localSheetId="12">#REF!</definedName>
    <definedName name="CM4_" localSheetId="11">#REF!</definedName>
    <definedName name="CM4_">#REF!</definedName>
    <definedName name="CMA" localSheetId="13">#REF!</definedName>
    <definedName name="CMA" localSheetId="14">#REF!</definedName>
    <definedName name="CMA" localSheetId="0">#REF!</definedName>
    <definedName name="CMA" localSheetId="17">#REF!</definedName>
    <definedName name="CMA" localSheetId="12">#REF!</definedName>
    <definedName name="CMA" localSheetId="11">#REF!</definedName>
    <definedName name="CMA">#REF!</definedName>
    <definedName name="CMAX" localSheetId="13">#REF!</definedName>
    <definedName name="CMAX" localSheetId="17">#REF!</definedName>
    <definedName name="CMAX" localSheetId="12">#REF!</definedName>
    <definedName name="CMAX" localSheetId="11">#REF!</definedName>
    <definedName name="CMAX">#REF!</definedName>
    <definedName name="CMMO" localSheetId="13">#REF!</definedName>
    <definedName name="CMMO" localSheetId="14">#REF!</definedName>
    <definedName name="CMMO" localSheetId="0">#REF!</definedName>
    <definedName name="CMMO" localSheetId="17">#REF!</definedName>
    <definedName name="CMMO" localSheetId="12">#REF!</definedName>
    <definedName name="CMMO" localSheetId="11">#REF!</definedName>
    <definedName name="CMMO">#REF!</definedName>
    <definedName name="CMO" localSheetId="13">#REF!</definedName>
    <definedName name="CMO" localSheetId="14">#REF!</definedName>
    <definedName name="CMO" localSheetId="0">#REF!</definedName>
    <definedName name="CMO" localSheetId="17">#REF!</definedName>
    <definedName name="CMO" localSheetId="12">#REF!</definedName>
    <definedName name="CMO" localSheetId="11">#REF!</definedName>
    <definedName name="CMO">#REF!</definedName>
    <definedName name="CMOE" localSheetId="13">#REF!</definedName>
    <definedName name="CMOE" localSheetId="14">#REF!</definedName>
    <definedName name="CMOE" localSheetId="0">#REF!</definedName>
    <definedName name="CMOE" localSheetId="17">#REF!</definedName>
    <definedName name="CMOE" localSheetId="12">#REF!</definedName>
    <definedName name="CMOE" localSheetId="11">#REF!</definedName>
    <definedName name="CMOE">#REF!</definedName>
    <definedName name="CMP" localSheetId="13">#REF!</definedName>
    <definedName name="CMP" localSheetId="14">#REF!</definedName>
    <definedName name="CMP" localSheetId="0">#REF!</definedName>
    <definedName name="CMP" localSheetId="17">#REF!</definedName>
    <definedName name="CMP" localSheetId="12">#REF!</definedName>
    <definedName name="CMP" localSheetId="11">#REF!</definedName>
    <definedName name="CMP">#REF!</definedName>
    <definedName name="CMZ" localSheetId="13">#REF!</definedName>
    <definedName name="CMZ" localSheetId="14">#REF!</definedName>
    <definedName name="CMZ" localSheetId="0">#REF!</definedName>
    <definedName name="CMZ" localSheetId="17">#REF!</definedName>
    <definedName name="CMZ" localSheetId="12">#REF!</definedName>
    <definedName name="CMZ" localSheetId="11">#REF!</definedName>
    <definedName name="CMZ">#REF!</definedName>
    <definedName name="codigoanalisis" localSheetId="13">#REF!</definedName>
    <definedName name="codigoanalisis" localSheetId="14">#REF!</definedName>
    <definedName name="codigoanalisis" localSheetId="17">#REF!</definedName>
    <definedName name="codigoanalisis" localSheetId="12">#REF!</definedName>
    <definedName name="codigoanalisis" localSheetId="11">#REF!</definedName>
    <definedName name="codigoanalisis">#REF!</definedName>
    <definedName name="codigoformulas" localSheetId="13">#REF!</definedName>
    <definedName name="codigoformulas" localSheetId="14">#REF!</definedName>
    <definedName name="codigoformulas" localSheetId="17">#REF!</definedName>
    <definedName name="codigoformulas" localSheetId="12">#REF!</definedName>
    <definedName name="codigoformulas" localSheetId="11">#REF!</definedName>
    <definedName name="codigoformulas">#REF!</definedName>
    <definedName name="codigoinsumos" localSheetId="13">#REF!</definedName>
    <definedName name="codigoinsumos" localSheetId="14">#REF!</definedName>
    <definedName name="codigoinsumos" localSheetId="17">#REF!</definedName>
    <definedName name="codigoinsumos" localSheetId="12">#REF!</definedName>
    <definedName name="codigoinsumos" localSheetId="11">#REF!</definedName>
    <definedName name="codigoinsumos">#REF!</definedName>
    <definedName name="codigoitems" localSheetId="13">#REF!</definedName>
    <definedName name="codigoitems" localSheetId="14">#REF!</definedName>
    <definedName name="codigoitems" localSheetId="17">#REF!</definedName>
    <definedName name="codigoitems" localSheetId="12">#REF!</definedName>
    <definedName name="codigoitems" localSheetId="11">#REF!</definedName>
    <definedName name="codigoitems">#REF!</definedName>
    <definedName name="codigomat" localSheetId="13">#REF!</definedName>
    <definedName name="codigomat" localSheetId="17">#REF!</definedName>
    <definedName name="codigomat" localSheetId="12">#REF!</definedName>
    <definedName name="codigomat" localSheetId="11">#REF!</definedName>
    <definedName name="codigomat">#REF!</definedName>
    <definedName name="CodigoParametrico" localSheetId="5">#REF!</definedName>
    <definedName name="CodigoParametrico" localSheetId="10">#REF!</definedName>
    <definedName name="CodigoParametrico" localSheetId="4">#REF!</definedName>
    <definedName name="CodigoParametrico" localSheetId="14">#REF!</definedName>
    <definedName name="CodigoParametrico" localSheetId="0">#REF!</definedName>
    <definedName name="CodigoParametrico" localSheetId="17">#REF!</definedName>
    <definedName name="CodigoParametrico" localSheetId="7">#REF!</definedName>
    <definedName name="CodigoParametrico" localSheetId="8">#REF!</definedName>
    <definedName name="CodigoParametrico" localSheetId="6">#REF!</definedName>
    <definedName name="CodigoParametrico" localSheetId="9">#REF!</definedName>
    <definedName name="CodigoParametrico" localSheetId="1">#REF!</definedName>
    <definedName name="CodigoParametrico" localSheetId="2">#REF!</definedName>
    <definedName name="CodigoParametrico" localSheetId="3">#REF!</definedName>
    <definedName name="CodigoParametrico">#REF!</definedName>
    <definedName name="coef" localSheetId="13">#REF!</definedName>
    <definedName name="coef" localSheetId="21">#REF!</definedName>
    <definedName name="coef" localSheetId="22">#REF!</definedName>
    <definedName name="coef" localSheetId="5">#REF!</definedName>
    <definedName name="coef" localSheetId="10">#REF!</definedName>
    <definedName name="coef" localSheetId="4">#REF!</definedName>
    <definedName name="coef" localSheetId="0">#REF!</definedName>
    <definedName name="coef" localSheetId="17">#REF!</definedName>
    <definedName name="coef" localSheetId="7">#REF!</definedName>
    <definedName name="coef" localSheetId="8">#REF!</definedName>
    <definedName name="coef" localSheetId="6">#REF!</definedName>
    <definedName name="coef" localSheetId="9">#REF!</definedName>
    <definedName name="coef" localSheetId="19">#REF!</definedName>
    <definedName name="coef" localSheetId="20">#REF!</definedName>
    <definedName name="coef" localSheetId="12">#REF!</definedName>
    <definedName name="coef" localSheetId="11">#REF!</definedName>
    <definedName name="coef" localSheetId="1">#REF!</definedName>
    <definedName name="coef" localSheetId="2">#REF!</definedName>
    <definedName name="coef" localSheetId="3">#REF!</definedName>
    <definedName name="coef">#REF!</definedName>
    <definedName name="Coef_GG_B_I" localSheetId="5">#REF!</definedName>
    <definedName name="Coef_GG_B_I" localSheetId="10">#REF!</definedName>
    <definedName name="Coef_GG_B_I" localSheetId="4">#REF!</definedName>
    <definedName name="Coef_GG_B_I" localSheetId="0">#REF!</definedName>
    <definedName name="Coef_GG_B_I" localSheetId="7">#REF!</definedName>
    <definedName name="Coef_GG_B_I" localSheetId="8">#REF!</definedName>
    <definedName name="Coef_GG_B_I" localSheetId="6">#REF!</definedName>
    <definedName name="Coef_GG_B_I" localSheetId="9">#REF!</definedName>
    <definedName name="Coef_GG_B_I" localSheetId="1">#REF!</definedName>
    <definedName name="Coef_GG_B_I" localSheetId="2">#REF!</definedName>
    <definedName name="Coef_GG_B_I" localSheetId="3">#REF!</definedName>
    <definedName name="Coef_GG_B_I">#REF!</definedName>
    <definedName name="columna">#REF!</definedName>
    <definedName name="COLUMNAS" localSheetId="13">#REF!</definedName>
    <definedName name="COLUMNAS" localSheetId="14">#REF!</definedName>
    <definedName name="COLUMNAS" localSheetId="17">#REF!</definedName>
    <definedName name="COLUMNAS" localSheetId="12">#REF!</definedName>
    <definedName name="COLUMNAS" localSheetId="11">#REF!</definedName>
    <definedName name="COLUMNAS">#REF!</definedName>
    <definedName name="Comb" localSheetId="13">#REF!</definedName>
    <definedName name="Comb" localSheetId="17">#REF!</definedName>
    <definedName name="Comb" localSheetId="12">#REF!</definedName>
    <definedName name="Comb" localSheetId="11">#REF!</definedName>
    <definedName name="Comb">#REF!</definedName>
    <definedName name="Combinaciones_cargas" localSheetId="13">#REF!</definedName>
    <definedName name="Combinaciones_cargas" localSheetId="14">#REF!</definedName>
    <definedName name="Combinaciones_cargas" localSheetId="17">#REF!</definedName>
    <definedName name="Combinaciones_cargas" localSheetId="12">#REF!</definedName>
    <definedName name="Combinaciones_cargas" localSheetId="11">#REF!</definedName>
    <definedName name="Combinaciones_cargas">#REF!</definedName>
    <definedName name="COMPANIA" localSheetId="13">#REF!</definedName>
    <definedName name="COMPANIA" localSheetId="5">#REF!</definedName>
    <definedName name="COMPANIA" localSheetId="10">#REF!</definedName>
    <definedName name="COMPANIA" localSheetId="14">#REF!</definedName>
    <definedName name="COMPANIA" localSheetId="17">#REF!</definedName>
    <definedName name="COMPANIA" localSheetId="7">#REF!</definedName>
    <definedName name="COMPANIA" localSheetId="8">#REF!</definedName>
    <definedName name="COMPANIA" localSheetId="6">#REF!</definedName>
    <definedName name="COMPANIA" localSheetId="9">#REF!</definedName>
    <definedName name="COMPANIA" localSheetId="1">#REF!</definedName>
    <definedName name="COMPANIA" localSheetId="2">#REF!</definedName>
    <definedName name="COMPANIA" localSheetId="3">#REF!</definedName>
    <definedName name="COMPANIA">#REF!</definedName>
    <definedName name="COMPUTO" localSheetId="17">#REF!</definedName>
    <definedName name="COMPUTO">#REF!</definedName>
    <definedName name="COMPUTOS" localSheetId="17">#REF!</definedName>
    <definedName name="COMPUTOS">#REF!</definedName>
    <definedName name="Constante_de_los_Gases" localSheetId="17">#REF!</definedName>
    <definedName name="Constante_de_los_Gases">#REF!</definedName>
    <definedName name="constantes" localSheetId="13">#REF!</definedName>
    <definedName name="constantes" localSheetId="14">#REF!</definedName>
    <definedName name="constantes" localSheetId="17">#REF!</definedName>
    <definedName name="constantes" localSheetId="12">#REF!</definedName>
    <definedName name="constantes" localSheetId="11">#REF!</definedName>
    <definedName name="constantes">#REF!</definedName>
    <definedName name="Consumo" localSheetId="13">#REF!</definedName>
    <definedName name="Consumo" localSheetId="14">#REF!</definedName>
    <definedName name="Consumo" localSheetId="17">#REF!</definedName>
    <definedName name="Consumo" localSheetId="12">#REF!</definedName>
    <definedName name="Consumo" localSheetId="11">#REF!</definedName>
    <definedName name="Consumo">#REF!</definedName>
    <definedName name="Contribucion_Patronal_s_Decreto_2641" localSheetId="13">#REF!</definedName>
    <definedName name="Contribucion_Patronal_s_Decreto_2641" localSheetId="14">#REF!</definedName>
    <definedName name="Contribucion_Patronal_s_Decreto_2641" localSheetId="17">#REF!</definedName>
    <definedName name="Contribucion_Patronal_s_Decreto_2641" localSheetId="12">#REF!</definedName>
    <definedName name="Contribucion_Patronal_s_Decreto_2641" localSheetId="11">#REF!</definedName>
    <definedName name="Contribucion_Patronal_s_Decreto_2641">#REF!</definedName>
    <definedName name="copete" localSheetId="13">#REF!</definedName>
    <definedName name="copete" localSheetId="14">#REF!</definedName>
    <definedName name="copete" localSheetId="17">#REF!</definedName>
    <definedName name="copete" localSheetId="12">#REF!</definedName>
    <definedName name="copete" localSheetId="11">#REF!</definedName>
    <definedName name="copete">#REF!</definedName>
    <definedName name="COPIA" localSheetId="13">#REF!</definedName>
    <definedName name="COPIA" localSheetId="17">#REF!</definedName>
    <definedName name="COPIA" localSheetId="12">#REF!</definedName>
    <definedName name="COPIA" localSheetId="11">#REF!</definedName>
    <definedName name="COPIA">#REF!</definedName>
    <definedName name="Correa" localSheetId="17">#REF!</definedName>
    <definedName name="Correa">#REF!</definedName>
    <definedName name="COSTO">#N/A</definedName>
    <definedName name="COSTO_DIRECTO" localSheetId="13">#REF!</definedName>
    <definedName name="COSTO_DIRECTO" localSheetId="14">#REF!</definedName>
    <definedName name="COSTO_DIRECTO" localSheetId="17">#REF!</definedName>
    <definedName name="COSTO_DIRECTO" localSheetId="12">#REF!</definedName>
    <definedName name="COSTO_DIRECTO" localSheetId="11">#REF!</definedName>
    <definedName name="COSTO_DIRECTO">#REF!</definedName>
    <definedName name="COSTO_INDIRECTO" localSheetId="13">#REF!</definedName>
    <definedName name="COSTO_INDIRECTO" localSheetId="14">#REF!</definedName>
    <definedName name="COSTO_INDIRECTO" localSheetId="17">#REF!</definedName>
    <definedName name="COSTO_INDIRECTO" localSheetId="12">#REF!</definedName>
    <definedName name="COSTO_INDIRECTO" localSheetId="11">#REF!</definedName>
    <definedName name="COSTO_INDIRECTO">#REF!</definedName>
    <definedName name="CostoEquipos" localSheetId="13">#REF!</definedName>
    <definedName name="CostoEquipos" localSheetId="14">#REF!</definedName>
    <definedName name="CostoEquipos" localSheetId="17">#REF!</definedName>
    <definedName name="CostoEquipos" localSheetId="12">#REF!</definedName>
    <definedName name="CostoEquipos" localSheetId="11">#REF!</definedName>
    <definedName name="CostoEquipos">#REF!</definedName>
    <definedName name="coti3" localSheetId="5">#REF!</definedName>
    <definedName name="coti3" localSheetId="10">#REF!</definedName>
    <definedName name="coti3" localSheetId="4">#REF!</definedName>
    <definedName name="coti3" localSheetId="14">#REF!</definedName>
    <definedName name="coti3" localSheetId="0">#REF!</definedName>
    <definedName name="coti3" localSheetId="17">#REF!</definedName>
    <definedName name="coti3" localSheetId="24">#REF!</definedName>
    <definedName name="coti3" localSheetId="7">#REF!</definedName>
    <definedName name="coti3" localSheetId="8">#REF!</definedName>
    <definedName name="coti3" localSheetId="6">#REF!</definedName>
    <definedName name="coti3" localSheetId="9">#REF!</definedName>
    <definedName name="coti3" localSheetId="1">#REF!</definedName>
    <definedName name="coti3" localSheetId="2">#REF!</definedName>
    <definedName name="coti3" localSheetId="3">#REF!</definedName>
    <definedName name="coti3">#REF!</definedName>
    <definedName name="coti4" localSheetId="5">#REF!</definedName>
    <definedName name="coti4" localSheetId="10">#REF!</definedName>
    <definedName name="coti4" localSheetId="4">#REF!</definedName>
    <definedName name="coti4" localSheetId="14">#REF!</definedName>
    <definedName name="coti4" localSheetId="0">#REF!</definedName>
    <definedName name="coti4" localSheetId="17">#REF!</definedName>
    <definedName name="coti4" localSheetId="7">#REF!</definedName>
    <definedName name="coti4" localSheetId="8">#REF!</definedName>
    <definedName name="coti4" localSheetId="6">#REF!</definedName>
    <definedName name="coti4" localSheetId="9">#REF!</definedName>
    <definedName name="coti4" localSheetId="1">#REF!</definedName>
    <definedName name="coti4" localSheetId="2">#REF!</definedName>
    <definedName name="coti4" localSheetId="3">#REF!</definedName>
    <definedName name="coti4">#REF!</definedName>
    <definedName name="Cotizador_automatico_del_pedido." localSheetId="5">#REF!</definedName>
    <definedName name="Cotizador_automatico_del_pedido." localSheetId="10">#REF!</definedName>
    <definedName name="Cotizador_automatico_del_pedido." localSheetId="4">#REF!</definedName>
    <definedName name="Cotizador_automatico_del_pedido." localSheetId="14">#REF!</definedName>
    <definedName name="Cotizador_automatico_del_pedido." localSheetId="0">#REF!</definedName>
    <definedName name="Cotizador_automatico_del_pedido." localSheetId="17">#REF!</definedName>
    <definedName name="Cotizador_automatico_del_pedido." localSheetId="7">#REF!</definedName>
    <definedName name="Cotizador_automatico_del_pedido." localSheetId="8">#REF!</definedName>
    <definedName name="Cotizador_automatico_del_pedido." localSheetId="6">#REF!</definedName>
    <definedName name="Cotizador_automatico_del_pedido." localSheetId="9">#REF!</definedName>
    <definedName name="Cotizador_automatico_del_pedido." localSheetId="1">#REF!</definedName>
    <definedName name="Cotizador_automatico_del_pedido." localSheetId="2">#REF!</definedName>
    <definedName name="Cotizador_automatico_del_pedido." localSheetId="3">#REF!</definedName>
    <definedName name="Cotizador_automatico_del_pedido.">#REF!</definedName>
    <definedName name="cotizador2" localSheetId="5">#REF!</definedName>
    <definedName name="cotizador2" localSheetId="10">#REF!</definedName>
    <definedName name="cotizador2" localSheetId="4">#REF!</definedName>
    <definedName name="cotizador2" localSheetId="0">#REF!</definedName>
    <definedName name="cotizador2" localSheetId="17">#REF!</definedName>
    <definedName name="cotizador2" localSheetId="7">#REF!</definedName>
    <definedName name="cotizador2" localSheetId="8">#REF!</definedName>
    <definedName name="cotizador2" localSheetId="6">#REF!</definedName>
    <definedName name="cotizador2" localSheetId="9">#REF!</definedName>
    <definedName name="cotizador2" localSheetId="1">#REF!</definedName>
    <definedName name="cotizador2" localSheetId="2">#REF!</definedName>
    <definedName name="cotizador2" localSheetId="3">#REF!</definedName>
    <definedName name="cotizador2">#REF!</definedName>
    <definedName name="CreditoFiscal" localSheetId="17">#REF!</definedName>
    <definedName name="CreditoFiscal">#REF!</definedName>
    <definedName name="_xlnm.Criteria" localSheetId="5">#REF!</definedName>
    <definedName name="_xlnm.Criteria" localSheetId="10">#REF!</definedName>
    <definedName name="_xlnm.Criteria" localSheetId="4">#REF!</definedName>
    <definedName name="_xlnm.Criteria" localSheetId="0">#REF!</definedName>
    <definedName name="_xlnm.Criteria" localSheetId="17">#REF!</definedName>
    <definedName name="_xlnm.Criteria" localSheetId="7">#REF!</definedName>
    <definedName name="_xlnm.Criteria" localSheetId="8">#REF!</definedName>
    <definedName name="_xlnm.Criteria" localSheetId="6">#REF!</definedName>
    <definedName name="_xlnm.Criteria" localSheetId="9">#REF!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>#REF!</definedName>
    <definedName name="Crracceso" localSheetId="17">#REF!</definedName>
    <definedName name="Crracceso">#REF!</definedName>
    <definedName name="Crracondct" localSheetId="13">#REF!</definedName>
    <definedName name="Crracondct" localSheetId="14">#REF!</definedName>
    <definedName name="Crracondct" localSheetId="17">#REF!</definedName>
    <definedName name="Crracondct" localSheetId="12">#REF!</definedName>
    <definedName name="Crracondct" localSheetId="11">#REF!</definedName>
    <definedName name="Crracondct">#REF!</definedName>
    <definedName name="Crralcantarilla" localSheetId="13">#REF!</definedName>
    <definedName name="Crralcantarilla" localSheetId="17">#REF!</definedName>
    <definedName name="Crralcantarilla" localSheetId="12">#REF!</definedName>
    <definedName name="Crralcantarilla" localSheetId="11">#REF!</definedName>
    <definedName name="Crralcantarilla">#REF!</definedName>
    <definedName name="Crralcantarillareadec" localSheetId="13">#REF!</definedName>
    <definedName name="Crralcantarillareadec" localSheetId="14">#REF!</definedName>
    <definedName name="Crralcantarillareadec" localSheetId="17">#REF!</definedName>
    <definedName name="Crralcantarillareadec" localSheetId="12">#REF!</definedName>
    <definedName name="Crralcantarillareadec" localSheetId="11">#REF!</definedName>
    <definedName name="Crralcantarillareadec">#REF!</definedName>
    <definedName name="Crralteomyg" localSheetId="13">#REF!</definedName>
    <definedName name="Crralteomyg" localSheetId="14">#REF!</definedName>
    <definedName name="Crralteomyg" localSheetId="17">#REF!</definedName>
    <definedName name="Crralteomyg" localSheetId="12">#REF!</definedName>
    <definedName name="Crralteomyg" localSheetId="11">#REF!</definedName>
    <definedName name="Crralteomyg">#REF!</definedName>
    <definedName name="CrrApartido" localSheetId="13">#REF!</definedName>
    <definedName name="CrrApartido" localSheetId="17">#REF!</definedName>
    <definedName name="CrrApartido" localSheetId="12">#REF!</definedName>
    <definedName name="CrrApartido" localSheetId="11">#REF!</definedName>
    <definedName name="CrrApartido">#REF!</definedName>
    <definedName name="Crrapoyos" localSheetId="17">#REF!</definedName>
    <definedName name="Crrapoyos">#REF!</definedName>
    <definedName name="Crrbacheo" localSheetId="17">#REF!</definedName>
    <definedName name="Crrbacheo">#REF!</definedName>
    <definedName name="Crrbandason">#REF!</definedName>
    <definedName name="Crrbandasonreadec" localSheetId="13">#REF!</definedName>
    <definedName name="Crrbandasonreadec" localSheetId="14">#REF!</definedName>
    <definedName name="Crrbandasonreadec" localSheetId="17">#REF!</definedName>
    <definedName name="Crrbandasonreadec" localSheetId="12">#REF!</definedName>
    <definedName name="Crrbandasonreadec" localSheetId="11">#REF!</definedName>
    <definedName name="Crrbandasonreadec">#REF!</definedName>
    <definedName name="Crrbanquina" localSheetId="13">#REF!</definedName>
    <definedName name="Crrbanquina" localSheetId="17">#REF!</definedName>
    <definedName name="Crrbanquina" localSheetId="12">#REF!</definedName>
    <definedName name="Crrbanquina" localSheetId="11">#REF!</definedName>
    <definedName name="Crrbanquina">#REF!</definedName>
    <definedName name="Crrbaranda" localSheetId="13">#REF!</definedName>
    <definedName name="Crrbaranda" localSheetId="14">#REF!</definedName>
    <definedName name="Crrbaranda" localSheetId="17">#REF!</definedName>
    <definedName name="Crrbaranda" localSheetId="12">#REF!</definedName>
    <definedName name="Crrbaranda" localSheetId="11">#REF!</definedName>
    <definedName name="Crrbaranda">#REF!</definedName>
    <definedName name="Crrbarandareadec" localSheetId="13">#REF!</definedName>
    <definedName name="Crrbarandareadec" localSheetId="14">#REF!</definedName>
    <definedName name="Crrbarandareadec" localSheetId="17">#REF!</definedName>
    <definedName name="Crrbarandareadec" localSheetId="12">#REF!</definedName>
    <definedName name="Crrbarandareadec" localSheetId="11">#REF!</definedName>
    <definedName name="Crrbarandareadec">#REF!</definedName>
    <definedName name="Crrbase" localSheetId="13">#REF!</definedName>
    <definedName name="Crrbase" localSheetId="14">#REF!</definedName>
    <definedName name="Crrbase" localSheetId="17">#REF!</definedName>
    <definedName name="Crrbase" localSheetId="12">#REF!</definedName>
    <definedName name="Crrbase" localSheetId="11">#REF!</definedName>
    <definedName name="Crrbase">#REF!</definedName>
    <definedName name="Crrcabezales" localSheetId="13">#REF!</definedName>
    <definedName name="Crrcabezales" localSheetId="17">#REF!</definedName>
    <definedName name="Crrcabezales" localSheetId="12">#REF!</definedName>
    <definedName name="Crrcabezales" localSheetId="11">#REF!</definedName>
    <definedName name="Crrcabezales">#REF!</definedName>
    <definedName name="Crrcalzadahorm" localSheetId="17">#REF!</definedName>
    <definedName name="Crrcalzadahorm">#REF!</definedName>
    <definedName name="Crrcalzadas" localSheetId="17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 localSheetId="13">#REF!</definedName>
    <definedName name="Crrescarificado" localSheetId="14">#REF!</definedName>
    <definedName name="Crrescarificado" localSheetId="17">#REF!</definedName>
    <definedName name="Crrescarificado" localSheetId="12">#REF!</definedName>
    <definedName name="Crrescarificado" localSheetId="11">#REF!</definedName>
    <definedName name="Crrescarificado">#REF!</definedName>
    <definedName name="Crrestribos" localSheetId="13">#REF!</definedName>
    <definedName name="Crrestribos" localSheetId="17">#REF!</definedName>
    <definedName name="Crrestribos" localSheetId="12">#REF!</definedName>
    <definedName name="Crrestribos" localSheetId="11">#REF!</definedName>
    <definedName name="Crrestribos">#REF!</definedName>
    <definedName name="Crrexcavacion" localSheetId="17">#REF!</definedName>
    <definedName name="Crrexcavacion">#REF!</definedName>
    <definedName name="Crrexcavacionreadec" localSheetId="13">#REF!</definedName>
    <definedName name="Crrexcavacionreadec" localSheetId="14">#REF!</definedName>
    <definedName name="Crrexcavacionreadec" localSheetId="17">#REF!</definedName>
    <definedName name="Crrexcavacionreadec" localSheetId="12">#REF!</definedName>
    <definedName name="Crrexcavacionreadec" localSheetId="11">#REF!</definedName>
    <definedName name="Crrexcavacionreadec">#REF!</definedName>
    <definedName name="Crrgaviones" localSheetId="13">#REF!</definedName>
    <definedName name="Crrgaviones" localSheetId="14">#REF!</definedName>
    <definedName name="Crrgaviones" localSheetId="17">#REF!</definedName>
    <definedName name="Crrgaviones" localSheetId="12">#REF!</definedName>
    <definedName name="Crrgaviones" localSheetId="11">#REF!</definedName>
    <definedName name="Crrgaviones">#REF!</definedName>
    <definedName name="Crrhor" localSheetId="13">#REF!</definedName>
    <definedName name="Crrhor" localSheetId="14">#REF!</definedName>
    <definedName name="Crrhor" localSheetId="17">#REF!</definedName>
    <definedName name="Crrhor" localSheetId="12">#REF!</definedName>
    <definedName name="Crrhor" localSheetId="11">#REF!</definedName>
    <definedName name="Crrhor">#REF!</definedName>
    <definedName name="CrrhorC" localSheetId="13">#REF!</definedName>
    <definedName name="CrrhorC" localSheetId="17">#REF!</definedName>
    <definedName name="CrrhorC" localSheetId="12">#REF!</definedName>
    <definedName name="CrrhorC" localSheetId="11">#REF!</definedName>
    <definedName name="CrrhorC">#REF!</definedName>
    <definedName name="CrrhorCreadec" localSheetId="13">#REF!</definedName>
    <definedName name="CrrhorCreadec" localSheetId="14">#REF!</definedName>
    <definedName name="CrrhorCreadec" localSheetId="17">#REF!</definedName>
    <definedName name="CrrhorCreadec" localSheetId="12">#REF!</definedName>
    <definedName name="CrrhorCreadec" localSheetId="11">#REF!</definedName>
    <definedName name="CrrhorCreadec">#REF!</definedName>
    <definedName name="Crrimprimacion" localSheetId="13">#REF!</definedName>
    <definedName name="Crrimprimacion" localSheetId="14">#REF!</definedName>
    <definedName name="Crrimprimacion" localSheetId="17">#REF!</definedName>
    <definedName name="Crrimprimacion" localSheetId="12">#REF!</definedName>
    <definedName name="Crrimprimacion" localSheetId="11">#REF!</definedName>
    <definedName name="Crrimprimacion">#REF!</definedName>
    <definedName name="Crrimprimrefor" localSheetId="13">#REF!</definedName>
    <definedName name="Crrimprimrefor" localSheetId="17">#REF!</definedName>
    <definedName name="Crrimprimrefor" localSheetId="12">#REF!</definedName>
    <definedName name="Crrimprimrefor" localSheetId="11">#REF!</definedName>
    <definedName name="Crrimprimrefor">#REF!</definedName>
    <definedName name="Crrinvernal" localSheetId="17">#REF!</definedName>
    <definedName name="Crrinvernal">#REF!</definedName>
    <definedName name="Crrjunta" localSheetId="17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 localSheetId="13">#REF!</definedName>
    <definedName name="Crrlimptransp" localSheetId="14">#REF!</definedName>
    <definedName name="Crrlimptransp" localSheetId="17">#REF!</definedName>
    <definedName name="Crrlimptransp" localSheetId="12">#REF!</definedName>
    <definedName name="Crrlimptransp" localSheetId="11">#REF!</definedName>
    <definedName name="Crrlimptransp">#REF!</definedName>
    <definedName name="Crrlosa" localSheetId="13">#REF!</definedName>
    <definedName name="Crrlosa" localSheetId="17">#REF!</definedName>
    <definedName name="Crrlosa" localSheetId="12">#REF!</definedName>
    <definedName name="Crrlosa" localSheetId="11">#REF!</definedName>
    <definedName name="Crrlosa">#REF!</definedName>
    <definedName name="Crrmatbase" localSheetId="13">#REF!</definedName>
    <definedName name="Crrmatbase" localSheetId="14">#REF!</definedName>
    <definedName name="Crrmatbase" localSheetId="17">#REF!</definedName>
    <definedName name="Crrmatbase" localSheetId="12">#REF!</definedName>
    <definedName name="Crrmatbase" localSheetId="11">#REF!</definedName>
    <definedName name="Crrmatbase">#REF!</definedName>
    <definedName name="Crrmicroaglom" localSheetId="13">#REF!</definedName>
    <definedName name="Crrmicroaglom" localSheetId="17">#REF!</definedName>
    <definedName name="Crrmicroaglom" localSheetId="12">#REF!</definedName>
    <definedName name="Crrmicroaglom" localSheetId="11">#REF!</definedName>
    <definedName name="Crrmicroaglom">#REF!</definedName>
    <definedName name="Crrmicroaglomreadec" localSheetId="17">#REF!</definedName>
    <definedName name="Crrmicroaglomreadec">#REF!</definedName>
    <definedName name="Crrmontaje" localSheetId="17">#REF!</definedName>
    <definedName name="Crrmontaje">#REF!</definedName>
    <definedName name="Crrpasamano">#REF!</definedName>
    <definedName name="Crrperfilado" localSheetId="13">#REF!</definedName>
    <definedName name="Crrperfilado" localSheetId="14">#REF!</definedName>
    <definedName name="Crrperfilado" localSheetId="17">#REF!</definedName>
    <definedName name="Crrperfilado" localSheetId="12">#REF!</definedName>
    <definedName name="Crrperfilado" localSheetId="11">#REF!</definedName>
    <definedName name="Crrperfilado">#REF!</definedName>
    <definedName name="Crrpilotes" localSheetId="13">#REF!</definedName>
    <definedName name="Crrpilotes" localSheetId="17">#REF!</definedName>
    <definedName name="Crrpilotes" localSheetId="12">#REF!</definedName>
    <definedName name="Crrpilotes" localSheetId="11">#REF!</definedName>
    <definedName name="Crrpilotes">#REF!</definedName>
    <definedName name="Crrpintado" localSheetId="17">#REF!</definedName>
    <definedName name="Crrpintado">#REF!</definedName>
    <definedName name="Crrpretiles" localSheetId="17">#REF!</definedName>
    <definedName name="Crrpretiles">#REF!</definedName>
    <definedName name="Crrprolongacion">#REF!</definedName>
    <definedName name="Crrprolongacionreadec" localSheetId="13">#REF!</definedName>
    <definedName name="Crrprolongacionreadec" localSheetId="14">#REF!</definedName>
    <definedName name="Crrprolongacionreadec" localSheetId="17">#REF!</definedName>
    <definedName name="Crrprolongacionreadec" localSheetId="12">#REF!</definedName>
    <definedName name="Crrprolongacionreadec" localSheetId="11">#REF!</definedName>
    <definedName name="Crrprolongacionreadec">#REF!</definedName>
    <definedName name="Crrproteccion" localSheetId="13">#REF!</definedName>
    <definedName name="Crrproteccion" localSheetId="17">#REF!</definedName>
    <definedName name="Crrproteccion" localSheetId="12">#REF!</definedName>
    <definedName name="Crrproteccion" localSheetId="11">#REF!</definedName>
    <definedName name="Crrproteccion">#REF!</definedName>
    <definedName name="Crrreadsistdren1071" localSheetId="13">#REF!</definedName>
    <definedName name="Crrreadsistdren1071" localSheetId="14">#REF!</definedName>
    <definedName name="Crrreadsistdren1071" localSheetId="17">#REF!</definedName>
    <definedName name="Crrreadsistdren1071" localSheetId="12">#REF!</definedName>
    <definedName name="Crrreadsistdren1071" localSheetId="11">#REF!</definedName>
    <definedName name="Crrreadsistdren1071">#REF!</definedName>
    <definedName name="Crrrelleno" localSheetId="13">#REF!</definedName>
    <definedName name="Crrrelleno" localSheetId="17">#REF!</definedName>
    <definedName name="Crrrelleno" localSheetId="12">#REF!</definedName>
    <definedName name="Crrrelleno" localSheetId="11">#REF!</definedName>
    <definedName name="Crrrelleno">#REF!</definedName>
    <definedName name="Crrrep8026" localSheetId="17">#REF!</definedName>
    <definedName name="Crrrep8026">#REF!</definedName>
    <definedName name="Crrrepalc" localSheetId="17">#REF!</definedName>
    <definedName name="Crrrepalc">#REF!</definedName>
    <definedName name="Crrrestdrenajereadec" localSheetId="13">#REF!</definedName>
    <definedName name="Crrrestdrenajereadec" localSheetId="14">#REF!</definedName>
    <definedName name="Crrrestdrenajereadec" localSheetId="17">#REF!</definedName>
    <definedName name="Crrrestdrenajereadec" localSheetId="12">#REF!</definedName>
    <definedName name="Crrrestdrenajereadec" localSheetId="11">#REF!</definedName>
    <definedName name="Crrrestdrenajereadec">#REF!</definedName>
    <definedName name="Crrretderrumbe" localSheetId="13">#REF!</definedName>
    <definedName name="Crrretderrumbe" localSheetId="14">#REF!</definedName>
    <definedName name="Crrretderrumbe" localSheetId="17">#REF!</definedName>
    <definedName name="Crrretderrumbe" localSheetId="12">#REF!</definedName>
    <definedName name="Crrretderrumbe" localSheetId="11">#REF!</definedName>
    <definedName name="Crrretderrumbe">#REF!</definedName>
    <definedName name="Crrretrecolbaranda" localSheetId="13">#REF!</definedName>
    <definedName name="Crrretrecolbaranda" localSheetId="14">#REF!</definedName>
    <definedName name="Crrretrecolbaranda" localSheetId="17">#REF!</definedName>
    <definedName name="Crrretrecolbaranda" localSheetId="12">#REF!</definedName>
    <definedName name="Crrretrecolbaranda" localSheetId="11">#REF!</definedName>
    <definedName name="Crrretrecolbaranda">#REF!</definedName>
    <definedName name="CrrRHermoso" localSheetId="13">#REF!</definedName>
    <definedName name="CrrRHermoso" localSheetId="17">#REF!</definedName>
    <definedName name="CrrRHermoso" localSheetId="12">#REF!</definedName>
    <definedName name="CrrRHermoso" localSheetId="11">#REF!</definedName>
    <definedName name="CrrRHermoso">#REF!</definedName>
    <definedName name="Crrriego" localSheetId="17">#REF!</definedName>
    <definedName name="Crrriego">#REF!</definedName>
    <definedName name="Crrrotondas" localSheetId="17">#REF!</definedName>
    <definedName name="Crrrotondas">#REF!</definedName>
    <definedName name="Crrsandef" localSheetId="13">#REF!</definedName>
    <definedName name="Crrsandef" localSheetId="14">#REF!</definedName>
    <definedName name="Crrsandef" localSheetId="17">#REF!</definedName>
    <definedName name="Crrsandef" localSheetId="12">#REF!</definedName>
    <definedName name="Crrsandef" localSheetId="11">#REF!</definedName>
    <definedName name="Crrsandef">#REF!</definedName>
    <definedName name="Crrsellado" localSheetId="13">#REF!</definedName>
    <definedName name="Crrsellado" localSheetId="17">#REF!</definedName>
    <definedName name="Crrsellado" localSheetId="12">#REF!</definedName>
    <definedName name="Crrsellado" localSheetId="11">#REF!</definedName>
    <definedName name="Crrsellado">#REF!</definedName>
    <definedName name="Crrsenda" localSheetId="17">#REF!</definedName>
    <definedName name="Crrsenda">#REF!</definedName>
    <definedName name="Crrseñalamientoreadec" localSheetId="13">#REF!</definedName>
    <definedName name="Crrseñalamientoreadec" localSheetId="14">#REF!</definedName>
    <definedName name="Crrseñalamientoreadec" localSheetId="17">#REF!</definedName>
    <definedName name="Crrseñalamientoreadec" localSheetId="12">#REF!</definedName>
    <definedName name="Crrseñalamientoreadec" localSheetId="11">#REF!</definedName>
    <definedName name="Crrseñalamientoreadec">#REF!</definedName>
    <definedName name="Crrseñalextrusion" localSheetId="13">#REF!</definedName>
    <definedName name="Crrseñalextrusion" localSheetId="17">#REF!</definedName>
    <definedName name="Crrseñalextrusion" localSheetId="12">#REF!</definedName>
    <definedName name="Crrseñalextrusion" localSheetId="11">#REF!</definedName>
    <definedName name="Crrseñalextrusion">#REF!</definedName>
    <definedName name="Crrseñalextrusionreadec" localSheetId="13">#REF!</definedName>
    <definedName name="Crrseñalextrusionreadec" localSheetId="14">#REF!</definedName>
    <definedName name="Crrseñalextrusionreadec" localSheetId="17">#REF!</definedName>
    <definedName name="Crrseñalextrusionreadec" localSheetId="12">#REF!</definedName>
    <definedName name="Crrseñalextrusionreadec" localSheetId="11">#REF!</definedName>
    <definedName name="Crrseñalextrusionreadec">#REF!</definedName>
    <definedName name="Crrseñalizacion" localSheetId="13">#REF!</definedName>
    <definedName name="Crrseñalizacion" localSheetId="17">#REF!</definedName>
    <definedName name="Crrseñalizacion" localSheetId="12">#REF!</definedName>
    <definedName name="Crrseñalizacion" localSheetId="11">#REF!</definedName>
    <definedName name="Crrseñalizacion">#REF!</definedName>
    <definedName name="Crrseñalizacionreadec" localSheetId="13">#REF!</definedName>
    <definedName name="Crrseñalizacionreadec" localSheetId="14">#REF!</definedName>
    <definedName name="Crrseñalizacionreadec" localSheetId="17">#REF!</definedName>
    <definedName name="Crrseñalizacionreadec" localSheetId="12">#REF!</definedName>
    <definedName name="Crrseñalizacionreadec" localSheetId="11">#REF!</definedName>
    <definedName name="Crrseñalizacionreadec">#REF!</definedName>
    <definedName name="Crrseñalvertreadec" localSheetId="13">#REF!</definedName>
    <definedName name="Crrseñalvertreadec" localSheetId="14">#REF!</definedName>
    <definedName name="Crrseñalvertreadec" localSheetId="17">#REF!</definedName>
    <definedName name="Crrseñalvertreadec" localSheetId="12">#REF!</definedName>
    <definedName name="Crrseñalvertreadec" localSheetId="11">#REF!</definedName>
    <definedName name="Crrseñalvertreadec">#REF!</definedName>
    <definedName name="Crrsistdren" localSheetId="13">#REF!</definedName>
    <definedName name="Crrsistdren" localSheetId="14">#REF!</definedName>
    <definedName name="Crrsistdren" localSheetId="17">#REF!</definedName>
    <definedName name="Crrsistdren" localSheetId="12">#REF!</definedName>
    <definedName name="Crrsistdren" localSheetId="11">#REF!</definedName>
    <definedName name="Crrsistdren">#REF!</definedName>
    <definedName name="Crrsistdrenreadec" localSheetId="13">#REF!</definedName>
    <definedName name="Crrsistdrenreadec" localSheetId="14">#REF!</definedName>
    <definedName name="Crrsistdrenreadec" localSheetId="17">#REF!</definedName>
    <definedName name="Crrsistdrenreadec" localSheetId="12">#REF!</definedName>
    <definedName name="Crrsistdrenreadec" localSheetId="11">#REF!</definedName>
    <definedName name="Crrsistdrenreadec">#REF!</definedName>
    <definedName name="Crrsubbase" localSheetId="13">#REF!</definedName>
    <definedName name="Crrsubbase" localSheetId="17">#REF!</definedName>
    <definedName name="Crrsubbase" localSheetId="12">#REF!</definedName>
    <definedName name="Crrsubbase" localSheetId="11">#REF!</definedName>
    <definedName name="Crrsubbase">#REF!</definedName>
    <definedName name="Crrterraplen" localSheetId="13">#REF!</definedName>
    <definedName name="Crrterraplen" localSheetId="14">#REF!</definedName>
    <definedName name="Crrterraplen" localSheetId="17">#REF!</definedName>
    <definedName name="Crrterraplen" localSheetId="12">#REF!</definedName>
    <definedName name="Crrterraplen" localSheetId="11">#REF!</definedName>
    <definedName name="Crrterraplen">#REF!</definedName>
    <definedName name="Crrterraplenreadec" localSheetId="13">#REF!</definedName>
    <definedName name="Crrterraplenreadec" localSheetId="14">#REF!</definedName>
    <definedName name="Crrterraplenreadec" localSheetId="17">#REF!</definedName>
    <definedName name="Crrterraplenreadec" localSheetId="12">#REF!</definedName>
    <definedName name="Crrterraplenreadec" localSheetId="11">#REF!</definedName>
    <definedName name="Crrterraplenreadec">#REF!</definedName>
    <definedName name="Crrterrsincomp" localSheetId="13">#REF!</definedName>
    <definedName name="Crrterrsincomp" localSheetId="17">#REF!</definedName>
    <definedName name="Crrterrsincomp" localSheetId="12">#REF!</definedName>
    <definedName name="Crrterrsincomp" localSheetId="11">#REF!</definedName>
    <definedName name="Crrterrsincomp">#REF!</definedName>
    <definedName name="Crrtravesia" localSheetId="17">#REF!</definedName>
    <definedName name="Crrtravesia">#REF!</definedName>
    <definedName name="Crrvigas" localSheetId="17">#REF!</definedName>
    <definedName name="Crrvigas">#REF!</definedName>
    <definedName name="Cuad.">#REF!</definedName>
    <definedName name="CUANT">#N/A</definedName>
    <definedName name="cub" localSheetId="13">#REF!</definedName>
    <definedName name="cub" localSheetId="14">#REF!</definedName>
    <definedName name="cub" localSheetId="17">#REF!</definedName>
    <definedName name="cub" localSheetId="12">#REF!</definedName>
    <definedName name="cub" localSheetId="11">#REF!</definedName>
    <definedName name="cub">#REF!</definedName>
    <definedName name="cucu" localSheetId="13">#REF!</definedName>
    <definedName name="cucu" localSheetId="14">#REF!</definedName>
    <definedName name="cucu" localSheetId="17">#REF!</definedName>
    <definedName name="cucu" localSheetId="12">#REF!</definedName>
    <definedName name="cucu" localSheetId="11">#REF!</definedName>
    <definedName name="cucu">#REF!</definedName>
    <definedName name="CUR_MONTH">#REF!</definedName>
    <definedName name="CurrentBudget2CAt">#REF!</definedName>
    <definedName name="CurrentMonth">#REF!</definedName>
    <definedName name="CurrentYear">#REF!</definedName>
    <definedName name="CurrentYearCat">#REF!</definedName>
    <definedName name="Cus" localSheetId="13">#REF!</definedName>
    <definedName name="Cus" localSheetId="14">#REF!</definedName>
    <definedName name="Cus" localSheetId="17">#REF!</definedName>
    <definedName name="Cus" localSheetId="12">#REF!</definedName>
    <definedName name="Cus" localSheetId="11">#REF!</definedName>
    <definedName name="Cus">#REF!</definedName>
    <definedName name="d" localSheetId="13">#REF!</definedName>
    <definedName name="d" localSheetId="21">#REF!</definedName>
    <definedName name="d" localSheetId="22">#REF!</definedName>
    <definedName name="d" localSheetId="5">#REF!</definedName>
    <definedName name="d" localSheetId="10">#REF!</definedName>
    <definedName name="d" localSheetId="4">#REF!</definedName>
    <definedName name="d" localSheetId="0">#REF!</definedName>
    <definedName name="D" localSheetId="17">INDEX(#REF!,MATCH("*[D]*",#REF!,0))</definedName>
    <definedName name="d" localSheetId="7">#REF!</definedName>
    <definedName name="d" localSheetId="8">#REF!</definedName>
    <definedName name="d" localSheetId="6">#REF!</definedName>
    <definedName name="d" localSheetId="9">#REF!</definedName>
    <definedName name="d" localSheetId="19">#REF!</definedName>
    <definedName name="d" localSheetId="20">#REF!</definedName>
    <definedName name="d" localSheetId="12">#REF!</definedName>
    <definedName name="d" localSheetId="11">#REF!</definedName>
    <definedName name="d" localSheetId="1">#REF!</definedName>
    <definedName name="d" localSheetId="2">#REF!</definedName>
    <definedName name="d" localSheetId="3">#REF!</definedName>
    <definedName name="d">#REF!</definedName>
    <definedName name="d.10" localSheetId="13">#REF!</definedName>
    <definedName name="d.10" localSheetId="14">#REF!</definedName>
    <definedName name="d.10" localSheetId="17">#REF!</definedName>
    <definedName name="d.10" localSheetId="12">#REF!</definedName>
    <definedName name="d.10" localSheetId="11">#REF!</definedName>
    <definedName name="d.10">#REF!</definedName>
    <definedName name="d.12" localSheetId="13">#REF!</definedName>
    <definedName name="d.12" localSheetId="14">#REF!</definedName>
    <definedName name="d.12" localSheetId="17">#REF!</definedName>
    <definedName name="d.12" localSheetId="12">#REF!</definedName>
    <definedName name="d.12" localSheetId="11">#REF!</definedName>
    <definedName name="d.12">#REF!</definedName>
    <definedName name="d.16" localSheetId="13">#REF!</definedName>
    <definedName name="d.16" localSheetId="14">#REF!</definedName>
    <definedName name="d.16" localSheetId="17">#REF!</definedName>
    <definedName name="d.16" localSheetId="12">#REF!</definedName>
    <definedName name="d.16" localSheetId="11">#REF!</definedName>
    <definedName name="d.16">#REF!</definedName>
    <definedName name="d.20" localSheetId="13">#REF!</definedName>
    <definedName name="d.20" localSheetId="14">#REF!</definedName>
    <definedName name="d.20" localSheetId="17">#REF!</definedName>
    <definedName name="d.20" localSheetId="12">#REF!</definedName>
    <definedName name="d.20" localSheetId="11">#REF!</definedName>
    <definedName name="d.20">#REF!</definedName>
    <definedName name="d.25" localSheetId="13">#REF!</definedName>
    <definedName name="d.25" localSheetId="14">#REF!</definedName>
    <definedName name="d.25" localSheetId="17">#REF!</definedName>
    <definedName name="d.25" localSheetId="12">#REF!</definedName>
    <definedName name="d.25" localSheetId="11">#REF!</definedName>
    <definedName name="d.25">#REF!</definedName>
    <definedName name="d.6" localSheetId="13">#REF!</definedName>
    <definedName name="d.6" localSheetId="14">#REF!</definedName>
    <definedName name="d.6" localSheetId="17">#REF!</definedName>
    <definedName name="d.6" localSheetId="12">#REF!</definedName>
    <definedName name="d.6" localSheetId="11">#REF!</definedName>
    <definedName name="d.6">#REF!</definedName>
    <definedName name="d.8" localSheetId="13">#REF!</definedName>
    <definedName name="d.8" localSheetId="14">#REF!</definedName>
    <definedName name="d.8" localSheetId="17">#REF!</definedName>
    <definedName name="d.8" localSheetId="12">#REF!</definedName>
    <definedName name="d.8" localSheetId="11">#REF!</definedName>
    <definedName name="d.8">#REF!</definedName>
    <definedName name="dat">#REF!</definedName>
    <definedName name="Data" localSheetId="13">#REF!</definedName>
    <definedName name="Data" localSheetId="17">#REF!</definedName>
    <definedName name="Data" localSheetId="12">#REF!</definedName>
    <definedName name="Data" localSheetId="11">#REF!</definedName>
    <definedName name="Data">#REF!</definedName>
    <definedName name="_xlnm.Database" localSheetId="17">#REF!</definedName>
    <definedName name="_xlnm.Database">#REF!</definedName>
    <definedName name="DATOS" localSheetId="17">#REF!</definedName>
    <definedName name="DATOS">#REF!</definedName>
    <definedName name="DCC" localSheetId="13">#REF!</definedName>
    <definedName name="DCC" localSheetId="5">#REF!</definedName>
    <definedName name="DCC" localSheetId="4">#REF!</definedName>
    <definedName name="DCC" localSheetId="14">#REF!</definedName>
    <definedName name="DCC" localSheetId="0">#REF!</definedName>
    <definedName name="DCC" localSheetId="17">#REF!</definedName>
    <definedName name="DCC" localSheetId="24">#REF!</definedName>
    <definedName name="DCC" localSheetId="1">#REF!</definedName>
    <definedName name="DCC" localSheetId="2">#REF!</definedName>
    <definedName name="DCC" localSheetId="3">#REF!</definedName>
    <definedName name="DCC">#REF!</definedName>
    <definedName name="ddlim" localSheetId="17">#REF!</definedName>
    <definedName name="ddlim">#REF!</definedName>
    <definedName name="decimal" localSheetId="13" hidden="1">{"DECIMAL",#N/A,FALSE,"02"}</definedName>
    <definedName name="decimal" localSheetId="21" hidden="1">{"DECIMAL",#N/A,FALSE,"02"}</definedName>
    <definedName name="decimal" localSheetId="22" hidden="1">{"DECIMAL",#N/A,FALSE,"02"}</definedName>
    <definedName name="decimal" localSheetId="14" hidden="1">{"DECIMAL",#N/A,FALSE,"02"}</definedName>
    <definedName name="decimal" localSheetId="17" hidden="1">{"DECIMAL",#N/A,FALSE,"02"}</definedName>
    <definedName name="decimal" localSheetId="19" hidden="1">{"DECIMAL",#N/A,FALSE,"02"}</definedName>
    <definedName name="decimal" localSheetId="20" hidden="1">{"DECIMAL",#N/A,FALSE,"02"}</definedName>
    <definedName name="decimal" localSheetId="12" hidden="1">{"DECIMAL",#N/A,FALSE,"02"}</definedName>
    <definedName name="decimal" localSheetId="11" hidden="1">{"DECIMAL",#N/A,FALSE,"02"}</definedName>
    <definedName name="decimal" localSheetId="23" hidden="1">{"DECIMAL",#N/A,FALSE,"02"}</definedName>
    <definedName name="decimal" hidden="1">{"DECIMAL",#N/A,FALSE,"02"}</definedName>
    <definedName name="Decreto_2641_02" localSheetId="13">#REF!</definedName>
    <definedName name="Decreto_2641_02" localSheetId="14">#REF!</definedName>
    <definedName name="Decreto_2641_02" localSheetId="17">#REF!</definedName>
    <definedName name="Decreto_2641_02" localSheetId="12">#REF!</definedName>
    <definedName name="Decreto_2641_02" localSheetId="11">#REF!</definedName>
    <definedName name="Decreto_2641_02">#REF!</definedName>
    <definedName name="DEESP" localSheetId="13">#REF!</definedName>
    <definedName name="DEESP" localSheetId="10">#REF!</definedName>
    <definedName name="DEESP" localSheetId="4">#REF!</definedName>
    <definedName name="DEESP" localSheetId="14">#REF!</definedName>
    <definedName name="DEESP" localSheetId="0">#REF!</definedName>
    <definedName name="DEESP" localSheetId="17">#REF!</definedName>
    <definedName name="DEESP" localSheetId="12">#REF!</definedName>
    <definedName name="DEESP" localSheetId="11">#REF!</definedName>
    <definedName name="DEESP">#REF!</definedName>
    <definedName name="DELTA">#N/A</definedName>
    <definedName name="DenominacionAcero" localSheetId="13">#REF!</definedName>
    <definedName name="DenominacionAcero" localSheetId="14">#REF!</definedName>
    <definedName name="DenominacionAcero" localSheetId="17">#REF!</definedName>
    <definedName name="DenominacionAcero" localSheetId="12">#REF!</definedName>
    <definedName name="DenominacionAcero" localSheetId="11">#REF!</definedName>
    <definedName name="DenominacionAcero">#REF!</definedName>
    <definedName name="DenominacioPerfiles" localSheetId="17">#REF!</definedName>
    <definedName name="DenominacioPerfiles" localSheetId="12">#REF!</definedName>
    <definedName name="DenominacioPerfiles" localSheetId="11">#REF!</definedName>
    <definedName name="DenominacioPerfiles">#REF!</definedName>
    <definedName name="Descuentos" localSheetId="5">#REF!</definedName>
    <definedName name="Descuentos" localSheetId="10">#REF!</definedName>
    <definedName name="Descuentos" localSheetId="4">#REF!</definedName>
    <definedName name="Descuentos" localSheetId="14">#REF!</definedName>
    <definedName name="Descuentos" localSheetId="0">#REF!</definedName>
    <definedName name="Descuentos" localSheetId="17">#REF!</definedName>
    <definedName name="Descuentos" localSheetId="7">#REF!</definedName>
    <definedName name="Descuentos" localSheetId="8">#REF!</definedName>
    <definedName name="Descuentos" localSheetId="6">#REF!</definedName>
    <definedName name="Descuentos" localSheetId="9">#REF!</definedName>
    <definedName name="Descuentos" localSheetId="12">#REF!</definedName>
    <definedName name="Descuentos" localSheetId="11">#REF!</definedName>
    <definedName name="Descuentos" localSheetId="1">#REF!</definedName>
    <definedName name="Descuentos" localSheetId="2">#REF!</definedName>
    <definedName name="Descuentos" localSheetId="3">#REF!</definedName>
    <definedName name="Descuentos">#REF!</definedName>
    <definedName name="Descuentos2" localSheetId="5">#REF!</definedName>
    <definedName name="Descuentos2" localSheetId="10">#REF!</definedName>
    <definedName name="Descuentos2" localSheetId="4">#REF!</definedName>
    <definedName name="Descuentos2" localSheetId="14">#REF!</definedName>
    <definedName name="Descuentos2" localSheetId="0">#REF!</definedName>
    <definedName name="Descuentos2" localSheetId="17">#REF!</definedName>
    <definedName name="Descuentos2" localSheetId="7">#REF!</definedName>
    <definedName name="Descuentos2" localSheetId="8">#REF!</definedName>
    <definedName name="Descuentos2" localSheetId="6">#REF!</definedName>
    <definedName name="Descuentos2" localSheetId="9">#REF!</definedName>
    <definedName name="Descuentos2" localSheetId="1">#REF!</definedName>
    <definedName name="Descuentos2" localSheetId="2">#REF!</definedName>
    <definedName name="Descuentos2" localSheetId="3">#REF!</definedName>
    <definedName name="Descuentos2">#REF!</definedName>
    <definedName name="Desperdicio_Armadura" localSheetId="13">#REF!</definedName>
    <definedName name="Desperdicio_Armadura" localSheetId="14">#REF!</definedName>
    <definedName name="Desperdicio_Armadura" localSheetId="17">#REF!</definedName>
    <definedName name="Desperdicio_Armadura" localSheetId="12">#REF!</definedName>
    <definedName name="Desperdicio_Armadura" localSheetId="11">#REF!</definedName>
    <definedName name="Desperdicio_Armadura">#REF!</definedName>
    <definedName name="Destino_Edificio" localSheetId="13">#REF!</definedName>
    <definedName name="Destino_Edificio" localSheetId="14">#REF!</definedName>
    <definedName name="Destino_Edificio" localSheetId="17">#REF!</definedName>
    <definedName name="Destino_Edificio" localSheetId="12">#REF!</definedName>
    <definedName name="Destino_Edificio" localSheetId="11">#REF!</definedName>
    <definedName name="Destino_Edificio">#REF!</definedName>
    <definedName name="Detalle" localSheetId="13" hidden="1">{"NORMAL",#N/A,FALSE,"02"}</definedName>
    <definedName name="Detalle" localSheetId="21" hidden="1">{"NORMAL",#N/A,FALSE,"02"}</definedName>
    <definedName name="Detalle" localSheetId="22" hidden="1">{"NORMAL",#N/A,FALSE,"02"}</definedName>
    <definedName name="Detalle" localSheetId="14" hidden="1">{"NORMAL",#N/A,FALSE,"02"}</definedName>
    <definedName name="Detalle" localSheetId="17" hidden="1">{"NORMAL",#N/A,FALSE,"02"}</definedName>
    <definedName name="Detalle" localSheetId="19" hidden="1">{"NORMAL",#N/A,FALSE,"02"}</definedName>
    <definedName name="Detalle" localSheetId="20" hidden="1">{"NORMAL",#N/A,FALSE,"02"}</definedName>
    <definedName name="Detalle" localSheetId="12" hidden="1">{"NORMAL",#N/A,FALSE,"02"}</definedName>
    <definedName name="Detalle" localSheetId="11" hidden="1">{"NORMAL",#N/A,FALSE,"02"}</definedName>
    <definedName name="Detalle" localSheetId="23" hidden="1">{"NORMAL",#N/A,FALSE,"02"}</definedName>
    <definedName name="Detalle" hidden="1">{"NORMAL",#N/A,FALSE,"02"}</definedName>
    <definedName name="dF">#REF!</definedName>
    <definedName name="dfgsgsg">#REF!</definedName>
    <definedName name="DHDAM" localSheetId="13">#REF!</definedName>
    <definedName name="DHDAM" localSheetId="10">#REF!</definedName>
    <definedName name="DHDAM" localSheetId="4">#REF!</definedName>
    <definedName name="DHDAM" localSheetId="14">#REF!</definedName>
    <definedName name="DHDAM" localSheetId="0">#REF!</definedName>
    <definedName name="DHDAM" localSheetId="17">#REF!</definedName>
    <definedName name="DHDAM" localSheetId="12">#REF!</definedName>
    <definedName name="DHDAM" localSheetId="11">#REF!</definedName>
    <definedName name="DHDAM">#REF!</definedName>
    <definedName name="DHDD" localSheetId="13">#REF!</definedName>
    <definedName name="DHDD" localSheetId="4">#REF!</definedName>
    <definedName name="DHDD" localSheetId="14">#REF!</definedName>
    <definedName name="DHDD" localSheetId="0">#REF!</definedName>
    <definedName name="DHDD" localSheetId="17">#REF!</definedName>
    <definedName name="DHDD" localSheetId="12">#REF!</definedName>
    <definedName name="DHDD" localSheetId="11">#REF!</definedName>
    <definedName name="DHDD">#REF!</definedName>
    <definedName name="DHDDA" localSheetId="13">#REF!</definedName>
    <definedName name="DHDDA" localSheetId="14">#REF!</definedName>
    <definedName name="DHDDA" localSheetId="0">#REF!</definedName>
    <definedName name="DHDDA" localSheetId="17">#REF!</definedName>
    <definedName name="DHDDA" localSheetId="12">#REF!</definedName>
    <definedName name="DHDDA" localSheetId="11">#REF!</definedName>
    <definedName name="DHDDA">#REF!</definedName>
    <definedName name="DHDDB" localSheetId="13">#REF!</definedName>
    <definedName name="DHDDB" localSheetId="14">#REF!</definedName>
    <definedName name="DHDDB" localSheetId="17">#REF!</definedName>
    <definedName name="DHDDB" localSheetId="12">#REF!</definedName>
    <definedName name="DHDDB" localSheetId="11">#REF!</definedName>
    <definedName name="DHDDB">#REF!</definedName>
    <definedName name="DHDDE" localSheetId="13">#REF!</definedName>
    <definedName name="DHDDE" localSheetId="10">#REF!</definedName>
    <definedName name="DHDDE" localSheetId="4">#REF!</definedName>
    <definedName name="DHDDE" localSheetId="14">#REF!</definedName>
    <definedName name="DHDDE" localSheetId="0">#REF!</definedName>
    <definedName name="DHDDE" localSheetId="17">#REF!</definedName>
    <definedName name="DHDDE" localSheetId="12">#REF!</definedName>
    <definedName name="DHDDE" localSheetId="11">#REF!</definedName>
    <definedName name="DHDDE">#REF!</definedName>
    <definedName name="DHDEM" localSheetId="13">#REF!</definedName>
    <definedName name="DHDEM" localSheetId="4">#REF!</definedName>
    <definedName name="DHDEM" localSheetId="14">#REF!</definedName>
    <definedName name="DHDEM" localSheetId="0">#REF!</definedName>
    <definedName name="DHDEM" localSheetId="17">#REF!</definedName>
    <definedName name="DHDEM" localSheetId="12">#REF!</definedName>
    <definedName name="DHDEM" localSheetId="11">#REF!</definedName>
    <definedName name="DHDEM">#REF!</definedName>
    <definedName name="DHDPO" localSheetId="13">#REF!</definedName>
    <definedName name="DHDPO" localSheetId="14">#REF!</definedName>
    <definedName name="DHDPO" localSheetId="0">#REF!</definedName>
    <definedName name="DHDPO" localSheetId="17">#REF!</definedName>
    <definedName name="DHDPO" localSheetId="12">#REF!</definedName>
    <definedName name="DHDPO" localSheetId="11">#REF!</definedName>
    <definedName name="DHDPO">#REF!</definedName>
    <definedName name="DHMPO" localSheetId="13">#REF!</definedName>
    <definedName name="DHMPO" localSheetId="14">#REF!</definedName>
    <definedName name="DHMPO" localSheetId="0">#REF!</definedName>
    <definedName name="DHMPO" localSheetId="17">#REF!</definedName>
    <definedName name="DHMPO" localSheetId="12">#REF!</definedName>
    <definedName name="DHMPO" localSheetId="11">#REF!</definedName>
    <definedName name="DHMPO">#REF!</definedName>
    <definedName name="DIAMETROS" localSheetId="13">#REF!</definedName>
    <definedName name="DIAMETROS" localSheetId="17">#REF!</definedName>
    <definedName name="DIAMETROS" localSheetId="12">#REF!</definedName>
    <definedName name="DIAMETROS" localSheetId="11">#REF!</definedName>
    <definedName name="DIAMETROS">#REF!</definedName>
    <definedName name="Diámetros_y_Espesores_de_P.V.C." localSheetId="17">#REF!</definedName>
    <definedName name="Diámetros_y_Espesores_de_P.V.C.">#REF!</definedName>
    <definedName name="Dias_Enfermedad" localSheetId="13">#REF!</definedName>
    <definedName name="Dias_Enfermedad" localSheetId="14">#REF!</definedName>
    <definedName name="Dias_Enfermedad" localSheetId="17">#REF!</definedName>
    <definedName name="Dias_Enfermedad" localSheetId="12">#REF!</definedName>
    <definedName name="Dias_Enfermedad" localSheetId="11">#REF!</definedName>
    <definedName name="Dias_Enfermedad">#REF!</definedName>
    <definedName name="dic.21" localSheetId="23">'[1]Indice CAC'!#REF!</definedName>
    <definedName name="dic.21">'Indice CAC'!#REF!</definedName>
    <definedName name="dic.22" localSheetId="23">'[1]Indice CAC'!#REF!</definedName>
    <definedName name="dic.22">'Indice CAC'!#REF!</definedName>
    <definedName name="dic.23">'Indice CAC'!#REF!</definedName>
    <definedName name="dic.24">'Indice CAC'!$B$9</definedName>
    <definedName name="dici21" localSheetId="23">'[1]Indice CAC'!#REF!</definedName>
    <definedName name="dici21">'Indice CAC'!#REF!</definedName>
    <definedName name="dici22" localSheetId="23">'[1]Indice CAC'!#REF!</definedName>
    <definedName name="dici22">'Indice CAC'!#REF!</definedName>
    <definedName name="dici23">'Indice CAC'!#REF!</definedName>
    <definedName name="Diesel" localSheetId="13">#REF!</definedName>
    <definedName name="Diesel" localSheetId="14">#REF!</definedName>
    <definedName name="Diesel" localSheetId="17">#REF!</definedName>
    <definedName name="Diesel" localSheetId="12">#REF!</definedName>
    <definedName name="Diesel" localSheetId="11">#REF!</definedName>
    <definedName name="Diesel">#REF!</definedName>
    <definedName name="dil" localSheetId="13">#REF!</definedName>
    <definedName name="dil" localSheetId="14">#REF!</definedName>
    <definedName name="dil" localSheetId="17">#REF!</definedName>
    <definedName name="dil" localSheetId="12">#REF!</definedName>
    <definedName name="dil" localSheetId="11">#REF!</definedName>
    <definedName name="dil">#REF!</definedName>
    <definedName name="DINTS" localSheetId="13">#REF!</definedName>
    <definedName name="DINTS" localSheetId="10">#REF!</definedName>
    <definedName name="DINTS" localSheetId="4">#REF!</definedName>
    <definedName name="DINTS" localSheetId="14">#REF!</definedName>
    <definedName name="DINTS" localSheetId="0">#REF!</definedName>
    <definedName name="DINTS" localSheetId="17">#REF!</definedName>
    <definedName name="DINTS" localSheetId="12">#REF!</definedName>
    <definedName name="DINTS" localSheetId="11">#REF!</definedName>
    <definedName name="DINTS">#REF!</definedName>
    <definedName name="dlim" localSheetId="13">#REF!</definedName>
    <definedName name="dlim" localSheetId="14">#REF!</definedName>
    <definedName name="dlim" localSheetId="17">#REF!</definedName>
    <definedName name="dlim" localSheetId="12">#REF!</definedName>
    <definedName name="dlim" localSheetId="11">#REF!</definedName>
    <definedName name="dlim">#REF!</definedName>
    <definedName name="DMPGR" localSheetId="13">#REF!</definedName>
    <definedName name="DMPGR" localSheetId="14">#REF!</definedName>
    <definedName name="DMPGR" localSheetId="17">#REF!</definedName>
    <definedName name="DMPGR" localSheetId="12">#REF!</definedName>
    <definedName name="DMPGR" localSheetId="11">#REF!</definedName>
    <definedName name="DMPGR">#REF!</definedName>
    <definedName name="DMPGRAM" localSheetId="13">#REF!</definedName>
    <definedName name="DMPGRAM" localSheetId="14">#REF!</definedName>
    <definedName name="DMPGRAM" localSheetId="17">#REF!</definedName>
    <definedName name="DMPGRAM" localSheetId="12">#REF!</definedName>
    <definedName name="DMPGRAM" localSheetId="11">#REF!</definedName>
    <definedName name="DMPGRAM">#REF!</definedName>
    <definedName name="docum" localSheetId="13">#REF!</definedName>
    <definedName name="docum" localSheetId="17">#REF!</definedName>
    <definedName name="docum" localSheetId="12">#REF!</definedName>
    <definedName name="docum" localSheetId="11">#REF!</definedName>
    <definedName name="docum">#REF!</definedName>
    <definedName name="DOLAR" localSheetId="17">#REF!</definedName>
    <definedName name="DOLAR">#REF!</definedName>
    <definedName name="Dólar" localSheetId="17">#REF!</definedName>
    <definedName name="Dólar">#REF!</definedName>
    <definedName name="Dollar" localSheetId="13">#REF!</definedName>
    <definedName name="Dollar" localSheetId="14">#REF!</definedName>
    <definedName name="Dollar" localSheetId="17">#REF!</definedName>
    <definedName name="Dollar" localSheetId="12">#REF!</definedName>
    <definedName name="Dollar" localSheetId="11">#REF!</definedName>
    <definedName name="Dollar">#REF!</definedName>
    <definedName name="DR" localSheetId="13">#REF!</definedName>
    <definedName name="DR" localSheetId="17">#REF!</definedName>
    <definedName name="DR" localSheetId="12">#REF!</definedName>
    <definedName name="DR" localSheetId="11">#REF!</definedName>
    <definedName name="DR">#REF!</definedName>
    <definedName name="DRdos" localSheetId="17">#REF!</definedName>
    <definedName name="DRdos">#REF!</definedName>
    <definedName name="DReq" localSheetId="17">#REF!</definedName>
    <definedName name="DReq">#REF!</definedName>
    <definedName name="DReqdos">#REF!</definedName>
    <definedName name="DRuno">#REF!</definedName>
    <definedName name="drwtr">#REF!</definedName>
    <definedName name="DTHBMPG" localSheetId="13">#REF!</definedName>
    <definedName name="DTHBMPG" localSheetId="14">#REF!</definedName>
    <definedName name="DTHBMPG" localSheetId="17">#REF!</definedName>
    <definedName name="DTHBMPG" localSheetId="12">#REF!</definedName>
    <definedName name="DTHBMPG" localSheetId="11">#REF!</definedName>
    <definedName name="DTHBMPG">#REF!</definedName>
    <definedName name="DTHDABM" localSheetId="13">#REF!</definedName>
    <definedName name="DTHDABM" localSheetId="14">#REF!</definedName>
    <definedName name="DTHDABM" localSheetId="17">#REF!</definedName>
    <definedName name="DTHDABM" localSheetId="12">#REF!</definedName>
    <definedName name="DTHDABM" localSheetId="11">#REF!</definedName>
    <definedName name="DTHDABM">#REF!</definedName>
    <definedName name="DTHDAPM" localSheetId="13">#REF!</definedName>
    <definedName name="DTHDAPM" localSheetId="14">#REF!</definedName>
    <definedName name="DTHDAPM" localSheetId="17">#REF!</definedName>
    <definedName name="DTHDAPM" localSheetId="12">#REF!</definedName>
    <definedName name="DTHDAPM" localSheetId="11">#REF!</definedName>
    <definedName name="DTHDAPM">#REF!</definedName>
    <definedName name="DTHDBPM" localSheetId="13">#REF!</definedName>
    <definedName name="DTHDBPM" localSheetId="14">#REF!</definedName>
    <definedName name="DTHDBPM" localSheetId="17">#REF!</definedName>
    <definedName name="DTHDBPM" localSheetId="12">#REF!</definedName>
    <definedName name="DTHDBPM" localSheetId="11">#REF!</definedName>
    <definedName name="DTHDBPM">#REF!</definedName>
    <definedName name="DTHPDCO" localSheetId="13">#REF!</definedName>
    <definedName name="DTHPDCO" localSheetId="14">#REF!</definedName>
    <definedName name="DTHPDCO" localSheetId="17">#REF!</definedName>
    <definedName name="DTHPDCO" localSheetId="12">#REF!</definedName>
    <definedName name="DTHPDCO" localSheetId="11">#REF!</definedName>
    <definedName name="DTHPDCO">#REF!</definedName>
    <definedName name="DTHPDDA" localSheetId="13">#REF!</definedName>
    <definedName name="DTHPDDA" localSheetId="14">#REF!</definedName>
    <definedName name="DTHPDDA" localSheetId="17">#REF!</definedName>
    <definedName name="DTHPDDA" localSheetId="12">#REF!</definedName>
    <definedName name="DTHPDDA" localSheetId="11">#REF!</definedName>
    <definedName name="DTHPDDA">#REF!</definedName>
    <definedName name="DTHPDDB" localSheetId="13">#REF!</definedName>
    <definedName name="DTHPDDB" localSheetId="14">#REF!</definedName>
    <definedName name="DTHPDDB" localSheetId="17">#REF!</definedName>
    <definedName name="DTHPDDB" localSheetId="12">#REF!</definedName>
    <definedName name="DTHPDDB" localSheetId="11">#REF!</definedName>
    <definedName name="DTHPDDB">#REF!</definedName>
    <definedName name="DTHPGCO" localSheetId="13">#REF!</definedName>
    <definedName name="DTHPGCO" localSheetId="14">#REF!</definedName>
    <definedName name="DTHPGCO" localSheetId="17">#REF!</definedName>
    <definedName name="DTHPGCO" localSheetId="12">#REF!</definedName>
    <definedName name="DTHPGCO" localSheetId="11">#REF!</definedName>
    <definedName name="DTHPGCO">#REF!</definedName>
    <definedName name="DTHPMBM" localSheetId="13">#REF!</definedName>
    <definedName name="DTHPMBM" localSheetId="14">#REF!</definedName>
    <definedName name="DTHPMBM" localSheetId="17">#REF!</definedName>
    <definedName name="DTHPMBM" localSheetId="12">#REF!</definedName>
    <definedName name="DTHPMBM" localSheetId="11">#REF!</definedName>
    <definedName name="DTHPMBM">#REF!</definedName>
    <definedName name="DVDD" localSheetId="13">#REF!</definedName>
    <definedName name="DVDD" localSheetId="10">#REF!</definedName>
    <definedName name="DVDD" localSheetId="4">#REF!</definedName>
    <definedName name="DVDD" localSheetId="14">#REF!</definedName>
    <definedName name="DVDD" localSheetId="0">#REF!</definedName>
    <definedName name="DVDD" localSheetId="17">#REF!</definedName>
    <definedName name="DVDD" localSheetId="12">#REF!</definedName>
    <definedName name="DVDD" localSheetId="11">#REF!</definedName>
    <definedName name="DVDD">#REF!</definedName>
    <definedName name="DVDEM" localSheetId="13">#REF!</definedName>
    <definedName name="DVDEM" localSheetId="4">#REF!</definedName>
    <definedName name="DVDEM" localSheetId="14">#REF!</definedName>
    <definedName name="DVDEM" localSheetId="0">#REF!</definedName>
    <definedName name="DVDEM" localSheetId="17">#REF!</definedName>
    <definedName name="DVDEM" localSheetId="12">#REF!</definedName>
    <definedName name="DVDEM" localSheetId="11">#REF!</definedName>
    <definedName name="DVDEM">#REF!</definedName>
    <definedName name="DVEM" localSheetId="13">#REF!</definedName>
    <definedName name="DVEM" localSheetId="14">#REF!</definedName>
    <definedName name="DVEM" localSheetId="0">#REF!</definedName>
    <definedName name="DVEM" localSheetId="17">#REF!</definedName>
    <definedName name="DVEM" localSheetId="12">#REF!</definedName>
    <definedName name="DVEM" localSheetId="11">#REF!</definedName>
    <definedName name="DVEM">#REF!</definedName>
    <definedName name="E" localSheetId="17">#REF!</definedName>
    <definedName name="E">#N/A</definedName>
    <definedName name="EASP" localSheetId="13">#REF!</definedName>
    <definedName name="EASP" localSheetId="14">#REF!</definedName>
    <definedName name="EASP" localSheetId="0">#REF!</definedName>
    <definedName name="EASP" localSheetId="17">#REF!</definedName>
    <definedName name="EASP" localSheetId="12">#REF!</definedName>
    <definedName name="EASP" localSheetId="11">#REF!</definedName>
    <definedName name="EASP">#REF!</definedName>
    <definedName name="Ee" localSheetId="13">#REF!</definedName>
    <definedName name="Ee" localSheetId="17">#REF!</definedName>
    <definedName name="Ee" localSheetId="12">#REF!</definedName>
    <definedName name="Ee" localSheetId="11">#REF!</definedName>
    <definedName name="Ee">#REF!</definedName>
    <definedName name="Ef" localSheetId="17">#REF!</definedName>
    <definedName name="Ef" localSheetId="12">#REF!</definedName>
    <definedName name="Ef" localSheetId="11">#REF!</definedName>
    <definedName name="Ef">#REF!</definedName>
    <definedName name="Ei" localSheetId="17">#REF!</definedName>
    <definedName name="Ei">#REF!</definedName>
    <definedName name="EINC">#REF!</definedName>
    <definedName name="Eléctrica" localSheetId="13">#REF!</definedName>
    <definedName name="Eléctrica" localSheetId="14">#REF!</definedName>
    <definedName name="Eléctrica" localSheetId="17">#REF!</definedName>
    <definedName name="Eléctrica" localSheetId="12">#REF!</definedName>
    <definedName name="Eléctrica" localSheetId="11">#REF!</definedName>
    <definedName name="Eléctrica">#REF!</definedName>
    <definedName name="Em" localSheetId="13">#REF!</definedName>
    <definedName name="Em" localSheetId="17">#REF!</definedName>
    <definedName name="Em" localSheetId="12">#REF!</definedName>
    <definedName name="Em" localSheetId="11">#REF!</definedName>
    <definedName name="Em">#REF!</definedName>
    <definedName name="Empleados">#REF!</definedName>
    <definedName name="EMSP" localSheetId="13">#REF!</definedName>
    <definedName name="EMSP" localSheetId="14">#REF!</definedName>
    <definedName name="EMSP" localSheetId="0">#REF!</definedName>
    <definedName name="EMSP" localSheetId="17">#REF!</definedName>
    <definedName name="EMSP" localSheetId="12">#REF!</definedName>
    <definedName name="EMSP" localSheetId="11">#REF!</definedName>
    <definedName name="EMSP">#REF!</definedName>
    <definedName name="EncabezadoAnalisis" localSheetId="13">#REF!</definedName>
    <definedName name="EncabezadoAnalisis" localSheetId="14">#REF!</definedName>
    <definedName name="EncabezadoAnalisis" localSheetId="17">#REF!</definedName>
    <definedName name="EncabezadoAnalisis" localSheetId="12">#REF!</definedName>
    <definedName name="EncabezadoAnalisis" localSheetId="11">#REF!</definedName>
    <definedName name="EncabezadoAnalisis">#REF!</definedName>
    <definedName name="End_Bal" localSheetId="13">#REF!</definedName>
    <definedName name="End_Bal" localSheetId="17">#REF!</definedName>
    <definedName name="End_Bal" localSheetId="12">#REF!</definedName>
    <definedName name="End_Bal" localSheetId="11">#REF!</definedName>
    <definedName name="End_Bal">#REF!</definedName>
    <definedName name="ene.23" localSheetId="23">'[1]Indice CAC'!#REF!</definedName>
    <definedName name="ene.23">'Indice CAC'!#REF!</definedName>
    <definedName name="ene.24">'Indice CAC'!#REF!</definedName>
    <definedName name="ene.25">'Indice CAC'!$B$10</definedName>
    <definedName name="ener23" localSheetId="23">'[1]Indice CAC'!#REF!</definedName>
    <definedName name="ener23">'Indice CAC'!#REF!</definedName>
    <definedName name="ener24">'Indice CAC'!#REF!</definedName>
    <definedName name="ENERGIA" localSheetId="13">#REF!</definedName>
    <definedName name="ENERGIA" localSheetId="14">#REF!</definedName>
    <definedName name="ENERGIA" localSheetId="17">#REF!</definedName>
    <definedName name="ENERGIA" localSheetId="12">#REF!</definedName>
    <definedName name="ENERGIA" localSheetId="11">#REF!</definedName>
    <definedName name="ENERGIA">#REF!</definedName>
    <definedName name="ENREUTAB" localSheetId="13">#REF!</definedName>
    <definedName name="ENREUTAB" localSheetId="14">#REF!</definedName>
    <definedName name="ENREUTAB" localSheetId="17">#REF!</definedName>
    <definedName name="ENREUTAB" localSheetId="12">#REF!</definedName>
    <definedName name="ENREUTAB" localSheetId="11">#REF!</definedName>
    <definedName name="ENREUTAB">#REF!</definedName>
    <definedName name="ENREUTIR" localSheetId="13">#REF!</definedName>
    <definedName name="ENREUTIR" localSheetId="14">#REF!</definedName>
    <definedName name="ENREUTIR" localSheetId="17">#REF!</definedName>
    <definedName name="ENREUTIR" localSheetId="12">#REF!</definedName>
    <definedName name="ENREUTIR" localSheetId="11">#REF!</definedName>
    <definedName name="ENREUTIR">#REF!</definedName>
    <definedName name="Eo" localSheetId="13">#REF!</definedName>
    <definedName name="Eo" localSheetId="17">#REF!</definedName>
    <definedName name="Eo" localSheetId="12">#REF!</definedName>
    <definedName name="Eo" localSheetId="11">#REF!</definedName>
    <definedName name="Eo">#REF!</definedName>
    <definedName name="eq" localSheetId="13">#REF!</definedName>
    <definedName name="eq" localSheetId="14">#REF!</definedName>
    <definedName name="eq" localSheetId="17">#REF!</definedName>
    <definedName name="eq" localSheetId="12">#REF!</definedName>
    <definedName name="eq" localSheetId="11">#REF!</definedName>
    <definedName name="eq">#REF!</definedName>
    <definedName name="eqimp" localSheetId="13">#REF!</definedName>
    <definedName name="eqimp" localSheetId="14">#REF!</definedName>
    <definedName name="eqimp" localSheetId="17">#REF!</definedName>
    <definedName name="eqimp" localSheetId="12">#REF!</definedName>
    <definedName name="eqimp" localSheetId="11">#REF!</definedName>
    <definedName name="eqimp">#REF!</definedName>
    <definedName name="eqnac" localSheetId="13">#REF!</definedName>
    <definedName name="eqnac" localSheetId="14">#REF!</definedName>
    <definedName name="eqnac" localSheetId="17">#REF!</definedName>
    <definedName name="eqnac" localSheetId="12">#REF!</definedName>
    <definedName name="eqnac" localSheetId="11">#REF!</definedName>
    <definedName name="eqnac">#REF!</definedName>
    <definedName name="EQS" localSheetId="13">#REF!</definedName>
    <definedName name="EQS" localSheetId="17">#REF!</definedName>
    <definedName name="EQS" localSheetId="12">#REF!</definedName>
    <definedName name="EQS" localSheetId="11">#REF!</definedName>
    <definedName name="EQS">#REF!</definedName>
    <definedName name="equipo" localSheetId="13">#REF!</definedName>
    <definedName name="equipo" localSheetId="14">#REF!</definedName>
    <definedName name="equipo" localSheetId="17">#REF!</definedName>
    <definedName name="equipo" localSheetId="12">#REF!</definedName>
    <definedName name="equipo" localSheetId="11">#REF!</definedName>
    <definedName name="equipo">#REF!</definedName>
    <definedName name="EQUIPOS" localSheetId="13">#REF!</definedName>
    <definedName name="EQUIPOS" localSheetId="17">#REF!</definedName>
    <definedName name="EQUIPOS" localSheetId="12">#REF!</definedName>
    <definedName name="EQUIPOS" localSheetId="11">#REF!</definedName>
    <definedName name="EQUIPOS">#REF!</definedName>
    <definedName name="ES" localSheetId="17">#REF!</definedName>
    <definedName name="ES">#REF!</definedName>
    <definedName name="escala" localSheetId="17">#REF!</definedName>
    <definedName name="escala">#REF!</definedName>
    <definedName name="Escenarios">#REF!</definedName>
    <definedName name="espera_del_pago" localSheetId="13">#REF!</definedName>
    <definedName name="espera_del_pago" localSheetId="14">#REF!</definedName>
    <definedName name="espera_del_pago" localSheetId="17">#REF!</definedName>
    <definedName name="espera_del_pago" localSheetId="12">#REF!</definedName>
    <definedName name="espera_del_pago" localSheetId="11">#REF!</definedName>
    <definedName name="espera_del_pago">#REF!</definedName>
    <definedName name="Et" localSheetId="13">#REF!</definedName>
    <definedName name="Et" localSheetId="17">#REF!</definedName>
    <definedName name="Et" localSheetId="12">#REF!</definedName>
    <definedName name="Et" localSheetId="11">#REF!</definedName>
    <definedName name="Et">#REF!</definedName>
    <definedName name="etapaII" localSheetId="13">#REF!</definedName>
    <definedName name="etapaII" localSheetId="14">#REF!</definedName>
    <definedName name="etapaII" localSheetId="17">#REF!</definedName>
    <definedName name="etapaII" localSheetId="12">#REF!</definedName>
    <definedName name="etapaII" localSheetId="11">#REF!</definedName>
    <definedName name="etapaII">#REF!</definedName>
    <definedName name="etapaIII" localSheetId="13">#REF!</definedName>
    <definedName name="etapaIII" localSheetId="14">#REF!</definedName>
    <definedName name="etapaIII" localSheetId="17">#REF!</definedName>
    <definedName name="etapaIII" localSheetId="12">#REF!</definedName>
    <definedName name="etapaIII" localSheetId="11">#REF!</definedName>
    <definedName name="etapaIII">#REF!</definedName>
    <definedName name="EX">#N/A</definedName>
    <definedName name="EXAP" localSheetId="13">#REF!</definedName>
    <definedName name="EXAP" localSheetId="10">#REF!</definedName>
    <definedName name="EXAP" localSheetId="4">#REF!</definedName>
    <definedName name="EXAP" localSheetId="14">#REF!</definedName>
    <definedName name="EXAP" localSheetId="0">#REF!</definedName>
    <definedName name="EXAP" localSheetId="17">#REF!</definedName>
    <definedName name="EXAP">#REF!</definedName>
    <definedName name="EXAPI" localSheetId="13">#REF!</definedName>
    <definedName name="EXAPI" localSheetId="4">#REF!</definedName>
    <definedName name="EXAPI" localSheetId="14">#REF!</definedName>
    <definedName name="EXAPI" localSheetId="0">#REF!</definedName>
    <definedName name="EXAPI" localSheetId="17">#REF!</definedName>
    <definedName name="EXAPI" localSheetId="12">#REF!</definedName>
    <definedName name="EXAPI" localSheetId="11">#REF!</definedName>
    <definedName name="EXAPI">#REF!</definedName>
    <definedName name="EXAS" localSheetId="13">#REF!</definedName>
    <definedName name="EXAS" localSheetId="14">#REF!</definedName>
    <definedName name="EXAS" localSheetId="0">#REF!</definedName>
    <definedName name="EXAS" localSheetId="17">#REF!</definedName>
    <definedName name="EXAS" localSheetId="12">#REF!</definedName>
    <definedName name="EXAS" localSheetId="11">#REF!</definedName>
    <definedName name="EXAS">#REF!</definedName>
    <definedName name="EXAZ" localSheetId="13">#REF!</definedName>
    <definedName name="EXAZ" localSheetId="14">#REF!</definedName>
    <definedName name="EXAZ" localSheetId="0">#REF!</definedName>
    <definedName name="EXAZ" localSheetId="17">#REF!</definedName>
    <definedName name="EXAZ" localSheetId="12">#REF!</definedName>
    <definedName name="EXAZ" localSheetId="11">#REF!</definedName>
    <definedName name="EXAZ">#REF!</definedName>
    <definedName name="EXBE" localSheetId="13">#REF!</definedName>
    <definedName name="EXBE" localSheetId="14">#REF!</definedName>
    <definedName name="EXBE" localSheetId="0">#REF!</definedName>
    <definedName name="EXBE" localSheetId="17">#REF!</definedName>
    <definedName name="EXBE" localSheetId="12">#REF!</definedName>
    <definedName name="EXBE" localSheetId="11">#REF!</definedName>
    <definedName name="EXBE">#REF!</definedName>
    <definedName name="EXCD" localSheetId="13">#REF!</definedName>
    <definedName name="EXCD" localSheetId="14">#REF!</definedName>
    <definedName name="EXCD" localSheetId="0">#REF!</definedName>
    <definedName name="EXCD" localSheetId="17">#REF!</definedName>
    <definedName name="EXCD" localSheetId="12">#REF!</definedName>
    <definedName name="EXCD" localSheetId="11">#REF!</definedName>
    <definedName name="EXCD">#REF!</definedName>
    <definedName name="EXCM" localSheetId="13">#REF!</definedName>
    <definedName name="EXCM" localSheetId="14">#REF!</definedName>
    <definedName name="EXCM" localSheetId="0">#REF!</definedName>
    <definedName name="EXCM" localSheetId="17">#REF!</definedName>
    <definedName name="EXCM" localSheetId="12">#REF!</definedName>
    <definedName name="EXCM" localSheetId="11">#REF!</definedName>
    <definedName name="EXCM">#REF!</definedName>
    <definedName name="EXCT" localSheetId="13">#REF!</definedName>
    <definedName name="EXCT" localSheetId="14">#REF!</definedName>
    <definedName name="EXCT" localSheetId="0">#REF!</definedName>
    <definedName name="EXCT" localSheetId="17">#REF!</definedName>
    <definedName name="EXCT" localSheetId="12">#REF!</definedName>
    <definedName name="EXCT" localSheetId="11">#REF!</definedName>
    <definedName name="EXCT">#REF!</definedName>
    <definedName name="EXESP" localSheetId="13">#REF!</definedName>
    <definedName name="EXESP" localSheetId="14">#REF!</definedName>
    <definedName name="EXESP" localSheetId="0">#REF!</definedName>
    <definedName name="EXESP" localSheetId="17">#REF!</definedName>
    <definedName name="EXESP" localSheetId="12">#REF!</definedName>
    <definedName name="EXESP" localSheetId="11">#REF!</definedName>
    <definedName name="EXESP">#REF!</definedName>
    <definedName name="EXLP" localSheetId="13">#REF!</definedName>
    <definedName name="EXLP" localSheetId="14">#REF!</definedName>
    <definedName name="EXLP" localSheetId="0">#REF!</definedName>
    <definedName name="EXLP" localSheetId="17">#REF!</definedName>
    <definedName name="EXLP" localSheetId="12">#REF!</definedName>
    <definedName name="EXLP" localSheetId="11">#REF!</definedName>
    <definedName name="EXLP">#REF!</definedName>
    <definedName name="EXLS" localSheetId="13">#REF!</definedName>
    <definedName name="EXLS" localSheetId="14">#REF!</definedName>
    <definedName name="EXLS" localSheetId="0">#REF!</definedName>
    <definedName name="EXLS" localSheetId="17">#REF!</definedName>
    <definedName name="EXLS" localSheetId="12">#REF!</definedName>
    <definedName name="EXLS" localSheetId="11">#REF!</definedName>
    <definedName name="EXLS">#REF!</definedName>
    <definedName name="EXNC" localSheetId="13">#REF!</definedName>
    <definedName name="EXNC" localSheetId="14">#REF!</definedName>
    <definedName name="EXNC" localSheetId="0">#REF!</definedName>
    <definedName name="EXNC" localSheetId="17">#REF!</definedName>
    <definedName name="EXNC" localSheetId="12">#REF!</definedName>
    <definedName name="EXNC" localSheetId="11">#REF!</definedName>
    <definedName name="EXNC">#REF!</definedName>
    <definedName name="EXNP" localSheetId="13">#REF!</definedName>
    <definedName name="EXNP" localSheetId="14">#REF!</definedName>
    <definedName name="EXNP" localSheetId="0">#REF!</definedName>
    <definedName name="EXNP" localSheetId="17">#REF!</definedName>
    <definedName name="EXNP" localSheetId="12">#REF!</definedName>
    <definedName name="EXNP" localSheetId="11">#REF!</definedName>
    <definedName name="EXNP">#REF!</definedName>
    <definedName name="EXPOSICION" localSheetId="13">#REF!</definedName>
    <definedName name="EXPOSICION" localSheetId="17">#REF!</definedName>
    <definedName name="EXPOSICION" localSheetId="12">#REF!</definedName>
    <definedName name="EXPOSICION" localSheetId="11">#REF!</definedName>
    <definedName name="EXPOSICION">#REF!</definedName>
    <definedName name="EXPZ" localSheetId="13">#REF!</definedName>
    <definedName name="EXPZ" localSheetId="14">#REF!</definedName>
    <definedName name="EXPZ" localSheetId="0">#REF!</definedName>
    <definedName name="EXPZ" localSheetId="17">#REF!</definedName>
    <definedName name="EXPZ" localSheetId="12">#REF!</definedName>
    <definedName name="EXPZ" localSheetId="11">#REF!</definedName>
    <definedName name="EXPZ">#REF!</definedName>
    <definedName name="EXSP" localSheetId="13">#REF!</definedName>
    <definedName name="EXSP" localSheetId="14">#REF!</definedName>
    <definedName name="EXSP" localSheetId="0">#REF!</definedName>
    <definedName name="EXSP" localSheetId="17">#REF!</definedName>
    <definedName name="EXSP" localSheetId="12">#REF!</definedName>
    <definedName name="EXSP" localSheetId="11">#REF!</definedName>
    <definedName name="EXSP">#REF!</definedName>
    <definedName name="Extra_Pay" localSheetId="13">#REF!</definedName>
    <definedName name="Extra_Pay" localSheetId="17">#REF!</definedName>
    <definedName name="Extra_Pay" localSheetId="12">#REF!</definedName>
    <definedName name="Extra_Pay" localSheetId="11">#REF!</definedName>
    <definedName name="Extra_Pay">#REF!</definedName>
    <definedName name="EY">#N/A</definedName>
    <definedName name="FASES">#N/A</definedName>
    <definedName name="FCT" localSheetId="13">#REF!</definedName>
    <definedName name="FCT" localSheetId="14">#REF!</definedName>
    <definedName name="FCT" localSheetId="17">#REF!</definedName>
    <definedName name="FCT" localSheetId="12">#REF!</definedName>
    <definedName name="FCT" localSheetId="11">#REF!</definedName>
    <definedName name="FCT">#REF!</definedName>
    <definedName name="Fe" localSheetId="13">#REF!</definedName>
    <definedName name="Fe" localSheetId="14">#REF!</definedName>
    <definedName name="Fe" localSheetId="17">#REF!</definedName>
    <definedName name="Fe" localSheetId="12">#REF!</definedName>
    <definedName name="Fe" localSheetId="11">#REF!</definedName>
    <definedName name="Fe">#REF!</definedName>
    <definedName name="feb.23" localSheetId="23">'[1]Indice CAC'!#REF!</definedName>
    <definedName name="feb.23">'Indice CAC'!#REF!</definedName>
    <definedName name="feb.24">'Indice CAC'!#REF!</definedName>
    <definedName name="feb.25">'Indice CAC'!$B$11</definedName>
    <definedName name="febr24">'Indice CAC'!#REF!</definedName>
    <definedName name="febre23" localSheetId="23">'[1]Indice CAC'!#REF!</definedName>
    <definedName name="febre23">'Indice CAC'!#REF!</definedName>
    <definedName name="Fecha" localSheetId="13">#REF!</definedName>
    <definedName name="Fecha" localSheetId="14">#REF!</definedName>
    <definedName name="Fecha" localSheetId="17">#REF!</definedName>
    <definedName name="Fecha" localSheetId="12">#REF!</definedName>
    <definedName name="Fecha" localSheetId="11">#REF!</definedName>
    <definedName name="Fecha">#REF!</definedName>
    <definedName name="FF" localSheetId="13">#REF!</definedName>
    <definedName name="FF" localSheetId="17">#REF!</definedName>
    <definedName name="FF" localSheetId="12">#REF!</definedName>
    <definedName name="FF" localSheetId="11">#REF!</definedName>
    <definedName name="FF">#REF!</definedName>
    <definedName name="ffdfsd" localSheetId="13">#REF!</definedName>
    <definedName name="ffdfsd" localSheetId="14">#REF!</definedName>
    <definedName name="ffdfsd" localSheetId="17">#REF!</definedName>
    <definedName name="ffdfsd" localSheetId="12">#REF!</definedName>
    <definedName name="ffdfsd" localSheetId="11">#REF!</definedName>
    <definedName name="ffdfsd">#REF!</definedName>
    <definedName name="fi" localSheetId="13">#REF!</definedName>
    <definedName name="fi" localSheetId="17">#REF!</definedName>
    <definedName name="fi" localSheetId="12">#REF!</definedName>
    <definedName name="fi" localSheetId="11">#REF!</definedName>
    <definedName name="fi">#REF!</definedName>
    <definedName name="fin" localSheetId="13">#REF!</definedName>
    <definedName name="fin" localSheetId="10">#REF!</definedName>
    <definedName name="fin" localSheetId="4">#REF!</definedName>
    <definedName name="fin" localSheetId="14">#REF!</definedName>
    <definedName name="fin" localSheetId="0">#REF!</definedName>
    <definedName name="fin" localSheetId="17">#REF!</definedName>
    <definedName name="fin" localSheetId="12">#REF!</definedName>
    <definedName name="fin" localSheetId="11">#REF!</definedName>
    <definedName name="fin">#REF!</definedName>
    <definedName name="finor" localSheetId="13">#REF!</definedName>
    <definedName name="finor" localSheetId="14">#REF!</definedName>
    <definedName name="finor" localSheetId="17">#REF!</definedName>
    <definedName name="finor" localSheetId="12">#REF!</definedName>
    <definedName name="finor" localSheetId="11">#REF!</definedName>
    <definedName name="finor">#REF!</definedName>
    <definedName name="FL" localSheetId="13">#REF!</definedName>
    <definedName name="FL" localSheetId="17">#REF!</definedName>
    <definedName name="FL" localSheetId="12">#REF!</definedName>
    <definedName name="FL" localSheetId="11">#REF!</definedName>
    <definedName name="FL">#REF!</definedName>
    <definedName name="FLECHA" localSheetId="17">#REF!</definedName>
    <definedName name="FLECHA">#REF!</definedName>
    <definedName name="Flete" localSheetId="13">#REF!</definedName>
    <definedName name="Flete" localSheetId="14">#REF!</definedName>
    <definedName name="Flete" localSheetId="17">#REF!</definedName>
    <definedName name="Flete" localSheetId="12">#REF!</definedName>
    <definedName name="Flete" localSheetId="11">#REF!</definedName>
    <definedName name="Flete">#REF!</definedName>
    <definedName name="FleteReal" localSheetId="13">#REF!</definedName>
    <definedName name="FleteReal" localSheetId="14">#REF!</definedName>
    <definedName name="FleteReal" localSheetId="17">#REF!</definedName>
    <definedName name="FleteReal" localSheetId="12">#REF!</definedName>
    <definedName name="FleteReal" localSheetId="11">#REF!</definedName>
    <definedName name="FleteReal">#REF!</definedName>
    <definedName name="flex" localSheetId="13">#REF!</definedName>
    <definedName name="flex" localSheetId="14">#REF!</definedName>
    <definedName name="flex" localSheetId="17">#REF!</definedName>
    <definedName name="flex" localSheetId="12">#REF!</definedName>
    <definedName name="flex" localSheetId="11">#REF!</definedName>
    <definedName name="flex">#REF!</definedName>
    <definedName name="flexposte" localSheetId="13">#REF!</definedName>
    <definedName name="flexposte" localSheetId="14">#REF!</definedName>
    <definedName name="flexposte" localSheetId="17">#REF!</definedName>
    <definedName name="flexposte" localSheetId="12">#REF!</definedName>
    <definedName name="flexposte" localSheetId="11">#REF!</definedName>
    <definedName name="flexposte">#REF!</definedName>
    <definedName name="fo" localSheetId="13">#REF!</definedName>
    <definedName name="fo" localSheetId="14">#REF!</definedName>
    <definedName name="fo" localSheetId="17">#REF!</definedName>
    <definedName name="fo" localSheetId="12">#REF!</definedName>
    <definedName name="fo" localSheetId="11">#REF!</definedName>
    <definedName name="fo">#REF!</definedName>
    <definedName name="Fondo_Desempleo" localSheetId="13">#REF!</definedName>
    <definedName name="Fondo_Desempleo" localSheetId="14">#REF!</definedName>
    <definedName name="Fondo_Desempleo" localSheetId="17">#REF!</definedName>
    <definedName name="Fondo_Desempleo" localSheetId="12">#REF!</definedName>
    <definedName name="Fondo_Desempleo" localSheetId="11">#REF!</definedName>
    <definedName name="Fondo_Desempleo">#REF!</definedName>
    <definedName name="Forecast2">#REF!</definedName>
    <definedName name="Forecast2Cat">#REF!</definedName>
    <definedName name="formula_analisis" localSheetId="13">#REF!</definedName>
    <definedName name="formula_analisis" localSheetId="14">#REF!</definedName>
    <definedName name="formula_analisis" localSheetId="17">#REF!</definedName>
    <definedName name="formula_analisis" localSheetId="12">#REF!</definedName>
    <definedName name="formula_analisis" localSheetId="11">#REF!</definedName>
    <definedName name="formula_analisis">#REF!</definedName>
    <definedName name="formula_formula" localSheetId="13">#REF!</definedName>
    <definedName name="formula_formula" localSheetId="14">#REF!</definedName>
    <definedName name="formula_formula" localSheetId="17">#REF!</definedName>
    <definedName name="formula_formula" localSheetId="12">#REF!</definedName>
    <definedName name="formula_formula" localSheetId="11">#REF!</definedName>
    <definedName name="formula_formula">#REF!</definedName>
    <definedName name="Fórmula_General_para_Determinación_de_f" localSheetId="13">#REF!</definedName>
    <definedName name="Fórmula_General_para_Determinación_de_f" localSheetId="17">#REF!</definedName>
    <definedName name="Fórmula_General_para_Determinación_de_f" localSheetId="12">#REF!</definedName>
    <definedName name="Fórmula_General_para_Determinación_de_f" localSheetId="11">#REF!</definedName>
    <definedName name="Fórmula_General_para_Determinación_de_f">#REF!</definedName>
    <definedName name="formula_insumo" localSheetId="13">#REF!</definedName>
    <definedName name="formula_insumo" localSheetId="14">#REF!</definedName>
    <definedName name="formula_insumo" localSheetId="17">#REF!</definedName>
    <definedName name="formula_insumo" localSheetId="12">#REF!</definedName>
    <definedName name="formula_insumo" localSheetId="11">#REF!</definedName>
    <definedName name="formula_insumo">#REF!</definedName>
    <definedName name="formula_presupuesto" localSheetId="13">#REF!</definedName>
    <definedName name="formula_presupuesto" localSheetId="14">#REF!</definedName>
    <definedName name="formula_presupuesto" localSheetId="17">#REF!</definedName>
    <definedName name="formula_presupuesto" localSheetId="12">#REF!</definedName>
    <definedName name="formula_presupuesto" localSheetId="11">#REF!</definedName>
    <definedName name="formula_presupuesto">#REF!</definedName>
    <definedName name="formula_rubro" localSheetId="13">#REF!</definedName>
    <definedName name="formula_rubro" localSheetId="14">#REF!</definedName>
    <definedName name="formula_rubro" localSheetId="17">#REF!</definedName>
    <definedName name="formula_rubro" localSheetId="12">#REF!</definedName>
    <definedName name="formula_rubro" localSheetId="11">#REF!</definedName>
    <definedName name="formula_rubro">#REF!</definedName>
    <definedName name="formulapatron" localSheetId="13">#REF!</definedName>
    <definedName name="formulapatron" localSheetId="14">#REF!</definedName>
    <definedName name="formulapatron" localSheetId="17">#REF!</definedName>
    <definedName name="formulapatron" localSheetId="12">#REF!</definedName>
    <definedName name="formulapatron" localSheetId="11">#REF!</definedName>
    <definedName name="formulapatron">#REF!</definedName>
    <definedName name="formulas" localSheetId="13">#REF!</definedName>
    <definedName name="formulas" localSheetId="14">#REF!</definedName>
    <definedName name="formulas" localSheetId="17">#REF!</definedName>
    <definedName name="formulas" localSheetId="12">#REF!</definedName>
    <definedName name="formulas" localSheetId="11">#REF!</definedName>
    <definedName name="formulas">#REF!</definedName>
    <definedName name="formulasenlace" localSheetId="13">#REF!</definedName>
    <definedName name="formulasenlace" localSheetId="10">#REF!</definedName>
    <definedName name="formulasenlace" localSheetId="4">#REF!</definedName>
    <definedName name="formulasenlace" localSheetId="14">#REF!</definedName>
    <definedName name="formulasenlace" localSheetId="0">#REF!</definedName>
    <definedName name="formulasenlace" localSheetId="17">#REF!</definedName>
    <definedName name="formulasenlace" localSheetId="12">#REF!</definedName>
    <definedName name="formulasenlace" localSheetId="11">#REF!</definedName>
    <definedName name="formulasenlace">#REF!</definedName>
    <definedName name="FP" localSheetId="13">#REF!</definedName>
    <definedName name="FP" localSheetId="14">#REF!</definedName>
    <definedName name="FP" localSheetId="17">#REF!</definedName>
    <definedName name="FP" localSheetId="12">#REF!</definedName>
    <definedName name="FP" localSheetId="11">#REF!</definedName>
    <definedName name="FP">#REF!</definedName>
    <definedName name="FP_" localSheetId="13">#REF!</definedName>
    <definedName name="FP_" localSheetId="17">#REF!</definedName>
    <definedName name="FP_" localSheetId="12">#REF!</definedName>
    <definedName name="FP_" localSheetId="11">#REF!</definedName>
    <definedName name="FP_">#REF!</definedName>
    <definedName name="FP__" localSheetId="17">#REF!</definedName>
    <definedName name="FP__">#REF!</definedName>
    <definedName name="frame0" localSheetId="17">#REF!</definedName>
    <definedName name="frame0">#REF!</definedName>
    <definedName name="frameF">#REF!</definedName>
    <definedName name="framevs">#REF!</definedName>
    <definedName name="FT" localSheetId="13">#REF!</definedName>
    <definedName name="FT" localSheetId="14">#REF!</definedName>
    <definedName name="ft" localSheetId="17">#REF!</definedName>
    <definedName name="FT" localSheetId="12">#REF!</definedName>
    <definedName name="FT" localSheetId="11">#REF!</definedName>
    <definedName name="FT">#REF!</definedName>
    <definedName name="fu" localSheetId="13">#REF!</definedName>
    <definedName name="fu" localSheetId="14">#REF!</definedName>
    <definedName name="fu" localSheetId="17">#REF!</definedName>
    <definedName name="fu" localSheetId="12">#REF!</definedName>
    <definedName name="fu" localSheetId="11">#REF!</definedName>
    <definedName name="fu">#REF!</definedName>
    <definedName name="Full_Print" localSheetId="13">#REF!</definedName>
    <definedName name="Full_Print" localSheetId="17">#REF!</definedName>
    <definedName name="Full_Print" localSheetId="12">#REF!</definedName>
    <definedName name="Full_Print" localSheetId="11">#REF!</definedName>
    <definedName name="Full_Print">#REF!</definedName>
    <definedName name="FX_" localSheetId="17">#REF!</definedName>
    <definedName name="FX_">#REF!</definedName>
    <definedName name="FY" localSheetId="17">#REF!</definedName>
    <definedName name="FY">#REF!</definedName>
    <definedName name="G" localSheetId="17">INDEX(#REF!,MATCH("*[G]*",#REF!,0))</definedName>
    <definedName name="g">#REF!</definedName>
    <definedName name="G0">#REF!</definedName>
    <definedName name="G6333333" localSheetId="17">#REF!</definedName>
    <definedName name="G6333333">#REF!</definedName>
    <definedName name="gama">#REF!</definedName>
    <definedName name="gamma">#REF!</definedName>
    <definedName name="gamma_c" localSheetId="13">#REF!</definedName>
    <definedName name="gamma_c" localSheetId="14">#REF!</definedName>
    <definedName name="gamma_c" localSheetId="17">#REF!</definedName>
    <definedName name="gamma_c" localSheetId="12">#REF!</definedName>
    <definedName name="gamma_c" localSheetId="11">#REF!</definedName>
    <definedName name="gamma_c">#REF!</definedName>
    <definedName name="GAMMAH" localSheetId="13">#REF!</definedName>
    <definedName name="GAMMAH" localSheetId="17">#REF!</definedName>
    <definedName name="GAMMAH" localSheetId="12">#REF!</definedName>
    <definedName name="GAMMAH" localSheetId="11">#REF!</definedName>
    <definedName name="GAMMAH">#REF!</definedName>
    <definedName name="GAMMAH_" localSheetId="17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 localSheetId="13">#REF!</definedName>
    <definedName name="Garantia" localSheetId="14">#REF!</definedName>
    <definedName name="Garantia" localSheetId="17">#REF!</definedName>
    <definedName name="Garantia" localSheetId="12">#REF!</definedName>
    <definedName name="Garantia" localSheetId="11">#REF!</definedName>
    <definedName name="Garantia">#REF!</definedName>
    <definedName name="GASOIL" localSheetId="13">#REF!</definedName>
    <definedName name="GASOIL" localSheetId="14">#REF!</definedName>
    <definedName name="GASOIL" localSheetId="17">#REF!</definedName>
    <definedName name="GASOIL" localSheetId="12">#REF!</definedName>
    <definedName name="GASOIL" localSheetId="11">#REF!</definedName>
    <definedName name="GASOIL">#REF!</definedName>
    <definedName name="gaviones" localSheetId="13">#REF!</definedName>
    <definedName name="gaviones" localSheetId="14">#REF!</definedName>
    <definedName name="gaviones" localSheetId="17">#REF!</definedName>
    <definedName name="gaviones" localSheetId="12">#REF!</definedName>
    <definedName name="gaviones" localSheetId="11">#REF!</definedName>
    <definedName name="gaviones">#REF!</definedName>
    <definedName name="gavr" localSheetId="13">#REF!</definedName>
    <definedName name="gavr" localSheetId="14">#REF!</definedName>
    <definedName name="gavr" localSheetId="17">#REF!</definedName>
    <definedName name="gavr" localSheetId="12">#REF!</definedName>
    <definedName name="gavr" localSheetId="11">#REF!</definedName>
    <definedName name="gavr">#REF!</definedName>
    <definedName name="gc" localSheetId="13">#REF!</definedName>
    <definedName name="gc" localSheetId="17">#REF!</definedName>
    <definedName name="gc" localSheetId="12">#REF!</definedName>
    <definedName name="gc" localSheetId="11">#REF!</definedName>
    <definedName name="gc">#REF!</definedName>
    <definedName name="GE" localSheetId="17">#REF!</definedName>
    <definedName name="GE">#REF!</definedName>
    <definedName name="gel" localSheetId="13">#REF!</definedName>
    <definedName name="gel" localSheetId="14">#REF!</definedName>
    <definedName name="gel" localSheetId="17">#REF!</definedName>
    <definedName name="gel" localSheetId="12">#REF!</definedName>
    <definedName name="gel" localSheetId="11">#REF!</definedName>
    <definedName name="gel">#REF!</definedName>
    <definedName name="geot" localSheetId="13">#REF!</definedName>
    <definedName name="geot" localSheetId="14">#REF!</definedName>
    <definedName name="geot" localSheetId="17">#REF!</definedName>
    <definedName name="geot" localSheetId="12">#REF!</definedName>
    <definedName name="geot" localSheetId="11">#REF!</definedName>
    <definedName name="geot">#REF!</definedName>
    <definedName name="gfgfgf" localSheetId="13">#REF!</definedName>
    <definedName name="gfgfgf" localSheetId="5">#REF!</definedName>
    <definedName name="gfgfgf" localSheetId="10">#REF!</definedName>
    <definedName name="gfgfgf" localSheetId="14">#REF!</definedName>
    <definedName name="gfgfgf" localSheetId="0">#REF!</definedName>
    <definedName name="gfgfgf" localSheetId="17">#REF!</definedName>
    <definedName name="gfgfgf" localSheetId="7">#REF!</definedName>
    <definedName name="gfgfgf" localSheetId="8">#REF!</definedName>
    <definedName name="gfgfgf" localSheetId="6">#REF!</definedName>
    <definedName name="gfgfgf" localSheetId="9">#REF!</definedName>
    <definedName name="gfgfgf" localSheetId="1">#REF!</definedName>
    <definedName name="gfgfgf" localSheetId="2">#REF!</definedName>
    <definedName name="gfgfgf" localSheetId="3">#REF!</definedName>
    <definedName name="gfgfgf">#REF!</definedName>
    <definedName name="gfhds">#REF!</definedName>
    <definedName name="GFINANCIEROS" localSheetId="17">#REF!</definedName>
    <definedName name="GFINANCIEROS">#REF!</definedName>
    <definedName name="GGDirecto" localSheetId="13">#REF!</definedName>
    <definedName name="GGDirecto" localSheetId="14">#REF!</definedName>
    <definedName name="GGDirecto" localSheetId="17">#REF!</definedName>
    <definedName name="GGDirecto" localSheetId="12">#REF!</definedName>
    <definedName name="GGDirecto" localSheetId="11">#REF!</definedName>
    <definedName name="GGDirecto">#REF!</definedName>
    <definedName name="GGENERALES" localSheetId="13">#REF!</definedName>
    <definedName name="GGENERALES" localSheetId="17">#REF!</definedName>
    <definedName name="GGENERALES" localSheetId="12">#REF!</definedName>
    <definedName name="GGENERALES" localSheetId="11">#REF!</definedName>
    <definedName name="GGENERALES">#REF!</definedName>
    <definedName name="GGIndirecto" localSheetId="13">#REF!</definedName>
    <definedName name="GGIndirecto" localSheetId="14">#REF!</definedName>
    <definedName name="GGIndirecto" localSheetId="17">#REF!</definedName>
    <definedName name="GGIndirecto" localSheetId="12">#REF!</definedName>
    <definedName name="GGIndirecto" localSheetId="11">#REF!</definedName>
    <definedName name="GGIndirecto">#REF!</definedName>
    <definedName name="Gh" localSheetId="13">#REF!</definedName>
    <definedName name="Gh" localSheetId="17">#REF!</definedName>
    <definedName name="Gh" localSheetId="12">#REF!</definedName>
    <definedName name="Gh" localSheetId="11">#REF!</definedName>
    <definedName name="Gh">#REF!</definedName>
    <definedName name="GImpositivos" localSheetId="13">#REF!</definedName>
    <definedName name="GImpositivos" localSheetId="14">#REF!</definedName>
    <definedName name="GImpositivos" localSheetId="17">#REF!</definedName>
    <definedName name="GImpositivos" localSheetId="12">#REF!</definedName>
    <definedName name="GImpositivos" localSheetId="11">#REF!</definedName>
    <definedName name="GImpositivos">#REF!</definedName>
    <definedName name="GLDP" localSheetId="13">#REF!</definedName>
    <definedName name="GLDP" localSheetId="4">#REF!</definedName>
    <definedName name="GLDP" localSheetId="14">#REF!</definedName>
    <definedName name="GLDP" localSheetId="0">#REF!</definedName>
    <definedName name="GLDP" localSheetId="17">#REF!</definedName>
    <definedName name="GLDP" localSheetId="12">#REF!</definedName>
    <definedName name="GLDP" localSheetId="11">#REF!</definedName>
    <definedName name="GLDP">#REF!</definedName>
    <definedName name="go" localSheetId="13">#REF!</definedName>
    <definedName name="go" localSheetId="14">#REF!</definedName>
    <definedName name="go" localSheetId="17">#REF!</definedName>
    <definedName name="go" localSheetId="12">#REF!</definedName>
    <definedName name="go" localSheetId="11">#REF!</definedName>
    <definedName name="go">#REF!</definedName>
    <definedName name="Gradiente_En__Canales" localSheetId="13">#REF!</definedName>
    <definedName name="Gradiente_En__Canales" localSheetId="17">#REF!</definedName>
    <definedName name="Gradiente_En__Canales" localSheetId="12">#REF!</definedName>
    <definedName name="Gradiente_En__Canales" localSheetId="11">#REF!</definedName>
    <definedName name="Gradiente_En__Canales">#REF!</definedName>
    <definedName name="Gradiente_En__Canales_Circulares_a_Sección_Llena" localSheetId="17">#REF!</definedName>
    <definedName name="Gradiente_En__Canales_Circulares_a_Sección_Llena">#REF!</definedName>
    <definedName name="Gradiente_En__Orificio_de_Fondo" localSheetId="17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localSheetId="13" hidden="1">{#N/A,#N/A,TRUE,"Cert.Global";#N/A,#N/A,TRUE,"Cert. M&amp;C";#N/A,#N/A,TRUE,"Cert. Engineering";#N/A,#N/A,TRUE,"Cert. Procurement ";#N/A,#N/A,TRUE,"Cert. Constr. Manag."}</definedName>
    <definedName name="graf" localSheetId="21" hidden="1">{#N/A,#N/A,TRUE,"Cert.Global";#N/A,#N/A,TRUE,"Cert. M&amp;C";#N/A,#N/A,TRUE,"Cert. Engineering";#N/A,#N/A,TRUE,"Cert. Procurement ";#N/A,#N/A,TRUE,"Cert. Constr. Manag."}</definedName>
    <definedName name="graf" localSheetId="22" hidden="1">{#N/A,#N/A,TRUE,"Cert.Global";#N/A,#N/A,TRUE,"Cert. M&amp;C";#N/A,#N/A,TRUE,"Cert. Engineering";#N/A,#N/A,TRUE,"Cert. Procurement ";#N/A,#N/A,TRUE,"Cert. Constr. Manag."}</definedName>
    <definedName name="graf" localSheetId="14" hidden="1">{#N/A,#N/A,TRUE,"Cert.Global";#N/A,#N/A,TRUE,"Cert. M&amp;C";#N/A,#N/A,TRUE,"Cert. Engineering";#N/A,#N/A,TRUE,"Cert. Procurement ";#N/A,#N/A,TRUE,"Cert. Constr. Manag."}</definedName>
    <definedName name="graf" localSheetId="17" hidden="1">{#N/A,#N/A,TRUE,"Cert.Global";#N/A,#N/A,TRUE,"Cert. M&amp;C";#N/A,#N/A,TRUE,"Cert. Engineering";#N/A,#N/A,TRUE,"Cert. Procurement ";#N/A,#N/A,TRUE,"Cert. Constr. Manag."}</definedName>
    <definedName name="graf" localSheetId="19" hidden="1">{#N/A,#N/A,TRUE,"Cert.Global";#N/A,#N/A,TRUE,"Cert. M&amp;C";#N/A,#N/A,TRUE,"Cert. Engineering";#N/A,#N/A,TRUE,"Cert. Procurement ";#N/A,#N/A,TRUE,"Cert. Constr. Manag."}</definedName>
    <definedName name="graf" localSheetId="20" hidden="1">{#N/A,#N/A,TRUE,"Cert.Global";#N/A,#N/A,TRUE,"Cert. M&amp;C";#N/A,#N/A,TRUE,"Cert. Engineering";#N/A,#N/A,TRUE,"Cert. Procurement ";#N/A,#N/A,TRUE,"Cert. Constr. Manag."}</definedName>
    <definedName name="graf" localSheetId="12" hidden="1">{#N/A,#N/A,TRUE,"Cert.Global";#N/A,#N/A,TRUE,"Cert. M&amp;C";#N/A,#N/A,TRUE,"Cert. Engineering";#N/A,#N/A,TRUE,"Cert. Procurement ";#N/A,#N/A,TRUE,"Cert. Constr. Manag."}</definedName>
    <definedName name="graf" localSheetId="11" hidden="1">{#N/A,#N/A,TRUE,"Cert.Global";#N/A,#N/A,TRUE,"Cert. M&amp;C";#N/A,#N/A,TRUE,"Cert. Engineering";#N/A,#N/A,TRUE,"Cert. Procurement ";#N/A,#N/A,TRUE,"Cert. Constr. Manag."}</definedName>
    <definedName name="graf" localSheetId="23" hidden="1">{#N/A,#N/A,TRUE,"Cert.Global";#N/A,#N/A,TRUE,"Cert. M&amp;C";#N/A,#N/A,TRUE,"Cert. Engineering";#N/A,#N/A,TRUE,"Cert. Procurement ";#N/A,#N/A,TRUE,"Cert. Constr. Manag."}</definedName>
    <definedName name="graf" hidden="1">{#N/A,#N/A,TRUE,"Cert.Global";#N/A,#N/A,TRUE,"Cert. M&amp;C";#N/A,#N/A,TRUE,"Cert. Engineering";#N/A,#N/A,TRUE,"Cert. Procurement ";#N/A,#N/A,TRUE,"Cert. Constr. Manag."}</definedName>
    <definedName name="grr" localSheetId="13">#REF!</definedName>
    <definedName name="grr" localSheetId="14">#REF!</definedName>
    <definedName name="grr" localSheetId="17">#REF!</definedName>
    <definedName name="grr" localSheetId="12">#REF!</definedName>
    <definedName name="grr" localSheetId="11">#REF!</definedName>
    <definedName name="grr">#REF!</definedName>
    <definedName name="GRUPOS" localSheetId="13">#REF!</definedName>
    <definedName name="GRUPOS" localSheetId="14">#REF!</definedName>
    <definedName name="GRUPOS" localSheetId="17">#REF!</definedName>
    <definedName name="GRUPOS" localSheetId="12">#REF!</definedName>
    <definedName name="GRUPOS" localSheetId="11">#REF!</definedName>
    <definedName name="GRUPOS">#REF!</definedName>
    <definedName name="guarderia" localSheetId="13">#REF!</definedName>
    <definedName name="guarderia" localSheetId="21">#REF!</definedName>
    <definedName name="guarderia" localSheetId="22">#REF!</definedName>
    <definedName name="guarderia" localSheetId="5">#REF!</definedName>
    <definedName name="guarderia" localSheetId="10">#REF!</definedName>
    <definedName name="guarderia" localSheetId="4">#REF!</definedName>
    <definedName name="guarderia" localSheetId="0">#REF!</definedName>
    <definedName name="guarderia" localSheetId="17">#REF!</definedName>
    <definedName name="guarderia" localSheetId="7">#REF!</definedName>
    <definedName name="guarderia" localSheetId="8">#REF!</definedName>
    <definedName name="guarderia" localSheetId="6">#REF!</definedName>
    <definedName name="guarderia" localSheetId="9">#REF!</definedName>
    <definedName name="guarderia" localSheetId="19">#REF!</definedName>
    <definedName name="guarderia" localSheetId="20">#REF!</definedName>
    <definedName name="guarderia" localSheetId="12">#REF!</definedName>
    <definedName name="guarderia" localSheetId="11">#REF!</definedName>
    <definedName name="guarderia" localSheetId="1">#REF!</definedName>
    <definedName name="guarderia" localSheetId="2">#REF!</definedName>
    <definedName name="guarderia" localSheetId="3">#REF!</definedName>
    <definedName name="guarderia">#REF!</definedName>
    <definedName name="H" localSheetId="17">INDEX(#REF!,MATCH("*[H]*",#REF!,0))</definedName>
    <definedName name="H">#REF!</definedName>
    <definedName name="H.Cuad." localSheetId="17">#REF!</definedName>
    <definedName name="H.Cuad.">#REF!</definedName>
    <definedName name="H.Red.">#REF!</definedName>
    <definedName name="Ha">#REF!</definedName>
    <definedName name="HAADB" localSheetId="13">#REF!</definedName>
    <definedName name="HAADB" localSheetId="4">#REF!</definedName>
    <definedName name="HAADB" localSheetId="14">#REF!</definedName>
    <definedName name="HAADB" localSheetId="0">#REF!</definedName>
    <definedName name="HAADB" localSheetId="17">#REF!</definedName>
    <definedName name="HAADB" localSheetId="12">#REF!</definedName>
    <definedName name="HAADB" localSheetId="11">#REF!</definedName>
    <definedName name="HAADB">#REF!</definedName>
    <definedName name="HAADC" localSheetId="13">#REF!</definedName>
    <definedName name="HAADC" localSheetId="14">#REF!</definedName>
    <definedName name="HAADC" localSheetId="0">#REF!</definedName>
    <definedName name="HAADC" localSheetId="17">#REF!</definedName>
    <definedName name="HAADC" localSheetId="12">#REF!</definedName>
    <definedName name="HAADC" localSheetId="11">#REF!</definedName>
    <definedName name="HAADC">#REF!</definedName>
    <definedName name="HAADE" localSheetId="13">#REF!</definedName>
    <definedName name="HAADE" localSheetId="14">#REF!</definedName>
    <definedName name="HAADE" localSheetId="0">#REF!</definedName>
    <definedName name="HAADE" localSheetId="17">#REF!</definedName>
    <definedName name="HAADE" localSheetId="12">#REF!</definedName>
    <definedName name="HAADE" localSheetId="11">#REF!</definedName>
    <definedName name="HAADE">#REF!</definedName>
    <definedName name="HAADL" localSheetId="13">#REF!</definedName>
    <definedName name="HAADL" localSheetId="14">#REF!</definedName>
    <definedName name="HAADL" localSheetId="0">#REF!</definedName>
    <definedName name="HAADL" localSheetId="17">#REF!</definedName>
    <definedName name="HAADL" localSheetId="12">#REF!</definedName>
    <definedName name="HAADL" localSheetId="11">#REF!</definedName>
    <definedName name="HAADL">#REF!</definedName>
    <definedName name="HAADT" localSheetId="13">#REF!</definedName>
    <definedName name="HAADT" localSheetId="14">#REF!</definedName>
    <definedName name="HAADT" localSheetId="0">#REF!</definedName>
    <definedName name="HAADT" localSheetId="17">#REF!</definedName>
    <definedName name="HAADT" localSheetId="12">#REF!</definedName>
    <definedName name="HAADT" localSheetId="11">#REF!</definedName>
    <definedName name="HAADT">#REF!</definedName>
    <definedName name="HAADV" localSheetId="13">#REF!</definedName>
    <definedName name="HAADV" localSheetId="14">#REF!</definedName>
    <definedName name="HAADV" localSheetId="0">#REF!</definedName>
    <definedName name="HAADV" localSheetId="17">#REF!</definedName>
    <definedName name="HAADV" localSheetId="12">#REF!</definedName>
    <definedName name="HAADV" localSheetId="11">#REF!</definedName>
    <definedName name="HAADV">#REF!</definedName>
    <definedName name="HAAP" localSheetId="13">#REF!</definedName>
    <definedName name="HAAP" localSheetId="14">#REF!</definedName>
    <definedName name="HAAP" localSheetId="0">#REF!</definedName>
    <definedName name="HAAP" localSheetId="17">#REF!</definedName>
    <definedName name="HAAP" localSheetId="12">#REF!</definedName>
    <definedName name="HAAP" localSheetId="11">#REF!</definedName>
    <definedName name="HAAP">#REF!</definedName>
    <definedName name="HAAT" localSheetId="13">#REF!</definedName>
    <definedName name="HAAT" localSheetId="14">#REF!</definedName>
    <definedName name="HAAT" localSheetId="0">#REF!</definedName>
    <definedName name="HAAT" localSheetId="17">#REF!</definedName>
    <definedName name="HAAT" localSheetId="12">#REF!</definedName>
    <definedName name="HAAT" localSheetId="11">#REF!</definedName>
    <definedName name="HAAT">#REF!</definedName>
    <definedName name="HAAV" localSheetId="13">#REF!</definedName>
    <definedName name="HAAV" localSheetId="14">#REF!</definedName>
    <definedName name="HAAV" localSheetId="0">#REF!</definedName>
    <definedName name="HAAV" localSheetId="17">#REF!</definedName>
    <definedName name="HAAV" localSheetId="12">#REF!</definedName>
    <definedName name="HAAV" localSheetId="11">#REF!</definedName>
    <definedName name="HAAV">#REF!</definedName>
    <definedName name="HACAB" localSheetId="13">#REF!</definedName>
    <definedName name="HACAB" localSheetId="14">#REF!</definedName>
    <definedName name="HACAB" localSheetId="0">#REF!</definedName>
    <definedName name="HACAB" localSheetId="17">#REF!</definedName>
    <definedName name="HACAB" localSheetId="12">#REF!</definedName>
    <definedName name="HACAB" localSheetId="11">#REF!</definedName>
    <definedName name="HACAB">#REF!</definedName>
    <definedName name="HACABCP" localSheetId="13">#REF!</definedName>
    <definedName name="HACABCP" localSheetId="14">#REF!</definedName>
    <definedName name="HACABCP" localSheetId="0">#REF!</definedName>
    <definedName name="HACABCP" localSheetId="17">#REF!</definedName>
    <definedName name="HACABCP" localSheetId="12">#REF!</definedName>
    <definedName name="HACABCP" localSheetId="11">#REF!</definedName>
    <definedName name="HACABCP">#REF!</definedName>
    <definedName name="HACABE" localSheetId="13">#REF!</definedName>
    <definedName name="HACABE" localSheetId="14">#REF!</definedName>
    <definedName name="HACABE" localSheetId="0">#REF!</definedName>
    <definedName name="HACABE" localSheetId="17">#REF!</definedName>
    <definedName name="HACABE" localSheetId="12">#REF!</definedName>
    <definedName name="HACABE" localSheetId="11">#REF!</definedName>
    <definedName name="HACABE">#REF!</definedName>
    <definedName name="HACABEE" localSheetId="13">#REF!</definedName>
    <definedName name="HACABEE" localSheetId="14">#REF!</definedName>
    <definedName name="HACABEE" localSheetId="0">#REF!</definedName>
    <definedName name="HACABEE" localSheetId="17">#REF!</definedName>
    <definedName name="HACABEE" localSheetId="12">#REF!</definedName>
    <definedName name="HACABEE" localSheetId="11">#REF!</definedName>
    <definedName name="HACABEE">#REF!</definedName>
    <definedName name="HACABLA" localSheetId="13">#REF!</definedName>
    <definedName name="HACABLA" localSheetId="14">#REF!</definedName>
    <definedName name="HACABLA" localSheetId="0">#REF!</definedName>
    <definedName name="HACABLA" localSheetId="17">#REF!</definedName>
    <definedName name="HACABLA" localSheetId="12">#REF!</definedName>
    <definedName name="HACABLA" localSheetId="11">#REF!</definedName>
    <definedName name="HACABLA">#REF!</definedName>
    <definedName name="HACABLB" localSheetId="13">#REF!</definedName>
    <definedName name="HACABLB" localSheetId="14">#REF!</definedName>
    <definedName name="HACABLB" localSheetId="0">#REF!</definedName>
    <definedName name="HACABLB" localSheetId="17">#REF!</definedName>
    <definedName name="HACABLB" localSheetId="12">#REF!</definedName>
    <definedName name="HACABLB" localSheetId="11">#REF!</definedName>
    <definedName name="HACABLB">#REF!</definedName>
    <definedName name="HACAC" localSheetId="13">#REF!</definedName>
    <definedName name="HACAC" localSheetId="14">#REF!</definedName>
    <definedName name="HACAC" localSheetId="0">#REF!</definedName>
    <definedName name="HACAC" localSheetId="17">#REF!</definedName>
    <definedName name="HACAC" localSheetId="12">#REF!</definedName>
    <definedName name="HACAC" localSheetId="11">#REF!</definedName>
    <definedName name="HACAC">#REF!</definedName>
    <definedName name="HACACT" localSheetId="13">#REF!</definedName>
    <definedName name="HACACT" localSheetId="14">#REF!</definedName>
    <definedName name="HACACT" localSheetId="0">#REF!</definedName>
    <definedName name="HACACT" localSheetId="17">#REF!</definedName>
    <definedName name="HACACT" localSheetId="12">#REF!</definedName>
    <definedName name="HACACT" localSheetId="11">#REF!</definedName>
    <definedName name="HACACT">#REF!</definedName>
    <definedName name="HACAE" localSheetId="13">#REF!</definedName>
    <definedName name="HACAE" localSheetId="14">#REF!</definedName>
    <definedName name="HACAE" localSheetId="0">#REF!</definedName>
    <definedName name="HACAE" localSheetId="17">#REF!</definedName>
    <definedName name="HACAE" localSheetId="12">#REF!</definedName>
    <definedName name="HACAE" localSheetId="11">#REF!</definedName>
    <definedName name="HACAE">#REF!</definedName>
    <definedName name="HACAL" localSheetId="13">#REF!</definedName>
    <definedName name="HACAL" localSheetId="14">#REF!</definedName>
    <definedName name="HACAL" localSheetId="0">#REF!</definedName>
    <definedName name="HACAL" localSheetId="17">#REF!</definedName>
    <definedName name="HACAL" localSheetId="12">#REF!</definedName>
    <definedName name="HACAL" localSheetId="11">#REF!</definedName>
    <definedName name="HACAL">#REF!</definedName>
    <definedName name="HACALF" localSheetId="13">#REF!</definedName>
    <definedName name="HACALF" localSheetId="14">#REF!</definedName>
    <definedName name="HACALF" localSheetId="0">#REF!</definedName>
    <definedName name="HACALF" localSheetId="17">#REF!</definedName>
    <definedName name="HACALF" localSheetId="12">#REF!</definedName>
    <definedName name="HACALF" localSheetId="11">#REF!</definedName>
    <definedName name="HACALF">#REF!</definedName>
    <definedName name="HACAP" localSheetId="13">#REF!</definedName>
    <definedName name="HACAP" localSheetId="14">#REF!</definedName>
    <definedName name="HACAP" localSheetId="0">#REF!</definedName>
    <definedName name="HACAP" localSheetId="17">#REF!</definedName>
    <definedName name="HACAP" localSheetId="12">#REF!</definedName>
    <definedName name="HACAP" localSheetId="11">#REF!</definedName>
    <definedName name="HACAP">#REF!</definedName>
    <definedName name="HACAT" localSheetId="13">#REF!</definedName>
    <definedName name="HACAT" localSheetId="14">#REF!</definedName>
    <definedName name="HACAT" localSheetId="0">#REF!</definedName>
    <definedName name="HACAT" localSheetId="17">#REF!</definedName>
    <definedName name="HACAT" localSheetId="12">#REF!</definedName>
    <definedName name="HACAT" localSheetId="11">#REF!</definedName>
    <definedName name="HACAT">#REF!</definedName>
    <definedName name="HACATS" localSheetId="13">#REF!</definedName>
    <definedName name="HACATS" localSheetId="14">#REF!</definedName>
    <definedName name="HACATS" localSheetId="0">#REF!</definedName>
    <definedName name="HACATS" localSheetId="17">#REF!</definedName>
    <definedName name="HACATS" localSheetId="12">#REF!</definedName>
    <definedName name="HACATS" localSheetId="11">#REF!</definedName>
    <definedName name="HACATS">#REF!</definedName>
    <definedName name="HACAV" localSheetId="13">#REF!</definedName>
    <definedName name="HACAV" localSheetId="14">#REF!</definedName>
    <definedName name="HACAV" localSheetId="0">#REF!</definedName>
    <definedName name="HACAV" localSheetId="17">#REF!</definedName>
    <definedName name="HACAV" localSheetId="12">#REF!</definedName>
    <definedName name="HACAV" localSheetId="11">#REF!</definedName>
    <definedName name="HACAV">#REF!</definedName>
    <definedName name="HACAVF" localSheetId="13">#REF!</definedName>
    <definedName name="HACAVF" localSheetId="14">#REF!</definedName>
    <definedName name="HACAVF" localSheetId="0">#REF!</definedName>
    <definedName name="HACAVF" localSheetId="17">#REF!</definedName>
    <definedName name="HACAVF" localSheetId="12">#REF!</definedName>
    <definedName name="HACAVF" localSheetId="11">#REF!</definedName>
    <definedName name="HACAVF">#REF!</definedName>
    <definedName name="HACHE">#N/A</definedName>
    <definedName name="HACLB" localSheetId="13">#REF!</definedName>
    <definedName name="HACLB" localSheetId="14">#REF!</definedName>
    <definedName name="HACLB" localSheetId="0">#REF!</definedName>
    <definedName name="HACLB" localSheetId="17">#REF!</definedName>
    <definedName name="HACLB" localSheetId="12">#REF!</definedName>
    <definedName name="HACLB" localSheetId="11">#REF!</definedName>
    <definedName name="HACLB">#REF!</definedName>
    <definedName name="HACLD" localSheetId="13">#REF!</definedName>
    <definedName name="HACLD" localSheetId="14">#REF!</definedName>
    <definedName name="HACLD" localSheetId="0">#REF!</definedName>
    <definedName name="HACLD" localSheetId="17">#REF!</definedName>
    <definedName name="HACLD" localSheetId="12">#REF!</definedName>
    <definedName name="HACLD" localSheetId="11">#REF!</definedName>
    <definedName name="HACLD">#REF!</definedName>
    <definedName name="HACTLB" localSheetId="13">#REF!</definedName>
    <definedName name="HACTLB" localSheetId="14">#REF!</definedName>
    <definedName name="HACTLB" localSheetId="0">#REF!</definedName>
    <definedName name="HACTLB" localSheetId="17">#REF!</definedName>
    <definedName name="HACTLB" localSheetId="12">#REF!</definedName>
    <definedName name="HACTLB" localSheetId="11">#REF!</definedName>
    <definedName name="HACTLB">#REF!</definedName>
    <definedName name="HACTLD" localSheetId="13">#REF!</definedName>
    <definedName name="HACTLD" localSheetId="14">#REF!</definedName>
    <definedName name="HACTLD" localSheetId="0">#REF!</definedName>
    <definedName name="HACTLD" localSheetId="17">#REF!</definedName>
    <definedName name="HACTLD" localSheetId="12">#REF!</definedName>
    <definedName name="HACTLD" localSheetId="11">#REF!</definedName>
    <definedName name="HACTLD">#REF!</definedName>
    <definedName name="HAEL" localSheetId="13">#REF!</definedName>
    <definedName name="HAEL" localSheetId="14">#REF!</definedName>
    <definedName name="HAEL" localSheetId="0">#REF!</definedName>
    <definedName name="HAEL" localSheetId="17">#REF!</definedName>
    <definedName name="HAEL" localSheetId="12">#REF!</definedName>
    <definedName name="HAEL" localSheetId="11">#REF!</definedName>
    <definedName name="HAEL">#REF!</definedName>
    <definedName name="HAEMPSA" localSheetId="13">#REF!</definedName>
    <definedName name="HAEMPSA" localSheetId="14">#REF!</definedName>
    <definedName name="HAEMPSA" localSheetId="0">#REF!</definedName>
    <definedName name="HAEMPSA" localSheetId="17">#REF!</definedName>
    <definedName name="HAEMPSA" localSheetId="12">#REF!</definedName>
    <definedName name="HAEMPSA" localSheetId="11">#REF!</definedName>
    <definedName name="HAEMPSA">#REF!</definedName>
    <definedName name="HAEMZA" localSheetId="13">#REF!</definedName>
    <definedName name="HAEMZA" localSheetId="14">#REF!</definedName>
    <definedName name="HAEMZA" localSheetId="0">#REF!</definedName>
    <definedName name="HAEMZA" localSheetId="17">#REF!</definedName>
    <definedName name="HAEMZA" localSheetId="12">#REF!</definedName>
    <definedName name="HAEMZA" localSheetId="11">#REF!</definedName>
    <definedName name="HAEMZA">#REF!</definedName>
    <definedName name="HAET" localSheetId="13">#REF!</definedName>
    <definedName name="HAET" localSheetId="14">#REF!</definedName>
    <definedName name="HAET" localSheetId="0">#REF!</definedName>
    <definedName name="HAET" localSheetId="17">#REF!</definedName>
    <definedName name="HAET" localSheetId="12">#REF!</definedName>
    <definedName name="HAET" localSheetId="11">#REF!</definedName>
    <definedName name="HAET">#REF!</definedName>
    <definedName name="HAETBCP" localSheetId="13">#REF!</definedName>
    <definedName name="HAETBCP" localSheetId="14">#REF!</definedName>
    <definedName name="HAETBCP" localSheetId="0">#REF!</definedName>
    <definedName name="HAETBCP" localSheetId="17">#REF!</definedName>
    <definedName name="HAETBCP" localSheetId="12">#REF!</definedName>
    <definedName name="HAETBCP" localSheetId="11">#REF!</definedName>
    <definedName name="HAETBCP">#REF!</definedName>
    <definedName name="HAETS" localSheetId="13">#REF!</definedName>
    <definedName name="HAETS" localSheetId="14">#REF!</definedName>
    <definedName name="HAETS" localSheetId="0">#REF!</definedName>
    <definedName name="HAETS" localSheetId="17">#REF!</definedName>
    <definedName name="HAETS" localSheetId="12">#REF!</definedName>
    <definedName name="HAETS" localSheetId="11">#REF!</definedName>
    <definedName name="HAETS">#REF!</definedName>
    <definedName name="HAEV" localSheetId="13">#REF!</definedName>
    <definedName name="HAEV" localSheetId="14">#REF!</definedName>
    <definedName name="HAEV" localSheetId="0">#REF!</definedName>
    <definedName name="HAEV" localSheetId="17">#REF!</definedName>
    <definedName name="HAEV" localSheetId="12">#REF!</definedName>
    <definedName name="HAEV" localSheetId="11">#REF!</definedName>
    <definedName name="HAEV">#REF!</definedName>
    <definedName name="HAMH" localSheetId="13">#REF!</definedName>
    <definedName name="HAMH" localSheetId="14">#REF!</definedName>
    <definedName name="HAMH" localSheetId="0">#REF!</definedName>
    <definedName name="HAMH" localSheetId="17">#REF!</definedName>
    <definedName name="HAMH" localSheetId="12">#REF!</definedName>
    <definedName name="HAMH" localSheetId="11">#REF!</definedName>
    <definedName name="HAMH">#REF!</definedName>
    <definedName name="HAPC" localSheetId="13">#REF!</definedName>
    <definedName name="HAPC" localSheetId="14">#REF!</definedName>
    <definedName name="HAPC" localSheetId="0">#REF!</definedName>
    <definedName name="HAPC" localSheetId="17">#REF!</definedName>
    <definedName name="HAPC" localSheetId="12">#REF!</definedName>
    <definedName name="HAPC" localSheetId="11">#REF!</definedName>
    <definedName name="HAPC">#REF!</definedName>
    <definedName name="HAPL" localSheetId="13">#REF!</definedName>
    <definedName name="HAPL" localSheetId="14">#REF!</definedName>
    <definedName name="HAPL" localSheetId="0">#REF!</definedName>
    <definedName name="HAPL" localSheetId="17">#REF!</definedName>
    <definedName name="HAPL" localSheetId="12">#REF!</definedName>
    <definedName name="HAPL" localSheetId="11">#REF!</definedName>
    <definedName name="HAPL">#REF!</definedName>
    <definedName name="HAPV" localSheetId="13">#REF!</definedName>
    <definedName name="HAPV" localSheetId="14">#REF!</definedName>
    <definedName name="HAPV" localSheetId="0">#REF!</definedName>
    <definedName name="HAPV" localSheetId="17">#REF!</definedName>
    <definedName name="HAPV" localSheetId="12">#REF!</definedName>
    <definedName name="HAPV" localSheetId="11">#REF!</definedName>
    <definedName name="HAPV">#REF!</definedName>
    <definedName name="HAREM" localSheetId="13">#REF!</definedName>
    <definedName name="HAREM" localSheetId="14">#REF!</definedName>
    <definedName name="HAREM" localSheetId="0">#REF!</definedName>
    <definedName name="HAREM" localSheetId="17">#REF!</definedName>
    <definedName name="HAREM" localSheetId="12">#REF!</definedName>
    <definedName name="HAREM" localSheetId="11">#REF!</definedName>
    <definedName name="HAREM">#REF!</definedName>
    <definedName name="HARHE" localSheetId="13">#REF!</definedName>
    <definedName name="HARHE" localSheetId="14">#REF!</definedName>
    <definedName name="HARHE" localSheetId="0">#REF!</definedName>
    <definedName name="HARHE" localSheetId="17">#REF!</definedName>
    <definedName name="HARHE" localSheetId="12">#REF!</definedName>
    <definedName name="HARHE" localSheetId="11">#REF!</definedName>
    <definedName name="HARHE">#REF!</definedName>
    <definedName name="HATF" localSheetId="13">#REF!</definedName>
    <definedName name="HATF" localSheetId="14">#REF!</definedName>
    <definedName name="HATF" localSheetId="0">#REF!</definedName>
    <definedName name="HATF" localSheetId="17">#REF!</definedName>
    <definedName name="HATF" localSheetId="12">#REF!</definedName>
    <definedName name="HATF" localSheetId="11">#REF!</definedName>
    <definedName name="HATF">#REF!</definedName>
    <definedName name="HAVE" localSheetId="13">#REF!</definedName>
    <definedName name="HAVE" localSheetId="14">#REF!</definedName>
    <definedName name="HAVE" localSheetId="0">#REF!</definedName>
    <definedName name="HAVE" localSheetId="17">#REF!</definedName>
    <definedName name="HAVE" localSheetId="12">#REF!</definedName>
    <definedName name="HAVE" localSheetId="11">#REF!</definedName>
    <definedName name="HAVE">#REF!</definedName>
    <definedName name="HEA" localSheetId="13">#REF!</definedName>
    <definedName name="HEA" localSheetId="17">#REF!</definedName>
    <definedName name="HEA" localSheetId="12">#REF!</definedName>
    <definedName name="HEA" localSheetId="11">#REF!</definedName>
    <definedName name="HEA">#REF!</definedName>
    <definedName name="HEAA" localSheetId="17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 localSheetId="13">#REF!</definedName>
    <definedName name="HOCI" localSheetId="4">#REF!</definedName>
    <definedName name="HOCI" localSheetId="14">#REF!</definedName>
    <definedName name="HOCI" localSheetId="0">#REF!</definedName>
    <definedName name="HOCI" localSheetId="17">#REF!</definedName>
    <definedName name="HOCI" localSheetId="12">#REF!</definedName>
    <definedName name="HOCI" localSheetId="11">#REF!</definedName>
    <definedName name="HOCI">#REF!</definedName>
    <definedName name="HOCP" localSheetId="13">#REF!</definedName>
    <definedName name="HOCP" localSheetId="4">#REF!</definedName>
    <definedName name="HOCP" localSheetId="14">#REF!</definedName>
    <definedName name="HOCP" localSheetId="0">#REF!</definedName>
    <definedName name="HOCP" localSheetId="17">#REF!</definedName>
    <definedName name="HOCP" localSheetId="12">#REF!</definedName>
    <definedName name="HOCP" localSheetId="11">#REF!</definedName>
    <definedName name="HOCP">#REF!</definedName>
    <definedName name="HOJA1" localSheetId="13">#REF!</definedName>
    <definedName name="HOJA1" localSheetId="17">#REF!</definedName>
    <definedName name="HOJA1" localSheetId="12">#REF!</definedName>
    <definedName name="HOJA1" localSheetId="11">#REF!</definedName>
    <definedName name="HOJA1">#REF!</definedName>
    <definedName name="HOJA2" localSheetId="17">#REF!</definedName>
    <definedName name="HOJA2">#REF!</definedName>
    <definedName name="HOJA3" localSheetId="17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 localSheetId="13">#REF!</definedName>
    <definedName name="Horas_Trabajadas_x_mes" localSheetId="14">#REF!</definedName>
    <definedName name="Horas_Trabajadas_x_mes" localSheetId="17">#REF!</definedName>
    <definedName name="Horas_Trabajadas_x_mes" localSheetId="12">#REF!</definedName>
    <definedName name="Horas_Trabajadas_x_mes" localSheetId="11">#REF!</definedName>
    <definedName name="Horas_Trabajadas_x_mes">#REF!</definedName>
    <definedName name="HORM" localSheetId="17">#REF!</definedName>
    <definedName name="HORM" localSheetId="12">#REF!</definedName>
    <definedName name="HORM" localSheetId="11">#REF!</definedName>
    <definedName name="HORM">#REF!</definedName>
    <definedName name="HORMA" localSheetId="17">#REF!</definedName>
    <definedName name="HORMA" localSheetId="12">#REF!</definedName>
    <definedName name="HORMA" localSheetId="11">#REF!</definedName>
    <definedName name="HORMA">#REF!</definedName>
    <definedName name="HOY" localSheetId="17">#REF!</definedName>
    <definedName name="HOY">#REF!</definedName>
    <definedName name="HP" localSheetId="13">#REF!</definedName>
    <definedName name="HP" localSheetId="17">#REF!</definedName>
    <definedName name="HP" localSheetId="12">#REF!</definedName>
    <definedName name="HP" localSheetId="11">#REF!</definedName>
    <definedName name="HP">#REF!</definedName>
    <definedName name="HR" localSheetId="17">#REF!</definedName>
    <definedName name="HR">#REF!</definedName>
    <definedName name="Hs" localSheetId="17">#REF!</definedName>
    <definedName name="Hs">#REF!</definedName>
    <definedName name="HTR" localSheetId="13">#REF!</definedName>
    <definedName name="HTR" localSheetId="10">#REF!</definedName>
    <definedName name="HTR" localSheetId="4">#REF!</definedName>
    <definedName name="HTR" localSheetId="14">#REF!</definedName>
    <definedName name="HTR" localSheetId="0">#REF!</definedName>
    <definedName name="HTR" localSheetId="17">#REF!</definedName>
    <definedName name="HTR" localSheetId="12">#REF!</definedName>
    <definedName name="HTR" localSheetId="11">#REF!</definedName>
    <definedName name="HTR">#REF!</definedName>
    <definedName name="Huno" localSheetId="13">#REF!</definedName>
    <definedName name="Huno" localSheetId="17">#REF!</definedName>
    <definedName name="Huno" localSheetId="12">#REF!</definedName>
    <definedName name="Huno" localSheetId="11">#REF!</definedName>
    <definedName name="Huno">#REF!</definedName>
    <definedName name="I.E.R.I.C." localSheetId="13">#REF!</definedName>
    <definedName name="I.E.R.I.C." localSheetId="14">#REF!</definedName>
    <definedName name="I.E.R.I.C." localSheetId="17">#REF!</definedName>
    <definedName name="I.E.R.I.C." localSheetId="12">#REF!</definedName>
    <definedName name="I.E.R.I.C." localSheetId="11">#REF!</definedName>
    <definedName name="I.E.R.I.C.">#REF!</definedName>
    <definedName name="ifnc" localSheetId="13">#REF!</definedName>
    <definedName name="ifnc" localSheetId="17">#REF!</definedName>
    <definedName name="ifnc" localSheetId="12">#REF!</definedName>
    <definedName name="ifnc" localSheetId="11">#REF!</definedName>
    <definedName name="ifnc">#REF!</definedName>
    <definedName name="iiiiluminacion" localSheetId="17">#REF!</definedName>
    <definedName name="iiiiluminacion">#REF!</definedName>
    <definedName name="iipuentes" localSheetId="17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 localSheetId="13">#REF!</definedName>
    <definedName name="Incap" localSheetId="14">#REF!</definedName>
    <definedName name="Incap" localSheetId="17">#REF!</definedName>
    <definedName name="Incap" localSheetId="12">#REF!</definedName>
    <definedName name="Incap" localSheetId="11">#REF!</definedName>
    <definedName name="Incap">#REF!</definedName>
    <definedName name="Inenc" localSheetId="13">#REF!</definedName>
    <definedName name="Inenc" localSheetId="14">#REF!</definedName>
    <definedName name="Inenc" localSheetId="17">#REF!</definedName>
    <definedName name="Inenc" localSheetId="12">#REF!</definedName>
    <definedName name="Inenc" localSheetId="11">#REF!</definedName>
    <definedName name="Inenc">#REF!</definedName>
    <definedName name="inicia" localSheetId="13">#REF!</definedName>
    <definedName name="inicia" localSheetId="17">#REF!</definedName>
    <definedName name="inicia" localSheetId="12">#REF!</definedName>
    <definedName name="inicia" localSheetId="11">#REF!</definedName>
    <definedName name="inicia">#REF!</definedName>
    <definedName name="INSSJP" localSheetId="17">#REF!</definedName>
    <definedName name="INSSJP">#REF!</definedName>
    <definedName name="Insumos" localSheetId="5">#REF!</definedName>
    <definedName name="Insumos" localSheetId="10">#REF!</definedName>
    <definedName name="Insumos" localSheetId="4">#REF!</definedName>
    <definedName name="Insumos" localSheetId="14">#REF!</definedName>
    <definedName name="Insumos" localSheetId="0">#REF!</definedName>
    <definedName name="Insumos" localSheetId="17">#REF!</definedName>
    <definedName name="Insumos" localSheetId="7">#REF!</definedName>
    <definedName name="Insumos" localSheetId="8">#REF!</definedName>
    <definedName name="Insumos" localSheetId="6">#REF!</definedName>
    <definedName name="Insumos" localSheetId="9">#REF!</definedName>
    <definedName name="Insumos" localSheetId="1">#REF!</definedName>
    <definedName name="Insumos" localSheetId="2">#REF!</definedName>
    <definedName name="Insumos" localSheetId="3">#REF!</definedName>
    <definedName name="Insumos">#REF!</definedName>
    <definedName name="Insup" localSheetId="13">#REF!</definedName>
    <definedName name="Insup" localSheetId="14">#REF!</definedName>
    <definedName name="Insup" localSheetId="17">#REF!</definedName>
    <definedName name="Insup" localSheetId="12">#REF!</definedName>
    <definedName name="Insup" localSheetId="11">#REF!</definedName>
    <definedName name="Insup">#REF!</definedName>
    <definedName name="Int" localSheetId="13">#REF!</definedName>
    <definedName name="Int" localSheetId="17">#REF!</definedName>
    <definedName name="Int" localSheetId="12">#REF!</definedName>
    <definedName name="Int" localSheetId="11">#REF!</definedName>
    <definedName name="Int">#REF!</definedName>
    <definedName name="INTERESES" localSheetId="17">#REF!</definedName>
    <definedName name="INTERESES">#REF!</definedName>
    <definedName name="Interest_Rate" localSheetId="17">#REF!</definedName>
    <definedName name="Interest_Rate">#REF!</definedName>
    <definedName name="Intop" localSheetId="13">#REF!</definedName>
    <definedName name="Intop" localSheetId="14">#REF!</definedName>
    <definedName name="Intop" localSheetId="17">#REF!</definedName>
    <definedName name="Intop" localSheetId="12">#REF!</definedName>
    <definedName name="Intop" localSheetId="11">#REF!</definedName>
    <definedName name="Intop">#REF!</definedName>
    <definedName name="Ip" localSheetId="13">#REF!</definedName>
    <definedName name="Ip" localSheetId="17">#REF!</definedName>
    <definedName name="Ip" localSheetId="12">#REF!</definedName>
    <definedName name="Ip" localSheetId="11">#REF!</definedName>
    <definedName name="Ip">#REF!</definedName>
    <definedName name="IPE" localSheetId="17">#REF!</definedName>
    <definedName name="IPE">#REF!</definedName>
    <definedName name="IPEA" localSheetId="17">#REF!</definedName>
    <definedName name="IPEA">#REF!</definedName>
    <definedName name="IPEO">#REF!</definedName>
    <definedName name="IPN">#REF!</definedName>
    <definedName name="it25c" localSheetId="13">#REF!</definedName>
    <definedName name="it25c" localSheetId="14">#REF!</definedName>
    <definedName name="it25c" localSheetId="17">#REF!</definedName>
    <definedName name="it25c" localSheetId="12">#REF!</definedName>
    <definedName name="it25c" localSheetId="11">#REF!</definedName>
    <definedName name="it25c">#REF!</definedName>
    <definedName name="it28ac" localSheetId="13">#REF!</definedName>
    <definedName name="it28ac" localSheetId="14">#REF!</definedName>
    <definedName name="it28ac" localSheetId="17">#REF!</definedName>
    <definedName name="it28ac" localSheetId="12">#REF!</definedName>
    <definedName name="it28ac" localSheetId="11">#REF!</definedName>
    <definedName name="it28ac">#REF!</definedName>
    <definedName name="it28bc" localSheetId="13">#REF!</definedName>
    <definedName name="it28bc" localSheetId="14">#REF!</definedName>
    <definedName name="it28bc" localSheetId="17">#REF!</definedName>
    <definedName name="it28bc" localSheetId="12">#REF!</definedName>
    <definedName name="it28bc" localSheetId="11">#REF!</definedName>
    <definedName name="it28bc">#REF!</definedName>
    <definedName name="it29c" localSheetId="13">#REF!</definedName>
    <definedName name="it29c" localSheetId="14">#REF!</definedName>
    <definedName name="it29c" localSheetId="17">#REF!</definedName>
    <definedName name="it29c" localSheetId="12">#REF!</definedName>
    <definedName name="it29c" localSheetId="11">#REF!</definedName>
    <definedName name="it29c">#REF!</definedName>
    <definedName name="it30c" localSheetId="13">#REF!</definedName>
    <definedName name="it30c" localSheetId="14">#REF!</definedName>
    <definedName name="it30c" localSheetId="17">#REF!</definedName>
    <definedName name="it30c" localSheetId="12">#REF!</definedName>
    <definedName name="it30c" localSheetId="11">#REF!</definedName>
    <definedName name="it30c">#REF!</definedName>
    <definedName name="it31c" localSheetId="13">#REF!</definedName>
    <definedName name="it31c" localSheetId="14">#REF!</definedName>
    <definedName name="it31c" localSheetId="17">#REF!</definedName>
    <definedName name="it31c" localSheetId="12">#REF!</definedName>
    <definedName name="it31c" localSheetId="11">#REF!</definedName>
    <definedName name="it31c">#REF!</definedName>
    <definedName name="it32c" localSheetId="13">#REF!</definedName>
    <definedName name="it32c" localSheetId="14">#REF!</definedName>
    <definedName name="it32c" localSheetId="17">#REF!</definedName>
    <definedName name="it32c" localSheetId="12">#REF!</definedName>
    <definedName name="it32c" localSheetId="11">#REF!</definedName>
    <definedName name="it32c">#REF!</definedName>
    <definedName name="it33c" localSheetId="13">#REF!</definedName>
    <definedName name="it33c" localSheetId="14">#REF!</definedName>
    <definedName name="it33c" localSheetId="17">#REF!</definedName>
    <definedName name="it33c" localSheetId="12">#REF!</definedName>
    <definedName name="it33c" localSheetId="11">#REF!</definedName>
    <definedName name="it33c">#REF!</definedName>
    <definedName name="it34c" localSheetId="13">#REF!</definedName>
    <definedName name="it34c" localSheetId="14">#REF!</definedName>
    <definedName name="it34c" localSheetId="17">#REF!</definedName>
    <definedName name="it34c" localSheetId="12">#REF!</definedName>
    <definedName name="it34c" localSheetId="11">#REF!</definedName>
    <definedName name="it34c">#REF!</definedName>
    <definedName name="it35c" localSheetId="13">#REF!</definedName>
    <definedName name="it35c" localSheetId="14">#REF!</definedName>
    <definedName name="it35c" localSheetId="17">#REF!</definedName>
    <definedName name="it35c" localSheetId="12">#REF!</definedName>
    <definedName name="it35c" localSheetId="11">#REF!</definedName>
    <definedName name="it35c">#REF!</definedName>
    <definedName name="it36ac" localSheetId="13">#REF!</definedName>
    <definedName name="it36ac" localSheetId="14">#REF!</definedName>
    <definedName name="it36ac" localSheetId="17">#REF!</definedName>
    <definedName name="it36ac" localSheetId="12">#REF!</definedName>
    <definedName name="it36ac" localSheetId="11">#REF!</definedName>
    <definedName name="it36ac">#REF!</definedName>
    <definedName name="it36bc" localSheetId="13">#REF!</definedName>
    <definedName name="it36bc" localSheetId="14">#REF!</definedName>
    <definedName name="it36bc" localSheetId="17">#REF!</definedName>
    <definedName name="it36bc" localSheetId="12">#REF!</definedName>
    <definedName name="it36bc" localSheetId="11">#REF!</definedName>
    <definedName name="it36bc">#REF!</definedName>
    <definedName name="it37c" localSheetId="13">#REF!</definedName>
    <definedName name="it37c" localSheetId="14">#REF!</definedName>
    <definedName name="it37c" localSheetId="17">#REF!</definedName>
    <definedName name="it37c" localSheetId="12">#REF!</definedName>
    <definedName name="it37c" localSheetId="11">#REF!</definedName>
    <definedName name="it37c">#REF!</definedName>
    <definedName name="it38c" localSheetId="13">#REF!</definedName>
    <definedName name="it38c" localSheetId="14">#REF!</definedName>
    <definedName name="it38c" localSheetId="17">#REF!</definedName>
    <definedName name="it38c" localSheetId="12">#REF!</definedName>
    <definedName name="it38c" localSheetId="11">#REF!</definedName>
    <definedName name="it38c">#REF!</definedName>
    <definedName name="it39c" localSheetId="13">#REF!</definedName>
    <definedName name="it39c" localSheetId="14">#REF!</definedName>
    <definedName name="it39c" localSheetId="17">#REF!</definedName>
    <definedName name="it39c" localSheetId="12">#REF!</definedName>
    <definedName name="it39c" localSheetId="11">#REF!</definedName>
    <definedName name="it39c">#REF!</definedName>
    <definedName name="it3ac" localSheetId="13">#REF!</definedName>
    <definedName name="it3ac" localSheetId="14">#REF!</definedName>
    <definedName name="it3ac" localSheetId="17">#REF!</definedName>
    <definedName name="it3ac" localSheetId="12">#REF!</definedName>
    <definedName name="it3ac" localSheetId="11">#REF!</definedName>
    <definedName name="it3ac">#REF!</definedName>
    <definedName name="it3bc" localSheetId="13">#REF!</definedName>
    <definedName name="it3bc" localSheetId="14">#REF!</definedName>
    <definedName name="it3bc" localSheetId="17">#REF!</definedName>
    <definedName name="it3bc" localSheetId="12">#REF!</definedName>
    <definedName name="it3bc" localSheetId="11">#REF!</definedName>
    <definedName name="it3bc">#REF!</definedName>
    <definedName name="it3p" localSheetId="13">#REF!</definedName>
    <definedName name="it3p" localSheetId="14">#REF!</definedName>
    <definedName name="it3p" localSheetId="17">#REF!</definedName>
    <definedName name="it3p" localSheetId="12">#REF!</definedName>
    <definedName name="it3p" localSheetId="11">#REF!</definedName>
    <definedName name="it3p">#REF!</definedName>
    <definedName name="it41c1mod" localSheetId="13">#REF!</definedName>
    <definedName name="it41c1mod" localSheetId="14">#REF!</definedName>
    <definedName name="it41c1mod" localSheetId="17">#REF!</definedName>
    <definedName name="it41c1mod" localSheetId="12">#REF!</definedName>
    <definedName name="it41c1mod" localSheetId="11">#REF!</definedName>
    <definedName name="it41c1mod">#REF!</definedName>
    <definedName name="it42c1mod" localSheetId="13">#REF!</definedName>
    <definedName name="it42c1mod" localSheetId="14">#REF!</definedName>
    <definedName name="it42c1mod" localSheetId="17">#REF!</definedName>
    <definedName name="it42c1mod" localSheetId="12">#REF!</definedName>
    <definedName name="it42c1mod" localSheetId="11">#REF!</definedName>
    <definedName name="it42c1mod">#REF!</definedName>
    <definedName name="it4c" localSheetId="13">#REF!</definedName>
    <definedName name="it4c" localSheetId="14">#REF!</definedName>
    <definedName name="it4c" localSheetId="17">#REF!</definedName>
    <definedName name="it4c" localSheetId="12">#REF!</definedName>
    <definedName name="it4c" localSheetId="11">#REF!</definedName>
    <definedName name="it4c">#REF!</definedName>
    <definedName name="it4p" localSheetId="13">#REF!</definedName>
    <definedName name="it4p" localSheetId="14">#REF!</definedName>
    <definedName name="it4p" localSheetId="17">#REF!</definedName>
    <definedName name="it4p" localSheetId="12">#REF!</definedName>
    <definedName name="it4p" localSheetId="11">#REF!</definedName>
    <definedName name="it4p">#REF!</definedName>
    <definedName name="it5c" localSheetId="13">#REF!</definedName>
    <definedName name="it5c" localSheetId="14">#REF!</definedName>
    <definedName name="it5c" localSheetId="17">#REF!</definedName>
    <definedName name="it5c" localSheetId="12">#REF!</definedName>
    <definedName name="it5c" localSheetId="11">#REF!</definedName>
    <definedName name="it5c">#REF!</definedName>
    <definedName name="it5p" localSheetId="13">#REF!</definedName>
    <definedName name="it5p" localSheetId="14">#REF!</definedName>
    <definedName name="it5p" localSheetId="17">#REF!</definedName>
    <definedName name="it5p" localSheetId="12">#REF!</definedName>
    <definedName name="it5p" localSheetId="11">#REF!</definedName>
    <definedName name="it5p">#REF!</definedName>
    <definedName name="it6p" localSheetId="13">#REF!</definedName>
    <definedName name="it6p" localSheetId="14">#REF!</definedName>
    <definedName name="it6p" localSheetId="17">#REF!</definedName>
    <definedName name="it6p" localSheetId="12">#REF!</definedName>
    <definedName name="it6p" localSheetId="11">#REF!</definedName>
    <definedName name="it6p">#REF!</definedName>
    <definedName name="it7ac" localSheetId="13">#REF!</definedName>
    <definedName name="it7ac" localSheetId="14">#REF!</definedName>
    <definedName name="it7ac" localSheetId="17">#REF!</definedName>
    <definedName name="it7ac" localSheetId="12">#REF!</definedName>
    <definedName name="it7ac" localSheetId="11">#REF!</definedName>
    <definedName name="it7ac">#REF!</definedName>
    <definedName name="it7bc" localSheetId="13">#REF!</definedName>
    <definedName name="it7bc" localSheetId="14">#REF!</definedName>
    <definedName name="it7bc" localSheetId="17">#REF!</definedName>
    <definedName name="it7bc" localSheetId="12">#REF!</definedName>
    <definedName name="it7bc" localSheetId="11">#REF!</definedName>
    <definedName name="it7bc">#REF!</definedName>
    <definedName name="it7cc" localSheetId="13">#REF!</definedName>
    <definedName name="it7cc" localSheetId="14">#REF!</definedName>
    <definedName name="it7cc" localSheetId="17">#REF!</definedName>
    <definedName name="it7cc" localSheetId="12">#REF!</definedName>
    <definedName name="it7cc" localSheetId="11">#REF!</definedName>
    <definedName name="it7cc">#REF!</definedName>
    <definedName name="it8c" localSheetId="13">#REF!</definedName>
    <definedName name="it8c" localSheetId="14">#REF!</definedName>
    <definedName name="it8c" localSheetId="17">#REF!</definedName>
    <definedName name="it8c" localSheetId="12">#REF!</definedName>
    <definedName name="it8c" localSheetId="11">#REF!</definedName>
    <definedName name="it8c">#REF!</definedName>
    <definedName name="it9p" localSheetId="13">#REF!</definedName>
    <definedName name="it9p" localSheetId="14">#REF!</definedName>
    <definedName name="it9p" localSheetId="17">#REF!</definedName>
    <definedName name="it9p" localSheetId="12">#REF!</definedName>
    <definedName name="it9p" localSheetId="11">#REF!</definedName>
    <definedName name="it9p">#REF!</definedName>
    <definedName name="Item_Ana" localSheetId="13">#REF!</definedName>
    <definedName name="Item_Ana" localSheetId="17">#REF!</definedName>
    <definedName name="Item_Ana" localSheetId="12">#REF!</definedName>
    <definedName name="Item_Ana" localSheetId="11">#REF!</definedName>
    <definedName name="Item_Ana">#REF!</definedName>
    <definedName name="item1" localSheetId="17">#REF!</definedName>
    <definedName name="item1">#REF!</definedName>
    <definedName name="ITEM30" localSheetId="13">#REF!</definedName>
    <definedName name="ITEM30" localSheetId="14">#REF!</definedName>
    <definedName name="ITEM30" localSheetId="17">#REF!</definedName>
    <definedName name="ITEM30" localSheetId="12">#REF!</definedName>
    <definedName name="ITEM30" localSheetId="11">#REF!</definedName>
    <definedName name="ITEM30">#REF!</definedName>
    <definedName name="items" localSheetId="13">#REF!</definedName>
    <definedName name="items" localSheetId="14">#REF!</definedName>
    <definedName name="items" localSheetId="17">#REF!</definedName>
    <definedName name="items" localSheetId="12">#REF!</definedName>
    <definedName name="items" localSheetId="11">#REF!</definedName>
    <definedName name="items">#REF!</definedName>
    <definedName name="IVA" localSheetId="13">#REF!</definedName>
    <definedName name="IVA" localSheetId="17">#REF!</definedName>
    <definedName name="IVA" localSheetId="12">#REF!</definedName>
    <definedName name="IVA" localSheetId="11">#REF!</definedName>
    <definedName name="IVA">#REF!</definedName>
    <definedName name="jj_indice_de_materiales" localSheetId="17">#REF!</definedName>
    <definedName name="jj_indice_de_materiales">#REF!</definedName>
    <definedName name="JOINT" localSheetId="17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 localSheetId="13">#REF!</definedName>
    <definedName name="JOR" localSheetId="14">#REF!</definedName>
    <definedName name="JOR" localSheetId="17">#REF!</definedName>
    <definedName name="JOR" localSheetId="12">#REF!</definedName>
    <definedName name="JOR" localSheetId="11">#REF!</definedName>
    <definedName name="JOR">#REF!</definedName>
    <definedName name="JORNADA" localSheetId="13">#REF!</definedName>
    <definedName name="JORNADA" localSheetId="17">#REF!</definedName>
    <definedName name="JORNADA" localSheetId="12">#REF!</definedName>
    <definedName name="JORNADA" localSheetId="11">#REF!</definedName>
    <definedName name="JORNADA">#REF!</definedName>
    <definedName name="JORNADA1" localSheetId="17">#REF!</definedName>
    <definedName name="JORNADA1">#REF!</definedName>
    <definedName name="Jornal_Basico_Ayudante" localSheetId="13">#REF!</definedName>
    <definedName name="Jornal_Basico_Ayudante" localSheetId="14">#REF!</definedName>
    <definedName name="Jornal_Basico_Ayudante" localSheetId="17">#REF!</definedName>
    <definedName name="Jornal_Basico_Ayudante" localSheetId="12">#REF!</definedName>
    <definedName name="Jornal_Basico_Ayudante" localSheetId="11">#REF!</definedName>
    <definedName name="Jornal_Basico_Ayudante">#REF!</definedName>
    <definedName name="Jornal_Basico_Oficial" localSheetId="13">#REF!</definedName>
    <definedName name="Jornal_Basico_Oficial" localSheetId="14">#REF!</definedName>
    <definedName name="Jornal_Basico_Oficial" localSheetId="17">#REF!</definedName>
    <definedName name="Jornal_Basico_Oficial" localSheetId="12">#REF!</definedName>
    <definedName name="Jornal_Basico_Oficial" localSheetId="11">#REF!</definedName>
    <definedName name="Jornal_Basico_Oficial">#REF!</definedName>
    <definedName name="Jornal_Basico_Oficial_Especializado" localSheetId="13">#REF!</definedName>
    <definedName name="Jornal_Basico_Oficial_Especializado" localSheetId="14">#REF!</definedName>
    <definedName name="Jornal_Basico_Oficial_Especializado" localSheetId="17">#REF!</definedName>
    <definedName name="Jornal_Basico_Oficial_Especializado" localSheetId="12">#REF!</definedName>
    <definedName name="Jornal_Basico_Oficial_Especializado" localSheetId="11">#REF!</definedName>
    <definedName name="Jornal_Basico_Oficial_Especializado">#REF!</definedName>
    <definedName name="JP" localSheetId="13">#REF!</definedName>
    <definedName name="JP" localSheetId="17">#REF!</definedName>
    <definedName name="JP" localSheetId="12">#REF!</definedName>
    <definedName name="JP" localSheetId="11">#REF!</definedName>
    <definedName name="JP">#REF!</definedName>
    <definedName name="JT" localSheetId="17">#REF!</definedName>
    <definedName name="JT">#REF!</definedName>
    <definedName name="JUBI" localSheetId="17">#REF!</definedName>
    <definedName name="JUBI">#REF!</definedName>
    <definedName name="jul.22" localSheetId="23">'[1]Indice CAC'!#REF!</definedName>
    <definedName name="jul.22">'Indice CAC'!#REF!</definedName>
    <definedName name="jul.23" localSheetId="23">'[1]Indice CAC'!#REF!</definedName>
    <definedName name="jul.23">'Indice CAC'!#REF!</definedName>
    <definedName name="jul.24">'Indice CAC'!#REF!</definedName>
    <definedName name="juli22" localSheetId="23">'[1]Indice CAC'!#REF!</definedName>
    <definedName name="juli22">'Indice CAC'!#REF!</definedName>
    <definedName name="juli23" localSheetId="23">'[1]Indice CAC'!#REF!</definedName>
    <definedName name="juli23">'Indice CAC'!#REF!</definedName>
    <definedName name="juli24">'Indice CAC'!#REF!</definedName>
    <definedName name="jun.22" localSheetId="23">'[1]Indice CAC'!#REF!</definedName>
    <definedName name="jun.22">'Indice CAC'!#REF!</definedName>
    <definedName name="jun.23" localSheetId="23">'[1]Indice CAC'!#REF!</definedName>
    <definedName name="jun.23">'Indice CAC'!#REF!</definedName>
    <definedName name="jun.24">'Indice CAC'!#REF!</definedName>
    <definedName name="jun.25">'Indice CAC'!$B$15</definedName>
    <definedName name="juni22" localSheetId="23">'[1]Indice CAC'!#REF!</definedName>
    <definedName name="juni22">'Indice CAC'!#REF!</definedName>
    <definedName name="juni23" localSheetId="23">'[1]Indice CAC'!#REF!</definedName>
    <definedName name="juni23">'Indice CAC'!#REF!</definedName>
    <definedName name="juni24">'Indice CAC'!#REF!</definedName>
    <definedName name="K" localSheetId="13">#REF!</definedName>
    <definedName name="K" localSheetId="21">#REF!</definedName>
    <definedName name="K" localSheetId="22">#REF!</definedName>
    <definedName name="K" localSheetId="5">#REF!</definedName>
    <definedName name="K" localSheetId="10">#REF!</definedName>
    <definedName name="K" localSheetId="4">#REF!</definedName>
    <definedName name="K" localSheetId="0">#REF!</definedName>
    <definedName name="K" localSheetId="7">#REF!</definedName>
    <definedName name="K" localSheetId="8">#REF!</definedName>
    <definedName name="K" localSheetId="6">#REF!</definedName>
    <definedName name="K" localSheetId="9">#REF!</definedName>
    <definedName name="K" localSheetId="19">#REF!</definedName>
    <definedName name="K" localSheetId="20">#REF!</definedName>
    <definedName name="K" localSheetId="12">#REF!</definedName>
    <definedName name="K" localSheetId="11">#REF!</definedName>
    <definedName name="K" localSheetId="1">#REF!</definedName>
    <definedName name="K" localSheetId="2">#REF!</definedName>
    <definedName name="K" localSheetId="3">#REF!</definedName>
    <definedName name="K">#REF!</definedName>
    <definedName name="kh">#REF!</definedName>
    <definedName name="kha" localSheetId="13">#REF!</definedName>
    <definedName name="kha" localSheetId="14">#REF!</definedName>
    <definedName name="kha" localSheetId="17">#REF!</definedName>
    <definedName name="kha" localSheetId="12">#REF!</definedName>
    <definedName name="kha" localSheetId="11">#REF!</definedName>
    <definedName name="kha">#REF!</definedName>
    <definedName name="l" localSheetId="13">#REF!</definedName>
    <definedName name="l" localSheetId="21">#REF!</definedName>
    <definedName name="l" localSheetId="22">#REF!</definedName>
    <definedName name="l" localSheetId="5">#REF!</definedName>
    <definedName name="l" localSheetId="10">#REF!</definedName>
    <definedName name="l" localSheetId="4">#REF!</definedName>
    <definedName name="l" localSheetId="0">#REF!</definedName>
    <definedName name="l" localSheetId="17">#REF!</definedName>
    <definedName name="l" localSheetId="7">#REF!</definedName>
    <definedName name="l" localSheetId="8">#REF!</definedName>
    <definedName name="l" localSheetId="6">#REF!</definedName>
    <definedName name="l" localSheetId="9">#REF!</definedName>
    <definedName name="l" localSheetId="19">#REF!</definedName>
    <definedName name="l" localSheetId="20">#REF!</definedName>
    <definedName name="l" localSheetId="12">#REF!</definedName>
    <definedName name="l" localSheetId="11">#REF!</definedName>
    <definedName name="l" localSheetId="1">#REF!</definedName>
    <definedName name="l" localSheetId="2">#REF!</definedName>
    <definedName name="l" localSheetId="3">#REF!</definedName>
    <definedName name="l">#REF!</definedName>
    <definedName name="LA">#N/A</definedName>
    <definedName name="Last_Row">#N/A</definedName>
    <definedName name="LB">#N/A</definedName>
    <definedName name="LCPCB" localSheetId="13">#REF!</definedName>
    <definedName name="LCPCB" localSheetId="4">#REF!</definedName>
    <definedName name="LCPCB" localSheetId="14">#REF!</definedName>
    <definedName name="LCPCB" localSheetId="0">#REF!</definedName>
    <definedName name="LCPCB" localSheetId="17">#REF!</definedName>
    <definedName name="LCPCB" localSheetId="12">#REF!</definedName>
    <definedName name="LCPCB" localSheetId="11">#REF!</definedName>
    <definedName name="LCPCB">#REF!</definedName>
    <definedName name="LCPCI06" localSheetId="13">#REF!</definedName>
    <definedName name="LCPCI06" localSheetId="14">#REF!</definedName>
    <definedName name="LCPCI06" localSheetId="0">#REF!</definedName>
    <definedName name="LCPCI06" localSheetId="17">#REF!</definedName>
    <definedName name="LCPCI06" localSheetId="12">#REF!</definedName>
    <definedName name="LCPCI06" localSheetId="11">#REF!</definedName>
    <definedName name="LCPCI06">#REF!</definedName>
    <definedName name="LCPCID12" localSheetId="13">#REF!</definedName>
    <definedName name="LCPCID12" localSheetId="14">#REF!</definedName>
    <definedName name="LCPCID12" localSheetId="0">#REF!</definedName>
    <definedName name="LCPCID12" localSheetId="17">#REF!</definedName>
    <definedName name="LCPCID12" localSheetId="12">#REF!</definedName>
    <definedName name="LCPCID12" localSheetId="11">#REF!</definedName>
    <definedName name="LCPCID12">#REF!</definedName>
    <definedName name="LCPCR" localSheetId="13">#REF!</definedName>
    <definedName name="LCPCR" localSheetId="14">#REF!</definedName>
    <definedName name="LCPCR" localSheetId="0">#REF!</definedName>
    <definedName name="LCPCR" localSheetId="17">#REF!</definedName>
    <definedName name="LCPCR" localSheetId="12">#REF!</definedName>
    <definedName name="LCPCR" localSheetId="11">#REF!</definedName>
    <definedName name="LCPCR">#REF!</definedName>
    <definedName name="LCPCRE" localSheetId="13">#REF!</definedName>
    <definedName name="LCPCRE" localSheetId="14">#REF!</definedName>
    <definedName name="LCPCRE" localSheetId="0">#REF!</definedName>
    <definedName name="LCPCRE" localSheetId="17">#REF!</definedName>
    <definedName name="LCPCRE" localSheetId="12">#REF!</definedName>
    <definedName name="LCPCRE" localSheetId="11">#REF!</definedName>
    <definedName name="LCPCRE">#REF!</definedName>
    <definedName name="LCPCV" localSheetId="13">#REF!</definedName>
    <definedName name="LCPCV" localSheetId="14">#REF!</definedName>
    <definedName name="LCPCV" localSheetId="0">#REF!</definedName>
    <definedName name="LCPCV" localSheetId="17">#REF!</definedName>
    <definedName name="LCPCV" localSheetId="12">#REF!</definedName>
    <definedName name="LCPCV" localSheetId="11">#REF!</definedName>
    <definedName name="LCPCV">#REF!</definedName>
    <definedName name="LCPPA" localSheetId="13">#REF!</definedName>
    <definedName name="LCPPA" localSheetId="14">#REF!</definedName>
    <definedName name="LCPPA" localSheetId="0">#REF!</definedName>
    <definedName name="LCPPA" localSheetId="17">#REF!</definedName>
    <definedName name="LCPPA" localSheetId="12">#REF!</definedName>
    <definedName name="LCPPA" localSheetId="11">#REF!</definedName>
    <definedName name="LCPPA">#REF!</definedName>
    <definedName name="LIC" localSheetId="13">#REF!</definedName>
    <definedName name="LIC" localSheetId="14">#REF!</definedName>
    <definedName name="LIC" localSheetId="17">#REF!</definedName>
    <definedName name="LIC" localSheetId="12">#REF!</definedName>
    <definedName name="LIC" localSheetId="11">#REF!</definedName>
    <definedName name="LIC">#REF!</definedName>
    <definedName name="lista" localSheetId="13" hidden="1">#REF!</definedName>
    <definedName name="lista" localSheetId="14" hidden="1">#REF!</definedName>
    <definedName name="lista" localSheetId="17" hidden="1">#REF!</definedName>
    <definedName name="lista" localSheetId="12" hidden="1">#REF!</definedName>
    <definedName name="lista" localSheetId="11" hidden="1">#REF!</definedName>
    <definedName name="lista" hidden="1">#REF!</definedName>
    <definedName name="Listaperfiles" localSheetId="13">#REF!</definedName>
    <definedName name="Listaperfiles" localSheetId="14">#REF!</definedName>
    <definedName name="Listaperfiles" localSheetId="17">#REF!</definedName>
    <definedName name="Listaperfiles" localSheetId="12">#REF!</definedName>
    <definedName name="Listaperfiles" localSheetId="11">#REF!</definedName>
    <definedName name="Listaperfiles">#REF!</definedName>
    <definedName name="lk" localSheetId="17">#REF!</definedName>
    <definedName name="lk">#REF!</definedName>
    <definedName name="ll_tabla_para_calculo_de_costos" localSheetId="13">#REF!</definedName>
    <definedName name="ll_tabla_para_calculo_de_costos" localSheetId="17">#REF!</definedName>
    <definedName name="ll_tabla_para_calculo_de_costos" localSheetId="12">#REF!</definedName>
    <definedName name="ll_tabla_para_calculo_de_costos" localSheetId="11">#REF!</definedName>
    <definedName name="ll_tabla_para_calculo_de_costos">#REF!</definedName>
    <definedName name="llll" localSheetId="17">#REF!</definedName>
    <definedName name="llll">#REF!</definedName>
    <definedName name="Lm" localSheetId="17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 localSheetId="13">#REF!</definedName>
    <definedName name="Lubricantes" localSheetId="14">#REF!</definedName>
    <definedName name="Lubricantes" localSheetId="17">#REF!</definedName>
    <definedName name="Lubricantes" localSheetId="12">#REF!</definedName>
    <definedName name="Lubricantes" localSheetId="11">#REF!</definedName>
    <definedName name="Lubricantes">#REF!</definedName>
    <definedName name="M" localSheetId="13">#REF!</definedName>
    <definedName name="M" localSheetId="17">#REF!</definedName>
    <definedName name="M" localSheetId="12">#REF!</definedName>
    <definedName name="M" localSheetId="11">#REF!</definedName>
    <definedName name="M">#REF!</definedName>
    <definedName name="MAABC" localSheetId="13">#REF!</definedName>
    <definedName name="MAABC" localSheetId="14">#REF!</definedName>
    <definedName name="MAABC" localSheetId="0">#REF!</definedName>
    <definedName name="MAABC" localSheetId="17">#REF!</definedName>
    <definedName name="MAABC" localSheetId="12">#REF!</definedName>
    <definedName name="MAABC" localSheetId="11">#REF!</definedName>
    <definedName name="MAABC">#REF!</definedName>
    <definedName name="MAABY" localSheetId="13">#REF!</definedName>
    <definedName name="MAABY" localSheetId="14">#REF!</definedName>
    <definedName name="MAABY" localSheetId="0">#REF!</definedName>
    <definedName name="MAABY" localSheetId="17">#REF!</definedName>
    <definedName name="MAABY" localSheetId="12">#REF!</definedName>
    <definedName name="MAABY" localSheetId="11">#REF!</definedName>
    <definedName name="MAABY">#REF!</definedName>
    <definedName name="MAALC" localSheetId="13">#REF!</definedName>
    <definedName name="MAALC" localSheetId="14">#REF!</definedName>
    <definedName name="MAALC" localSheetId="0">#REF!</definedName>
    <definedName name="MAALC" localSheetId="17">#REF!</definedName>
    <definedName name="MAALC" localSheetId="12">#REF!</definedName>
    <definedName name="MAALC" localSheetId="11">#REF!</definedName>
    <definedName name="MAALC">#REF!</definedName>
    <definedName name="MAALH" localSheetId="13">#REF!</definedName>
    <definedName name="MAALH" localSheetId="14">#REF!</definedName>
    <definedName name="MAALH" localSheetId="0">#REF!</definedName>
    <definedName name="MAALH" localSheetId="17">#REF!</definedName>
    <definedName name="MAALH" localSheetId="12">#REF!</definedName>
    <definedName name="MAALH" localSheetId="11">#REF!</definedName>
    <definedName name="MAALH">#REF!</definedName>
    <definedName name="MAALHP" localSheetId="13">#REF!</definedName>
    <definedName name="MAALHP" localSheetId="14">#REF!</definedName>
    <definedName name="MAALHP" localSheetId="0">#REF!</definedName>
    <definedName name="MAALHP" localSheetId="17">#REF!</definedName>
    <definedName name="MAALHP" localSheetId="12">#REF!</definedName>
    <definedName name="MAALHP" localSheetId="11">#REF!</definedName>
    <definedName name="MAALHP">#REF!</definedName>
    <definedName name="MAALV" localSheetId="13">#REF!</definedName>
    <definedName name="MAALV" localSheetId="14">#REF!</definedName>
    <definedName name="MAALV" localSheetId="0">#REF!</definedName>
    <definedName name="MAALV" localSheetId="17">#REF!</definedName>
    <definedName name="MAALV" localSheetId="12">#REF!</definedName>
    <definedName name="MAALV" localSheetId="11">#REF!</definedName>
    <definedName name="MAALV">#REF!</definedName>
    <definedName name="MAAP" localSheetId="13">#REF!</definedName>
    <definedName name="MAAP" localSheetId="14">#REF!</definedName>
    <definedName name="MAAP" localSheetId="0">#REF!</definedName>
    <definedName name="MAAP" localSheetId="17">#REF!</definedName>
    <definedName name="MAAP" localSheetId="12">#REF!</definedName>
    <definedName name="MAAP" localSheetId="11">#REF!</definedName>
    <definedName name="MAAP">#REF!</definedName>
    <definedName name="MAAPY" localSheetId="13">#REF!</definedName>
    <definedName name="MAAPY" localSheetId="14">#REF!</definedName>
    <definedName name="MAAPY" localSheetId="0">#REF!</definedName>
    <definedName name="MAAPY" localSheetId="17">#REF!</definedName>
    <definedName name="MAAPY" localSheetId="12">#REF!</definedName>
    <definedName name="MAAPY" localSheetId="11">#REF!</definedName>
    <definedName name="MAAPY">#REF!</definedName>
    <definedName name="MABBC" localSheetId="13">#REF!</definedName>
    <definedName name="MABBC" localSheetId="14">#REF!</definedName>
    <definedName name="MABBC" localSheetId="0">#REF!</definedName>
    <definedName name="MABBC" localSheetId="17">#REF!</definedName>
    <definedName name="MABBC" localSheetId="12">#REF!</definedName>
    <definedName name="MABBC" localSheetId="11">#REF!</definedName>
    <definedName name="MABBC">#REF!</definedName>
    <definedName name="MABBY" localSheetId="13">#REF!</definedName>
    <definedName name="MABBY" localSheetId="14">#REF!</definedName>
    <definedName name="MABBY" localSheetId="0">#REF!</definedName>
    <definedName name="MABBY" localSheetId="17">#REF!</definedName>
    <definedName name="MABBY" localSheetId="12">#REF!</definedName>
    <definedName name="MABBY" localSheetId="11">#REF!</definedName>
    <definedName name="MABBY">#REF!</definedName>
    <definedName name="MABLC" localSheetId="13">#REF!</definedName>
    <definedName name="MABLC" localSheetId="14">#REF!</definedName>
    <definedName name="MABLC" localSheetId="0">#REF!</definedName>
    <definedName name="MABLC" localSheetId="17">#REF!</definedName>
    <definedName name="MABLC" localSheetId="12">#REF!</definedName>
    <definedName name="MABLC" localSheetId="11">#REF!</definedName>
    <definedName name="MABLC">#REF!</definedName>
    <definedName name="MABLH" localSheetId="13">#REF!</definedName>
    <definedName name="MABLH" localSheetId="14">#REF!</definedName>
    <definedName name="MABLH" localSheetId="0">#REF!</definedName>
    <definedName name="MABLH" localSheetId="17">#REF!</definedName>
    <definedName name="MABLH" localSheetId="12">#REF!</definedName>
    <definedName name="MABLH" localSheetId="11">#REF!</definedName>
    <definedName name="MABLH">#REF!</definedName>
    <definedName name="MABLHP" localSheetId="13">#REF!</definedName>
    <definedName name="MABLHP" localSheetId="14">#REF!</definedName>
    <definedName name="MABLHP" localSheetId="0">#REF!</definedName>
    <definedName name="MABLHP" localSheetId="17">#REF!</definedName>
    <definedName name="MABLHP" localSheetId="12">#REF!</definedName>
    <definedName name="MABLHP" localSheetId="11">#REF!</definedName>
    <definedName name="MABLHP">#REF!</definedName>
    <definedName name="MABLV" localSheetId="13">#REF!</definedName>
    <definedName name="MABLV" localSheetId="14">#REF!</definedName>
    <definedName name="MABLV" localSheetId="0">#REF!</definedName>
    <definedName name="MABLV" localSheetId="17">#REF!</definedName>
    <definedName name="MABLV" localSheetId="12">#REF!</definedName>
    <definedName name="MABLV" localSheetId="11">#REF!</definedName>
    <definedName name="MABLV">#REF!</definedName>
    <definedName name="MABP" localSheetId="13">#REF!</definedName>
    <definedName name="MABP" localSheetId="14">#REF!</definedName>
    <definedName name="MABP" localSheetId="0">#REF!</definedName>
    <definedName name="MABP" localSheetId="17">#REF!</definedName>
    <definedName name="MABP" localSheetId="12">#REF!</definedName>
    <definedName name="MABP" localSheetId="11">#REF!</definedName>
    <definedName name="MABP">#REF!</definedName>
    <definedName name="MABPY" localSheetId="13">#REF!</definedName>
    <definedName name="MABPY" localSheetId="14">#REF!</definedName>
    <definedName name="MABPY" localSheetId="0">#REF!</definedName>
    <definedName name="MABPY" localSheetId="17">#REF!</definedName>
    <definedName name="MABPY" localSheetId="12">#REF!</definedName>
    <definedName name="MABPY" localSheetId="11">#REF!</definedName>
    <definedName name="MABPY">#REF!</definedName>
    <definedName name="MACBC" localSheetId="13">#REF!</definedName>
    <definedName name="MACBC" localSheetId="14">#REF!</definedName>
    <definedName name="MACBC" localSheetId="0">#REF!</definedName>
    <definedName name="MACBC" localSheetId="17">#REF!</definedName>
    <definedName name="MACBC" localSheetId="12">#REF!</definedName>
    <definedName name="MACBC" localSheetId="11">#REF!</definedName>
    <definedName name="MACBC">#REF!</definedName>
    <definedName name="MACBY" localSheetId="13">#REF!</definedName>
    <definedName name="MACBY" localSheetId="14">#REF!</definedName>
    <definedName name="MACBY" localSheetId="0">#REF!</definedName>
    <definedName name="MACBY" localSheetId="17">#REF!</definedName>
    <definedName name="MACBY" localSheetId="12">#REF!</definedName>
    <definedName name="MACBY" localSheetId="11">#REF!</definedName>
    <definedName name="MACBY">#REF!</definedName>
    <definedName name="MACLC" localSheetId="13">#REF!</definedName>
    <definedName name="MACLC" localSheetId="14">#REF!</definedName>
    <definedName name="MACLC" localSheetId="0">#REF!</definedName>
    <definedName name="MACLC" localSheetId="17">#REF!</definedName>
    <definedName name="MACLC" localSheetId="12">#REF!</definedName>
    <definedName name="MACLC" localSheetId="11">#REF!</definedName>
    <definedName name="MACLC">#REF!</definedName>
    <definedName name="MACLH" localSheetId="13">#REF!</definedName>
    <definedName name="MACLH" localSheetId="14">#REF!</definedName>
    <definedName name="MACLH" localSheetId="0">#REF!</definedName>
    <definedName name="MACLH" localSheetId="17">#REF!</definedName>
    <definedName name="MACLH" localSheetId="12">#REF!</definedName>
    <definedName name="MACLH" localSheetId="11">#REF!</definedName>
    <definedName name="MACLH">#REF!</definedName>
    <definedName name="MACLHP" localSheetId="13">#REF!</definedName>
    <definedName name="MACLHP" localSheetId="14">#REF!</definedName>
    <definedName name="MACLHP" localSheetId="0">#REF!</definedName>
    <definedName name="MACLHP" localSheetId="17">#REF!</definedName>
    <definedName name="MACLHP" localSheetId="12">#REF!</definedName>
    <definedName name="MACLHP" localSheetId="11">#REF!</definedName>
    <definedName name="MACLHP">#REF!</definedName>
    <definedName name="MACLV" localSheetId="13">#REF!</definedName>
    <definedName name="MACLV" localSheetId="14">#REF!</definedName>
    <definedName name="MACLV" localSheetId="0">#REF!</definedName>
    <definedName name="MACLV" localSheetId="17">#REF!</definedName>
    <definedName name="MACLV" localSheetId="12">#REF!</definedName>
    <definedName name="MACLV" localSheetId="11">#REF!</definedName>
    <definedName name="MACLV">#REF!</definedName>
    <definedName name="MACPLY" localSheetId="13">#REF!</definedName>
    <definedName name="MACPLY" localSheetId="14">#REF!</definedName>
    <definedName name="MACPLY" localSheetId="0">#REF!</definedName>
    <definedName name="MACPLY" localSheetId="17">#REF!</definedName>
    <definedName name="MACPLY" localSheetId="12">#REF!</definedName>
    <definedName name="MACPLY" localSheetId="11">#REF!</definedName>
    <definedName name="MACPLY">#REF!</definedName>
    <definedName name="MACPY" localSheetId="13">#REF!</definedName>
    <definedName name="MACPY" localSheetId="14">#REF!</definedName>
    <definedName name="MACPY" localSheetId="0">#REF!</definedName>
    <definedName name="MACPY" localSheetId="17">#REF!</definedName>
    <definedName name="MACPY" localSheetId="12">#REF!</definedName>
    <definedName name="MACPY" localSheetId="11">#REF!</definedName>
    <definedName name="MACPY">#REF!</definedName>
    <definedName name="MACV" localSheetId="13">#REF!</definedName>
    <definedName name="MACV" localSheetId="14">#REF!</definedName>
    <definedName name="MACV" localSheetId="0">#REF!</definedName>
    <definedName name="MACV" localSheetId="17">#REF!</definedName>
    <definedName name="MACV" localSheetId="12">#REF!</definedName>
    <definedName name="MACV" localSheetId="11">#REF!</definedName>
    <definedName name="MACV">#REF!</definedName>
    <definedName name="mad" localSheetId="13">#REF!</definedName>
    <definedName name="mad" localSheetId="14">#REF!</definedName>
    <definedName name="mad" localSheetId="17">#REF!</definedName>
    <definedName name="mad" localSheetId="12">#REF!</definedName>
    <definedName name="mad" localSheetId="11">#REF!</definedName>
    <definedName name="mad">#REF!</definedName>
    <definedName name="MADLH" localSheetId="13">#REF!</definedName>
    <definedName name="MADLH" localSheetId="14">#REF!</definedName>
    <definedName name="MADLH" localSheetId="0">#REF!</definedName>
    <definedName name="MADLH" localSheetId="17">#REF!</definedName>
    <definedName name="MADLH" localSheetId="12">#REF!</definedName>
    <definedName name="MADLH" localSheetId="11">#REF!</definedName>
    <definedName name="MADLH">#REF!</definedName>
    <definedName name="MAEJ" localSheetId="13">#REF!</definedName>
    <definedName name="MAEJ" localSheetId="14">#REF!</definedName>
    <definedName name="MAEJ" localSheetId="0">#REF!</definedName>
    <definedName name="MAEJ" localSheetId="17">#REF!</definedName>
    <definedName name="MAEJ" localSheetId="12">#REF!</definedName>
    <definedName name="MAEJ" localSheetId="11">#REF!</definedName>
    <definedName name="MAEJ">#REF!</definedName>
    <definedName name="MAENM" localSheetId="13">#REF!</definedName>
    <definedName name="MAENM" localSheetId="14">#REF!</definedName>
    <definedName name="MAENM" localSheetId="0">#REF!</definedName>
    <definedName name="MAENM" localSheetId="17">#REF!</definedName>
    <definedName name="MAENM" localSheetId="12">#REF!</definedName>
    <definedName name="MAENM" localSheetId="11">#REF!</definedName>
    <definedName name="MAENM">#REF!</definedName>
    <definedName name="MAMPOSTERIA" localSheetId="13">#REF!</definedName>
    <definedName name="MAMPOSTERIA" localSheetId="14">#REF!</definedName>
    <definedName name="MAMPOSTERIA" localSheetId="17">#REF!</definedName>
    <definedName name="MAMPOSTERIA" localSheetId="12">#REF!</definedName>
    <definedName name="MAMPOSTERIA" localSheetId="11">#REF!</definedName>
    <definedName name="MAMPOSTERIA">#REF!</definedName>
    <definedName name="MANOBRA">#N/A</definedName>
    <definedName name="manodeo" localSheetId="13">#REF!</definedName>
    <definedName name="manodeo" localSheetId="14">#REF!</definedName>
    <definedName name="manodeo" localSheetId="17">#REF!</definedName>
    <definedName name="manodeo" localSheetId="12">#REF!</definedName>
    <definedName name="manodeo" localSheetId="11">#REF!</definedName>
    <definedName name="manodeo">#REF!</definedName>
    <definedName name="manodeobra" localSheetId="13">#REF!</definedName>
    <definedName name="manodeobra" localSheetId="21">#REF!</definedName>
    <definedName name="manodeobra" localSheetId="22">#REF!</definedName>
    <definedName name="manodeobra" localSheetId="5">#REF!</definedName>
    <definedName name="manodeobra" localSheetId="10">#REF!</definedName>
    <definedName name="manodeobra" localSheetId="4">#REF!</definedName>
    <definedName name="manodeobra" localSheetId="0">#REF!</definedName>
    <definedName name="manodeobra" localSheetId="17">#REF!</definedName>
    <definedName name="manodeobra" localSheetId="7">#REF!</definedName>
    <definedName name="manodeobra" localSheetId="8">#REF!</definedName>
    <definedName name="manodeobra" localSheetId="6">#REF!</definedName>
    <definedName name="manodeobra" localSheetId="9">#REF!</definedName>
    <definedName name="manodeobra" localSheetId="19">#REF!</definedName>
    <definedName name="manodeobra" localSheetId="20">#REF!</definedName>
    <definedName name="manodeobra" localSheetId="12">#REF!</definedName>
    <definedName name="manodeobra" localSheetId="11">#REF!</definedName>
    <definedName name="manodeobra" localSheetId="1">#REF!</definedName>
    <definedName name="manodeobra" localSheetId="2">#REF!</definedName>
    <definedName name="manodeobra" localSheetId="3">#REF!</definedName>
    <definedName name="manodeobra">#REF!</definedName>
    <definedName name="MAPBC" localSheetId="13">#REF!</definedName>
    <definedName name="MAPBC" localSheetId="4">#REF!</definedName>
    <definedName name="MAPBC" localSheetId="14">#REF!</definedName>
    <definedName name="MAPBC" localSheetId="0">#REF!</definedName>
    <definedName name="MAPBC" localSheetId="17">#REF!</definedName>
    <definedName name="MAPBC" localSheetId="12">#REF!</definedName>
    <definedName name="MAPBC" localSheetId="11">#REF!</definedName>
    <definedName name="MAPBC">#REF!</definedName>
    <definedName name="MAPBY" localSheetId="13">#REF!</definedName>
    <definedName name="MAPBY" localSheetId="4">#REF!</definedName>
    <definedName name="MAPBY" localSheetId="14">#REF!</definedName>
    <definedName name="MAPBY" localSheetId="0">#REF!</definedName>
    <definedName name="MAPBY" localSheetId="17">#REF!</definedName>
    <definedName name="MAPBY" localSheetId="12">#REF!</definedName>
    <definedName name="MAPBY" localSheetId="11">#REF!</definedName>
    <definedName name="MAPBY">#REF!</definedName>
    <definedName name="MAPJ" localSheetId="13">#REF!</definedName>
    <definedName name="MAPJ" localSheetId="14">#REF!</definedName>
    <definedName name="MAPJ" localSheetId="0">#REF!</definedName>
    <definedName name="MAPJ" localSheetId="17">#REF!</definedName>
    <definedName name="MAPJ" localSheetId="12">#REF!</definedName>
    <definedName name="MAPJ" localSheetId="11">#REF!</definedName>
    <definedName name="MAPJ">#REF!</definedName>
    <definedName name="MAPLC" localSheetId="13">#REF!</definedName>
    <definedName name="MAPLC" localSheetId="14">#REF!</definedName>
    <definedName name="MAPLC" localSheetId="0">#REF!</definedName>
    <definedName name="MAPLC" localSheetId="17">#REF!</definedName>
    <definedName name="MAPLC" localSheetId="12">#REF!</definedName>
    <definedName name="MAPLC" localSheetId="11">#REF!</definedName>
    <definedName name="MAPLC">#REF!</definedName>
    <definedName name="MAPLH" localSheetId="13">#REF!</definedName>
    <definedName name="MAPLH" localSheetId="14">#REF!</definedName>
    <definedName name="MAPLH" localSheetId="0">#REF!</definedName>
    <definedName name="MAPLH" localSheetId="17">#REF!</definedName>
    <definedName name="MAPLH" localSheetId="12">#REF!</definedName>
    <definedName name="MAPLH" localSheetId="11">#REF!</definedName>
    <definedName name="MAPLH">#REF!</definedName>
    <definedName name="MAPLHP" localSheetId="13">#REF!</definedName>
    <definedName name="MAPLHP" localSheetId="14">#REF!</definedName>
    <definedName name="MAPLHP" localSheetId="0">#REF!</definedName>
    <definedName name="MAPLHP" localSheetId="17">#REF!</definedName>
    <definedName name="MAPLHP" localSheetId="12">#REF!</definedName>
    <definedName name="MAPLHP" localSheetId="11">#REF!</definedName>
    <definedName name="MAPLHP">#REF!</definedName>
    <definedName name="MAPLV" localSheetId="13">#REF!</definedName>
    <definedName name="MAPLV" localSheetId="14">#REF!</definedName>
    <definedName name="MAPLV" localSheetId="0">#REF!</definedName>
    <definedName name="MAPLV" localSheetId="17">#REF!</definedName>
    <definedName name="MAPLV" localSheetId="12">#REF!</definedName>
    <definedName name="MAPLV" localSheetId="11">#REF!</definedName>
    <definedName name="MAPLV">#REF!</definedName>
    <definedName name="MAPPY" localSheetId="13">#REF!</definedName>
    <definedName name="MAPPY" localSheetId="14">#REF!</definedName>
    <definedName name="MAPPY" localSheetId="0">#REF!</definedName>
    <definedName name="MAPPY" localSheetId="17">#REF!</definedName>
    <definedName name="MAPPY" localSheetId="12">#REF!</definedName>
    <definedName name="MAPPY" localSheetId="11">#REF!</definedName>
    <definedName name="MAPPY">#REF!</definedName>
    <definedName name="MAR" localSheetId="13">#REF!</definedName>
    <definedName name="MAR" localSheetId="14">#REF!</definedName>
    <definedName name="MAR" localSheetId="0">#REF!</definedName>
    <definedName name="MAR" localSheetId="17">#REF!</definedName>
    <definedName name="MAR" localSheetId="12">#REF!</definedName>
    <definedName name="MAR" localSheetId="11">#REF!</definedName>
    <definedName name="MAR">#REF!</definedName>
    <definedName name="mar.23" localSheetId="23">'[1]Indice CAC'!#REF!</definedName>
    <definedName name="mar.23">'Indice CAC'!#REF!</definedName>
    <definedName name="mar.24">'Indice CAC'!#REF!</definedName>
    <definedName name="mar.25">'Indice CAC'!$B$12</definedName>
    <definedName name="MARHD" localSheetId="13">#REF!</definedName>
    <definedName name="MARHD" localSheetId="14">#REF!</definedName>
    <definedName name="MARHD" localSheetId="0">#REF!</definedName>
    <definedName name="MARHD" localSheetId="17">#REF!</definedName>
    <definedName name="MARHD" localSheetId="12">#REF!</definedName>
    <definedName name="MARHD" localSheetId="11">#REF!</definedName>
    <definedName name="MARHD">#REF!</definedName>
    <definedName name="MARHH" localSheetId="13">#REF!</definedName>
    <definedName name="MARHH" localSheetId="14">#REF!</definedName>
    <definedName name="MARHH" localSheetId="0">#REF!</definedName>
    <definedName name="MARHH" localSheetId="17">#REF!</definedName>
    <definedName name="MARHH" localSheetId="12">#REF!</definedName>
    <definedName name="MARHH" localSheetId="11">#REF!</definedName>
    <definedName name="MARHH">#REF!</definedName>
    <definedName name="MARHM" localSheetId="13">#REF!</definedName>
    <definedName name="MARHM" localSheetId="14">#REF!</definedName>
    <definedName name="MARHM" localSheetId="0">#REF!</definedName>
    <definedName name="MARHM" localSheetId="17">#REF!</definedName>
    <definedName name="MARHM" localSheetId="12">#REF!</definedName>
    <definedName name="MARHM" localSheetId="11">#REF!</definedName>
    <definedName name="MARHM">#REF!</definedName>
    <definedName name="MARHR" localSheetId="13">#REF!</definedName>
    <definedName name="MARHR" localSheetId="14">#REF!</definedName>
    <definedName name="MARHR" localSheetId="0">#REF!</definedName>
    <definedName name="MARHR" localSheetId="17">#REF!</definedName>
    <definedName name="MARHR" localSheetId="12">#REF!</definedName>
    <definedName name="MARHR" localSheetId="11">#REF!</definedName>
    <definedName name="MARHR">#REF!</definedName>
    <definedName name="MARHT" localSheetId="13">#REF!</definedName>
    <definedName name="MARHT" localSheetId="14">#REF!</definedName>
    <definedName name="MARHT" localSheetId="0">#REF!</definedName>
    <definedName name="MARHT" localSheetId="17">#REF!</definedName>
    <definedName name="MARHT" localSheetId="12">#REF!</definedName>
    <definedName name="MARHT" localSheetId="11">#REF!</definedName>
    <definedName name="MARHT">#REF!</definedName>
    <definedName name="MARLA" localSheetId="13">#REF!</definedName>
    <definedName name="MARLA" localSheetId="14">#REF!</definedName>
    <definedName name="MARLA" localSheetId="0">#REF!</definedName>
    <definedName name="MARLA" localSheetId="17">#REF!</definedName>
    <definedName name="MARLA" localSheetId="12">#REF!</definedName>
    <definedName name="MARLA" localSheetId="11">#REF!</definedName>
    <definedName name="MARLA">#REF!</definedName>
    <definedName name="MARLB" localSheetId="13">#REF!</definedName>
    <definedName name="MARLB" localSheetId="14">#REF!</definedName>
    <definedName name="MARLB" localSheetId="0">#REF!</definedName>
    <definedName name="MARLB" localSheetId="17">#REF!</definedName>
    <definedName name="MARLB" localSheetId="12">#REF!</definedName>
    <definedName name="MARLB" localSheetId="11">#REF!</definedName>
    <definedName name="MARLB">#REF!</definedName>
    <definedName name="MARP" localSheetId="13">#REF!</definedName>
    <definedName name="MARP" localSheetId="14">#REF!</definedName>
    <definedName name="MARP" localSheetId="0">#REF!</definedName>
    <definedName name="MARP" localSheetId="17">#REF!</definedName>
    <definedName name="MARP" localSheetId="12">#REF!</definedName>
    <definedName name="MARP" localSheetId="11">#REF!</definedName>
    <definedName name="MARP">#REF!</definedName>
    <definedName name="marz23" localSheetId="23">'[1]Indice CAC'!#REF!</definedName>
    <definedName name="marz23">'Indice CAC'!#REF!</definedName>
    <definedName name="marzo24">'Indice CAC'!#REF!</definedName>
    <definedName name="mat" localSheetId="13">#REF!</definedName>
    <definedName name="mat" localSheetId="14">#REF!</definedName>
    <definedName name="mat" localSheetId="17">#REF!</definedName>
    <definedName name="mat" localSheetId="12">#REF!</definedName>
    <definedName name="mat" localSheetId="11">#REF!</definedName>
    <definedName name="mat">#REF!</definedName>
    <definedName name="mat_prsum">#REF!</definedName>
    <definedName name="mat_sum">#REF!</definedName>
    <definedName name="materiales" localSheetId="13">#REF!</definedName>
    <definedName name="materiales" localSheetId="17">#REF!</definedName>
    <definedName name="materiales" localSheetId="12">#REF!</definedName>
    <definedName name="materiales" localSheetId="11">#REF!</definedName>
    <definedName name="materiales">#REF!</definedName>
    <definedName name="MATR" localSheetId="13">#REF!</definedName>
    <definedName name="MATR" localSheetId="14">#REF!</definedName>
    <definedName name="MATR" localSheetId="0">#REF!</definedName>
    <definedName name="MATR" localSheetId="17">#REF!</definedName>
    <definedName name="MATR" localSheetId="12">#REF!</definedName>
    <definedName name="MATR" localSheetId="11">#REF!</definedName>
    <definedName name="MATR">#REF!</definedName>
    <definedName name="MATS" localSheetId="13">#REF!</definedName>
    <definedName name="MATS" localSheetId="17">#REF!</definedName>
    <definedName name="MATS" localSheetId="12">#REF!</definedName>
    <definedName name="MATS" localSheetId="11">#REF!</definedName>
    <definedName name="MATS">#REF!</definedName>
    <definedName name="may.22" localSheetId="23">'[1]Indice CAC'!#REF!</definedName>
    <definedName name="may.22">'Indice CAC'!#REF!</definedName>
    <definedName name="may.23" localSheetId="23">'[1]Indice CAC'!#REF!</definedName>
    <definedName name="may.23">'Indice CAC'!#REF!</definedName>
    <definedName name="may.24">'Indice CAC'!#REF!</definedName>
    <definedName name="may.25">'Indice CAC'!$B$14</definedName>
    <definedName name="mayo23" localSheetId="23">'[1]Indice CAC'!#REF!</definedName>
    <definedName name="mayo23">'Indice CAC'!#REF!</definedName>
    <definedName name="mayo24">'Indice CAC'!#REF!</definedName>
    <definedName name="mb" localSheetId="13">#REF!</definedName>
    <definedName name="mb" localSheetId="14">#REF!</definedName>
    <definedName name="mb" localSheetId="17">#REF!</definedName>
    <definedName name="mb" localSheetId="12">#REF!</definedName>
    <definedName name="mb" localSheetId="11">#REF!</definedName>
    <definedName name="mb">#REF!</definedName>
    <definedName name="mbs" localSheetId="13">#REF!</definedName>
    <definedName name="mbs" localSheetId="14">#REF!</definedName>
    <definedName name="mbs" localSheetId="17">#REF!</definedName>
    <definedName name="mbs" localSheetId="12">#REF!</definedName>
    <definedName name="mbs" localSheetId="11">#REF!</definedName>
    <definedName name="mbs">#REF!</definedName>
    <definedName name="MC" localSheetId="13">#REF!</definedName>
    <definedName name="MC" localSheetId="17">#REF!</definedName>
    <definedName name="MC" localSheetId="12">#REF!</definedName>
    <definedName name="MC" localSheetId="11">#REF!</definedName>
    <definedName name="MC">#REF!</definedName>
    <definedName name="Mdespl." localSheetId="17">#REF!</definedName>
    <definedName name="Mdespl.">#REF!</definedName>
    <definedName name="MDODNV" localSheetId="13">#REF!</definedName>
    <definedName name="MDODNV" localSheetId="14">#REF!</definedName>
    <definedName name="MDODNV" localSheetId="17">#REF!</definedName>
    <definedName name="MDODNV" localSheetId="12">#REF!</definedName>
    <definedName name="MDODNV" localSheetId="11">#REF!</definedName>
    <definedName name="MDODNV">#REF!</definedName>
    <definedName name="MDODPV" localSheetId="13">#REF!</definedName>
    <definedName name="MDODPV" localSheetId="14">#REF!</definedName>
    <definedName name="MDODPV" localSheetId="17">#REF!</definedName>
    <definedName name="MDODPV" localSheetId="12">#REF!</definedName>
    <definedName name="MDODPV" localSheetId="11">#REF!</definedName>
    <definedName name="MDODPV">#REF!</definedName>
    <definedName name="Medio_Oficial" localSheetId="13">#REF!</definedName>
    <definedName name="Medio_Oficial" localSheetId="17">#REF!</definedName>
    <definedName name="Medio_Oficial" localSheetId="12">#REF!</definedName>
    <definedName name="Medio_Oficial" localSheetId="11">#REF!</definedName>
    <definedName name="Medio_Oficial">#REF!</definedName>
    <definedName name="medioofr" localSheetId="13">#REF!</definedName>
    <definedName name="medioofr" localSheetId="14">#REF!</definedName>
    <definedName name="medioofr" localSheetId="17">#REF!</definedName>
    <definedName name="medioofr" localSheetId="12">#REF!</definedName>
    <definedName name="medioofr" localSheetId="11">#REF!</definedName>
    <definedName name="medioofr">#REF!</definedName>
    <definedName name="MEDOLAR" localSheetId="13">#REF!</definedName>
    <definedName name="MEDOLAR" localSheetId="14">#REF!</definedName>
    <definedName name="MEDOLAR" localSheetId="17">#REF!</definedName>
    <definedName name="MEDOLAR" localSheetId="12">#REF!</definedName>
    <definedName name="MEDOLAR" localSheetId="11">#REF!</definedName>
    <definedName name="MEDOLAR">#REF!</definedName>
    <definedName name="MENSUAL" localSheetId="13">#REF!</definedName>
    <definedName name="MENSUAL" localSheetId="17">#REF!</definedName>
    <definedName name="MENSUAL" localSheetId="12">#REF!</definedName>
    <definedName name="MENSUAL" localSheetId="11">#REF!</definedName>
    <definedName name="MENSUAL">#REF!</definedName>
    <definedName name="MENU" localSheetId="17">#REF!</definedName>
    <definedName name="MENU">#REF!</definedName>
    <definedName name="MES" localSheetId="17">#REF!</definedName>
    <definedName name="MES">#REF!</definedName>
    <definedName name="mes_retiro" localSheetId="13">#REF!</definedName>
    <definedName name="mes_retiro" localSheetId="14">#REF!</definedName>
    <definedName name="mes_retiro" localSheetId="17">#REF!</definedName>
    <definedName name="mes_retiro" localSheetId="12">#REF!</definedName>
    <definedName name="mes_retiro" localSheetId="11">#REF!</definedName>
    <definedName name="mes_retiro">#REF!</definedName>
    <definedName name="Meses" localSheetId="4">#REF!</definedName>
    <definedName name="Meses" localSheetId="17">#REF!</definedName>
    <definedName name="Meses">#REF!</definedName>
    <definedName name="MisAna" localSheetId="17">#REF!</definedName>
    <definedName name="MisAna">#REF!</definedName>
    <definedName name="MMCC" localSheetId="13">#REF!</definedName>
    <definedName name="MMCC" localSheetId="10">#REF!</definedName>
    <definedName name="MMCC" localSheetId="4">#REF!</definedName>
    <definedName name="MMCC" localSheetId="14">#REF!</definedName>
    <definedName name="MMCC" localSheetId="0">#REF!</definedName>
    <definedName name="MMCC" localSheetId="17">#REF!</definedName>
    <definedName name="MMCC" localSheetId="12">#REF!</definedName>
    <definedName name="MMCC" localSheetId="11">#REF!</definedName>
    <definedName name="MMCC">#REF!</definedName>
    <definedName name="MMCCA" localSheetId="13">#REF!</definedName>
    <definedName name="MMCCA" localSheetId="4">#REF!</definedName>
    <definedName name="MMCCA" localSheetId="14">#REF!</definedName>
    <definedName name="MMCCA" localSheetId="0">#REF!</definedName>
    <definedName name="MMCCA" localSheetId="17">#REF!</definedName>
    <definedName name="MMCCA" localSheetId="12">#REF!</definedName>
    <definedName name="MMCCA" localSheetId="11">#REF!</definedName>
    <definedName name="MMCCA">#REF!</definedName>
    <definedName name="MMCDE" localSheetId="13">#REF!</definedName>
    <definedName name="MMCDE" localSheetId="14">#REF!</definedName>
    <definedName name="MMCDE" localSheetId="0">#REF!</definedName>
    <definedName name="MMCDE" localSheetId="17">#REF!</definedName>
    <definedName name="MMCDE" localSheetId="12">#REF!</definedName>
    <definedName name="MMCDE" localSheetId="11">#REF!</definedName>
    <definedName name="MMCDE">#REF!</definedName>
    <definedName name="MMDMA" localSheetId="13">#REF!</definedName>
    <definedName name="MMDMA" localSheetId="14">#REF!</definedName>
    <definedName name="MMDMA" localSheetId="0">#REF!</definedName>
    <definedName name="MMDMA" localSheetId="17">#REF!</definedName>
    <definedName name="MMDMA" localSheetId="12">#REF!</definedName>
    <definedName name="MMDMA" localSheetId="11">#REF!</definedName>
    <definedName name="MMDMA">#REF!</definedName>
    <definedName name="MMDMC" localSheetId="13">#REF!</definedName>
    <definedName name="MMDMC" localSheetId="14">#REF!</definedName>
    <definedName name="MMDMC" localSheetId="0">#REF!</definedName>
    <definedName name="MMDMC" localSheetId="17">#REF!</definedName>
    <definedName name="MMDMC" localSheetId="12">#REF!</definedName>
    <definedName name="MMDMC" localSheetId="11">#REF!</definedName>
    <definedName name="MMDMC">#REF!</definedName>
    <definedName name="MMDMD" localSheetId="13">#REF!</definedName>
    <definedName name="MMDMD" localSheetId="14">#REF!</definedName>
    <definedName name="MMDMD" localSheetId="0">#REF!</definedName>
    <definedName name="MMDMD" localSheetId="17">#REF!</definedName>
    <definedName name="MMDMD" localSheetId="12">#REF!</definedName>
    <definedName name="MMDMD" localSheetId="11">#REF!</definedName>
    <definedName name="MMDMD">#REF!</definedName>
    <definedName name="MMDME" localSheetId="13">#REF!</definedName>
    <definedName name="MMDME" localSheetId="14">#REF!</definedName>
    <definedName name="MMDME" localSheetId="0">#REF!</definedName>
    <definedName name="MMDME" localSheetId="17">#REF!</definedName>
    <definedName name="MMDME" localSheetId="12">#REF!</definedName>
    <definedName name="MMDME" localSheetId="11">#REF!</definedName>
    <definedName name="MMDME">#REF!</definedName>
    <definedName name="MMDMP" localSheetId="13">#REF!</definedName>
    <definedName name="MMDMP" localSheetId="14">#REF!</definedName>
    <definedName name="MMDMP" localSheetId="0">#REF!</definedName>
    <definedName name="MMDMP" localSheetId="17">#REF!</definedName>
    <definedName name="MMDMP" localSheetId="12">#REF!</definedName>
    <definedName name="MMDMP" localSheetId="11">#REF!</definedName>
    <definedName name="MMDMP">#REF!</definedName>
    <definedName name="MMDMT" localSheetId="13">#REF!</definedName>
    <definedName name="MMDMT" localSheetId="14">#REF!</definedName>
    <definedName name="MMDMT" localSheetId="0">#REF!</definedName>
    <definedName name="MMDMT" localSheetId="17">#REF!</definedName>
    <definedName name="MMDMT" localSheetId="12">#REF!</definedName>
    <definedName name="MMDMT" localSheetId="11">#REF!</definedName>
    <definedName name="MMDMT">#REF!</definedName>
    <definedName name="MMDMV" localSheetId="13">#REF!</definedName>
    <definedName name="MMDMV" localSheetId="14">#REF!</definedName>
    <definedName name="MMDMV" localSheetId="0">#REF!</definedName>
    <definedName name="MMDMV" localSheetId="17">#REF!</definedName>
    <definedName name="MMDMV" localSheetId="12">#REF!</definedName>
    <definedName name="MMDMV" localSheetId="11">#REF!</definedName>
    <definedName name="MMDMV">#REF!</definedName>
    <definedName name="mmm" localSheetId="13">#REF!</definedName>
    <definedName name="mmm" localSheetId="17">#REF!</definedName>
    <definedName name="mmm" localSheetId="12">#REF!</definedName>
    <definedName name="mmm" localSheetId="11">#REF!</definedName>
    <definedName name="mmm">#REF!</definedName>
    <definedName name="MMRC" localSheetId="13">#REF!</definedName>
    <definedName name="MMRC" localSheetId="14">#REF!</definedName>
    <definedName name="MMRC" localSheetId="0">#REF!</definedName>
    <definedName name="MMRC" localSheetId="17">#REF!</definedName>
    <definedName name="MMRC" localSheetId="12">#REF!</definedName>
    <definedName name="MMRC" localSheetId="11">#REF!</definedName>
    <definedName name="MMRC">#REF!</definedName>
    <definedName name="MMVC" localSheetId="13">#REF!</definedName>
    <definedName name="MMVC" localSheetId="14">#REF!</definedName>
    <definedName name="MMVC" localSheetId="0">#REF!</definedName>
    <definedName name="MMVC" localSheetId="17">#REF!</definedName>
    <definedName name="MMVC" localSheetId="12">#REF!</definedName>
    <definedName name="MMVC" localSheetId="11">#REF!</definedName>
    <definedName name="MMVC">#REF!</definedName>
    <definedName name="MONTH">#REF!</definedName>
    <definedName name="Monto_Certif." localSheetId="13">#REF!</definedName>
    <definedName name="Monto_Certif." localSheetId="17">#REF!</definedName>
    <definedName name="Monto_Certif." localSheetId="12">#REF!</definedName>
    <definedName name="Monto_Certif." localSheetId="11">#REF!</definedName>
    <definedName name="Monto_Certif.">#REF!</definedName>
    <definedName name="MOREGAS" localSheetId="13">#REF!</definedName>
    <definedName name="MOREGAS" localSheetId="14">#REF!</definedName>
    <definedName name="MOREGAS" localSheetId="17">#REF!</definedName>
    <definedName name="MOREGAS" localSheetId="12">#REF!</definedName>
    <definedName name="MOREGAS" localSheetId="11">#REF!</definedName>
    <definedName name="MOREGAS">#REF!</definedName>
    <definedName name="mov" localSheetId="13">#REF!</definedName>
    <definedName name="mov" localSheetId="14">#REF!</definedName>
    <definedName name="mov" localSheetId="17">#REF!</definedName>
    <definedName name="mov" localSheetId="12">#REF!</definedName>
    <definedName name="mov" localSheetId="11">#REF!</definedName>
    <definedName name="mov">#REF!</definedName>
    <definedName name="movilizacion" localSheetId="13">#REF!</definedName>
    <definedName name="movilizacion" localSheetId="17">#REF!</definedName>
    <definedName name="movilizacion" localSheetId="12">#REF!</definedName>
    <definedName name="movilizacion" localSheetId="11">#REF!</definedName>
    <definedName name="movilizacion">#REF!</definedName>
    <definedName name="MQ" localSheetId="13">#REF!</definedName>
    <definedName name="MQ" localSheetId="14">#REF!</definedName>
    <definedName name="MQ" localSheetId="17">#REF!</definedName>
    <definedName name="MQ" localSheetId="12">#REF!</definedName>
    <definedName name="MQ" localSheetId="11">#REF!</definedName>
    <definedName name="MQ">#REF!</definedName>
    <definedName name="MSAP" localSheetId="13">#REF!</definedName>
    <definedName name="MSAP" localSheetId="10">#REF!</definedName>
    <definedName name="MSAP" localSheetId="4">#REF!</definedName>
    <definedName name="MSAP" localSheetId="14">#REF!</definedName>
    <definedName name="MSAP" localSheetId="0">#REF!</definedName>
    <definedName name="MSAP" localSheetId="17">#REF!</definedName>
    <definedName name="MSAP" localSheetId="12">#REF!</definedName>
    <definedName name="MSAP" localSheetId="11">#REF!</definedName>
    <definedName name="MSAP">#REF!</definedName>
    <definedName name="MSAS" localSheetId="13">#REF!</definedName>
    <definedName name="MSAS" localSheetId="4">#REF!</definedName>
    <definedName name="MSAS" localSheetId="14">#REF!</definedName>
    <definedName name="MSAS" localSheetId="0">#REF!</definedName>
    <definedName name="MSAS" localSheetId="17">#REF!</definedName>
    <definedName name="MSAS" localSheetId="12">#REF!</definedName>
    <definedName name="MSAS" localSheetId="11">#REF!</definedName>
    <definedName name="MSAS">#REF!</definedName>
    <definedName name="MSLS" localSheetId="13">#REF!</definedName>
    <definedName name="MSLS" localSheetId="14">#REF!</definedName>
    <definedName name="MSLS" localSheetId="0">#REF!</definedName>
    <definedName name="MSLS" localSheetId="17">#REF!</definedName>
    <definedName name="MSLS" localSheetId="12">#REF!</definedName>
    <definedName name="MSLS" localSheetId="11">#REF!</definedName>
    <definedName name="MSLS">#REF!</definedName>
    <definedName name="MSNP" localSheetId="13">#REF!</definedName>
    <definedName name="MSNP" localSheetId="14">#REF!</definedName>
    <definedName name="MSNP" localSheetId="0">#REF!</definedName>
    <definedName name="MSNP" localSheetId="17">#REF!</definedName>
    <definedName name="MSNP" localSheetId="12">#REF!</definedName>
    <definedName name="MSNP" localSheetId="11">#REF!</definedName>
    <definedName name="MSNP">#REF!</definedName>
    <definedName name="MU" localSheetId="13">#REF!</definedName>
    <definedName name="MU" localSheetId="17">#REF!</definedName>
    <definedName name="MU" localSheetId="12">#REF!</definedName>
    <definedName name="MU" localSheetId="11">#REF!</definedName>
    <definedName name="MU">#REF!</definedName>
    <definedName name="MWx" localSheetId="17">#REF!</definedName>
    <definedName name="MWx">#REF!</definedName>
    <definedName name="MWz" localSheetId="17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 localSheetId="13">#REF!</definedName>
    <definedName name="myy" localSheetId="14">#REF!</definedName>
    <definedName name="myy" localSheetId="17">#REF!</definedName>
    <definedName name="myy" localSheetId="12">#REF!</definedName>
    <definedName name="myy" localSheetId="11">#REF!</definedName>
    <definedName name="myy">#REF!</definedName>
    <definedName name="N">#N/A</definedName>
    <definedName name="NAFTA" localSheetId="13">#REF!</definedName>
    <definedName name="NAFTA" localSheetId="14">#REF!</definedName>
    <definedName name="NAFTA" localSheetId="17">#REF!</definedName>
    <definedName name="NAFTA" localSheetId="12">#REF!</definedName>
    <definedName name="NAFTA" localSheetId="11">#REF!</definedName>
    <definedName name="NAFTA">#REF!</definedName>
    <definedName name="nago" localSheetId="13">#REF!</definedName>
    <definedName name="nago" localSheetId="14">#REF!</definedName>
    <definedName name="nago" localSheetId="17">#REF!</definedName>
    <definedName name="nago" localSheetId="12">#REF!</definedName>
    <definedName name="nago" localSheetId="11">#REF!</definedName>
    <definedName name="nago">#REF!</definedName>
    <definedName name="NEW" localSheetId="13">#REF!</definedName>
    <definedName name="NEW" localSheetId="14">#REF!</definedName>
    <definedName name="NEW" localSheetId="17">#REF!</definedName>
    <definedName name="NEW" localSheetId="12">#REF!</definedName>
    <definedName name="NEW" localSheetId="11">#REF!</definedName>
    <definedName name="NEW">#REF!</definedName>
    <definedName name="NEW_E1" localSheetId="5">#REF!</definedName>
    <definedName name="NEW_E1" localSheetId="10">#REF!</definedName>
    <definedName name="NEW_E1" localSheetId="4">#REF!</definedName>
    <definedName name="NEW_E1" localSheetId="14">#REF!</definedName>
    <definedName name="NEW_E1" localSheetId="0">#REF!</definedName>
    <definedName name="NEW_E1" localSheetId="17">#REF!</definedName>
    <definedName name="NEW_E1" localSheetId="7">#REF!</definedName>
    <definedName name="NEW_E1" localSheetId="8">#REF!</definedName>
    <definedName name="NEW_E1" localSheetId="6">#REF!</definedName>
    <definedName name="NEW_E1" localSheetId="9">#REF!</definedName>
    <definedName name="NEW_E1" localSheetId="1">#REF!</definedName>
    <definedName name="NEW_E1" localSheetId="2">#REF!</definedName>
    <definedName name="NEW_E1" localSheetId="3">#REF!</definedName>
    <definedName name="NEW_E1">#REF!</definedName>
    <definedName name="Normal" localSheetId="13">#REF!</definedName>
    <definedName name="Normal" localSheetId="14">#REF!</definedName>
    <definedName name="Normal" localSheetId="17">#REF!</definedName>
    <definedName name="Normal" localSheetId="12">#REF!</definedName>
    <definedName name="Normal" localSheetId="11">#REF!</definedName>
    <definedName name="Normal">#REF!</definedName>
    <definedName name="nov.22" localSheetId="23">'[1]Indice CAC'!#REF!</definedName>
    <definedName name="nov.22">'Indice CAC'!#REF!</definedName>
    <definedName name="nov.23" localSheetId="23">'[1]Indice CAC'!#REF!</definedName>
    <definedName name="nov.23">'Indice CAC'!#REF!</definedName>
    <definedName name="nov.24">'Indice CAC'!$B$8</definedName>
    <definedName name="novi22" localSheetId="23">'[1]Indice CAC'!#REF!</definedName>
    <definedName name="novi22">'Indice CAC'!#REF!</definedName>
    <definedName name="novi23" localSheetId="23">'[1]Indice CAC'!#REF!</definedName>
    <definedName name="novi23">'Indice CAC'!#REF!</definedName>
    <definedName name="novi24">'Indice CAC'!$C$8</definedName>
    <definedName name="NRO" localSheetId="13">#REF!</definedName>
    <definedName name="NRO" localSheetId="14">#REF!</definedName>
    <definedName name="NRO" localSheetId="17">#REF!</definedName>
    <definedName name="NRO" localSheetId="12">#REF!</definedName>
    <definedName name="NRO" localSheetId="11">#REF!</definedName>
    <definedName name="NRO">#REF!</definedName>
    <definedName name="Nro_Pisos" localSheetId="13">#REF!</definedName>
    <definedName name="Nro_Pisos" localSheetId="10">#REF!</definedName>
    <definedName name="Nro_Pisos" localSheetId="4">#REF!</definedName>
    <definedName name="Nro_Pisos" localSheetId="14">#REF!</definedName>
    <definedName name="Nro_Pisos" localSheetId="0">#REF!</definedName>
    <definedName name="Nro_Pisos" localSheetId="17">#REF!</definedName>
    <definedName name="Nro_Pisos" localSheetId="12">#REF!</definedName>
    <definedName name="Nro_Pisos" localSheetId="11">#REF!</definedName>
    <definedName name="Nro_Pisos">#REF!</definedName>
    <definedName name="NUEVAHOJA" localSheetId="13">#REF!</definedName>
    <definedName name="NUEVAHOJA" localSheetId="14">#REF!</definedName>
    <definedName name="NUEVAHOJA" localSheetId="17">#REF!</definedName>
    <definedName name="NUEVAHOJA" localSheetId="12">#REF!</definedName>
    <definedName name="NUEVAHOJA" localSheetId="11">#REF!</definedName>
    <definedName name="NUEVAHOJA">#REF!</definedName>
    <definedName name="Num_Pmt_Per_Year" localSheetId="13">#REF!</definedName>
    <definedName name="Num_Pmt_Per_Year" localSheetId="17">#REF!</definedName>
    <definedName name="Num_Pmt_Per_Year" localSheetId="12">#REF!</definedName>
    <definedName name="Num_Pmt_Per_Year" localSheetId="11">#REF!</definedName>
    <definedName name="Num_Pmt_Per_Year">#REF!</definedName>
    <definedName name="Number_of_Payments" localSheetId="13">MATCH(0.01,'01'!End_Bal,-1)+1</definedName>
    <definedName name="Number_of_Payments" localSheetId="21">MATCH(0.01,End_Bal,-1)+1</definedName>
    <definedName name="Number_of_Payments" localSheetId="22">MATCH(0.01,End_Bal,-1)+1</definedName>
    <definedName name="Number_of_Payments" localSheetId="14">MATCH(0.01,End_Bal,-1)+1</definedName>
    <definedName name="Number_of_Payments" localSheetId="17">MATCH(0.01,'Indice CAC'!End_Bal,-1)+1</definedName>
    <definedName name="Number_of_Payments" localSheetId="19">MATCH(0.01,End_Bal,-1)+1</definedName>
    <definedName name="Number_of_Payments" localSheetId="20">MATCH(0.01,End_Bal,-1)+1</definedName>
    <definedName name="Number_of_Payments" localSheetId="12">MATCH(0.01,'Pto. Costos'!End_Bal,-1)+1</definedName>
    <definedName name="Number_of_Payments" localSheetId="11">MATCH(0.01,'Pto. Vta.'!End_Bal,-1)+1</definedName>
    <definedName name="Number_of_Payments" localSheetId="23">MATCH(0.01,End_Bal,-1)+1</definedName>
    <definedName name="Number_of_Payments">MATCH(0.01,End_Bal,-1)+1</definedName>
    <definedName name="Numero_Unidades_Funcionales" localSheetId="13">#REF!</definedName>
    <definedName name="Numero_Unidades_Funcionales" localSheetId="14">#REF!</definedName>
    <definedName name="Numero_Unidades_Funcionales" localSheetId="17">#REF!</definedName>
    <definedName name="Numero_Unidades_Funcionales" localSheetId="12">#REF!</definedName>
    <definedName name="Numero_Unidades_Funcionales" localSheetId="11">#REF!</definedName>
    <definedName name="Numero_Unidades_Funcionales">#REF!</definedName>
    <definedName name="OBR" localSheetId="17">#REF!</definedName>
    <definedName name="OBR" localSheetId="12">#REF!</definedName>
    <definedName name="OBR" localSheetId="11">#REF!</definedName>
    <definedName name="OBR">#REF!</definedName>
    <definedName name="Obra" localSheetId="13">#REF!</definedName>
    <definedName name="Obra" localSheetId="14">#REF!</definedName>
    <definedName name="Obra" localSheetId="17">#REF!</definedName>
    <definedName name="Obra" localSheetId="12">#REF!</definedName>
    <definedName name="Obra" localSheetId="11">#REF!</definedName>
    <definedName name="Obra">#REF!</definedName>
    <definedName name="OBRA__CASA_LOUZAN" localSheetId="13">#REF!</definedName>
    <definedName name="OBRA__CASA_LOUZAN" localSheetId="21">#REF!</definedName>
    <definedName name="OBRA__CASA_LOUZAN" localSheetId="22">#REF!</definedName>
    <definedName name="OBRA__CASA_LOUZAN" localSheetId="4">#REF!</definedName>
    <definedName name="OBRA__CASA_LOUZAN" localSheetId="14">#REF!</definedName>
    <definedName name="OBRA__CASA_LOUZAN" localSheetId="0">#REF!</definedName>
    <definedName name="OBRA__CASA_LOUZAN" localSheetId="17">#REF!</definedName>
    <definedName name="OBRA__CASA_LOUZAN" localSheetId="7">#REF!</definedName>
    <definedName name="OBRA__CASA_LOUZAN" localSheetId="8">#REF!</definedName>
    <definedName name="OBRA__CASA_LOUZAN" localSheetId="6">#REF!</definedName>
    <definedName name="OBRA__CASA_LOUZAN" localSheetId="9">#REF!</definedName>
    <definedName name="OBRA__CASA_LOUZAN" localSheetId="19">#REF!</definedName>
    <definedName name="OBRA__CASA_LOUZAN" localSheetId="20">#REF!</definedName>
    <definedName name="OBRA__CASA_LOUZAN" localSheetId="12">#REF!</definedName>
    <definedName name="OBRA__CASA_LOUZAN" localSheetId="11">#REF!</definedName>
    <definedName name="OBRA__CASA_LOUZAN">#REF!</definedName>
    <definedName name="OBRA_DE_TOMA" localSheetId="17">#REF!</definedName>
    <definedName name="OBRA_DE_TOMA">#REF!</definedName>
    <definedName name="oct.22" localSheetId="23">'[1]Indice CAC'!#REF!</definedName>
    <definedName name="oct.22">'Indice CAC'!#REF!</definedName>
    <definedName name="oct.23" localSheetId="23">'[1]Indice CAC'!#REF!</definedName>
    <definedName name="oct.23">'Indice CAC'!#REF!</definedName>
    <definedName name="oct.24">'Indice CAC'!$B$7</definedName>
    <definedName name="octu22" localSheetId="23">'[1]Indice CAC'!#REF!</definedName>
    <definedName name="octu22">'Indice CAC'!#REF!</definedName>
    <definedName name="octu23" localSheetId="23">'[1]Indice CAC'!#REF!</definedName>
    <definedName name="octu23">'Indice CAC'!#REF!</definedName>
    <definedName name="octu24">'Indice CAC'!$C$7</definedName>
    <definedName name="OFER" localSheetId="13">#REF!</definedName>
    <definedName name="OFER" localSheetId="17">#REF!</definedName>
    <definedName name="OFER" localSheetId="12">#REF!</definedName>
    <definedName name="OFER" localSheetId="11">#REF!</definedName>
    <definedName name="OFER">#REF!</definedName>
    <definedName name="ofEspecial" localSheetId="13">#REF!</definedName>
    <definedName name="ofEspecial" localSheetId="5">#REF!</definedName>
    <definedName name="ofEspecial" localSheetId="10">#REF!</definedName>
    <definedName name="ofEspecial" localSheetId="4">#REF!</definedName>
    <definedName name="ofEspecial" localSheetId="14">#REF!</definedName>
    <definedName name="ofEspecial" localSheetId="17">#REF!</definedName>
    <definedName name="ofEspecial" localSheetId="7">#REF!</definedName>
    <definedName name="ofEspecial" localSheetId="8">#REF!</definedName>
    <definedName name="ofEspecial" localSheetId="6">#REF!</definedName>
    <definedName name="ofEspecial" localSheetId="9">#REF!</definedName>
    <definedName name="ofEspecial" localSheetId="1">#REF!</definedName>
    <definedName name="ofEspecial" localSheetId="2">#REF!</definedName>
    <definedName name="ofEspecial" localSheetId="3">#REF!</definedName>
    <definedName name="ofEspecial">#REF!</definedName>
    <definedName name="oficial" localSheetId="13">#REF!</definedName>
    <definedName name="oficial" localSheetId="5">#REF!</definedName>
    <definedName name="oficial" localSheetId="10">#REF!</definedName>
    <definedName name="oficial" localSheetId="4">#REF!</definedName>
    <definedName name="oficial" localSheetId="14">#REF!</definedName>
    <definedName name="oficial" localSheetId="17">#REF!</definedName>
    <definedName name="oficial" localSheetId="7">#REF!</definedName>
    <definedName name="oficial" localSheetId="8">#REF!</definedName>
    <definedName name="oficial" localSheetId="6">#REF!</definedName>
    <definedName name="oficial" localSheetId="9">#REF!</definedName>
    <definedName name="oficial" localSheetId="1">#REF!</definedName>
    <definedName name="oficial" localSheetId="2">#REF!</definedName>
    <definedName name="oficial" localSheetId="3">#REF!</definedName>
    <definedName name="oficial">#REF!</definedName>
    <definedName name="Oficial_Especializado" localSheetId="17">#REF!</definedName>
    <definedName name="Oficial_Especializado">#REF!</definedName>
    <definedName name="oficial4" localSheetId="13">#REF!</definedName>
    <definedName name="oficial4" localSheetId="14">#REF!</definedName>
    <definedName name="oficial4" localSheetId="17">#REF!</definedName>
    <definedName name="oficial4" localSheetId="12">#REF!</definedName>
    <definedName name="oficial4" localSheetId="11">#REF!</definedName>
    <definedName name="oficial4">#REF!</definedName>
    <definedName name="oficial6" localSheetId="13">#REF!</definedName>
    <definedName name="oficial6" localSheetId="14">#REF!</definedName>
    <definedName name="oficial6" localSheetId="17">#REF!</definedName>
    <definedName name="oficial6" localSheetId="12">#REF!</definedName>
    <definedName name="oficial6" localSheetId="11">#REF!</definedName>
    <definedName name="oficial6">#REF!</definedName>
    <definedName name="ofies4" localSheetId="13">#REF!</definedName>
    <definedName name="ofies4" localSheetId="14">#REF!</definedName>
    <definedName name="ofies4" localSheetId="17">#REF!</definedName>
    <definedName name="ofies4" localSheetId="12">#REF!</definedName>
    <definedName name="ofies4" localSheetId="11">#REF!</definedName>
    <definedName name="ofies4">#REF!</definedName>
    <definedName name="ofr" localSheetId="13">#REF!</definedName>
    <definedName name="ofr" localSheetId="14">#REF!</definedName>
    <definedName name="ofr" localSheetId="17">#REF!</definedName>
    <definedName name="ofr" localSheetId="12">#REF!</definedName>
    <definedName name="ofr" localSheetId="11">#REF!</definedName>
    <definedName name="ofr">#REF!</definedName>
    <definedName name="Organismo1" localSheetId="13">#REF!</definedName>
    <definedName name="Organismo1" localSheetId="14">#REF!</definedName>
    <definedName name="Organismo1" localSheetId="17">#REF!</definedName>
    <definedName name="Organismo1" localSheetId="12">#REF!</definedName>
    <definedName name="Organismo1" localSheetId="11">#REF!</definedName>
    <definedName name="Organismo1">#REF!</definedName>
    <definedName name="Organismo2" localSheetId="13">#REF!</definedName>
    <definedName name="Organismo2" localSheetId="14">#REF!</definedName>
    <definedName name="Organismo2" localSheetId="17">#REF!</definedName>
    <definedName name="Organismo2" localSheetId="12">#REF!</definedName>
    <definedName name="Organismo2" localSheetId="11">#REF!</definedName>
    <definedName name="Organismo2">#REF!</definedName>
    <definedName name="OSOC" localSheetId="13">#REF!</definedName>
    <definedName name="OSOC" localSheetId="17">#REF!</definedName>
    <definedName name="OSOC" localSheetId="12">#REF!</definedName>
    <definedName name="OSOC" localSheetId="11">#REF!</definedName>
    <definedName name="OSOC">#REF!</definedName>
    <definedName name="OTRA" localSheetId="17">#REF!</definedName>
    <definedName name="OTRA">#REF!</definedName>
    <definedName name="OTROS" localSheetId="17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13">#REF!</definedName>
    <definedName name="PASE" localSheetId="21">#REF!</definedName>
    <definedName name="PASE" localSheetId="22">#REF!</definedName>
    <definedName name="PASE" localSheetId="5">#REF!</definedName>
    <definedName name="PASE" localSheetId="10">#REF!</definedName>
    <definedName name="PASE" localSheetId="4">#REF!</definedName>
    <definedName name="PASE" localSheetId="0">#REF!</definedName>
    <definedName name="PASE" localSheetId="17">#REF!</definedName>
    <definedName name="PASE" localSheetId="7">#REF!</definedName>
    <definedName name="PASE" localSheetId="8">#REF!</definedName>
    <definedName name="PASE" localSheetId="6">#REF!</definedName>
    <definedName name="PASE" localSheetId="9">#REF!</definedName>
    <definedName name="PASE" localSheetId="19">#REF!</definedName>
    <definedName name="PASE" localSheetId="20">#REF!</definedName>
    <definedName name="PASE" localSheetId="12">#REF!</definedName>
    <definedName name="PASE" localSheetId="11">#REF!</definedName>
    <definedName name="PASE" localSheetId="1">#REF!</definedName>
    <definedName name="PASE" localSheetId="2">#REF!</definedName>
    <definedName name="PASE" localSheetId="3">#REF!</definedName>
    <definedName name="PASE">#REF!</definedName>
    <definedName name="paso" localSheetId="13">#REF!</definedName>
    <definedName name="paso" localSheetId="14">#REF!</definedName>
    <definedName name="paso" localSheetId="17">#REF!</definedName>
    <definedName name="paso" localSheetId="12">#REF!</definedName>
    <definedName name="paso" localSheetId="11">#REF!</definedName>
    <definedName name="paso">#REF!</definedName>
    <definedName name="Pay_Date" localSheetId="13">#REF!</definedName>
    <definedName name="Pay_Date" localSheetId="17">#REF!</definedName>
    <definedName name="Pay_Date" localSheetId="12">#REF!</definedName>
    <definedName name="Pay_Date" localSheetId="11">#REF!</definedName>
    <definedName name="Pay_Date">#REF!</definedName>
    <definedName name="Pay_Num" localSheetId="17">#REF!</definedName>
    <definedName name="Pay_Num">#REF!</definedName>
    <definedName name="Payment_Date" localSheetId="13">DATE(YEAR(Loan_Start),MONTH(Loan_Start)+Payment_Number,DAY(Loan_Start))</definedName>
    <definedName name="Payment_Date" localSheetId="21">DATE(YEAR(Loan_Start),MONTH(Loan_Start)+Payment_Number,DAY(Loan_Start))</definedName>
    <definedName name="Payment_Date" localSheetId="22">DATE(YEAR([0]!Loan_Start),MONTH([0]!Loan_Start)+Payment_Number,DAY([0]!Loan_Start))</definedName>
    <definedName name="Payment_Date" localSheetId="16">DATE(YEAR([0]!Loan_Start),MONTH([0]!Loan_Start)+Payment_Number,DAY([0]!Loan_Start))</definedName>
    <definedName name="Payment_Date" localSheetId="14">DATE(YEAR(Loan_Start),MONTH(Loan_Start)+Payment_Number,DAY(Loan_Start))</definedName>
    <definedName name="Payment_Date" localSheetId="17">DATE(YEAR(Loan_Start),MONTH(Loan_Start)+Payment_Number,DAY(Loan_Start))</definedName>
    <definedName name="Payment_Date" localSheetId="7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9">DATE(YEAR([0]!Loan_Start),MONTH([0]!Loan_Start)+Payment_Number,DAY([0]!Loan_Start))</definedName>
    <definedName name="Payment_Date" localSheetId="20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2">DATE(YEAR(#REF!),MONTH(#REF!)+Payment_Number,DAY(#REF!))</definedName>
    <definedName name="Payment_Date" localSheetId="3">DATE(YEAR(#REF!),MONTH(#REF!)+Payment_Number,DAY(#REF!))</definedName>
    <definedName name="Payment_Date" localSheetId="23">DATE(YEAR(Loan_Start),MONTH(Loan_Start)+Payment_Number,DAY(Loan_Start))</definedName>
    <definedName name="Payment_Date">DATE(YEAR(Loan_Start),MONTH(Loan_Start)+Payment_Number,DAY(Loan_Start))</definedName>
    <definedName name="PEESC" localSheetId="13">#REF!</definedName>
    <definedName name="PEESC" localSheetId="4">#REF!</definedName>
    <definedName name="PEESC" localSheetId="14">#REF!</definedName>
    <definedName name="PEESC" localSheetId="0">#REF!</definedName>
    <definedName name="PEESC" localSheetId="17">#REF!</definedName>
    <definedName name="PEESC" localSheetId="12">#REF!</definedName>
    <definedName name="PEESC" localSheetId="11">#REF!</definedName>
    <definedName name="PEESC">#REF!</definedName>
    <definedName name="pepe" localSheetId="13">#REF!</definedName>
    <definedName name="pepe" localSheetId="14">#REF!</definedName>
    <definedName name="pepe" localSheetId="17">#REF!</definedName>
    <definedName name="pepe" localSheetId="12">#REF!</definedName>
    <definedName name="pepe" localSheetId="11">#REF!</definedName>
    <definedName name="pepe">#REF!</definedName>
    <definedName name="PerfilC" comment="PERFIL C" localSheetId="13">#REF!</definedName>
    <definedName name="PerfilC" comment="PERFIL C" localSheetId="17">#REF!</definedName>
    <definedName name="PerfilC" comment="PERFIL C" localSheetId="12">#REF!</definedName>
    <definedName name="PerfilC" comment="PERFIL C" localSheetId="11">#REF!</definedName>
    <definedName name="PerfilC" comment="PERFIL C">#REF!</definedName>
    <definedName name="perfiles" localSheetId="17">#REF!</definedName>
    <definedName name="perfiles">#REF!</definedName>
    <definedName name="Pern." localSheetId="17">#REF!</definedName>
    <definedName name="Pern.">#REF!</definedName>
    <definedName name="pf">#REF!</definedName>
    <definedName name="PIAM" localSheetId="13">#REF!</definedName>
    <definedName name="PIAM" localSheetId="4">#REF!</definedName>
    <definedName name="PIAM" localSheetId="14">#REF!</definedName>
    <definedName name="PIAM" localSheetId="0">#REF!</definedName>
    <definedName name="PIAM" localSheetId="17">#REF!</definedName>
    <definedName name="PIAM" localSheetId="12">#REF!</definedName>
    <definedName name="PIAM" localSheetId="11">#REF!</definedName>
    <definedName name="PIAM">#REF!</definedName>
    <definedName name="pibe" localSheetId="13">#REF!</definedName>
    <definedName name="pibe" localSheetId="14">#REF!</definedName>
    <definedName name="pibe" localSheetId="17">#REF!</definedName>
    <definedName name="pibe" localSheetId="12">#REF!</definedName>
    <definedName name="pibe" localSheetId="11">#REF!</definedName>
    <definedName name="pibe">#REF!</definedName>
    <definedName name="pintref" localSheetId="13">#REF!</definedName>
    <definedName name="pintref" localSheetId="14">#REF!</definedName>
    <definedName name="pintref" localSheetId="17">#REF!</definedName>
    <definedName name="pintref" localSheetId="12">#REF!</definedName>
    <definedName name="pintref" localSheetId="11">#REF!</definedName>
    <definedName name="pintref">#REF!</definedName>
    <definedName name="Pl" localSheetId="13">#REF!</definedName>
    <definedName name="Pl" localSheetId="17">#REF!</definedName>
    <definedName name="Pl" localSheetId="12">#REF!</definedName>
    <definedName name="Pl" localSheetId="11">#REF!</definedName>
    <definedName name="Pl">#REF!</definedName>
    <definedName name="PLAN" localSheetId="17">#REF!</definedName>
    <definedName name="PLAN">#REF!</definedName>
    <definedName name="PLANTA_DE_TRATAMIENTO" localSheetId="17">#REF!</definedName>
    <definedName name="PLANTA_DE_TRATAMIENTO">#REF!</definedName>
    <definedName name="plazo">#REF!</definedName>
    <definedName name="plazo.mes" localSheetId="13">#REF!</definedName>
    <definedName name="plazo.mes" localSheetId="14">#REF!</definedName>
    <definedName name="plazo.mes" localSheetId="17">#REF!</definedName>
    <definedName name="plazo.mes" localSheetId="12">#REF!</definedName>
    <definedName name="plazo.mes" localSheetId="11">#REF!</definedName>
    <definedName name="plazo.mes">#REF!</definedName>
    <definedName name="Plazo_de_obra" localSheetId="13">#REF!</definedName>
    <definedName name="Plazo_de_obra" localSheetId="14">#REF!</definedName>
    <definedName name="Plazo_de_obra" localSheetId="17">#REF!</definedName>
    <definedName name="Plazo_de_obra" localSheetId="12">#REF!</definedName>
    <definedName name="Plazo_de_obra" localSheetId="11">#REF!</definedName>
    <definedName name="Plazo_de_obra">#REF!</definedName>
    <definedName name="Plazo_Obra" localSheetId="13">#REF!</definedName>
    <definedName name="Plazo_Obra" localSheetId="14">#REF!</definedName>
    <definedName name="Plazo_Obra" localSheetId="17">#REF!</definedName>
    <definedName name="Plazo_Obra" localSheetId="12">#REF!</definedName>
    <definedName name="Plazo_Obra" localSheetId="11">#REF!</definedName>
    <definedName name="Plazo_Obra">#REF!</definedName>
    <definedName name="Plus" localSheetId="13">#REF!</definedName>
    <definedName name="Plus" localSheetId="14">#REF!</definedName>
    <definedName name="Plus" localSheetId="17">#REF!</definedName>
    <definedName name="Plus" localSheetId="12">#REF!</definedName>
    <definedName name="Plus" localSheetId="11">#REF!</definedName>
    <definedName name="Plus">#REF!</definedName>
    <definedName name="Plus_No_Remunerativo" localSheetId="13">#REF!</definedName>
    <definedName name="Plus_No_Remunerativo" localSheetId="14">#REF!</definedName>
    <definedName name="Plus_No_Remunerativo" localSheetId="17">#REF!</definedName>
    <definedName name="Plus_No_Remunerativo" localSheetId="12">#REF!</definedName>
    <definedName name="Plus_No_Remunerativo" localSheetId="11">#REF!</definedName>
    <definedName name="Plus_No_Remunerativo">#REF!</definedName>
    <definedName name="Plus_No_Remunerativo_Ayudante" localSheetId="13">#REF!</definedName>
    <definedName name="Plus_No_Remunerativo_Ayudante" localSheetId="14">#REF!</definedName>
    <definedName name="Plus_No_Remunerativo_Ayudante" localSheetId="17">#REF!</definedName>
    <definedName name="Plus_No_Remunerativo_Ayudante" localSheetId="12">#REF!</definedName>
    <definedName name="Plus_No_Remunerativo_Ayudante" localSheetId="11">#REF!</definedName>
    <definedName name="Plus_No_Remunerativo_Ayudante">#REF!</definedName>
    <definedName name="Plus_No_Remunerativo_Oficial" localSheetId="13">#REF!</definedName>
    <definedName name="Plus_No_Remunerativo_Oficial" localSheetId="14">#REF!</definedName>
    <definedName name="Plus_No_Remunerativo_Oficial" localSheetId="17">#REF!</definedName>
    <definedName name="Plus_No_Remunerativo_Oficial" localSheetId="12">#REF!</definedName>
    <definedName name="Plus_No_Remunerativo_Oficial" localSheetId="11">#REF!</definedName>
    <definedName name="Plus_No_Remunerativo_Oficial">#REF!</definedName>
    <definedName name="Plus_No_Remunerativo_Oficial_Especializado" localSheetId="13">#REF!</definedName>
    <definedName name="Plus_No_Remunerativo_Oficial_Especializado" localSheetId="14">#REF!</definedName>
    <definedName name="Plus_No_Remunerativo_Oficial_Especializado" localSheetId="17">#REF!</definedName>
    <definedName name="Plus_No_Remunerativo_Oficial_Especializado" localSheetId="12">#REF!</definedName>
    <definedName name="Plus_No_Remunerativo_Oficial_Especializado" localSheetId="11">#REF!</definedName>
    <definedName name="Plus_No_Remunerativo_Oficial_Especializado">#REF!</definedName>
    <definedName name="Pmax" localSheetId="13">#REF!</definedName>
    <definedName name="Pmax" localSheetId="17">#REF!</definedName>
    <definedName name="Pmax" localSheetId="12">#REF!</definedName>
    <definedName name="Pmax" localSheetId="11">#REF!</definedName>
    <definedName name="Pmax">#REF!</definedName>
    <definedName name="PNA" localSheetId="13">#REF!</definedName>
    <definedName name="PNA" localSheetId="10">#REF!</definedName>
    <definedName name="PNA" localSheetId="4">#REF!</definedName>
    <definedName name="PNA" localSheetId="14">#REF!</definedName>
    <definedName name="PNA" localSheetId="0">#REF!</definedName>
    <definedName name="PNA" localSheetId="17">#REF!</definedName>
    <definedName name="PNA" localSheetId="12">#REF!</definedName>
    <definedName name="PNA" localSheetId="11">#REF!</definedName>
    <definedName name="PNA">#REF!</definedName>
    <definedName name="PNAV" localSheetId="13">#REF!</definedName>
    <definedName name="PNAV" localSheetId="4">#REF!</definedName>
    <definedName name="PNAV" localSheetId="14">#REF!</definedName>
    <definedName name="PNAV" localSheetId="0">#REF!</definedName>
    <definedName name="PNAV" localSheetId="17">#REF!</definedName>
    <definedName name="PNAV" localSheetId="12">#REF!</definedName>
    <definedName name="PNAV" localSheetId="11">#REF!</definedName>
    <definedName name="PNAV">#REF!</definedName>
    <definedName name="PNL" localSheetId="13">#REF!</definedName>
    <definedName name="PNL" localSheetId="14">#REF!</definedName>
    <definedName name="PNL" localSheetId="0">#REF!</definedName>
    <definedName name="PNL" localSheetId="17">#REF!</definedName>
    <definedName name="PNL" localSheetId="12">#REF!</definedName>
    <definedName name="PNL" localSheetId="11">#REF!</definedName>
    <definedName name="PNL">#REF!</definedName>
    <definedName name="PNP" localSheetId="13">#REF!</definedName>
    <definedName name="PNP" localSheetId="14">#REF!</definedName>
    <definedName name="PNP" localSheetId="0">#REF!</definedName>
    <definedName name="PNP" localSheetId="17">#REF!</definedName>
    <definedName name="PNP" localSheetId="12">#REF!</definedName>
    <definedName name="PNP" localSheetId="11">#REF!</definedName>
    <definedName name="PNP">#REF!</definedName>
    <definedName name="POficial" localSheetId="13">#REF!</definedName>
    <definedName name="POficial" localSheetId="14">#REF!</definedName>
    <definedName name="POficial" localSheetId="17">#REF!</definedName>
    <definedName name="POficial" localSheetId="12">#REF!</definedName>
    <definedName name="POficial" localSheetId="11">#REF!</definedName>
    <definedName name="POficial">#REF!</definedName>
    <definedName name="Pp" localSheetId="13">#REF!</definedName>
    <definedName name="Pp" localSheetId="17">#REF!</definedName>
    <definedName name="Pp" localSheetId="12">#REF!</definedName>
    <definedName name="Pp" localSheetId="11">#REF!</definedName>
    <definedName name="Pp">#REF!</definedName>
    <definedName name="PPA" localSheetId="13">#REF!</definedName>
    <definedName name="PPA" localSheetId="14">#REF!</definedName>
    <definedName name="PPA" localSheetId="0">#REF!</definedName>
    <definedName name="PPA" localSheetId="17">#REF!</definedName>
    <definedName name="PPA" localSheetId="12">#REF!</definedName>
    <definedName name="PPA" localSheetId="11">#REF!</definedName>
    <definedName name="PPA">#REF!</definedName>
    <definedName name="PPCOL" localSheetId="13">#REF!</definedName>
    <definedName name="PPCOL" localSheetId="14">#REF!</definedName>
    <definedName name="PPCOL" localSheetId="0">#REF!</definedName>
    <definedName name="PPCOL" localSheetId="17">#REF!</definedName>
    <definedName name="PPCOL" localSheetId="12">#REF!</definedName>
    <definedName name="PPCOL" localSheetId="11">#REF!</definedName>
    <definedName name="PPCOL">#REF!</definedName>
    <definedName name="praccesoreadec" localSheetId="13">#REF!</definedName>
    <definedName name="praccesoreadec" localSheetId="14">#REF!</definedName>
    <definedName name="praccesoreadec" localSheetId="17">#REF!</definedName>
    <definedName name="praccesoreadec" localSheetId="12">#REF!</definedName>
    <definedName name="praccesoreadec" localSheetId="11">#REF!</definedName>
    <definedName name="praccesoreadec">#REF!</definedName>
    <definedName name="praceroptereadec" localSheetId="13">#REF!</definedName>
    <definedName name="praceroptereadec" localSheetId="14">#REF!</definedName>
    <definedName name="praceroptereadec" localSheetId="17">#REF!</definedName>
    <definedName name="praceroptereadec" localSheetId="12">#REF!</definedName>
    <definedName name="praceroptereadec" localSheetId="11">#REF!</definedName>
    <definedName name="praceroptereadec">#REF!</definedName>
    <definedName name="pracondct" localSheetId="13">#REF!</definedName>
    <definedName name="pracondct" localSheetId="14">#REF!</definedName>
    <definedName name="pracondct" localSheetId="17">#REF!</definedName>
    <definedName name="pracondct" localSheetId="12">#REF!</definedName>
    <definedName name="pracondct" localSheetId="11">#REF!</definedName>
    <definedName name="pracondct">#REF!</definedName>
    <definedName name="praguareadec" localSheetId="13">#REF!</definedName>
    <definedName name="praguareadec" localSheetId="14">#REF!</definedName>
    <definedName name="praguareadec" localSheetId="17">#REF!</definedName>
    <definedName name="praguareadec" localSheetId="12">#REF!</definedName>
    <definedName name="praguareadec" localSheetId="11">#REF!</definedName>
    <definedName name="praguareadec">#REF!</definedName>
    <definedName name="pralcantreadec" localSheetId="13">#REF!</definedName>
    <definedName name="pralcantreadec" localSheetId="14">#REF!</definedName>
    <definedName name="pralcantreadec" localSheetId="17">#REF!</definedName>
    <definedName name="pralcantreadec" localSheetId="12">#REF!</definedName>
    <definedName name="pralcantreadec" localSheetId="11">#REF!</definedName>
    <definedName name="pralcantreadec">#REF!</definedName>
    <definedName name="pralteo" localSheetId="13">#REF!</definedName>
    <definedName name="pralteo" localSheetId="17">#REF!</definedName>
    <definedName name="pralteo" localSheetId="12">#REF!</definedName>
    <definedName name="pralteo" localSheetId="11">#REF!</definedName>
    <definedName name="pralteo">#REF!</definedName>
    <definedName name="pralteomyg" localSheetId="13">#REF!</definedName>
    <definedName name="pralteomyg" localSheetId="14">#REF!</definedName>
    <definedName name="pralteomyg" localSheetId="17">#REF!</definedName>
    <definedName name="pralteomyg" localSheetId="12">#REF!</definedName>
    <definedName name="pralteomyg" localSheetId="11">#REF!</definedName>
    <definedName name="pralteomyg">#REF!</definedName>
    <definedName name="pralteoreadec" localSheetId="13">#REF!</definedName>
    <definedName name="pralteoreadec" localSheetId="14">#REF!</definedName>
    <definedName name="pralteoreadec" localSheetId="17">#REF!</definedName>
    <definedName name="pralteoreadec" localSheetId="12">#REF!</definedName>
    <definedName name="pralteoreadec" localSheetId="11">#REF!</definedName>
    <definedName name="pralteoreadec">#REF!</definedName>
    <definedName name="prapoyos" localSheetId="13">#REF!</definedName>
    <definedName name="prapoyos" localSheetId="17">#REF!</definedName>
    <definedName name="prapoyos" localSheetId="12">#REF!</definedName>
    <definedName name="prapoyos" localSheetId="11">#REF!</definedName>
    <definedName name="prapoyos">#REF!</definedName>
    <definedName name="prarena" localSheetId="17">#REF!</definedName>
    <definedName name="prarena">#REF!</definedName>
    <definedName name="prarenatrit" localSheetId="17">#REF!</definedName>
    <definedName name="prarenatrit">#REF!</definedName>
    <definedName name="prb" localSheetId="13">#REF!</definedName>
    <definedName name="prb" localSheetId="14">#REF!</definedName>
    <definedName name="prb" localSheetId="17">#REF!</definedName>
    <definedName name="prb" localSheetId="12">#REF!</definedName>
    <definedName name="prb" localSheetId="11">#REF!</definedName>
    <definedName name="prb">#REF!</definedName>
    <definedName name="prbacheo" localSheetId="13">#REF!</definedName>
    <definedName name="prbacheo" localSheetId="17">#REF!</definedName>
    <definedName name="prbacheo" localSheetId="12">#REF!</definedName>
    <definedName name="prbacheo" localSheetId="11">#REF!</definedName>
    <definedName name="prbacheo">#REF!</definedName>
    <definedName name="prbacheosan" localSheetId="17">#REF!</definedName>
    <definedName name="prbacheosan">#REF!</definedName>
    <definedName name="prbacheosanreadec" localSheetId="13">#REF!</definedName>
    <definedName name="prbacheosanreadec" localSheetId="14">#REF!</definedName>
    <definedName name="prbacheosanreadec" localSheetId="17">#REF!</definedName>
    <definedName name="prbacheosanreadec" localSheetId="12">#REF!</definedName>
    <definedName name="prbacheosanreadec" localSheetId="11">#REF!</definedName>
    <definedName name="prbacheosanreadec">#REF!</definedName>
    <definedName name="prbandas" localSheetId="13">#REF!</definedName>
    <definedName name="prbandas" localSheetId="17">#REF!</definedName>
    <definedName name="prbandas" localSheetId="12">#REF!</definedName>
    <definedName name="prbandas" localSheetId="11">#REF!</definedName>
    <definedName name="prbandas">#REF!</definedName>
    <definedName name="prbandassonoras" localSheetId="17">#REF!</definedName>
    <definedName name="prbandassonoras">#REF!</definedName>
    <definedName name="prbandassonorasreadec" localSheetId="13">#REF!</definedName>
    <definedName name="prbandassonorasreadec" localSheetId="14">#REF!</definedName>
    <definedName name="prbandassonorasreadec" localSheetId="17">#REF!</definedName>
    <definedName name="prbandassonorasreadec" localSheetId="12">#REF!</definedName>
    <definedName name="prbandassonorasreadec" localSheetId="11">#REF!</definedName>
    <definedName name="prbandassonorasreadec">#REF!</definedName>
    <definedName name="prbandassonreadec" localSheetId="13">#REF!</definedName>
    <definedName name="prbandassonreadec" localSheetId="14">#REF!</definedName>
    <definedName name="prbandassonreadec" localSheetId="17">#REF!</definedName>
    <definedName name="prbandassonreadec" localSheetId="12">#REF!</definedName>
    <definedName name="prbandassonreadec" localSheetId="11">#REF!</definedName>
    <definedName name="prbandassonreadec">#REF!</definedName>
    <definedName name="prbanq" localSheetId="13">#REF!</definedName>
    <definedName name="prbanq" localSheetId="17">#REF!</definedName>
    <definedName name="prbanq" localSheetId="12">#REF!</definedName>
    <definedName name="prbanq" localSheetId="11">#REF!</definedName>
    <definedName name="prbanq">#REF!</definedName>
    <definedName name="prbanqreadec" localSheetId="13">#REF!</definedName>
    <definedName name="prbanqreadec" localSheetId="14">#REF!</definedName>
    <definedName name="prbanqreadec" localSheetId="17">#REF!</definedName>
    <definedName name="prbanqreadec" localSheetId="12">#REF!</definedName>
    <definedName name="prbanqreadec" localSheetId="11">#REF!</definedName>
    <definedName name="prbanqreadec">#REF!</definedName>
    <definedName name="prbanquina" localSheetId="13">#REF!</definedName>
    <definedName name="prbanquina" localSheetId="17">#REF!</definedName>
    <definedName name="prbanquina" localSheetId="12">#REF!</definedName>
    <definedName name="prbanquina" localSheetId="11">#REF!</definedName>
    <definedName name="prbanquina">#REF!</definedName>
    <definedName name="prbanquinasreadec" localSheetId="13">#REF!</definedName>
    <definedName name="prbanquinasreadec" localSheetId="14">#REF!</definedName>
    <definedName name="prbanquinasreadec" localSheetId="17">#REF!</definedName>
    <definedName name="prbanquinasreadec" localSheetId="12">#REF!</definedName>
    <definedName name="prbanquinasreadec" localSheetId="11">#REF!</definedName>
    <definedName name="prbanquinasreadec">#REF!</definedName>
    <definedName name="prbaranda" localSheetId="13">#REF!</definedName>
    <definedName name="prbaranda" localSheetId="17">#REF!</definedName>
    <definedName name="prbaranda" localSheetId="12">#REF!</definedName>
    <definedName name="prbaranda" localSheetId="11">#REF!</definedName>
    <definedName name="prbaranda">#REF!</definedName>
    <definedName name="prbarandareadec" localSheetId="13">#REF!</definedName>
    <definedName name="prbarandareadec" localSheetId="14">#REF!</definedName>
    <definedName name="prbarandareadec" localSheetId="17">#REF!</definedName>
    <definedName name="prbarandareadec" localSheetId="12">#REF!</definedName>
    <definedName name="prbarandareadec" localSheetId="11">#REF!</definedName>
    <definedName name="prbarandareadec">#REF!</definedName>
    <definedName name="prbarpasareadec" localSheetId="13">#REF!</definedName>
    <definedName name="prbarpasareadec" localSheetId="17">#REF!</definedName>
    <definedName name="prbarpasareadec" localSheetId="12">#REF!</definedName>
    <definedName name="prbarpasareadec" localSheetId="11">#REF!</definedName>
    <definedName name="prbarpasareadec">#REF!</definedName>
    <definedName name="prbase" localSheetId="17">#REF!</definedName>
    <definedName name="prbase">#REF!</definedName>
    <definedName name="prbasereadec" localSheetId="13">#REF!</definedName>
    <definedName name="prbasereadec" localSheetId="14">#REF!</definedName>
    <definedName name="prbasereadec" localSheetId="17">#REF!</definedName>
    <definedName name="prbasereadec" localSheetId="12">#REF!</definedName>
    <definedName name="prbasereadec" localSheetId="11">#REF!</definedName>
    <definedName name="prbasereadec">#REF!</definedName>
    <definedName name="prbflexreadec" localSheetId="13">#REF!</definedName>
    <definedName name="prbflexreadec" localSheetId="14">#REF!</definedName>
    <definedName name="prbflexreadec" localSheetId="17">#REF!</definedName>
    <definedName name="prbflexreadec" localSheetId="12">#REF!</definedName>
    <definedName name="prbflexreadec" localSheetId="11">#REF!</definedName>
    <definedName name="prbflexreadec">#REF!</definedName>
    <definedName name="prc5readec" localSheetId="13">#REF!</definedName>
    <definedName name="prc5readec" localSheetId="14">#REF!</definedName>
    <definedName name="prc5readec" localSheetId="17">#REF!</definedName>
    <definedName name="prc5readec" localSheetId="12">#REF!</definedName>
    <definedName name="prc5readec" localSheetId="11">#REF!</definedName>
    <definedName name="prc5readec">#REF!</definedName>
    <definedName name="prc6readec" localSheetId="13">#REF!</definedName>
    <definedName name="prc6readec" localSheetId="14">#REF!</definedName>
    <definedName name="prc6readec" localSheetId="17">#REF!</definedName>
    <definedName name="prc6readec" localSheetId="12">#REF!</definedName>
    <definedName name="prc6readec" localSheetId="11">#REF!</definedName>
    <definedName name="prc6readec">#REF!</definedName>
    <definedName name="prca70100readec" localSheetId="13">#REF!</definedName>
    <definedName name="prca70100readec" localSheetId="14">#REF!</definedName>
    <definedName name="prca70100readec" localSheetId="17">#REF!</definedName>
    <definedName name="prca70100readec" localSheetId="12">#REF!</definedName>
    <definedName name="prca70100readec" localSheetId="11">#REF!</definedName>
    <definedName name="prca70100readec">#REF!</definedName>
    <definedName name="prcabezales" localSheetId="13">#REF!</definedName>
    <definedName name="prcabezales" localSheetId="17">#REF!</definedName>
    <definedName name="prcabezales" localSheetId="12">#REF!</definedName>
    <definedName name="prcabezales" localSheetId="11">#REF!</definedName>
    <definedName name="prcabezales">#REF!</definedName>
    <definedName name="prcalesreadec" localSheetId="13">#REF!</definedName>
    <definedName name="prcalesreadec" localSheetId="14">#REF!</definedName>
    <definedName name="prcalesreadec" localSheetId="17">#REF!</definedName>
    <definedName name="prcalesreadec" localSheetId="12">#REF!</definedName>
    <definedName name="prcalesreadec" localSheetId="11">#REF!</definedName>
    <definedName name="prcalesreadec">#REF!</definedName>
    <definedName name="prcalzadahorm" localSheetId="13">#REF!</definedName>
    <definedName name="prcalzadahorm" localSheetId="17">#REF!</definedName>
    <definedName name="prcalzadahorm" localSheetId="12">#REF!</definedName>
    <definedName name="prcalzadahorm" localSheetId="11">#REF!</definedName>
    <definedName name="prcalzadahorm">#REF!</definedName>
    <definedName name="prcalzadas" localSheetId="17">#REF!</definedName>
    <definedName name="prcalzadas">#REF!</definedName>
    <definedName name="prcemreadec" localSheetId="13">#REF!</definedName>
    <definedName name="prcemreadec" localSheetId="14">#REF!</definedName>
    <definedName name="prcemreadec" localSheetId="17">#REF!</definedName>
    <definedName name="prcemreadec" localSheetId="12">#REF!</definedName>
    <definedName name="prcemreadec" localSheetId="11">#REF!</definedName>
    <definedName name="prcemreadec">#REF!</definedName>
    <definedName name="prciclovía" localSheetId="13">#REF!</definedName>
    <definedName name="prciclovía" localSheetId="17">#REF!</definedName>
    <definedName name="prciclovía" localSheetId="12">#REF!</definedName>
    <definedName name="prciclovía" localSheetId="11">#REF!</definedName>
    <definedName name="prciclovía">#REF!</definedName>
    <definedName name="prcicloviareadec" localSheetId="13">#REF!</definedName>
    <definedName name="prcicloviareadec" localSheetId="14">#REF!</definedName>
    <definedName name="prcicloviareadec" localSheetId="17">#REF!</definedName>
    <definedName name="prcicloviareadec" localSheetId="12">#REF!</definedName>
    <definedName name="prcicloviareadec" localSheetId="11">#REF!</definedName>
    <definedName name="prcicloviareadec">#REF!</definedName>
    <definedName name="prcolocacionalc" localSheetId="13">#REF!</definedName>
    <definedName name="prcolocacionalc" localSheetId="17">#REF!</definedName>
    <definedName name="prcolocacionalc" localSheetId="12">#REF!</definedName>
    <definedName name="prcolocacionalc" localSheetId="11">#REF!</definedName>
    <definedName name="prcolocacionalc">#REF!</definedName>
    <definedName name="prcolocacionalcreadec" localSheetId="13">#REF!</definedName>
    <definedName name="prcolocacionalcreadec" localSheetId="14">#REF!</definedName>
    <definedName name="prcolocacionalcreadec" localSheetId="17">#REF!</definedName>
    <definedName name="prcolocacionalcreadec" localSheetId="12">#REF!</definedName>
    <definedName name="prcolocacionalcreadec" localSheetId="11">#REF!</definedName>
    <definedName name="prcolocacionalcreadec">#REF!</definedName>
    <definedName name="prcolumnas" localSheetId="13">#REF!</definedName>
    <definedName name="prcolumnas" localSheetId="17">#REF!</definedName>
    <definedName name="prcolumnas" localSheetId="12">#REF!</definedName>
    <definedName name="prcolumnas" localSheetId="11">#REF!</definedName>
    <definedName name="prcolumnas">#REF!</definedName>
    <definedName name="prcortepasto" localSheetId="13">#REF!</definedName>
    <definedName name="prcortepasto" localSheetId="14">#REF!</definedName>
    <definedName name="prcortepasto" localSheetId="17">#REF!</definedName>
    <definedName name="prcortepasto" localSheetId="12">#REF!</definedName>
    <definedName name="prcortepasto" localSheetId="11">#REF!</definedName>
    <definedName name="prcortepasto">#REF!</definedName>
    <definedName name="prcortepastoreadec" localSheetId="13">#REF!</definedName>
    <definedName name="prcortepastoreadec" localSheetId="14">#REF!</definedName>
    <definedName name="prcortepastoreadec" localSheetId="17">#REF!</definedName>
    <definedName name="prcortepastoreadec" localSheetId="12">#REF!</definedName>
    <definedName name="prcortepastoreadec" localSheetId="11">#REF!</definedName>
    <definedName name="prcortepastoreadec">#REF!</definedName>
    <definedName name="prdemalcantarilla" localSheetId="13">#REF!</definedName>
    <definedName name="prdemalcantarilla" localSheetId="17">#REF!</definedName>
    <definedName name="prdemalcantarilla" localSheetId="12">#REF!</definedName>
    <definedName name="prdemalcantarilla" localSheetId="11">#REF!</definedName>
    <definedName name="prdemalcantarilla">#REF!</definedName>
    <definedName name="prdemalcantarillareadec" localSheetId="13">#REF!</definedName>
    <definedName name="prdemalcantarillareadec" localSheetId="14">#REF!</definedName>
    <definedName name="prdemalcantarillareadec" localSheetId="17">#REF!</definedName>
    <definedName name="prdemalcantarillareadec" localSheetId="12">#REF!</definedName>
    <definedName name="prdemalcantarillareadec" localSheetId="11">#REF!</definedName>
    <definedName name="prdemalcantarillareadec">#REF!</definedName>
    <definedName name="prdesembanque" localSheetId="13">#REF!</definedName>
    <definedName name="prdesembanque" localSheetId="14">#REF!</definedName>
    <definedName name="prdesembanque" localSheetId="17">#REF!</definedName>
    <definedName name="prdesembanque" localSheetId="12">#REF!</definedName>
    <definedName name="prdesembanque" localSheetId="11">#REF!</definedName>
    <definedName name="prdesembanque">#REF!</definedName>
    <definedName name="prdesembanquereadec" localSheetId="13">#REF!</definedName>
    <definedName name="prdesembanquereadec" localSheetId="14">#REF!</definedName>
    <definedName name="prdesembanquereadec" localSheetId="17">#REF!</definedName>
    <definedName name="prdesembanquereadec" localSheetId="12">#REF!</definedName>
    <definedName name="prdesembanquereadec" localSheetId="11">#REF!</definedName>
    <definedName name="prdesembanquereadec">#REF!</definedName>
    <definedName name="prdren" localSheetId="13">#REF!</definedName>
    <definedName name="prdren" localSheetId="17">#REF!</definedName>
    <definedName name="prdren" localSheetId="12">#REF!</definedName>
    <definedName name="prdren" localSheetId="11">#REF!</definedName>
    <definedName name="prdren">#REF!</definedName>
    <definedName name="pre" localSheetId="13">#REF!</definedName>
    <definedName name="pre" localSheetId="14">#REF!</definedName>
    <definedName name="pre" localSheetId="17">#REF!</definedName>
    <definedName name="pre" localSheetId="12">#REF!</definedName>
    <definedName name="pre" localSheetId="11">#REF!</definedName>
    <definedName name="pre">#REF!</definedName>
    <definedName name="PRECIO" localSheetId="13">#REF!</definedName>
    <definedName name="PRECIO" localSheetId="17">#REF!</definedName>
    <definedName name="PRECIO" localSheetId="12">#REF!</definedName>
    <definedName name="PRECIO" localSheetId="11">#REF!</definedName>
    <definedName name="PRECIO">#REF!</definedName>
    <definedName name="PRECIO_TOTAL" localSheetId="13">#REF!</definedName>
    <definedName name="PRECIO_TOTAL" localSheetId="14">#REF!</definedName>
    <definedName name="PRECIO_TOTAL" localSheetId="17">#REF!</definedName>
    <definedName name="PRECIO_TOTAL" localSheetId="12">#REF!</definedName>
    <definedName name="PRECIO_TOTAL" localSheetId="11">#REF!</definedName>
    <definedName name="PRECIO_TOTAL">#REF!</definedName>
    <definedName name="premerreadec" localSheetId="13">#REF!</definedName>
    <definedName name="premerreadec" localSheetId="14">#REF!</definedName>
    <definedName name="premerreadec" localSheetId="17">#REF!</definedName>
    <definedName name="premerreadec" localSheetId="12">#REF!</definedName>
    <definedName name="premerreadec" localSheetId="11">#REF!</definedName>
    <definedName name="premerreadec">#REF!</definedName>
    <definedName name="PRENUEVO" localSheetId="13">#REF!</definedName>
    <definedName name="PRENUEVO" localSheetId="5">#REF!</definedName>
    <definedName name="PRENUEVO" localSheetId="10">#REF!</definedName>
    <definedName name="PRENUEVO" localSheetId="14">#REF!</definedName>
    <definedName name="PRENUEVO" localSheetId="17">#REF!</definedName>
    <definedName name="PRENUEVO" localSheetId="24">#REF!</definedName>
    <definedName name="PRENUEVO" localSheetId="7">#REF!</definedName>
    <definedName name="PRENUEVO" localSheetId="8">#REF!</definedName>
    <definedName name="PRENUEVO" localSheetId="6">#REF!</definedName>
    <definedName name="PRENUEVO" localSheetId="9">#REF!</definedName>
    <definedName name="PRENUEVO" localSheetId="1">#REF!</definedName>
    <definedName name="PRENUEVO" localSheetId="2">#REF!</definedName>
    <definedName name="PRENUEVO" localSheetId="3">#REF!</definedName>
    <definedName name="PRENUEVO">#REF!</definedName>
    <definedName name="prescarif" localSheetId="13">#REF!</definedName>
    <definedName name="prescarif" localSheetId="14">#REF!</definedName>
    <definedName name="prescarif" localSheetId="17">#REF!</definedName>
    <definedName name="prescarif" localSheetId="12">#REF!</definedName>
    <definedName name="prescarif" localSheetId="11">#REF!</definedName>
    <definedName name="prescarif">#REF!</definedName>
    <definedName name="prescarifbanq" localSheetId="13">#REF!</definedName>
    <definedName name="prescarifbanq" localSheetId="17">#REF!</definedName>
    <definedName name="prescarifbanq" localSheetId="12">#REF!</definedName>
    <definedName name="prescarifbanq" localSheetId="11">#REF!</definedName>
    <definedName name="prescarifbanq">#REF!</definedName>
    <definedName name="prescarifbanqreadec" localSheetId="13">#REF!</definedName>
    <definedName name="prescarifbanqreadec" localSheetId="14">#REF!</definedName>
    <definedName name="prescarifbanqreadec" localSheetId="17">#REF!</definedName>
    <definedName name="prescarifbanqreadec" localSheetId="12">#REF!</definedName>
    <definedName name="prescarifbanqreadec" localSheetId="11">#REF!</definedName>
    <definedName name="prescarifbanqreadec">#REF!</definedName>
    <definedName name="prescarifreadec" localSheetId="13">#REF!</definedName>
    <definedName name="prescarifreadec" localSheetId="14">#REF!</definedName>
    <definedName name="prescarifreadec" localSheetId="17">#REF!</definedName>
    <definedName name="prescarifreadec" localSheetId="12">#REF!</definedName>
    <definedName name="prescarifreadec" localSheetId="11">#REF!</definedName>
    <definedName name="prescarifreadec">#REF!</definedName>
    <definedName name="Presión_de_Vapor_del_Agua" localSheetId="13">#REF!</definedName>
    <definedName name="Presión_de_Vapor_del_Agua" localSheetId="17">#REF!</definedName>
    <definedName name="Presión_de_Vapor_del_Agua" localSheetId="12">#REF!</definedName>
    <definedName name="Presión_de_Vapor_del_Agua" localSheetId="11">#REF!</definedName>
    <definedName name="Presión_de_Vapor_del_Agua">#REF!</definedName>
    <definedName name="prestribos" localSheetId="17">#REF!</definedName>
    <definedName name="prestribos">#REF!</definedName>
    <definedName name="PRESUP" localSheetId="13">#REF!</definedName>
    <definedName name="PRESUP" localSheetId="21">#REF!</definedName>
    <definedName name="PRESUP" localSheetId="22">#REF!</definedName>
    <definedName name="PRESUP" localSheetId="5">#REF!</definedName>
    <definedName name="PRESUP" localSheetId="10">#REF!</definedName>
    <definedName name="PRESUP" localSheetId="4">#REF!</definedName>
    <definedName name="PRESUP" localSheetId="0">#REF!</definedName>
    <definedName name="PRESUP" localSheetId="17">#REF!</definedName>
    <definedName name="PRESUP" localSheetId="7">#REF!</definedName>
    <definedName name="PRESUP" localSheetId="8">#REF!</definedName>
    <definedName name="PRESUP" localSheetId="6">#REF!</definedName>
    <definedName name="PRESUP" localSheetId="9">#REF!</definedName>
    <definedName name="PRESUP" localSheetId="19">#REF!</definedName>
    <definedName name="PRESUP" localSheetId="20">#REF!</definedName>
    <definedName name="PRESUP" localSheetId="12">#REF!</definedName>
    <definedName name="PRESUP" localSheetId="11">#REF!</definedName>
    <definedName name="PRESUP" localSheetId="1">#REF!</definedName>
    <definedName name="PRESUP" localSheetId="2">#REF!</definedName>
    <definedName name="PRESUP" localSheetId="3">#REF!</definedName>
    <definedName name="PRESUP">#REF!</definedName>
    <definedName name="presuporcentaje" localSheetId="13">#REF!</definedName>
    <definedName name="presuporcentaje" localSheetId="21">#REF!</definedName>
    <definedName name="presuporcentaje" localSheetId="22">#REF!</definedName>
    <definedName name="presuporcentaje" localSheetId="5">#REF!</definedName>
    <definedName name="presuporcentaje" localSheetId="10">#REF!</definedName>
    <definedName name="presuporcentaje" localSheetId="4">#REF!</definedName>
    <definedName name="presuporcentaje" localSheetId="0">#REF!</definedName>
    <definedName name="presuporcentaje" localSheetId="7">#REF!</definedName>
    <definedName name="presuporcentaje" localSheetId="8">#REF!</definedName>
    <definedName name="presuporcentaje" localSheetId="6">#REF!</definedName>
    <definedName name="presuporcentaje" localSheetId="9">#REF!</definedName>
    <definedName name="presuporcentaje" localSheetId="19">#REF!</definedName>
    <definedName name="presuporcentaje" localSheetId="20">#REF!</definedName>
    <definedName name="presuporcentaje" localSheetId="12">#REF!</definedName>
    <definedName name="presuporcentaje" localSheetId="11">#REF!</definedName>
    <definedName name="presuporcentaje" localSheetId="1">#REF!</definedName>
    <definedName name="presuporcentaje" localSheetId="2">#REF!</definedName>
    <definedName name="presuporcentaje" localSheetId="3">#REF!</definedName>
    <definedName name="presuporcentaje">#REF!</definedName>
    <definedName name="PRESUPUESTO">#REF!</definedName>
    <definedName name="PreviousYearCAt">#REF!</definedName>
    <definedName name="prexcavreadec" localSheetId="13">#REF!</definedName>
    <definedName name="prexcavreadec" localSheetId="14">#REF!</definedName>
    <definedName name="prexcavreadec" localSheetId="17">#REF!</definedName>
    <definedName name="prexcavreadec" localSheetId="12">#REF!</definedName>
    <definedName name="prexcavreadec" localSheetId="11">#REF!</definedName>
    <definedName name="prexcavreadec">#REF!</definedName>
    <definedName name="prfereadec" localSheetId="13">#REF!</definedName>
    <definedName name="prfereadec" localSheetId="14">#REF!</definedName>
    <definedName name="prfereadec" localSheetId="17">#REF!</definedName>
    <definedName name="prfereadec" localSheetId="12">#REF!</definedName>
    <definedName name="prfereadec" localSheetId="11">#REF!</definedName>
    <definedName name="prfereadec">#REF!</definedName>
    <definedName name="prfisuras" localSheetId="13">#REF!</definedName>
    <definedName name="prfisuras" localSheetId="17">#REF!</definedName>
    <definedName name="prfisuras" localSheetId="12">#REF!</definedName>
    <definedName name="prfisuras" localSheetId="11">#REF!</definedName>
    <definedName name="prfisuras">#REF!</definedName>
    <definedName name="prfisurasreadec" localSheetId="13">#REF!</definedName>
    <definedName name="prfisurasreadec" localSheetId="14">#REF!</definedName>
    <definedName name="prfisurasreadec" localSheetId="17">#REF!</definedName>
    <definedName name="prfisurasreadec" localSheetId="12">#REF!</definedName>
    <definedName name="prfisurasreadec" localSheetId="11">#REF!</definedName>
    <definedName name="prfisurasreadec">#REF!</definedName>
    <definedName name="prfresado" localSheetId="13">#REF!</definedName>
    <definedName name="prfresado" localSheetId="17">#REF!</definedName>
    <definedName name="prfresado" localSheetId="12">#REF!</definedName>
    <definedName name="prfresado" localSheetId="11">#REF!</definedName>
    <definedName name="prfresado">#REF!</definedName>
    <definedName name="prfresado22cm" localSheetId="17">#REF!</definedName>
    <definedName name="prfresado22cm">#REF!</definedName>
    <definedName name="prfresadoreadec" localSheetId="13">#REF!</definedName>
    <definedName name="prfresadoreadec" localSheetId="14">#REF!</definedName>
    <definedName name="prfresadoreadec" localSheetId="17">#REF!</definedName>
    <definedName name="prfresadoreadec" localSheetId="12">#REF!</definedName>
    <definedName name="prfresadoreadec" localSheetId="11">#REF!</definedName>
    <definedName name="prfresadoreadec">#REF!</definedName>
    <definedName name="prhermoso" localSheetId="13">#REF!</definedName>
    <definedName name="prhermoso" localSheetId="17">#REF!</definedName>
    <definedName name="prhermoso" localSheetId="12">#REF!</definedName>
    <definedName name="prhermoso" localSheetId="11">#REF!</definedName>
    <definedName name="prhermoso">#REF!</definedName>
    <definedName name="prhermosoreadec" localSheetId="13">#REF!</definedName>
    <definedName name="prhermosoreadec" localSheetId="14">#REF!</definedName>
    <definedName name="prhermosoreadec" localSheetId="17">#REF!</definedName>
    <definedName name="prhermosoreadec" localSheetId="12">#REF!</definedName>
    <definedName name="prhermosoreadec" localSheetId="11">#REF!</definedName>
    <definedName name="prhermosoreadec">#REF!</definedName>
    <definedName name="prhlosaptereadec" localSheetId="13">#REF!</definedName>
    <definedName name="prhlosaptereadec" localSheetId="14">#REF!</definedName>
    <definedName name="prhlosaptereadec" localSheetId="17">#REF!</definedName>
    <definedName name="prhlosaptereadec" localSheetId="12">#REF!</definedName>
    <definedName name="prhlosaptereadec" localSheetId="11">#REF!</definedName>
    <definedName name="prhlosaptereadec">#REF!</definedName>
    <definedName name="prhor" localSheetId="13">#REF!</definedName>
    <definedName name="prhor" localSheetId="14">#REF!</definedName>
    <definedName name="prhor" localSheetId="17">#REF!</definedName>
    <definedName name="prhor" localSheetId="12">#REF!</definedName>
    <definedName name="prhor" localSheetId="11">#REF!</definedName>
    <definedName name="prhor">#REF!</definedName>
    <definedName name="prhorcunreadec" localSheetId="13">#REF!</definedName>
    <definedName name="prhorcunreadec" localSheetId="14">#REF!</definedName>
    <definedName name="prhorcunreadec" localSheetId="17">#REF!</definedName>
    <definedName name="prhorcunreadec" localSheetId="12">#REF!</definedName>
    <definedName name="prhorcunreadec" localSheetId="11">#REF!</definedName>
    <definedName name="prhorcunreadec">#REF!</definedName>
    <definedName name="PRIMERA" localSheetId="13">#REF!</definedName>
    <definedName name="PRIMERA" localSheetId="14">#REF!</definedName>
    <definedName name="PRIMERA" localSheetId="17">#REF!</definedName>
    <definedName name="PRIMERA" localSheetId="12">#REF!</definedName>
    <definedName name="PRIMERA" localSheetId="11">#REF!</definedName>
    <definedName name="PRIMERA">#REF!</definedName>
    <definedName name="primpr" localSheetId="13">#REF!</definedName>
    <definedName name="primpr" localSheetId="14">#REF!</definedName>
    <definedName name="primpr" localSheetId="17">#REF!</definedName>
    <definedName name="primpr" localSheetId="12">#REF!</definedName>
    <definedName name="primpr" localSheetId="11">#REF!</definedName>
    <definedName name="primpr">#REF!</definedName>
    <definedName name="primpreforzada" localSheetId="13">#REF!</definedName>
    <definedName name="primpreforzada" localSheetId="17">#REF!</definedName>
    <definedName name="primpreforzada" localSheetId="12">#REF!</definedName>
    <definedName name="primpreforzada" localSheetId="11">#REF!</definedName>
    <definedName name="primpreforzada">#REF!</definedName>
    <definedName name="primpreforzadareadec" localSheetId="13">#REF!</definedName>
    <definedName name="primpreforzadareadec" localSheetId="14">#REF!</definedName>
    <definedName name="primpreforzadareadec" localSheetId="17">#REF!</definedName>
    <definedName name="primpreforzadareadec" localSheetId="12">#REF!</definedName>
    <definedName name="primpreforzadareadec" localSheetId="11">#REF!</definedName>
    <definedName name="primpreforzadareadec">#REF!</definedName>
    <definedName name="primprimreadec" localSheetId="13">#REF!</definedName>
    <definedName name="primprimreadec" localSheetId="14">#REF!</definedName>
    <definedName name="primprimreadec" localSheetId="17">#REF!</definedName>
    <definedName name="primprimreadec" localSheetId="12">#REF!</definedName>
    <definedName name="primprimreadec" localSheetId="11">#REF!</definedName>
    <definedName name="primprimreadec">#REF!</definedName>
    <definedName name="primprref" localSheetId="13">#REF!</definedName>
    <definedName name="primprref" localSheetId="17">#REF!</definedName>
    <definedName name="primprref" localSheetId="12">#REF!</definedName>
    <definedName name="primprref" localSheetId="11">#REF!</definedName>
    <definedName name="primprref">#REF!</definedName>
    <definedName name="Princ" localSheetId="17">#REF!</definedName>
    <definedName name="Princ">#REF!</definedName>
    <definedName name="_xlnm.Print_Area" localSheetId="13">'01'!$A$1:$X$235</definedName>
    <definedName name="_xlnm.Print_Area" localSheetId="21">'01 (2)'!$B$1:$Y$235</definedName>
    <definedName name="_xlnm.Print_Area" localSheetId="22">ADICIONALES!$A$1:$X$12</definedName>
    <definedName name="_xlnm.Print_Area" localSheetId="4">Facturacion!$C$84:$J$144</definedName>
    <definedName name="_xlnm.Print_Area" localSheetId="14">#REF!</definedName>
    <definedName name="_xlnm.Print_Area" localSheetId="17">#REF!</definedName>
    <definedName name="_xlnm.Print_Area" localSheetId="7">'M.O. ALBA'!$A$1:$U$39</definedName>
    <definedName name="_xlnm.Print_Area" localSheetId="8">'M.O. ELE'!$A$1:$U$31</definedName>
    <definedName name="_xlnm.Print_Area" localSheetId="6">'M.O. HORM'!$A$1:$U$59</definedName>
    <definedName name="_xlnm.Print_Area" localSheetId="9">'M.O. PLO'!$A$1:$U$39</definedName>
    <definedName name="_xlnm.Print_Area" localSheetId="19">'Pto. 01 Cert.'!$B$1:$M$59</definedName>
    <definedName name="_xlnm.Print_Area" localSheetId="20">'Pto. 02 Cert.'!$B$1:$M$57</definedName>
    <definedName name="_xlnm.Print_Area" localSheetId="12">'Pto. Costos'!$B$1:$N$242</definedName>
    <definedName name="_xlnm.Print_Area" localSheetId="11">'Pto. Vta.'!$B$1:$N$240</definedName>
    <definedName name="_xlnm.Print_Area">#REF!</definedName>
    <definedName name="PRINT_AREA_MI" localSheetId="13">#REF!</definedName>
    <definedName name="PRINT_AREA_MI" localSheetId="14">#REF!</definedName>
    <definedName name="PRINT_AREA_MI" localSheetId="17">#REF!</definedName>
    <definedName name="PRINT_AREA_MI" localSheetId="12">#REF!</definedName>
    <definedName name="PRINT_AREA_MI" localSheetId="11">#REF!</definedName>
    <definedName name="PRINT_AREA_MI">#REF!</definedName>
    <definedName name="Print_Area_Reset" localSheetId="13">OFFSET('01'!Full_Print,0,0,Last_Row)</definedName>
    <definedName name="Print_Area_Reset" localSheetId="21">OFFSET(Full_Print,0,0,Last_Row)</definedName>
    <definedName name="Print_Area_Reset" localSheetId="22">OFFSET(Full_Print,0,0,Last_Row)</definedName>
    <definedName name="Print_Area_Reset" localSheetId="14">OFFSET(Full_Print,0,0,Last_Row)</definedName>
    <definedName name="Print_Area_Reset" localSheetId="17">OFFSET('Indice CAC'!Full_Print,0,0,Last_Row)</definedName>
    <definedName name="Print_Area_Reset" localSheetId="19">OFFSET(Full_Print,0,0,Last_Row)</definedName>
    <definedName name="Print_Area_Reset" localSheetId="20">OFFSET(Full_Print,0,0,Last_Row)</definedName>
    <definedName name="Print_Area_Reset" localSheetId="12">OFFSET('Pto. Costos'!Full_Print,0,0,[0]!Last_Row)</definedName>
    <definedName name="Print_Area_Reset" localSheetId="11">OFFSET('Pto. Vta.'!Full_Print,0,0,Last_Row)</definedName>
    <definedName name="Print_Area_Reset" localSheetId="23">OFFSET(Full_Print,0,0,Last_Row)</definedName>
    <definedName name="Print_Area_Reset">OFFSET(Full_Print,0,0,Last_Row)</definedName>
    <definedName name="_xlnm.Print_Titles" localSheetId="13">'01'!$7:$7</definedName>
    <definedName name="_xlnm.Print_Titles" localSheetId="21">'01 (2)'!$7:$7</definedName>
    <definedName name="_xlnm.Print_Titles" localSheetId="22">ADICIONALES!$7:$7</definedName>
    <definedName name="_xlnm.Print_Titles" localSheetId="14">#REF!</definedName>
    <definedName name="_xlnm.Print_Titles" localSheetId="17">#REF!</definedName>
    <definedName name="_xlnm.Print_Titles" localSheetId="19">'Pto. 01 Cert.'!$7:$7</definedName>
    <definedName name="_xlnm.Print_Titles" localSheetId="20">'Pto. 02 Cert.'!$7:$7</definedName>
    <definedName name="_xlnm.Print_Titles" localSheetId="12">'Pto. Costos'!$7:$7</definedName>
    <definedName name="_xlnm.Print_Titles" localSheetId="11">'Pto. Vta.'!$7:$7</definedName>
    <definedName name="_xlnm.Print_Titles">#REF!</definedName>
    <definedName name="printercanal" localSheetId="17">#REF!</definedName>
    <definedName name="printercanal" localSheetId="12">#REF!</definedName>
    <definedName name="printercanal" localSheetId="11">#REF!</definedName>
    <definedName name="printercanal">#REF!</definedName>
    <definedName name="prinvernal" localSheetId="13">#REF!</definedName>
    <definedName name="prinvernal" localSheetId="14">#REF!</definedName>
    <definedName name="prinvernal" localSheetId="17">#REF!</definedName>
    <definedName name="prinvernal" localSheetId="12">#REF!</definedName>
    <definedName name="prinvernal" localSheetId="11">#REF!</definedName>
    <definedName name="prinvernal">#REF!</definedName>
    <definedName name="prjunta" localSheetId="13">#REF!</definedName>
    <definedName name="prjunta" localSheetId="17">#REF!</definedName>
    <definedName name="prjunta" localSheetId="12">#REF!</definedName>
    <definedName name="prjunta" localSheetId="11">#REF!</definedName>
    <definedName name="prjunta">#REF!</definedName>
    <definedName name="prjuntas" localSheetId="17">#REF!</definedName>
    <definedName name="prjuntas">#REF!</definedName>
    <definedName name="prlechada" localSheetId="17">#REF!</definedName>
    <definedName name="prlechada">#REF!</definedName>
    <definedName name="prlechadareadec">#REF!</definedName>
    <definedName name="prlimpieza" localSheetId="13">#REF!</definedName>
    <definedName name="prlimpieza" localSheetId="14">#REF!</definedName>
    <definedName name="prlimpieza" localSheetId="17">#REF!</definedName>
    <definedName name="prlimpieza" localSheetId="12">#REF!</definedName>
    <definedName name="prlimpieza" localSheetId="11">#REF!</definedName>
    <definedName name="prlimpieza">#REF!</definedName>
    <definedName name="prlimpiezareadec" localSheetId="13">#REF!</definedName>
    <definedName name="prlimpiezareadec" localSheetId="14">#REF!</definedName>
    <definedName name="prlimpiezareadec" localSheetId="17">#REF!</definedName>
    <definedName name="prlimpiezareadec" localSheetId="12">#REF!</definedName>
    <definedName name="prlimpiezareadec" localSheetId="11">#REF!</definedName>
    <definedName name="prlimpiezareadec">#REF!</definedName>
    <definedName name="prlimpseñales" localSheetId="13">#REF!</definedName>
    <definedName name="prlimpseñales" localSheetId="14">#REF!</definedName>
    <definedName name="prlimpseñales" localSheetId="17">#REF!</definedName>
    <definedName name="prlimpseñales" localSheetId="12">#REF!</definedName>
    <definedName name="prlimpseñales" localSheetId="11">#REF!</definedName>
    <definedName name="prlimpseñales">#REF!</definedName>
    <definedName name="prlimpseñalesreadec" localSheetId="13">#REF!</definedName>
    <definedName name="prlimpseñalesreadec" localSheetId="14">#REF!</definedName>
    <definedName name="prlimpseñalesreadec" localSheetId="17">#REF!</definedName>
    <definedName name="prlimpseñalesreadec" localSheetId="12">#REF!</definedName>
    <definedName name="prlimpseñalesreadec" localSheetId="11">#REF!</definedName>
    <definedName name="prlimpseñalesreadec">#REF!</definedName>
    <definedName name="prlimptransp" localSheetId="13">#REF!</definedName>
    <definedName name="prlimptransp" localSheetId="14">#REF!</definedName>
    <definedName name="prlimptransp" localSheetId="17">#REF!</definedName>
    <definedName name="prlimptransp" localSheetId="12">#REF!</definedName>
    <definedName name="prlimptransp" localSheetId="11">#REF!</definedName>
    <definedName name="prlimptransp">#REF!</definedName>
    <definedName name="prlosa" localSheetId="13">#REF!</definedName>
    <definedName name="prlosa" localSheetId="17">#REF!</definedName>
    <definedName name="prlosa" localSheetId="12">#REF!</definedName>
    <definedName name="prlosa" localSheetId="11">#REF!</definedName>
    <definedName name="prlosa">#REF!</definedName>
    <definedName name="prmatbanquina" localSheetId="17">#REF!</definedName>
    <definedName name="prmatbanquina">#REF!</definedName>
    <definedName name="prmatbanquinareadec" localSheetId="13">#REF!</definedName>
    <definedName name="prmatbanquinareadec" localSheetId="14">#REF!</definedName>
    <definedName name="prmatbanquinareadec" localSheetId="17">#REF!</definedName>
    <definedName name="prmatbanquinareadec" localSheetId="12">#REF!</definedName>
    <definedName name="prmatbanquinareadec" localSheetId="11">#REF!</definedName>
    <definedName name="prmatbanquinareadec">#REF!</definedName>
    <definedName name="prmaterialbase" localSheetId="13">#REF!</definedName>
    <definedName name="prmaterialbase" localSheetId="14">#REF!</definedName>
    <definedName name="prmaterialbase" localSheetId="17">#REF!</definedName>
    <definedName name="prmaterialbase" localSheetId="12">#REF!</definedName>
    <definedName name="prmaterialbase" localSheetId="11">#REF!</definedName>
    <definedName name="prmaterialbase">#REF!</definedName>
    <definedName name="prmicroaglomerado" localSheetId="13">#REF!</definedName>
    <definedName name="prmicroaglomerado" localSheetId="17">#REF!</definedName>
    <definedName name="prmicroaglomerado" localSheetId="12">#REF!</definedName>
    <definedName name="prmicroaglomerado" localSheetId="11">#REF!</definedName>
    <definedName name="prmicroaglomerado">#REF!</definedName>
    <definedName name="prmicroreadec" localSheetId="13">#REF!</definedName>
    <definedName name="prmicroreadec" localSheetId="14">#REF!</definedName>
    <definedName name="prmicroreadec" localSheetId="17">#REF!</definedName>
    <definedName name="prmicroreadec" localSheetId="12">#REF!</definedName>
    <definedName name="prmicroreadec" localSheetId="11">#REF!</definedName>
    <definedName name="prmicroreadec">#REF!</definedName>
    <definedName name="prmontaje" localSheetId="13">#REF!</definedName>
    <definedName name="prmontaje" localSheetId="17">#REF!</definedName>
    <definedName name="prmontaje" localSheetId="12">#REF!</definedName>
    <definedName name="prmontaje" localSheetId="11">#REF!</definedName>
    <definedName name="prmontaje">#REF!</definedName>
    <definedName name="pro" localSheetId="13" hidden="1">{"DECIMAL",#N/A,FALSE,"02"}</definedName>
    <definedName name="pro" localSheetId="21" hidden="1">{"DECIMAL",#N/A,FALSE,"02"}</definedName>
    <definedName name="pro" localSheetId="22" hidden="1">{"DECIMAL",#N/A,FALSE,"02"}</definedName>
    <definedName name="pro" localSheetId="14" hidden="1">{"DECIMAL",#N/A,FALSE,"02"}</definedName>
    <definedName name="pro" localSheetId="17" hidden="1">{"DECIMAL",#N/A,FALSE,"02"}</definedName>
    <definedName name="pro" localSheetId="19" hidden="1">{"DECIMAL",#N/A,FALSE,"02"}</definedName>
    <definedName name="pro" localSheetId="20" hidden="1">{"DECIMAL",#N/A,FALSE,"02"}</definedName>
    <definedName name="pro" localSheetId="12" hidden="1">{"DECIMAL",#N/A,FALSE,"02"}</definedName>
    <definedName name="pro" localSheetId="11" hidden="1">{"DECIMAL",#N/A,FALSE,"02"}</definedName>
    <definedName name="pro" localSheetId="23" hidden="1">{"DECIMAL",#N/A,FALSE,"02"}</definedName>
    <definedName name="pro" hidden="1">{"DECIMAL",#N/A,FALSE,"02"}</definedName>
    <definedName name="Prof_fund" localSheetId="13">#REF!</definedName>
    <definedName name="Prof_fund" localSheetId="14">#REF!</definedName>
    <definedName name="Prof_fund" localSheetId="17">#REF!</definedName>
    <definedName name="Prof_fund" localSheetId="12">#REF!</definedName>
    <definedName name="Prof_fund" localSheetId="11">#REF!</definedName>
    <definedName name="Prof_fund">#REF!</definedName>
    <definedName name="Prof_Tensor" localSheetId="13">#REF!</definedName>
    <definedName name="Prof_Tensor" localSheetId="14">#REF!</definedName>
    <definedName name="Prof_Tensor" localSheetId="17">#REF!</definedName>
    <definedName name="Prof_Tensor" localSheetId="12">#REF!</definedName>
    <definedName name="Prof_Tensor" localSheetId="11">#REF!</definedName>
    <definedName name="Prof_Tensor">#REF!</definedName>
    <definedName name="Progress" localSheetId="13" hidden="1">{#N/A,#N/A,FALSE,"Monthly report";#N/A,#N/A,FALSE,"M.R. UEM";#N/A,#N/A,FALSE,"M.R. VCM"}</definedName>
    <definedName name="Progress" localSheetId="21" hidden="1">{#N/A,#N/A,FALSE,"Monthly report";#N/A,#N/A,FALSE,"M.R. UEM";#N/A,#N/A,FALSE,"M.R. VCM"}</definedName>
    <definedName name="Progress" localSheetId="22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localSheetId="17" hidden="1">{#N/A,#N/A,FALSE,"Monthly report";#N/A,#N/A,FALSE,"M.R. UEM";#N/A,#N/A,FALSE,"M.R. VCM"}</definedName>
    <definedName name="Progress" localSheetId="19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localSheetId="11" hidden="1">{#N/A,#N/A,FALSE,"Monthly report";#N/A,#N/A,FALSE,"M.R. UEM";#N/A,#N/A,FALSE,"M.R. VCM"}</definedName>
    <definedName name="Progress" localSheetId="23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VEEDOR">#REF!</definedName>
    <definedName name="Proyecto1" localSheetId="13">#REF!</definedName>
    <definedName name="Proyecto1" localSheetId="14">#REF!</definedName>
    <definedName name="Proyecto1" localSheetId="17">#REF!</definedName>
    <definedName name="Proyecto1" localSheetId="12">#REF!</definedName>
    <definedName name="Proyecto1" localSheetId="11">#REF!</definedName>
    <definedName name="Proyecto1">#REF!</definedName>
    <definedName name="Proyecto2" localSheetId="13">#REF!</definedName>
    <definedName name="Proyecto2" localSheetId="14">#REF!</definedName>
    <definedName name="Proyecto2" localSheetId="17">#REF!</definedName>
    <definedName name="Proyecto2" localSheetId="12">#REF!</definedName>
    <definedName name="Proyecto2" localSheetId="11">#REF!</definedName>
    <definedName name="Proyecto2">#REF!</definedName>
    <definedName name="prPartido" localSheetId="13">#REF!</definedName>
    <definedName name="prPartido" localSheetId="17">#REF!</definedName>
    <definedName name="prPartido" localSheetId="12">#REF!</definedName>
    <definedName name="prPartido" localSheetId="11">#REF!</definedName>
    <definedName name="prPartido">#REF!</definedName>
    <definedName name="prPCCura" localSheetId="17">#REF!</definedName>
    <definedName name="prPCCura">#REF!</definedName>
    <definedName name="prperfilado" localSheetId="13">#REF!</definedName>
    <definedName name="prperfilado" localSheetId="14">#REF!</definedName>
    <definedName name="prperfilado" localSheetId="17">#REF!</definedName>
    <definedName name="prperfilado" localSheetId="12">#REF!</definedName>
    <definedName name="prperfilado" localSheetId="11">#REF!</definedName>
    <definedName name="prperfilado">#REF!</definedName>
    <definedName name="prperfiladoreadec" localSheetId="13">#REF!</definedName>
    <definedName name="prperfiladoreadec" localSheetId="14">#REF!</definedName>
    <definedName name="prperfiladoreadec" localSheetId="17">#REF!</definedName>
    <definedName name="prperfiladoreadec" localSheetId="12">#REF!</definedName>
    <definedName name="prperfiladoreadec" localSheetId="11">#REF!</definedName>
    <definedName name="prperfiladoreadec">#REF!</definedName>
    <definedName name="prpiedratrit" localSheetId="13">#REF!</definedName>
    <definedName name="prpiedratrit" localSheetId="17">#REF!</definedName>
    <definedName name="prpiedratrit" localSheetId="12">#REF!</definedName>
    <definedName name="prpiedratrit" localSheetId="11">#REF!</definedName>
    <definedName name="prpiedratrit">#REF!</definedName>
    <definedName name="prpilotes" localSheetId="17">#REF!</definedName>
    <definedName name="prpilotes">#REF!</definedName>
    <definedName name="prpintado" localSheetId="13">#REF!</definedName>
    <definedName name="prpintado" localSheetId="14">#REF!</definedName>
    <definedName name="prpintado" localSheetId="17">#REF!</definedName>
    <definedName name="prpintado" localSheetId="12">#REF!</definedName>
    <definedName name="prpintado" localSheetId="11">#REF!</definedName>
    <definedName name="prpintado">#REF!</definedName>
    <definedName name="prpintadoreadec" localSheetId="13">#REF!</definedName>
    <definedName name="prpintadoreadec" localSheetId="14">#REF!</definedName>
    <definedName name="prpintadoreadec" localSheetId="17">#REF!</definedName>
    <definedName name="prpintadoreadec" localSheetId="12">#REF!</definedName>
    <definedName name="prpintadoreadec" localSheetId="11">#REF!</definedName>
    <definedName name="prpintadoreadec">#REF!</definedName>
    <definedName name="prpostereadec" localSheetId="13">#REF!</definedName>
    <definedName name="prpostereadec" localSheetId="17">#REF!</definedName>
    <definedName name="prpostereadec" localSheetId="12">#REF!</definedName>
    <definedName name="prpostereadec" localSheetId="11">#REF!</definedName>
    <definedName name="prpostereadec">#REF!</definedName>
    <definedName name="prpretiles" localSheetId="13">#REF!</definedName>
    <definedName name="prpretiles" localSheetId="14">#REF!</definedName>
    <definedName name="prpretiles" localSheetId="17">#REF!</definedName>
    <definedName name="prpretiles" localSheetId="12">#REF!</definedName>
    <definedName name="prpretiles" localSheetId="11">#REF!</definedName>
    <definedName name="prpretiles">#REF!</definedName>
    <definedName name="prpretilesreadec" localSheetId="13">#REF!</definedName>
    <definedName name="prpretilesreadec" localSheetId="14">#REF!</definedName>
    <definedName name="prpretilesreadec" localSheetId="17">#REF!</definedName>
    <definedName name="prpretilesreadec" localSheetId="12">#REF!</definedName>
    <definedName name="prpretilesreadec" localSheetId="11">#REF!</definedName>
    <definedName name="prpretilesreadec">#REF!</definedName>
    <definedName name="prprolongacion" localSheetId="13">#REF!</definedName>
    <definedName name="prprolongacion" localSheetId="17">#REF!</definedName>
    <definedName name="prprolongacion" localSheetId="12">#REF!</definedName>
    <definedName name="prprolongacion" localSheetId="11">#REF!</definedName>
    <definedName name="prprolongacion">#REF!</definedName>
    <definedName name="prprolongacionreadec" localSheetId="13">#REF!</definedName>
    <definedName name="prprolongacionreadec" localSheetId="14">#REF!</definedName>
    <definedName name="prprolongacionreadec" localSheetId="17">#REF!</definedName>
    <definedName name="prprolongacionreadec" localSheetId="12">#REF!</definedName>
    <definedName name="prprolongacionreadec" localSheetId="11">#REF!</definedName>
    <definedName name="prprolongacionreadec">#REF!</definedName>
    <definedName name="prproteccion" localSheetId="13">#REF!</definedName>
    <definedName name="prproteccion" localSheetId="17">#REF!</definedName>
    <definedName name="prproteccion" localSheetId="12">#REF!</definedName>
    <definedName name="prproteccion" localSheetId="11">#REF!</definedName>
    <definedName name="prproteccion">#REF!</definedName>
    <definedName name="prpteccurareadec" localSheetId="13">#REF!</definedName>
    <definedName name="prpteccurareadec" localSheetId="14">#REF!</definedName>
    <definedName name="prpteccurareadec" localSheetId="17">#REF!</definedName>
    <definedName name="prpteccurareadec" localSheetId="12">#REF!</definedName>
    <definedName name="prpteccurareadec" localSheetId="11">#REF!</definedName>
    <definedName name="prpteccurareadec">#REF!</definedName>
    <definedName name="prrecolprereadec" localSheetId="13">#REF!</definedName>
    <definedName name="prrecolprereadec" localSheetId="14">#REF!</definedName>
    <definedName name="prrecolprereadec" localSheetId="17">#REF!</definedName>
    <definedName name="prrecolprereadec" localSheetId="12">#REF!</definedName>
    <definedName name="prrecolprereadec" localSheetId="11">#REF!</definedName>
    <definedName name="prrecolprereadec">#REF!</definedName>
    <definedName name="prrefuerzo6" localSheetId="13">#REF!</definedName>
    <definedName name="prrefuerzo6" localSheetId="17">#REF!</definedName>
    <definedName name="prrefuerzo6" localSheetId="12">#REF!</definedName>
    <definedName name="prrefuerzo6" localSheetId="11">#REF!</definedName>
    <definedName name="prrefuerzo6">#REF!</definedName>
    <definedName name="prrefuerzo6readec" localSheetId="13">#REF!</definedName>
    <definedName name="prrefuerzo6readec" localSheetId="14">#REF!</definedName>
    <definedName name="prrefuerzo6readec" localSheetId="17">#REF!</definedName>
    <definedName name="prrefuerzo6readec" localSheetId="12">#REF!</definedName>
    <definedName name="prrefuerzo6readec" localSheetId="11">#REF!</definedName>
    <definedName name="prrefuerzo6readec">#REF!</definedName>
    <definedName name="prrefuerzo8" localSheetId="13">#REF!</definedName>
    <definedName name="prrefuerzo8" localSheetId="17">#REF!</definedName>
    <definedName name="prrefuerzo8" localSheetId="12">#REF!</definedName>
    <definedName name="prrefuerzo8" localSheetId="11">#REF!</definedName>
    <definedName name="prrefuerzo8">#REF!</definedName>
    <definedName name="prrefuerzo8readec" localSheetId="13">#REF!</definedName>
    <definedName name="prrefuerzo8readec" localSheetId="14">#REF!</definedName>
    <definedName name="prrefuerzo8readec" localSheetId="17">#REF!</definedName>
    <definedName name="prrefuerzo8readec" localSheetId="12">#REF!</definedName>
    <definedName name="prrefuerzo8readec" localSheetId="11">#REF!</definedName>
    <definedName name="prrefuerzo8readec">#REF!</definedName>
    <definedName name="prrelleno" localSheetId="13">#REF!</definedName>
    <definedName name="prrelleno" localSheetId="17">#REF!</definedName>
    <definedName name="prrelleno" localSheetId="12">#REF!</definedName>
    <definedName name="prrelleno" localSheetId="11">#REF!</definedName>
    <definedName name="prrelleno">#REF!</definedName>
    <definedName name="prrellenoreadec" localSheetId="13">#REF!</definedName>
    <definedName name="prrellenoreadec" localSheetId="14">#REF!</definedName>
    <definedName name="prrellenoreadec" localSheetId="17">#REF!</definedName>
    <definedName name="prrellenoreadec" localSheetId="12">#REF!</definedName>
    <definedName name="prrellenoreadec" localSheetId="11">#REF!</definedName>
    <definedName name="prrellenoreadec">#REF!</definedName>
    <definedName name="prrepalc" localSheetId="13">#REF!</definedName>
    <definedName name="prrepalc" localSheetId="14">#REF!</definedName>
    <definedName name="prrepalc" localSheetId="17">#REF!</definedName>
    <definedName name="prrepalc" localSheetId="12">#REF!</definedName>
    <definedName name="prrepalc" localSheetId="11">#REF!</definedName>
    <definedName name="prrepalc">#REF!</definedName>
    <definedName name="prrepAlcPtes" localSheetId="13">#REF!</definedName>
    <definedName name="prrepAlcPtes" localSheetId="17">#REF!</definedName>
    <definedName name="prrepAlcPtes" localSheetId="12">#REF!</definedName>
    <definedName name="prrepAlcPtes" localSheetId="11">#REF!</definedName>
    <definedName name="prrepAlcPtes">#REF!</definedName>
    <definedName name="prrepalcreadec" localSheetId="13">#REF!</definedName>
    <definedName name="prrepalcreadec" localSheetId="14">#REF!</definedName>
    <definedName name="prrepalcreadec" localSheetId="17">#REF!</definedName>
    <definedName name="prrepalcreadec" localSheetId="12">#REF!</definedName>
    <definedName name="prrepalcreadec" localSheetId="11">#REF!</definedName>
    <definedName name="prrepalcreadec">#REF!</definedName>
    <definedName name="prreparacionalc" localSheetId="13">#REF!</definedName>
    <definedName name="prreparacionalc" localSheetId="17">#REF!</definedName>
    <definedName name="prreparacionalc" localSheetId="12">#REF!</definedName>
    <definedName name="prreparacionalc" localSheetId="11">#REF!</definedName>
    <definedName name="prreparacionalc">#REF!</definedName>
    <definedName name="prreparacionalcreadec" localSheetId="13">#REF!</definedName>
    <definedName name="prreparacionalcreadec" localSheetId="14">#REF!</definedName>
    <definedName name="prreparacionalcreadec" localSheetId="17">#REF!</definedName>
    <definedName name="prreparacionalcreadec" localSheetId="12">#REF!</definedName>
    <definedName name="prreparacionalcreadec" localSheetId="11">#REF!</definedName>
    <definedName name="prreparacionalcreadec">#REF!</definedName>
    <definedName name="prrestdrenaje" localSheetId="13">#REF!</definedName>
    <definedName name="prrestdrenaje" localSheetId="17">#REF!</definedName>
    <definedName name="prrestdrenaje" localSheetId="12">#REF!</definedName>
    <definedName name="prrestdrenaje" localSheetId="11">#REF!</definedName>
    <definedName name="prrestdrenaje">#REF!</definedName>
    <definedName name="prrestdrenajereadec" localSheetId="13">#REF!</definedName>
    <definedName name="prrestdrenajereadec" localSheetId="14">#REF!</definedName>
    <definedName name="prrestdrenajereadec" localSheetId="17">#REF!</definedName>
    <definedName name="prrestdrenajereadec" localSheetId="12">#REF!</definedName>
    <definedName name="prrestdrenajereadec" localSheetId="11">#REF!</definedName>
    <definedName name="prrestdrenajereadec">#REF!</definedName>
    <definedName name="prretderrumbe" localSheetId="13">#REF!</definedName>
    <definedName name="prretderrumbe" localSheetId="14">#REF!</definedName>
    <definedName name="prretderrumbe" localSheetId="17">#REF!</definedName>
    <definedName name="prretderrumbe" localSheetId="12">#REF!</definedName>
    <definedName name="prretderrumbe" localSheetId="11">#REF!</definedName>
    <definedName name="prretderrumbe">#REF!</definedName>
    <definedName name="prretrecolbaranda" localSheetId="13">#REF!</definedName>
    <definedName name="prretrecolbaranda" localSheetId="14">#REF!</definedName>
    <definedName name="prretrecolbaranda" localSheetId="17">#REF!</definedName>
    <definedName name="prretrecolbaranda" localSheetId="12">#REF!</definedName>
    <definedName name="prretrecolbaranda" localSheetId="11">#REF!</definedName>
    <definedName name="prretrecolbaranda">#REF!</definedName>
    <definedName name="prriegoimpreadec" localSheetId="13">#REF!</definedName>
    <definedName name="prriegoimpreadec" localSheetId="14">#REF!</definedName>
    <definedName name="prriegoimpreadec" localSheetId="17">#REF!</definedName>
    <definedName name="prriegoimpreadec" localSheetId="12">#REF!</definedName>
    <definedName name="prriegoimpreadec" localSheetId="11">#REF!</definedName>
    <definedName name="prriegoimpreadec">#REF!</definedName>
    <definedName name="prriegoliga" localSheetId="13">#REF!</definedName>
    <definedName name="prriegoliga" localSheetId="17">#REF!</definedName>
    <definedName name="prriegoliga" localSheetId="12">#REF!</definedName>
    <definedName name="prriegoliga" localSheetId="11">#REF!</definedName>
    <definedName name="prriegoliga">#REF!</definedName>
    <definedName name="prriegoligareadec" localSheetId="13">#REF!</definedName>
    <definedName name="prriegoligareadec" localSheetId="14">#REF!</definedName>
    <definedName name="prriegoligareadec" localSheetId="17">#REF!</definedName>
    <definedName name="prriegoligareadec" localSheetId="12">#REF!</definedName>
    <definedName name="prriegoligareadec" localSheetId="11">#REF!</definedName>
    <definedName name="prriegoligareadec">#REF!</definedName>
    <definedName name="prrieimpr" localSheetId="13">#REF!</definedName>
    <definedName name="prrieimpr" localSheetId="17">#REF!</definedName>
    <definedName name="prrieimpr" localSheetId="12">#REF!</definedName>
    <definedName name="prrieimpr" localSheetId="11">#REF!</definedName>
    <definedName name="prrieimpr">#REF!</definedName>
    <definedName name="prrotondas" localSheetId="17">#REF!</definedName>
    <definedName name="prrotondas">#REF!</definedName>
    <definedName name="prrotondasreadec" localSheetId="13">#REF!</definedName>
    <definedName name="prrotondasreadec" localSheetId="14">#REF!</definedName>
    <definedName name="prrotondasreadec" localSheetId="17">#REF!</definedName>
    <definedName name="prrotondasreadec" localSheetId="12">#REF!</definedName>
    <definedName name="prrotondasreadec" localSheetId="11">#REF!</definedName>
    <definedName name="prrotondasreadec">#REF!</definedName>
    <definedName name="prsandef" localSheetId="13">#REF!</definedName>
    <definedName name="prsandef" localSheetId="14">#REF!</definedName>
    <definedName name="prsandef" localSheetId="17">#REF!</definedName>
    <definedName name="prsandef" localSheetId="12">#REF!</definedName>
    <definedName name="prsandef" localSheetId="11">#REF!</definedName>
    <definedName name="prsandef">#REF!</definedName>
    <definedName name="prsb" localSheetId="13">#REF!</definedName>
    <definedName name="prsb" localSheetId="14">#REF!</definedName>
    <definedName name="prsb" localSheetId="17">#REF!</definedName>
    <definedName name="prsb" localSheetId="12">#REF!</definedName>
    <definedName name="prsb" localSheetId="11">#REF!</definedName>
    <definedName name="prsb">#REF!</definedName>
    <definedName name="prsellado" localSheetId="13">#REF!</definedName>
    <definedName name="prsellado" localSheetId="17">#REF!</definedName>
    <definedName name="prsellado" localSheetId="12">#REF!</definedName>
    <definedName name="prsellado" localSheetId="11">#REF!</definedName>
    <definedName name="prsellado">#REF!</definedName>
    <definedName name="prselladoreadec" localSheetId="13">#REF!</definedName>
    <definedName name="prselladoreadec" localSheetId="14">#REF!</definedName>
    <definedName name="prselladoreadec" localSheetId="17">#REF!</definedName>
    <definedName name="prselladoreadec" localSheetId="12">#REF!</definedName>
    <definedName name="prselladoreadec" localSheetId="11">#REF!</definedName>
    <definedName name="prselladoreadec">#REF!</definedName>
    <definedName name="prsenda" localSheetId="13">#REF!</definedName>
    <definedName name="prsenda" localSheetId="17">#REF!</definedName>
    <definedName name="prsenda" localSheetId="12">#REF!</definedName>
    <definedName name="prsenda" localSheetId="11">#REF!</definedName>
    <definedName name="prsenda">#REF!</definedName>
    <definedName name="prsendareadec" localSheetId="13">#REF!</definedName>
    <definedName name="prsendareadec" localSheetId="14">#REF!</definedName>
    <definedName name="prsendareadec" localSheetId="17">#REF!</definedName>
    <definedName name="prsendareadec" localSheetId="12">#REF!</definedName>
    <definedName name="prsendareadec" localSheetId="11">#REF!</definedName>
    <definedName name="prsendareadec">#REF!</definedName>
    <definedName name="prseñalamiento" localSheetId="13">#REF!</definedName>
    <definedName name="prseñalamiento" localSheetId="17">#REF!</definedName>
    <definedName name="prseñalamiento" localSheetId="12">#REF!</definedName>
    <definedName name="prseñalamiento" localSheetId="11">#REF!</definedName>
    <definedName name="prseñalamiento">#REF!</definedName>
    <definedName name="prseñalamientoreadec" localSheetId="13">#REF!</definedName>
    <definedName name="prseñalamientoreadec" localSheetId="14">#REF!</definedName>
    <definedName name="prseñalamientoreadec" localSheetId="17">#REF!</definedName>
    <definedName name="prseñalamientoreadec" localSheetId="12">#REF!</definedName>
    <definedName name="prseñalamientoreadec" localSheetId="11">#REF!</definedName>
    <definedName name="prseñalamientoreadec">#REF!</definedName>
    <definedName name="prseñalizacion" localSheetId="13">#REF!</definedName>
    <definedName name="prseñalizacion" localSheetId="17">#REF!</definedName>
    <definedName name="prseñalizacion" localSheetId="12">#REF!</definedName>
    <definedName name="prseñalizacion" localSheetId="11">#REF!</definedName>
    <definedName name="prseñalizacion">#REF!</definedName>
    <definedName name="prseñalizacionext" localSheetId="17">#REF!</definedName>
    <definedName name="prseñalizacionext">#REF!</definedName>
    <definedName name="prseñalizacionextreadec" localSheetId="13">#REF!</definedName>
    <definedName name="prseñalizacionextreadec" localSheetId="14">#REF!</definedName>
    <definedName name="prseñalizacionextreadec" localSheetId="17">#REF!</definedName>
    <definedName name="prseñalizacionextreadec" localSheetId="12">#REF!</definedName>
    <definedName name="prseñalizacionextreadec" localSheetId="11">#REF!</definedName>
    <definedName name="prseñalizacionextreadec">#REF!</definedName>
    <definedName name="prseñalizaciónreadec" localSheetId="13">#REF!</definedName>
    <definedName name="prseñalizaciónreadec" localSheetId="14">#REF!</definedName>
    <definedName name="prseñalizaciónreadec" localSheetId="17">#REF!</definedName>
    <definedName name="prseñalizaciónreadec" localSheetId="12">#REF!</definedName>
    <definedName name="prseñalizaciónreadec" localSheetId="11">#REF!</definedName>
    <definedName name="prseñalizaciónreadec">#REF!</definedName>
    <definedName name="prseñalizreadec" localSheetId="13">#REF!</definedName>
    <definedName name="prseñalizreadec" localSheetId="14">#REF!</definedName>
    <definedName name="prseñalizreadec" localSheetId="17">#REF!</definedName>
    <definedName name="prseñalizreadec" localSheetId="12">#REF!</definedName>
    <definedName name="prseñalizreadec" localSheetId="11">#REF!</definedName>
    <definedName name="prseñalizreadec">#REF!</definedName>
    <definedName name="prsistdren" localSheetId="13">#REF!</definedName>
    <definedName name="prsistdren" localSheetId="14">#REF!</definedName>
    <definedName name="prsistdren" localSheetId="17">#REF!</definedName>
    <definedName name="prsistdren" localSheetId="12">#REF!</definedName>
    <definedName name="prsistdren" localSheetId="11">#REF!</definedName>
    <definedName name="prsistdren">#REF!</definedName>
    <definedName name="prsistdren1071" localSheetId="13">#REF!</definedName>
    <definedName name="prsistdren1071" localSheetId="14">#REF!</definedName>
    <definedName name="prsistdren1071" localSheetId="17">#REF!</definedName>
    <definedName name="prsistdren1071" localSheetId="12">#REF!</definedName>
    <definedName name="prsistdren1071" localSheetId="11">#REF!</definedName>
    <definedName name="prsistdren1071">#REF!</definedName>
    <definedName name="prSoc8026" localSheetId="13">#REF!</definedName>
    <definedName name="prSoc8026" localSheetId="17">#REF!</definedName>
    <definedName name="prSoc8026" localSheetId="12">#REF!</definedName>
    <definedName name="prSoc8026" localSheetId="11">#REF!</definedName>
    <definedName name="prSoc8026">#REF!</definedName>
    <definedName name="prsocavacionreadec" localSheetId="13">#REF!</definedName>
    <definedName name="prsocavacionreadec" localSheetId="14">#REF!</definedName>
    <definedName name="prsocavacionreadec" localSheetId="17">#REF!</definedName>
    <definedName name="prsocavacionreadec" localSheetId="12">#REF!</definedName>
    <definedName name="prsocavacionreadec" localSheetId="11">#REF!</definedName>
    <definedName name="prsocavacionreadec">#REF!</definedName>
    <definedName name="prsubbase" localSheetId="13">#REF!</definedName>
    <definedName name="prsubbase" localSheetId="17">#REF!</definedName>
    <definedName name="prsubbase" localSheetId="12">#REF!</definedName>
    <definedName name="prsubbase" localSheetId="11">#REF!</definedName>
    <definedName name="prsubbase">#REF!</definedName>
    <definedName name="prsubbasereadec" localSheetId="13">#REF!</definedName>
    <definedName name="prsubbasereadec" localSheetId="14">#REF!</definedName>
    <definedName name="prsubbasereadec" localSheetId="17">#REF!</definedName>
    <definedName name="prsubbasereadec" localSheetId="12">#REF!</definedName>
    <definedName name="prsubbasereadec" localSheetId="11">#REF!</definedName>
    <definedName name="prsubbasereadec">#REF!</definedName>
    <definedName name="prterr" localSheetId="13">#REF!</definedName>
    <definedName name="prterr" localSheetId="14">#REF!</definedName>
    <definedName name="prterr" localSheetId="17">#REF!</definedName>
    <definedName name="prterr" localSheetId="12">#REF!</definedName>
    <definedName name="prterr" localSheetId="11">#REF!</definedName>
    <definedName name="prterr">#REF!</definedName>
    <definedName name="prterrapreadec" localSheetId="13">#REF!</definedName>
    <definedName name="prterrapreadec" localSheetId="14">#REF!</definedName>
    <definedName name="prterrapreadec" localSheetId="17">#REF!</definedName>
    <definedName name="prterrapreadec" localSheetId="12">#REF!</definedName>
    <definedName name="prterrapreadec" localSheetId="11">#REF!</definedName>
    <definedName name="prterrapreadec">#REF!</definedName>
    <definedName name="prterrsincomp" localSheetId="13">#REF!</definedName>
    <definedName name="prterrsincomp" localSheetId="17">#REF!</definedName>
    <definedName name="prterrsincomp" localSheetId="12">#REF!</definedName>
    <definedName name="prterrsincomp" localSheetId="11">#REF!</definedName>
    <definedName name="prterrsincomp">#REF!</definedName>
    <definedName name="prtravsenillosareadec" localSheetId="13">#REF!</definedName>
    <definedName name="prtravsenillosareadec" localSheetId="14">#REF!</definedName>
    <definedName name="prtravsenillosareadec" localSheetId="17">#REF!</definedName>
    <definedName name="prtravsenillosareadec" localSheetId="12">#REF!</definedName>
    <definedName name="prtravsenillosareadec" localSheetId="11">#REF!</definedName>
    <definedName name="prtravsenillosareadec">#REF!</definedName>
    <definedName name="Prueba" localSheetId="13">#REF!</definedName>
    <definedName name="Prueba" localSheetId="17">#REF!</definedName>
    <definedName name="Prueba" localSheetId="12">#REF!</definedName>
    <definedName name="Prueba" localSheetId="11">#REF!</definedName>
    <definedName name="Prueba">#REF!</definedName>
    <definedName name="prvigas" localSheetId="17">#REF!</definedName>
    <definedName name="prvigas">#REF!</definedName>
    <definedName name="pvc" localSheetId="13">#REF!</definedName>
    <definedName name="pvc" localSheetId="14">#REF!</definedName>
    <definedName name="pvc" localSheetId="17">#REF!</definedName>
    <definedName name="pvc" localSheetId="12">#REF!</definedName>
    <definedName name="pvc" localSheetId="11">#REF!</definedName>
    <definedName name="pvc">#REF!</definedName>
    <definedName name="q" localSheetId="13">#REF!</definedName>
    <definedName name="q" localSheetId="14">#REF!</definedName>
    <definedName name="q" localSheetId="17">#REF!</definedName>
    <definedName name="q" localSheetId="12">#REF!</definedName>
    <definedName name="q" localSheetId="11">#REF!</definedName>
    <definedName name="q">#REF!</definedName>
    <definedName name="Q0" localSheetId="13">#REF!</definedName>
    <definedName name="Q0" localSheetId="17">#REF!</definedName>
    <definedName name="Q0" localSheetId="12">#REF!</definedName>
    <definedName name="Q0" localSheetId="11">#REF!</definedName>
    <definedName name="Q0">#REF!</definedName>
    <definedName name="QCAR" localSheetId="13">#REF!</definedName>
    <definedName name="QCAR" localSheetId="14">#REF!</definedName>
    <definedName name="QCAR" localSheetId="17">#REF!</definedName>
    <definedName name="QCAR" localSheetId="12">#REF!</definedName>
    <definedName name="QCAR" localSheetId="11">#REF!</definedName>
    <definedName name="QCAR">#REF!</definedName>
    <definedName name="RANGO" localSheetId="13">#REF!</definedName>
    <definedName name="RANGO" localSheetId="17">#REF!</definedName>
    <definedName name="RANGO" localSheetId="12">#REF!</definedName>
    <definedName name="RANGO" localSheetId="11">#REF!</definedName>
    <definedName name="RANGO">#REF!</definedName>
    <definedName name="rangobase" localSheetId="13">L2C1:L372C15</definedName>
    <definedName name="rangobase" localSheetId="21">L2C1:L372C15</definedName>
    <definedName name="rangobase" localSheetId="22">L2C1:L372C15</definedName>
    <definedName name="rangobase" localSheetId="16">L2C1:L372C15</definedName>
    <definedName name="rangobase" localSheetId="14">L2C1:L372C15</definedName>
    <definedName name="rangobase" localSheetId="17">L2C1:L372C15</definedName>
    <definedName name="rangobase" localSheetId="7">L2C1:L372C15</definedName>
    <definedName name="rangobase" localSheetId="8">L2C1:L372C15</definedName>
    <definedName name="rangobase" localSheetId="9">L2C1:L372C15</definedName>
    <definedName name="rangobase" localSheetId="19">L2C1:L372C15</definedName>
    <definedName name="rangobase" localSheetId="20">L2C1:L372C15</definedName>
    <definedName name="rangobase" localSheetId="12">L2C1:L372C15</definedName>
    <definedName name="rangobase" localSheetId="11">L2C1:L372C15</definedName>
    <definedName name="rangobase" localSheetId="2">L2C1:L372C15</definedName>
    <definedName name="rangobase" localSheetId="3">L2C1:L372C15</definedName>
    <definedName name="rangobase" localSheetId="23">L2C1:L372C15</definedName>
    <definedName name="rangobase">L2C1:L372C15</definedName>
    <definedName name="rangoformulas" localSheetId="13">#REF!</definedName>
    <definedName name="rangoformulas" localSheetId="10">#REF!</definedName>
    <definedName name="rangoformulas" localSheetId="4">#REF!</definedName>
    <definedName name="rangoformulas" localSheetId="14">#REF!</definedName>
    <definedName name="rangoformulas" localSheetId="0">#REF!</definedName>
    <definedName name="rangoformulas" localSheetId="17">#REF!</definedName>
    <definedName name="rangoformulas" localSheetId="12">#REF!</definedName>
    <definedName name="rangoformulas" localSheetId="11">#REF!</definedName>
    <definedName name="rangoformulas">#REF!</definedName>
    <definedName name="RB" localSheetId="13">L2C1:L372C15</definedName>
    <definedName name="RB" localSheetId="21">L2C1:L372C15</definedName>
    <definedName name="RB" localSheetId="22">L2C1:L372C15</definedName>
    <definedName name="RB" localSheetId="16">L2C1:L372C15</definedName>
    <definedName name="RB" localSheetId="14">L2C1:L372C15</definedName>
    <definedName name="RB" localSheetId="17">L2C1:L372C15</definedName>
    <definedName name="RB" localSheetId="7">L2C1:L372C15</definedName>
    <definedName name="RB" localSheetId="8">L2C1:L372C15</definedName>
    <definedName name="RB" localSheetId="9">L2C1:L372C15</definedName>
    <definedName name="RB" localSheetId="19">L2C1:L372C15</definedName>
    <definedName name="RB" localSheetId="20">L2C1:L372C15</definedName>
    <definedName name="RB" localSheetId="12">L2C1:L372C15</definedName>
    <definedName name="RB" localSheetId="11">L2C1:L372C15</definedName>
    <definedName name="RB" localSheetId="2">L2C1:L372C15</definedName>
    <definedName name="RB" localSheetId="3">L2C1:L372C15</definedName>
    <definedName name="RB" localSheetId="23">L2C1:L372C15</definedName>
    <definedName name="RB">L2C1:L372C15</definedName>
    <definedName name="RBASE" localSheetId="13">L2C1:L372C15</definedName>
    <definedName name="RBASE" localSheetId="21">L2C1:L372C15</definedName>
    <definedName name="RBASE" localSheetId="22">L2C1:L372C15</definedName>
    <definedName name="RBASE" localSheetId="16">L2C1:L372C15</definedName>
    <definedName name="RBASE" localSheetId="14">L2C1:L372C15</definedName>
    <definedName name="RBASE" localSheetId="17">L2C1:L372C15</definedName>
    <definedName name="RBASE" localSheetId="7">L2C1:L372C15</definedName>
    <definedName name="RBASE" localSheetId="8">L2C1:L372C15</definedName>
    <definedName name="RBASE" localSheetId="9">L2C1:L372C15</definedName>
    <definedName name="RBASE" localSheetId="19">L2C1:L372C15</definedName>
    <definedName name="RBASE" localSheetId="20">L2C1:L372C15</definedName>
    <definedName name="RBASE" localSheetId="12">L2C1:L372C15</definedName>
    <definedName name="RBASE" localSheetId="11">L2C1:L372C15</definedName>
    <definedName name="RBASE" localSheetId="2">L2C1:L372C15</definedName>
    <definedName name="RBASE" localSheetId="3">L2C1:L372C15</definedName>
    <definedName name="RBASE" localSheetId="23">L2C1:L372C15</definedName>
    <definedName name="RBASE">L2C1:L372C15</definedName>
    <definedName name="re" localSheetId="13" hidden="1">{#N/A,#N/A,FALSE,"Monthly report";#N/A,#N/A,FALSE,"M.R. UEM";#N/A,#N/A,FALSE,"M.R. VCM"}</definedName>
    <definedName name="re" localSheetId="21" hidden="1">{#N/A,#N/A,FALSE,"Monthly report";#N/A,#N/A,FALSE,"M.R. UEM";#N/A,#N/A,FALSE,"M.R. VCM"}</definedName>
    <definedName name="re" localSheetId="22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localSheetId="17" hidden="1">{#N/A,#N/A,FALSE,"Monthly report";#N/A,#N/A,FALSE,"M.R. UEM";#N/A,#N/A,FALSE,"M.R. VCM"}</definedName>
    <definedName name="re" localSheetId="19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localSheetId="11" hidden="1">{#N/A,#N/A,FALSE,"Monthly report";#N/A,#N/A,FALSE,"M.R. UEM";#N/A,#N/A,FALSE,"M.R. VCM"}</definedName>
    <definedName name="re" localSheetId="23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acc">#REF!</definedName>
    <definedName name="rec" localSheetId="13">#REF!</definedName>
    <definedName name="rec" localSheetId="14">#REF!</definedName>
    <definedName name="rec" localSheetId="17">#REF!</definedName>
    <definedName name="rec" localSheetId="12">#REF!</definedName>
    <definedName name="rec" localSheetId="11">#REF!</definedName>
    <definedName name="rec">#REF!</definedName>
    <definedName name="rec_c" localSheetId="13">#REF!</definedName>
    <definedName name="rec_c" localSheetId="14">#REF!</definedName>
    <definedName name="rec_c" localSheetId="17">#REF!</definedName>
    <definedName name="rec_c" localSheetId="12">#REF!</definedName>
    <definedName name="rec_c" localSheetId="11">#REF!</definedName>
    <definedName name="rec_c">#REF!</definedName>
    <definedName name="Rejilla" localSheetId="13">#REF!</definedName>
    <definedName name="Rejilla" localSheetId="17">#REF!</definedName>
    <definedName name="Rejilla" localSheetId="12">#REF!</definedName>
    <definedName name="Rejilla" localSheetId="11">#REF!</definedName>
    <definedName name="Rejilla">#REF!</definedName>
    <definedName name="rellr" localSheetId="13">#REF!</definedName>
    <definedName name="rellr" localSheetId="14">#REF!</definedName>
    <definedName name="rellr" localSheetId="17">#REF!</definedName>
    <definedName name="rellr" localSheetId="12">#REF!</definedName>
    <definedName name="rellr" localSheetId="11">#REF!</definedName>
    <definedName name="rellr">#REF!</definedName>
    <definedName name="rend" localSheetId="5">#REF!</definedName>
    <definedName name="rend" localSheetId="10">#REF!</definedName>
    <definedName name="rend" localSheetId="4">#REF!</definedName>
    <definedName name="rend" localSheetId="14">#REF!</definedName>
    <definedName name="rend" localSheetId="0">#REF!</definedName>
    <definedName name="rend" localSheetId="17">#REF!</definedName>
    <definedName name="rend" localSheetId="7">#REF!</definedName>
    <definedName name="rend" localSheetId="8">#REF!</definedName>
    <definedName name="rend" localSheetId="6">#REF!</definedName>
    <definedName name="rend" localSheetId="9">#REF!</definedName>
    <definedName name="rend" localSheetId="1">#REF!</definedName>
    <definedName name="rend" localSheetId="2">#REF!</definedName>
    <definedName name="rend" localSheetId="3">#REF!</definedName>
    <definedName name="rend">#REF!</definedName>
    <definedName name="Reparaciones" localSheetId="13">#REF!</definedName>
    <definedName name="Reparaciones" localSheetId="14">#REF!</definedName>
    <definedName name="Reparaciones" localSheetId="17">#REF!</definedName>
    <definedName name="Reparaciones" localSheetId="12">#REF!</definedName>
    <definedName name="Reparaciones" localSheetId="11">#REF!</definedName>
    <definedName name="Reparaciones">#REF!</definedName>
    <definedName name="REPOTENCIACION_ACUEDUCTO_A_V._ANGELA" localSheetId="13">#REF!</definedName>
    <definedName name="REPOTENCIACION_ACUEDUCTO_A_V._ANGELA" localSheetId="17">#REF!</definedName>
    <definedName name="REPOTENCIACION_ACUEDUCTO_A_V._ANGELA" localSheetId="12">#REF!</definedName>
    <definedName name="REPOTENCIACION_ACUEDUCTO_A_V._ANGELA" localSheetId="11">#REF!</definedName>
    <definedName name="REPOTENCIACION_ACUEDUCTO_A_V._ANGELA">#REF!</definedName>
    <definedName name="RES">#N/A</definedName>
    <definedName name="Residual" localSheetId="13">#REF!</definedName>
    <definedName name="Residual" localSheetId="14">#REF!</definedName>
    <definedName name="Residual" localSheetId="17">#REF!</definedName>
    <definedName name="Residual" localSheetId="12">#REF!</definedName>
    <definedName name="Residual" localSheetId="11">#REF!</definedName>
    <definedName name="Residual">#REF!</definedName>
    <definedName name="RESUMEN">#N/A</definedName>
    <definedName name="RN" localSheetId="13">#REF!</definedName>
    <definedName name="RN" localSheetId="14">#REF!</definedName>
    <definedName name="RN" localSheetId="17">#REF!</definedName>
    <definedName name="RN" localSheetId="12">#REF!</definedName>
    <definedName name="RN" localSheetId="11">#REF!</definedName>
    <definedName name="RN">#REF!</definedName>
    <definedName name="RR" localSheetId="13">#REF!</definedName>
    <definedName name="RR" localSheetId="14">#REF!</definedName>
    <definedName name="RR" localSheetId="17">#REF!</definedName>
    <definedName name="RR" localSheetId="12">#REF!</definedName>
    <definedName name="RR" localSheetId="11">#REF!</definedName>
    <definedName name="RR">#REF!</definedName>
    <definedName name="RSAD" localSheetId="13">#REF!</definedName>
    <definedName name="RSAD" localSheetId="10">#REF!</definedName>
    <definedName name="RSAD" localSheetId="4">#REF!</definedName>
    <definedName name="RSAD" localSheetId="14">#REF!</definedName>
    <definedName name="RSAD" localSheetId="0">#REF!</definedName>
    <definedName name="RSAD" localSheetId="17">#REF!</definedName>
    <definedName name="RSAD" localSheetId="12">#REF!</definedName>
    <definedName name="RSAD" localSheetId="11">#REF!</definedName>
    <definedName name="RSAD">#REF!</definedName>
    <definedName name="RSARL" localSheetId="13">#REF!</definedName>
    <definedName name="RSARL" localSheetId="4">#REF!</definedName>
    <definedName name="RSARL" localSheetId="14">#REF!</definedName>
    <definedName name="RSARL" localSheetId="0">#REF!</definedName>
    <definedName name="RSARL" localSheetId="17">#REF!</definedName>
    <definedName name="RSARL" localSheetId="12">#REF!</definedName>
    <definedName name="RSARL" localSheetId="11">#REF!</definedName>
    <definedName name="RSARL">#REF!</definedName>
    <definedName name="RSAZCE" localSheetId="13">#REF!</definedName>
    <definedName name="RSAZCE" localSheetId="14">#REF!</definedName>
    <definedName name="RSAZCE" localSheetId="0">#REF!</definedName>
    <definedName name="RSAZCE" localSheetId="17">#REF!</definedName>
    <definedName name="RSAZCE" localSheetId="12">#REF!</definedName>
    <definedName name="RSAZCE" localSheetId="11">#REF!</definedName>
    <definedName name="RSAZCE">#REF!</definedName>
    <definedName name="RSAZM" localSheetId="13">#REF!</definedName>
    <definedName name="RSAZM" localSheetId="14">#REF!</definedName>
    <definedName name="RSAZM" localSheetId="0">#REF!</definedName>
    <definedName name="RSAZM" localSheetId="17">#REF!</definedName>
    <definedName name="RSAZM" localSheetId="12">#REF!</definedName>
    <definedName name="RSAZM" localSheetId="11">#REF!</definedName>
    <definedName name="RSAZM">#REF!</definedName>
    <definedName name="RSCOL" localSheetId="13">#REF!</definedName>
    <definedName name="RSCOL" localSheetId="14">#REF!</definedName>
    <definedName name="RSCOL" localSheetId="0">#REF!</definedName>
    <definedName name="RSCOL" localSheetId="17">#REF!</definedName>
    <definedName name="RSCOL" localSheetId="12">#REF!</definedName>
    <definedName name="RSCOL" localSheetId="11">#REF!</definedName>
    <definedName name="RSCOL">#REF!</definedName>
    <definedName name="RSLD" localSheetId="13">#REF!</definedName>
    <definedName name="RSLD" localSheetId="14">#REF!</definedName>
    <definedName name="RSLD" localSheetId="0">#REF!</definedName>
    <definedName name="RSLD" localSheetId="17">#REF!</definedName>
    <definedName name="RSLD" localSheetId="12">#REF!</definedName>
    <definedName name="RSLD" localSheetId="11">#REF!</definedName>
    <definedName name="RSLD">#REF!</definedName>
    <definedName name="RSPD" localSheetId="13">#REF!</definedName>
    <definedName name="RSPD" localSheetId="14">#REF!</definedName>
    <definedName name="RSPD" localSheetId="0">#REF!</definedName>
    <definedName name="RSPD" localSheetId="17">#REF!</definedName>
    <definedName name="RSPD" localSheetId="12">#REF!</definedName>
    <definedName name="RSPD" localSheetId="11">#REF!</definedName>
    <definedName name="RSPD">#REF!</definedName>
    <definedName name="RSPZM" localSheetId="13">#REF!</definedName>
    <definedName name="RSPZM" localSheetId="14">#REF!</definedName>
    <definedName name="RSPZM" localSheetId="0">#REF!</definedName>
    <definedName name="RSPZM" localSheetId="17">#REF!</definedName>
    <definedName name="RSPZM" localSheetId="12">#REF!</definedName>
    <definedName name="RSPZM" localSheetId="11">#REF!</definedName>
    <definedName name="RSPZM">#REF!</definedName>
    <definedName name="ryrc" localSheetId="13">#REF!</definedName>
    <definedName name="ryrc" localSheetId="14">#REF!</definedName>
    <definedName name="ryrc" localSheetId="17">#REF!</definedName>
    <definedName name="ryrc" localSheetId="12">#REF!</definedName>
    <definedName name="ryrc" localSheetId="11">#REF!</definedName>
    <definedName name="ryrc">#REF!</definedName>
    <definedName name="ryrr" localSheetId="13">#REF!</definedName>
    <definedName name="ryrr" localSheetId="14">#REF!</definedName>
    <definedName name="ryrr" localSheetId="17">#REF!</definedName>
    <definedName name="ryrr" localSheetId="12">#REF!</definedName>
    <definedName name="ryrr" localSheetId="11">#REF!</definedName>
    <definedName name="ryrr">#REF!</definedName>
    <definedName name="S" localSheetId="13">#REF!</definedName>
    <definedName name="S" localSheetId="17">#REF!</definedName>
    <definedName name="S" localSheetId="12">#REF!</definedName>
    <definedName name="S" localSheetId="11">#REF!</definedName>
    <definedName name="S">#REF!</definedName>
    <definedName name="sa" localSheetId="13" hidden="1">#REF!</definedName>
    <definedName name="sa" localSheetId="21" hidden="1">#REF!</definedName>
    <definedName name="sa" localSheetId="22" hidden="1">#REF!</definedName>
    <definedName name="sa" localSheetId="5" hidden="1">#REF!</definedName>
    <definedName name="sa" localSheetId="10" hidden="1">#REF!</definedName>
    <definedName name="sa" localSheetId="4" hidden="1">#REF!</definedName>
    <definedName name="sa" localSheetId="14" hidden="1">#REF!</definedName>
    <definedName name="sa" localSheetId="0" hidden="1">#REF!</definedName>
    <definedName name="sa" localSheetId="17" hidden="1">#REF!</definedName>
    <definedName name="sa" localSheetId="7" hidden="1">#REF!</definedName>
    <definedName name="sa" localSheetId="8" hidden="1">#REF!</definedName>
    <definedName name="sa" localSheetId="6" hidden="1">#REF!</definedName>
    <definedName name="sa" localSheetId="9" hidden="1">#REF!</definedName>
    <definedName name="sa" localSheetId="19" hidden="1">#REF!</definedName>
    <definedName name="sa" localSheetId="20" hidden="1">#REF!</definedName>
    <definedName name="sa" localSheetId="12" hidden="1">#REF!</definedName>
    <definedName name="sa" localSheetId="11" hidden="1">#REF!</definedName>
    <definedName name="sa" localSheetId="1" hidden="1">#REF!</definedName>
    <definedName name="sa" localSheetId="2" hidden="1">#REF!</definedName>
    <definedName name="sa" localSheetId="3" hidden="1">#REF!</definedName>
    <definedName name="sa" hidden="1">#REF!</definedName>
    <definedName name="sadDSadsa" localSheetId="5">#REF!</definedName>
    <definedName name="sadDSadsa" localSheetId="10">#REF!</definedName>
    <definedName name="sadDSadsa" localSheetId="4">#REF!</definedName>
    <definedName name="sadDSadsa" localSheetId="0">#REF!</definedName>
    <definedName name="sadDSadsa" localSheetId="17">#REF!</definedName>
    <definedName name="sadDSadsa" localSheetId="7">#REF!</definedName>
    <definedName name="sadDSadsa" localSheetId="8">#REF!</definedName>
    <definedName name="sadDSadsa" localSheetId="6">#REF!</definedName>
    <definedName name="sadDSadsa" localSheetId="9">#REF!</definedName>
    <definedName name="sadDSadsa" localSheetId="1">#REF!</definedName>
    <definedName name="sadDSadsa" localSheetId="2">#REF!</definedName>
    <definedName name="sadDSadsa" localSheetId="3">#REF!</definedName>
    <definedName name="sadDSadsa">#REF!</definedName>
    <definedName name="sal_sum">#REF!</definedName>
    <definedName name="Sched_Pay" localSheetId="13">#REF!</definedName>
    <definedName name="Sched_Pay" localSheetId="17">#REF!</definedName>
    <definedName name="Sched_Pay" localSheetId="12">#REF!</definedName>
    <definedName name="Sched_Pay" localSheetId="11">#REF!</definedName>
    <definedName name="Sched_Pay">#REF!</definedName>
    <definedName name="Scheduled_Extra_Payments" localSheetId="17">#REF!</definedName>
    <definedName name="Scheduled_Extra_Payments">#REF!</definedName>
    <definedName name="Scheduled_Interest_Rate" localSheetId="17">#REF!</definedName>
    <definedName name="Scheduled_Interest_Rate">#REF!</definedName>
    <definedName name="Scheduled_Monthly_Payment">#REF!</definedName>
    <definedName name="SECCIONES" localSheetId="13">#REF!</definedName>
    <definedName name="SECCIONES" localSheetId="14">#REF!</definedName>
    <definedName name="SECCIONES" localSheetId="17">#REF!</definedName>
    <definedName name="SECCIONES" localSheetId="12">#REF!</definedName>
    <definedName name="SECCIONES" localSheetId="11">#REF!</definedName>
    <definedName name="SECCIONES">#REF!</definedName>
    <definedName name="SECCIONES_DIV" localSheetId="13">#REF!</definedName>
    <definedName name="SECCIONES_DIV" localSheetId="14">#REF!</definedName>
    <definedName name="SECCIONES_DIV" localSheetId="17">#REF!</definedName>
    <definedName name="SECCIONES_DIV" localSheetId="12">#REF!</definedName>
    <definedName name="SECCIONES_DIV" localSheetId="11">#REF!</definedName>
    <definedName name="SECCIONES_DIV">#REF!</definedName>
    <definedName name="SEG" localSheetId="13">#REF!</definedName>
    <definedName name="SEG" localSheetId="17">#REF!</definedName>
    <definedName name="SEG" localSheetId="12">#REF!</definedName>
    <definedName name="SEG" localSheetId="11">#REF!</definedName>
    <definedName name="SEG">#REF!</definedName>
    <definedName name="SEGUNDA" localSheetId="13">#REF!</definedName>
    <definedName name="SEGUNDA" localSheetId="14">#REF!</definedName>
    <definedName name="SEGUNDA" localSheetId="17">#REF!</definedName>
    <definedName name="SEGUNDA" localSheetId="12">#REF!</definedName>
    <definedName name="SEGUNDA" localSheetId="11">#REF!</definedName>
    <definedName name="SEGUNDA">#REF!</definedName>
    <definedName name="Seguro_de_Vida_Obligatorio" localSheetId="13">#REF!</definedName>
    <definedName name="Seguro_de_Vida_Obligatorio" localSheetId="14">#REF!</definedName>
    <definedName name="Seguro_de_Vida_Obligatorio" localSheetId="17">#REF!</definedName>
    <definedName name="Seguro_de_Vida_Obligatorio" localSheetId="12">#REF!</definedName>
    <definedName name="Seguro_de_Vida_Obligatorio" localSheetId="11">#REF!</definedName>
    <definedName name="Seguro_de_Vida_Obligatorio">#REF!</definedName>
    <definedName name="sep.22" localSheetId="23">'[1]Indice CAC'!#REF!</definedName>
    <definedName name="sep.22">'Indice CAC'!#REF!</definedName>
    <definedName name="sep.23" localSheetId="23">'[1]Indice CAC'!#REF!</definedName>
    <definedName name="sep.23">'Indice CAC'!#REF!</definedName>
    <definedName name="sep.24">'Indice CAC'!$B$6</definedName>
    <definedName name="sept22" localSheetId="23">'[1]Indice CAC'!#REF!</definedName>
    <definedName name="sept22">'Indice CAC'!#REF!</definedName>
    <definedName name="sept23" localSheetId="23">'[1]Indice CAC'!#REF!</definedName>
    <definedName name="sept23">'Indice CAC'!#REF!</definedName>
    <definedName name="sept24">'Indice CAC'!$C$6</definedName>
    <definedName name="SIG__">#N/A</definedName>
    <definedName name="SIG2__">#N/A</definedName>
    <definedName name="sigmabk" localSheetId="13">#REF!</definedName>
    <definedName name="sigmabk" localSheetId="14">#REF!</definedName>
    <definedName name="sigmabk" localSheetId="17">#REF!</definedName>
    <definedName name="sigmabk" localSheetId="12">#REF!</definedName>
    <definedName name="sigmabk" localSheetId="11">#REF!</definedName>
    <definedName name="sigmabk">#REF!</definedName>
    <definedName name="sigmabk_c" localSheetId="13">#REF!</definedName>
    <definedName name="sigmabk_c" localSheetId="14">#REF!</definedName>
    <definedName name="sigmabk_c" localSheetId="17">#REF!</definedName>
    <definedName name="sigmabk_c" localSheetId="12">#REF!</definedName>
    <definedName name="sigmabk_c" localSheetId="11">#REF!</definedName>
    <definedName name="sigmabk_c">#REF!</definedName>
    <definedName name="sigmas" localSheetId="13">#REF!</definedName>
    <definedName name="sigmas" localSheetId="14">#REF!</definedName>
    <definedName name="sigmas" localSheetId="17">#REF!</definedName>
    <definedName name="sigmas" localSheetId="12">#REF!</definedName>
    <definedName name="sigmas" localSheetId="11">#REF!</definedName>
    <definedName name="sigmas">#REF!</definedName>
    <definedName name="sin_reaj" localSheetId="13">#REF!</definedName>
    <definedName name="sin_reaj" localSheetId="17">#REF!</definedName>
    <definedName name="sin_reaj" localSheetId="12">#REF!</definedName>
    <definedName name="sin_reaj" localSheetId="11">#REF!</definedName>
    <definedName name="sin_reaj">#REF!</definedName>
    <definedName name="sob" localSheetId="13">#REF!</definedName>
    <definedName name="sob" localSheetId="14">#REF!</definedName>
    <definedName name="sob" localSheetId="17">#REF!</definedName>
    <definedName name="sob" localSheetId="12">#REF!</definedName>
    <definedName name="sob" localSheetId="11">#REF!</definedName>
    <definedName name="sob">#REF!</definedName>
    <definedName name="sob_c" localSheetId="13">#REF!</definedName>
    <definedName name="sob_c" localSheetId="14">#REF!</definedName>
    <definedName name="sob_c" localSheetId="17">#REF!</definedName>
    <definedName name="sob_c" localSheetId="12">#REF!</definedName>
    <definedName name="sob_c" localSheetId="11">#REF!</definedName>
    <definedName name="sob_c">#REF!</definedName>
    <definedName name="SObrero" localSheetId="13">#REF!</definedName>
    <definedName name="SObrero" localSheetId="14">#REF!</definedName>
    <definedName name="SObrero" localSheetId="17">#REF!</definedName>
    <definedName name="SObrero" localSheetId="12">#REF!</definedName>
    <definedName name="SObrero" localSheetId="11">#REF!</definedName>
    <definedName name="SObrero">#REF!</definedName>
    <definedName name="ssdfsdgsdfgfgb" localSheetId="13">#REF!</definedName>
    <definedName name="ssdfsdgsdfgfgb" localSheetId="17">#REF!</definedName>
    <definedName name="ssdfsdgsdfgfgb" localSheetId="12">#REF!</definedName>
    <definedName name="ssdfsdgsdfgfgb" localSheetId="11">#REF!</definedName>
    <definedName name="ssdfsdgsdfgfgb">#REF!</definedName>
    <definedName name="ssssssssss">#REF!</definedName>
    <definedName name="sssssssssss" localSheetId="12">#REF!</definedName>
    <definedName name="sssssssssssss" localSheetId="17">#REF!</definedName>
    <definedName name="sssssssssssssssss">#REF!</definedName>
    <definedName name="ssssssssssssssssssss" localSheetId="11">#REF!</definedName>
    <definedName name="SUBTOTAL" localSheetId="17">#REF!</definedName>
    <definedName name="SUBTOTAL">#REF!</definedName>
    <definedName name="Sueldo_Anual_Complementario" localSheetId="13">#REF!</definedName>
    <definedName name="Sueldo_Anual_Complementario" localSheetId="14">#REF!</definedName>
    <definedName name="Sueldo_Anual_Complementario" localSheetId="17">#REF!</definedName>
    <definedName name="Sueldo_Anual_Complementario" localSheetId="12">#REF!</definedName>
    <definedName name="Sueldo_Anual_Complementario" localSheetId="11">#REF!</definedName>
    <definedName name="Sueldo_Anual_Complementario">#REF!</definedName>
    <definedName name="Suelo" localSheetId="13">#REF!</definedName>
    <definedName name="Suelo" localSheetId="17">#REF!</definedName>
    <definedName name="Suelo" localSheetId="12">#REF!</definedName>
    <definedName name="Suelo" localSheetId="11">#REF!</definedName>
    <definedName name="Suelo">#REF!</definedName>
    <definedName name="SumaItems" localSheetId="13">#REF!</definedName>
    <definedName name="SumaItems" localSheetId="14">#REF!</definedName>
    <definedName name="SumaItems" localSheetId="17">#REF!</definedName>
    <definedName name="SumaItems" localSheetId="12">#REF!</definedName>
    <definedName name="SumaItems" localSheetId="11">#REF!</definedName>
    <definedName name="SumaItems">#REF!</definedName>
    <definedName name="Summary" localSheetId="5">#REF!</definedName>
    <definedName name="Summary" localSheetId="10">#REF!</definedName>
    <definedName name="Summary" localSheetId="4">#REF!</definedName>
    <definedName name="Summary" localSheetId="14">#REF!</definedName>
    <definedName name="Summary" localSheetId="0">#REF!</definedName>
    <definedName name="Summary" localSheetId="17">#REF!</definedName>
    <definedName name="Summary" localSheetId="7">#REF!</definedName>
    <definedName name="Summary" localSheetId="8">#REF!</definedName>
    <definedName name="Summary" localSheetId="6">#REF!</definedName>
    <definedName name="Summary" localSheetId="9">#REF!</definedName>
    <definedName name="Summary" localSheetId="1">#REF!</definedName>
    <definedName name="Summary" localSheetId="2">#REF!</definedName>
    <definedName name="Summary" localSheetId="3">#REF!</definedName>
    <definedName name="Summary">#REF!</definedName>
    <definedName name="Sup_Cubierta" localSheetId="13">#REF!</definedName>
    <definedName name="Sup_Cubierta" localSheetId="10">#REF!</definedName>
    <definedName name="Sup_Cubierta" localSheetId="4">#REF!</definedName>
    <definedName name="Sup_Cubierta" localSheetId="14">#REF!</definedName>
    <definedName name="Sup_Cubierta" localSheetId="0">#REF!</definedName>
    <definedName name="Sup_Cubierta" localSheetId="17">#REF!</definedName>
    <definedName name="Sup_Cubierta" localSheetId="12">#REF!</definedName>
    <definedName name="Sup_Cubierta" localSheetId="11">#REF!</definedName>
    <definedName name="Sup_Cubierta">#REF!</definedName>
    <definedName name="Sup_Lote" localSheetId="13">#REF!</definedName>
    <definedName name="Sup_Lote" localSheetId="14">#REF!</definedName>
    <definedName name="Sup_Lote" localSheetId="17">#REF!</definedName>
    <definedName name="Sup_Lote" localSheetId="12">#REF!</definedName>
    <definedName name="Sup_Lote" localSheetId="11">#REF!</definedName>
    <definedName name="Sup_Lote">#REF!</definedName>
    <definedName name="Sup_Proyecto" localSheetId="13">#REF!</definedName>
    <definedName name="Sup_Proyecto" localSheetId="10">#REF!</definedName>
    <definedName name="Sup_Proyecto" localSheetId="4">#REF!</definedName>
    <definedName name="Sup_Proyecto" localSheetId="14">#REF!</definedName>
    <definedName name="Sup_Proyecto" localSheetId="0">#REF!</definedName>
    <definedName name="Sup_Proyecto" localSheetId="17">#REF!</definedName>
    <definedName name="Sup_Proyecto" localSheetId="12">#REF!</definedName>
    <definedName name="Sup_Proyecto" localSheetId="11">#REF!</definedName>
    <definedName name="Sup_Proyecto">#REF!</definedName>
    <definedName name="Sup_Terreno" localSheetId="13">#REF!</definedName>
    <definedName name="Sup_Terreno" localSheetId="4">#REF!</definedName>
    <definedName name="Sup_Terreno" localSheetId="14">#REF!</definedName>
    <definedName name="Sup_Terreno" localSheetId="0">#REF!</definedName>
    <definedName name="Sup_Terreno" localSheetId="17">#REF!</definedName>
    <definedName name="Sup_Terreno" localSheetId="12">#REF!</definedName>
    <definedName name="Sup_Terreno" localSheetId="11">#REF!</definedName>
    <definedName name="Sup_Terreno">#REF!</definedName>
    <definedName name="Superficie_Cubierta" localSheetId="13">#REF!</definedName>
    <definedName name="Superficie_Cubierta" localSheetId="14">#REF!</definedName>
    <definedName name="Superficie_Cubierta" localSheetId="17">#REF!</definedName>
    <definedName name="Superficie_Cubierta" localSheetId="12">#REF!</definedName>
    <definedName name="Superficie_Cubierta" localSheetId="11">#REF!</definedName>
    <definedName name="Superficie_Cubierta">#REF!</definedName>
    <definedName name="T.Cuad." localSheetId="13">#REF!</definedName>
    <definedName name="T.Cuad." localSheetId="17">#REF!</definedName>
    <definedName name="T.Cuad." localSheetId="12">#REF!</definedName>
    <definedName name="T.Cuad." localSheetId="11">#REF!</definedName>
    <definedName name="T.Cuad.">#REF!</definedName>
    <definedName name="T.Rect." localSheetId="17">#REF!</definedName>
    <definedName name="T.Rect.">#REF!</definedName>
    <definedName name="T.Red." localSheetId="17">#REF!</definedName>
    <definedName name="T.Red.">#REF!</definedName>
    <definedName name="T_2" localSheetId="13">#REF!</definedName>
    <definedName name="T_2" localSheetId="14">#REF!</definedName>
    <definedName name="T_2" localSheetId="17">#REF!</definedName>
    <definedName name="T_2" localSheetId="12">#REF!</definedName>
    <definedName name="T_2" localSheetId="11">#REF!</definedName>
    <definedName name="T_2">#REF!</definedName>
    <definedName name="t1000k" localSheetId="13">#REF!</definedName>
    <definedName name="t1000k" localSheetId="14">#REF!</definedName>
    <definedName name="t1000k" localSheetId="17">#REF!</definedName>
    <definedName name="t1000k" localSheetId="12">#REF!</definedName>
    <definedName name="t1000k" localSheetId="11">#REF!</definedName>
    <definedName name="t1000k">#REF!</definedName>
    <definedName name="t15k" localSheetId="13">#REF!</definedName>
    <definedName name="t15k" localSheetId="14">#REF!</definedName>
    <definedName name="t15k" localSheetId="17">#REF!</definedName>
    <definedName name="t15k" localSheetId="12">#REF!</definedName>
    <definedName name="t15k" localSheetId="11">#REF!</definedName>
    <definedName name="t15k">#REF!</definedName>
    <definedName name="t400k" localSheetId="13">#REF!</definedName>
    <definedName name="t400k" localSheetId="14">#REF!</definedName>
    <definedName name="t400k" localSheetId="17">#REF!</definedName>
    <definedName name="t400k" localSheetId="12">#REF!</definedName>
    <definedName name="t400k" localSheetId="11">#REF!</definedName>
    <definedName name="t400k">#REF!</definedName>
    <definedName name="t490k" localSheetId="13">#REF!</definedName>
    <definedName name="t490k" localSheetId="14">#REF!</definedName>
    <definedName name="t490k" localSheetId="17">#REF!</definedName>
    <definedName name="t490k" localSheetId="12">#REF!</definedName>
    <definedName name="t490k" localSheetId="11">#REF!</definedName>
    <definedName name="t490k">#REF!</definedName>
    <definedName name="t90k" localSheetId="13">#REF!</definedName>
    <definedName name="t90k" localSheetId="14">#REF!</definedName>
    <definedName name="t90k" localSheetId="17">#REF!</definedName>
    <definedName name="t90k" localSheetId="12">#REF!</definedName>
    <definedName name="t90k" localSheetId="11">#REF!</definedName>
    <definedName name="t90k">#REF!</definedName>
    <definedName name="TABLA2" localSheetId="13">#REF!</definedName>
    <definedName name="TABLA2" localSheetId="14">#REF!</definedName>
    <definedName name="TABLA2" localSheetId="17">#REF!</definedName>
    <definedName name="TABLA2" localSheetId="12">#REF!</definedName>
    <definedName name="TABLA2" localSheetId="11">#REF!</definedName>
    <definedName name="TABLA2">#REF!</definedName>
    <definedName name="TABLA3" localSheetId="13">#REF!</definedName>
    <definedName name="TABLA3" localSheetId="17">#REF!</definedName>
    <definedName name="TABLA3" localSheetId="12">#REF!</definedName>
    <definedName name="TABLA3" localSheetId="11">#REF!</definedName>
    <definedName name="TABLA3">#REF!</definedName>
    <definedName name="TABLA6.2" localSheetId="13">#REF!</definedName>
    <definedName name="TABLA6.2" localSheetId="14">#REF!</definedName>
    <definedName name="TABLA6.2" localSheetId="17">#REF!</definedName>
    <definedName name="TABLA6.2" localSheetId="12">#REF!</definedName>
    <definedName name="TABLA6.2" localSheetId="11">#REF!</definedName>
    <definedName name="TABLA6.2">#REF!</definedName>
    <definedName name="tablas" localSheetId="13">#REF!</definedName>
    <definedName name="tablas" localSheetId="14">#REF!</definedName>
    <definedName name="tablas" localSheetId="17">#REF!</definedName>
    <definedName name="tablas" localSheetId="12">#REF!</definedName>
    <definedName name="tablas" localSheetId="11">#REF!</definedName>
    <definedName name="tablas">#REF!</definedName>
    <definedName name="TAC" localSheetId="13">#REF!</definedName>
    <definedName name="TAC" localSheetId="17">#REF!</definedName>
    <definedName name="TAC" localSheetId="12">#REF!</definedName>
    <definedName name="TAC" localSheetId="11">#REF!</definedName>
    <definedName name="TAC">#REF!</definedName>
    <definedName name="TAREAS" localSheetId="5">#REF!</definedName>
    <definedName name="TAREAS" localSheetId="10">#REF!</definedName>
    <definedName name="TAREAS" localSheetId="4">#REF!</definedName>
    <definedName name="TAREAS" localSheetId="14">#REF!</definedName>
    <definedName name="TAREAS" localSheetId="0">#REF!</definedName>
    <definedName name="TAREAS" localSheetId="17">#REF!</definedName>
    <definedName name="TAREAS" localSheetId="7">#REF!</definedName>
    <definedName name="TAREAS" localSheetId="8">#REF!</definedName>
    <definedName name="TAREAS" localSheetId="6">#REF!</definedName>
    <definedName name="TAREAS" localSheetId="9">#REF!</definedName>
    <definedName name="TAREAS" localSheetId="1">#REF!</definedName>
    <definedName name="TAREAS" localSheetId="2">#REF!</definedName>
    <definedName name="TAREAS" localSheetId="3">#REF!</definedName>
    <definedName name="TAREAS">#REF!</definedName>
    <definedName name="TASA" localSheetId="13">#REF!</definedName>
    <definedName name="TASA" localSheetId="14">#REF!</definedName>
    <definedName name="TASA" localSheetId="17">#REF!</definedName>
    <definedName name="TASA" localSheetId="12">#REF!</definedName>
    <definedName name="TASA" localSheetId="11">#REF!</definedName>
    <definedName name="TASA">#REF!</definedName>
    <definedName name="tasa_cero" localSheetId="13">#REF!</definedName>
    <definedName name="tasa_cero" localSheetId="17">#REF!</definedName>
    <definedName name="tasa_cero" localSheetId="12">#REF!</definedName>
    <definedName name="tasa_cero" localSheetId="11">#REF!</definedName>
    <definedName name="tasa_cero">#REF!</definedName>
    <definedName name="tau" localSheetId="17">#REF!</definedName>
    <definedName name="tau">#REF!</definedName>
    <definedName name="Tdos" localSheetId="17">#REF!</definedName>
    <definedName name="Tdos">#REF!</definedName>
    <definedName name="te" localSheetId="13">#REF!</definedName>
    <definedName name="te" localSheetId="14">#REF!</definedName>
    <definedName name="te" localSheetId="17">#REF!</definedName>
    <definedName name="te" localSheetId="12">#REF!</definedName>
    <definedName name="te" localSheetId="11">#REF!</definedName>
    <definedName name="te">#REF!</definedName>
    <definedName name="Temperatura_Kelvin" localSheetId="13">#REF!</definedName>
    <definedName name="Temperatura_Kelvin" localSheetId="17">#REF!</definedName>
    <definedName name="Temperatura_Kelvin" localSheetId="12">#REF!</definedName>
    <definedName name="Temperatura_Kelvin" localSheetId="11">#REF!</definedName>
    <definedName name="Temperatura_Kelvin">#REF!</definedName>
    <definedName name="TERCERA" localSheetId="13">#REF!</definedName>
    <definedName name="TERCERA" localSheetId="14">#REF!</definedName>
    <definedName name="TERCERA" localSheetId="17">#REF!</definedName>
    <definedName name="TERCERA" localSheetId="12">#REF!</definedName>
    <definedName name="TERCERA" localSheetId="11">#REF!</definedName>
    <definedName name="TERCERA">#REF!</definedName>
    <definedName name="terramesh" localSheetId="13">#REF!</definedName>
    <definedName name="terramesh" localSheetId="14">#REF!</definedName>
    <definedName name="terramesh" localSheetId="17">#REF!</definedName>
    <definedName name="terramesh" localSheetId="12">#REF!</definedName>
    <definedName name="terramesh" localSheetId="11">#REF!</definedName>
    <definedName name="terramesh">#REF!</definedName>
    <definedName name="ThO" localSheetId="13">#REF!</definedName>
    <definedName name="ThO" localSheetId="17">#REF!</definedName>
    <definedName name="ThO" localSheetId="12">#REF!</definedName>
    <definedName name="ThO" localSheetId="11">#REF!</definedName>
    <definedName name="ThO">#REF!</definedName>
    <definedName name="ThPH" localSheetId="17">#REF!</definedName>
    <definedName name="ThPH">#REF!</definedName>
    <definedName name="Tip.Conj." localSheetId="17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 localSheetId="13">#REF!</definedName>
    <definedName name="TITULO" localSheetId="5">#REF!</definedName>
    <definedName name="TITULO" localSheetId="10">#REF!</definedName>
    <definedName name="TITULO" localSheetId="4">#REF!</definedName>
    <definedName name="TITULO" localSheetId="14">#REF!</definedName>
    <definedName name="TITULO" localSheetId="17">#REF!</definedName>
    <definedName name="TITULO" localSheetId="7">#REF!</definedName>
    <definedName name="TITULO" localSheetId="8">#REF!</definedName>
    <definedName name="TITULO" localSheetId="6">#REF!</definedName>
    <definedName name="TITULO" localSheetId="9">#REF!</definedName>
    <definedName name="TITULO" localSheetId="1">#REF!</definedName>
    <definedName name="TITULO" localSheetId="2">#REF!</definedName>
    <definedName name="TITULO" localSheetId="3">#REF!</definedName>
    <definedName name="TITULO">#REF!</definedName>
    <definedName name="TITULOS" localSheetId="17">#REF!</definedName>
    <definedName name="TITULOS">#REF!</definedName>
    <definedName name="TITULOS_A_IMPRIMIR" localSheetId="13">#REF!</definedName>
    <definedName name="TITULOS_A_IMPRIMIR" localSheetId="14">#REF!</definedName>
    <definedName name="TITULOS_A_IMPRIMIR" localSheetId="17">#REF!</definedName>
    <definedName name="TITULOS_A_IMPRIMIR" localSheetId="12">#REF!</definedName>
    <definedName name="TITULOS_A_IMPRIMIR" localSheetId="11">#REF!</definedName>
    <definedName name="TITULOS_A_IMPRIMIR">#REF!</definedName>
    <definedName name="Títulos_a_imprimir_IM" localSheetId="13">#REF!</definedName>
    <definedName name="Títulos_a_imprimir_IM" localSheetId="21">#REF!</definedName>
    <definedName name="Títulos_a_imprimir_IM" localSheetId="22">#REF!</definedName>
    <definedName name="Títulos_a_imprimir_IM" localSheetId="5">#REF!</definedName>
    <definedName name="Títulos_a_imprimir_IM" localSheetId="10">#REF!</definedName>
    <definedName name="Títulos_a_imprimir_IM" localSheetId="4">#REF!</definedName>
    <definedName name="Títulos_a_imprimir_IM" localSheetId="0">#REF!</definedName>
    <definedName name="Títulos_a_imprimir_IM" localSheetId="17">#REF!</definedName>
    <definedName name="Títulos_a_imprimir_IM" localSheetId="7">#REF!</definedName>
    <definedName name="Títulos_a_imprimir_IM" localSheetId="8">#REF!</definedName>
    <definedName name="Títulos_a_imprimir_IM" localSheetId="6">#REF!</definedName>
    <definedName name="Títulos_a_imprimir_IM" localSheetId="9">#REF!</definedName>
    <definedName name="Títulos_a_imprimir_IM" localSheetId="19">#REF!</definedName>
    <definedName name="Títulos_a_imprimir_IM" localSheetId="20">#REF!</definedName>
    <definedName name="Títulos_a_imprimir_IM" localSheetId="12">#REF!</definedName>
    <definedName name="Títulos_a_imprimir_IM" localSheetId="11">#REF!</definedName>
    <definedName name="Títulos_a_imprimir_IM" localSheetId="1">#REF!</definedName>
    <definedName name="Títulos_a_imprimir_IM" localSheetId="2">#REF!</definedName>
    <definedName name="Títulos_a_imprimir_IM" localSheetId="3">#REF!</definedName>
    <definedName name="Títulos_a_imprimir_IM">#REF!</definedName>
    <definedName name="TIUF" localSheetId="13">#REF!</definedName>
    <definedName name="TIUF" localSheetId="14">#REF!</definedName>
    <definedName name="TIUF" localSheetId="17">#REF!</definedName>
    <definedName name="TIUF" localSheetId="12">#REF!</definedName>
    <definedName name="TIUF" localSheetId="11">#REF!</definedName>
    <definedName name="TIUF">#REF!</definedName>
    <definedName name="to11_c" localSheetId="13">#REF!</definedName>
    <definedName name="to11_c" localSheetId="14">#REF!</definedName>
    <definedName name="to11_c" localSheetId="17">#REF!</definedName>
    <definedName name="to11_c" localSheetId="12">#REF!</definedName>
    <definedName name="to11_c" localSheetId="11">#REF!</definedName>
    <definedName name="to11_c">#REF!</definedName>
    <definedName name="TOBR1" localSheetId="13">#REF!</definedName>
    <definedName name="TOBR1" localSheetId="17">#REF!</definedName>
    <definedName name="TOBR1" localSheetId="12">#REF!</definedName>
    <definedName name="TOBR1" localSheetId="11">#REF!</definedName>
    <definedName name="TOBR1">#REF!</definedName>
    <definedName name="TOBRA" localSheetId="17">#REF!</definedName>
    <definedName name="TOBRA">#REF!</definedName>
    <definedName name="tor" localSheetId="17">#REF!</definedName>
    <definedName name="tor">#REF!</definedName>
    <definedName name="tota1" localSheetId="5">#REF!</definedName>
    <definedName name="tota1" localSheetId="10">#REF!</definedName>
    <definedName name="tota1" localSheetId="7">#REF!</definedName>
    <definedName name="tota1" localSheetId="8">#REF!</definedName>
    <definedName name="tota1" localSheetId="6">#REF!</definedName>
    <definedName name="tota1" localSheetId="9">#REF!</definedName>
    <definedName name="tota1" localSheetId="1">#REF!</definedName>
    <definedName name="tota1" localSheetId="2">#REF!</definedName>
    <definedName name="tota1" localSheetId="3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13">Scheduled_Payment+Extra_Payment</definedName>
    <definedName name="Total_Payment" localSheetId="21">Scheduled_Payment+Extra_Payment</definedName>
    <definedName name="Total_Payment" localSheetId="22">Scheduled_Payment+Extra_Payment</definedName>
    <definedName name="Total_Payment" localSheetId="16">Scheduled_Payment+Extra_Payment</definedName>
    <definedName name="Total_Payment" localSheetId="14">Scheduled_Payment+Extra_Payment</definedName>
    <definedName name="Total_Payment" localSheetId="17">Scheduled_Payment+Extra_Payment</definedName>
    <definedName name="Total_Payment" localSheetId="7">Scheduled_Payment+Extra_Payment</definedName>
    <definedName name="Total_Payment" localSheetId="8">Scheduled_Payment+Extra_Payment</definedName>
    <definedName name="Total_Payment" localSheetId="9">Scheduled_Payment+Extra_Payment</definedName>
    <definedName name="Total_Payment" localSheetId="19">Scheduled_Payment+Extra_Payment</definedName>
    <definedName name="Total_Payment" localSheetId="20">Scheduled_Payment+Extra_Payment</definedName>
    <definedName name="Total_Payment" localSheetId="12">Scheduled_Payment+Extra_Payment</definedName>
    <definedName name="Total_Payment" localSheetId="11">Scheduled_Payment+Extra_Payment</definedName>
    <definedName name="Total_Payment" localSheetId="2">Scheduled_Payment+Extra_Payment</definedName>
    <definedName name="Total_Payment" localSheetId="3">Scheduled_Payment+Extra_Payment</definedName>
    <definedName name="Total_Payment" localSheetId="23">Scheduled_Payment+Extra_Payment</definedName>
    <definedName name="Total_Payment">Scheduled_Payment+Extra_Payment</definedName>
    <definedName name="TOTAL_SISTEMA_DE_ACUEDUCTOS_A_PRECIO_FINAL" localSheetId="13">#REF!</definedName>
    <definedName name="TOTAL_SISTEMA_DE_ACUEDUCTOS_A_PRECIO_FINAL" localSheetId="14">#REF!</definedName>
    <definedName name="TOTAL_SISTEMA_DE_ACUEDUCTOS_A_PRECIO_FINAL" localSheetId="17">#REF!</definedName>
    <definedName name="TOTAL_SISTEMA_DE_ACUEDUCTOS_A_PRECIO_FINAL" localSheetId="12">#REF!</definedName>
    <definedName name="TOTAL_SISTEMA_DE_ACUEDUCTOS_A_PRECIO_FINAL" localSheetId="11">#REF!</definedName>
    <definedName name="TOTAL_SISTEMA_DE_ACUEDUCTOS_A_PRECIO_FINAL">#REF!</definedName>
    <definedName name="totalcert" localSheetId="17">#REF!</definedName>
    <definedName name="totalcert" localSheetId="12">#REF!</definedName>
    <definedName name="totalcert" localSheetId="11">#REF!</definedName>
    <definedName name="totalcert">#REF!</definedName>
    <definedName name="TOTALES" localSheetId="5">#REF!</definedName>
    <definedName name="TOTALES" localSheetId="10">#REF!</definedName>
    <definedName name="TOTALES" localSheetId="4">#REF!</definedName>
    <definedName name="TOTALES" localSheetId="14">#REF!</definedName>
    <definedName name="TOTALES" localSheetId="0">#REF!</definedName>
    <definedName name="TOTALES" localSheetId="17">#REF!</definedName>
    <definedName name="TOTALES" localSheetId="7">#REF!</definedName>
    <definedName name="TOTALES" localSheetId="8">#REF!</definedName>
    <definedName name="TOTALES" localSheetId="6">#REF!</definedName>
    <definedName name="TOTALES" localSheetId="9">#REF!</definedName>
    <definedName name="TOTALES" localSheetId="12">#REF!</definedName>
    <definedName name="TOTALES" localSheetId="11">#REF!</definedName>
    <definedName name="TOTALES" localSheetId="1">#REF!</definedName>
    <definedName name="TOTALES" localSheetId="2">#REF!</definedName>
    <definedName name="TOTALES" localSheetId="3">#REF!</definedName>
    <definedName name="TOTALES">#REF!</definedName>
    <definedName name="TPA">#REF!</definedName>
    <definedName name="TRANSPORTE">#N/A</definedName>
    <definedName name="trentiuno" localSheetId="13">#REF!</definedName>
    <definedName name="trentiuno" localSheetId="14">#REF!</definedName>
    <definedName name="trentiuno" localSheetId="17">#REF!</definedName>
    <definedName name="trentiuno" localSheetId="12">#REF!</definedName>
    <definedName name="trentiuno" localSheetId="11">#REF!</definedName>
    <definedName name="trentiuno">#REF!</definedName>
    <definedName name="TUBERIAS" localSheetId="13">#REF!</definedName>
    <definedName name="TUBERIAS" localSheetId="14">#REF!</definedName>
    <definedName name="TUBERIAS" localSheetId="17">#REF!</definedName>
    <definedName name="TUBERIAS" localSheetId="12">#REF!</definedName>
    <definedName name="TUBERIAS" localSheetId="11">#REF!</definedName>
    <definedName name="TUBERIAS">#REF!</definedName>
    <definedName name="Tuberías_de_P.E.A.D." localSheetId="13">#REF!</definedName>
    <definedName name="Tuberías_de_P.E.A.D." localSheetId="14">#REF!</definedName>
    <definedName name="Tuberías_de_P.E.A.D." localSheetId="17">#REF!</definedName>
    <definedName name="Tuberías_de_P.E.A.D." localSheetId="12">#REF!</definedName>
    <definedName name="Tuberías_de_P.E.A.D." localSheetId="11">#REF!</definedName>
    <definedName name="Tuberías_de_P.E.A.D.">#REF!</definedName>
    <definedName name="Tuberías_de_P.R.F.V." localSheetId="17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DL" localSheetId="17">#REF!</definedName>
    <definedName name="UDL">#REF!</definedName>
    <definedName name="UDLWR" localSheetId="17">#REF!</definedName>
    <definedName name="UDLWR">#REF!</definedName>
    <definedName name="UDM" localSheetId="17">#REF!</definedName>
    <definedName name="UDM">#REF!</definedName>
    <definedName name="UDMML" localSheetId="17">#REF!</definedName>
    <definedName name="UDMML">#REF!</definedName>
    <definedName name="UDMP">#REF!</definedName>
    <definedName name="UDMPB">#REF!</definedName>
    <definedName name="Unidades" localSheetId="13">#REF!</definedName>
    <definedName name="Unidades" localSheetId="10">#REF!</definedName>
    <definedName name="Unidades" localSheetId="4">#REF!</definedName>
    <definedName name="Unidades" localSheetId="14">#REF!</definedName>
    <definedName name="Unidades" localSheetId="0">#REF!</definedName>
    <definedName name="Unidades" localSheetId="17">#REF!</definedName>
    <definedName name="Unidades" localSheetId="12">#REF!</definedName>
    <definedName name="Unidades" localSheetId="11">#REF!</definedName>
    <definedName name="Unidades">#REF!</definedName>
    <definedName name="Unusual">#REF!</definedName>
    <definedName name="UOCRA" localSheetId="13">#REF!</definedName>
    <definedName name="UOCRA" localSheetId="14">#REF!</definedName>
    <definedName name="UOCRA" localSheetId="17">#REF!</definedName>
    <definedName name="UOCRA" localSheetId="12">#REF!</definedName>
    <definedName name="UOCRA" localSheetId="11">#REF!</definedName>
    <definedName name="UOCRA">#REF!</definedName>
    <definedName name="UOCRA_Cargo_Fijo" localSheetId="13">#REF!</definedName>
    <definedName name="UOCRA_Cargo_Fijo" localSheetId="14">#REF!</definedName>
    <definedName name="UOCRA_Cargo_Fijo" localSheetId="17">#REF!</definedName>
    <definedName name="UOCRA_Cargo_Fijo" localSheetId="12">#REF!</definedName>
    <definedName name="UOCRA_Cargo_Fijo" localSheetId="11">#REF!</definedName>
    <definedName name="UOCRA_Cargo_Fijo">#REF!</definedName>
    <definedName name="UPN" localSheetId="13">#REF!</definedName>
    <definedName name="UPN" localSheetId="17">#REF!</definedName>
    <definedName name="UPN" localSheetId="12">#REF!</definedName>
    <definedName name="UPN" localSheetId="11">#REF!</definedName>
    <definedName name="UPN">#REF!</definedName>
    <definedName name="USD" localSheetId="17">#REF!</definedName>
    <definedName name="USD">#REF!</definedName>
    <definedName name="USD.BNA" localSheetId="13">#REF!</definedName>
    <definedName name="USD.BNA" localSheetId="14">#REF!</definedName>
    <definedName name="USD.BNA" localSheetId="17">#REF!</definedName>
    <definedName name="USD.BNA" localSheetId="12">#REF!</definedName>
    <definedName name="USD.BNA" localSheetId="11">#REF!</definedName>
    <definedName name="USD.BNA">#REF!</definedName>
    <definedName name="V" localSheetId="13">#REF!</definedName>
    <definedName name="V" localSheetId="17">#REF!</definedName>
    <definedName name="V" localSheetId="12">#REF!</definedName>
    <definedName name="V" localSheetId="11">#REF!</definedName>
    <definedName name="V">#REF!</definedName>
    <definedName name="V.R." localSheetId="17">#REF!</definedName>
    <definedName name="V.R.">#REF!</definedName>
    <definedName name="V.Rosc" localSheetId="17">#REF!</definedName>
    <definedName name="V.Rosc">#REF!</definedName>
    <definedName name="V0">#REF!</definedName>
    <definedName name="Vacaciones" localSheetId="13">#REF!</definedName>
    <definedName name="Vacaciones" localSheetId="14">#REF!</definedName>
    <definedName name="Vacaciones" localSheetId="17">#REF!</definedName>
    <definedName name="Vacaciones" localSheetId="12">#REF!</definedName>
    <definedName name="Vacaciones" localSheetId="11">#REF!</definedName>
    <definedName name="Vacaciones">#REF!</definedName>
    <definedName name="vacdul" localSheetId="13">#REF!</definedName>
    <definedName name="vacdul" localSheetId="14">#REF!</definedName>
    <definedName name="vacdul" localSheetId="17">#REF!</definedName>
    <definedName name="vacdul" localSheetId="12">#REF!</definedName>
    <definedName name="vacdul" localSheetId="11">#REF!</definedName>
    <definedName name="vacdul">#REF!</definedName>
    <definedName name="vacdul1mod" localSheetId="13">#REF!</definedName>
    <definedName name="vacdul1mod" localSheetId="17">#REF!</definedName>
    <definedName name="vacdul1mod" localSheetId="12">#REF!</definedName>
    <definedName name="vacdul1mod" localSheetId="11">#REF!</definedName>
    <definedName name="vacdul1mod">#REF!</definedName>
    <definedName name="vacete" localSheetId="13">#REF!</definedName>
    <definedName name="vacete" localSheetId="14">#REF!</definedName>
    <definedName name="vacete" localSheetId="17">#REF!</definedName>
    <definedName name="vacete" localSheetId="12">#REF!</definedName>
    <definedName name="vacete" localSheetId="11">#REF!</definedName>
    <definedName name="vacete">#REF!</definedName>
    <definedName name="vaclam" localSheetId="13">#REF!</definedName>
    <definedName name="vaclam" localSheetId="14">#REF!</definedName>
    <definedName name="vaclam" localSheetId="17">#REF!</definedName>
    <definedName name="vaclam" localSheetId="12">#REF!</definedName>
    <definedName name="vaclam" localSheetId="11">#REF!</definedName>
    <definedName name="vaclam">#REF!</definedName>
    <definedName name="vaclam1mod" localSheetId="13">#REF!</definedName>
    <definedName name="vaclam1mod" localSheetId="17">#REF!</definedName>
    <definedName name="vaclam1mod" localSheetId="12">#REF!</definedName>
    <definedName name="vaclam1mod" localSheetId="11">#REF!</definedName>
    <definedName name="vaclam1mod">#REF!</definedName>
    <definedName name="vadih" localSheetId="13">#REF!</definedName>
    <definedName name="vadih" localSheetId="14">#REF!</definedName>
    <definedName name="vadih" localSheetId="17">#REF!</definedName>
    <definedName name="vadih" localSheetId="12">#REF!</definedName>
    <definedName name="vadih" localSheetId="11">#REF!</definedName>
    <definedName name="vadih">#REF!</definedName>
    <definedName name="val" localSheetId="13">#REF!</definedName>
    <definedName name="val" localSheetId="17">#REF!</definedName>
    <definedName name="val" localSheetId="12">#REF!</definedName>
    <definedName name="val" localSheetId="11">#REF!</definedName>
    <definedName name="val">#REF!</definedName>
    <definedName name="valgalv" localSheetId="13">#REF!</definedName>
    <definedName name="valgalv" localSheetId="14">#REF!</definedName>
    <definedName name="valgalv" localSheetId="17">#REF!</definedName>
    <definedName name="valgalv" localSheetId="12">#REF!</definedName>
    <definedName name="valgalv" localSheetId="11">#REF!</definedName>
    <definedName name="valgalv">#REF!</definedName>
    <definedName name="valgalv1mod" localSheetId="13">#REF!</definedName>
    <definedName name="valgalv1mod" localSheetId="17">#REF!</definedName>
    <definedName name="valgalv1mod" localSheetId="12">#REF!</definedName>
    <definedName name="valgalv1mod" localSheetId="11">#REF!</definedName>
    <definedName name="valgalv1mod">#REF!</definedName>
    <definedName name="validez" localSheetId="17">#REF!</definedName>
    <definedName name="validez">#REF!</definedName>
    <definedName name="Valor" localSheetId="17">#REF!</definedName>
    <definedName name="Valor">#REF!</definedName>
    <definedName name="valoresequipo" localSheetId="13">#REF!</definedName>
    <definedName name="valoresequipo" localSheetId="21">#REF!</definedName>
    <definedName name="valoresequipo" localSheetId="22">#REF!</definedName>
    <definedName name="valoresequipo" localSheetId="5">#REF!</definedName>
    <definedName name="valoresequipo" localSheetId="10">#REF!</definedName>
    <definedName name="valoresequipo" localSheetId="4">#REF!</definedName>
    <definedName name="valoresequipo" localSheetId="0">#REF!</definedName>
    <definedName name="valoresequipo" localSheetId="7">#REF!</definedName>
    <definedName name="valoresequipo" localSheetId="8">#REF!</definedName>
    <definedName name="valoresequipo" localSheetId="6">#REF!</definedName>
    <definedName name="valoresequipo" localSheetId="9">#REF!</definedName>
    <definedName name="valoresequipo" localSheetId="19">#REF!</definedName>
    <definedName name="valoresequipo" localSheetId="20">#REF!</definedName>
    <definedName name="valoresequipo" localSheetId="12">#REF!</definedName>
    <definedName name="valoresequipo" localSheetId="11">#REF!</definedName>
    <definedName name="valoresequipo" localSheetId="1">#REF!</definedName>
    <definedName name="valoresequipo" localSheetId="2">#REF!</definedName>
    <definedName name="valoresequipo" localSheetId="3">#REF!</definedName>
    <definedName name="valoresequipo">#REF!</definedName>
    <definedName name="Values_Entered" localSheetId="13">IF(Loan_Amount*Interest_Rate*Loan_Years*Loan_Start&gt;0,1,0)</definedName>
    <definedName name="Values_Entered" localSheetId="21">IF(Loan_Amount*Interest_Rate*Loan_Years*Loan_Start&gt;0,1,0)</definedName>
    <definedName name="Values_Entered" localSheetId="22">IF(Loan_Amount*Interest_Rate*Loan_Years*Loan_Start&gt;0,1,0)</definedName>
    <definedName name="Values_Entered" localSheetId="14">IF(Loan_Amount*Interest_Rate*Loan_Years*Loan_Start&gt;0,1,0)</definedName>
    <definedName name="Values_Entered" localSheetId="17">IF(Loan_Amount*'Indice CAC'!Interest_Rate*Loan_Years*Loan_Start&gt;0,1,0)</definedName>
    <definedName name="Values_Entered" localSheetId="19">IF(Loan_Amount*Interest_Rate*Loan_Years*Loan_Start&gt;0,1,0)</definedName>
    <definedName name="Values_Entered" localSheetId="20">IF(Loan_Amount*Interest_Rate*Loan_Years*Loan_Start&gt;0,1,0)</definedName>
    <definedName name="Values_Entered" localSheetId="12">IF([0]!Loan_Amount*[0]!Interest_Rate*[0]!Loan_Years*[0]!Loan_Start&gt;0,1,0)</definedName>
    <definedName name="Values_Entered" localSheetId="11">IF(Loan_Amount*Interest_Rate*Loan_Years*Loan_Start&gt;0,1,0)</definedName>
    <definedName name="Values_Entered" localSheetId="23">IF(Loan_Amount*Interest_Rate*Loan_Years*Loan_Start&gt;0,1,0)</definedName>
    <definedName name="Values_Entered">IF(Loan_Amount*Interest_Rate*Loan_Years*Loan_Start&gt;0,1,0)</definedName>
    <definedName name="valuevx">42.314159</definedName>
    <definedName name="vaponeo" localSheetId="13">#REF!</definedName>
    <definedName name="vaponeo" localSheetId="14">#REF!</definedName>
    <definedName name="vaponeo" localSheetId="17">#REF!</definedName>
    <definedName name="vaponeo" localSheetId="12">#REF!</definedName>
    <definedName name="vaponeo" localSheetId="11">#REF!</definedName>
    <definedName name="vaponeo">#REF!</definedName>
    <definedName name="varmco" localSheetId="13">#REF!</definedName>
    <definedName name="varmco" localSheetId="14">#REF!</definedName>
    <definedName name="varmco" localSheetId="17">#REF!</definedName>
    <definedName name="varmco" localSheetId="12">#REF!</definedName>
    <definedName name="varmco" localSheetId="11">#REF!</definedName>
    <definedName name="varmco">#REF!</definedName>
    <definedName name="varmco1mod" localSheetId="13">#REF!</definedName>
    <definedName name="varmco1mod" localSheetId="17">#REF!</definedName>
    <definedName name="varmco1mod" localSheetId="12">#REF!</definedName>
    <definedName name="varmco1mod" localSheetId="11">#REF!</definedName>
    <definedName name="varmco1mod">#REF!</definedName>
    <definedName name="vbarra" localSheetId="13">#REF!</definedName>
    <definedName name="vbarra" localSheetId="14">#REF!</definedName>
    <definedName name="vbarra" localSheetId="17">#REF!</definedName>
    <definedName name="vbarra" localSheetId="12">#REF!</definedName>
    <definedName name="vbarra" localSheetId="11">#REF!</definedName>
    <definedName name="vbarra">#REF!</definedName>
    <definedName name="vbarra1mod" localSheetId="13">#REF!</definedName>
    <definedName name="vbarra1mod" localSheetId="17">#REF!</definedName>
    <definedName name="vbarra1mod" localSheetId="12">#REF!</definedName>
    <definedName name="vbarra1mod" localSheetId="11">#REF!</definedName>
    <definedName name="vbarra1mod">#REF!</definedName>
    <definedName name="vbroca" localSheetId="13">#REF!</definedName>
    <definedName name="vbroca" localSheetId="14">#REF!</definedName>
    <definedName name="vbroca" localSheetId="17">#REF!</definedName>
    <definedName name="vbroca" localSheetId="12">#REF!</definedName>
    <definedName name="vbroca" localSheetId="11">#REF!</definedName>
    <definedName name="vbroca">#REF!</definedName>
    <definedName name="vbroca1mod" localSheetId="13">#REF!</definedName>
    <definedName name="vbroca1mod" localSheetId="17">#REF!</definedName>
    <definedName name="vbroca1mod" localSheetId="12">#REF!</definedName>
    <definedName name="vbroca1mod" localSheetId="11">#REF!</definedName>
    <definedName name="vbroca1mod">#REF!</definedName>
    <definedName name="vca" localSheetId="13">#REF!</definedName>
    <definedName name="vca" localSheetId="14">#REF!</definedName>
    <definedName name="vca" localSheetId="17">#REF!</definedName>
    <definedName name="vca" localSheetId="12">#REF!</definedName>
    <definedName name="vca" localSheetId="11">#REF!</definedName>
    <definedName name="vca">#REF!</definedName>
    <definedName name="vca1mod" localSheetId="13">#REF!</definedName>
    <definedName name="vca1mod" localSheetId="17">#REF!</definedName>
    <definedName name="vca1mod" localSheetId="12">#REF!</definedName>
    <definedName name="vca1mod" localSheetId="11">#REF!</definedName>
    <definedName name="vca1mod">#REF!</definedName>
    <definedName name="vcem1mod" localSheetId="17">#REF!</definedName>
    <definedName name="vcem1mod">#REF!</definedName>
    <definedName name="vclav" localSheetId="13">#REF!</definedName>
    <definedName name="vclav" localSheetId="14">#REF!</definedName>
    <definedName name="vclav" localSheetId="17">#REF!</definedName>
    <definedName name="vclav" localSheetId="12">#REF!</definedName>
    <definedName name="vclav" localSheetId="11">#REF!</definedName>
    <definedName name="vclav">#REF!</definedName>
    <definedName name="vclav1mod" localSheetId="13">#REF!</definedName>
    <definedName name="vclav1mod" localSheetId="17">#REF!</definedName>
    <definedName name="vclav1mod" localSheetId="12">#REF!</definedName>
    <definedName name="vclav1mod" localSheetId="11">#REF!</definedName>
    <definedName name="vclav1mod">#REF!</definedName>
    <definedName name="vcub" localSheetId="13">#REF!</definedName>
    <definedName name="vcub" localSheetId="14">#REF!</definedName>
    <definedName name="vcub" localSheetId="17">#REF!</definedName>
    <definedName name="vcub" localSheetId="12">#REF!</definedName>
    <definedName name="vcub" localSheetId="11">#REF!</definedName>
    <definedName name="vcub">#REF!</definedName>
    <definedName name="vcub1mod" localSheetId="13">#REF!</definedName>
    <definedName name="vcub1mod" localSheetId="17">#REF!</definedName>
    <definedName name="vcub1mod" localSheetId="12">#REF!</definedName>
    <definedName name="vcub1mod" localSheetId="11">#REF!</definedName>
    <definedName name="vcub1mod">#REF!</definedName>
    <definedName name="vdil" localSheetId="13">#REF!</definedName>
    <definedName name="vdil" localSheetId="14">#REF!</definedName>
    <definedName name="vdil" localSheetId="17">#REF!</definedName>
    <definedName name="vdil" localSheetId="12">#REF!</definedName>
    <definedName name="vdil" localSheetId="11">#REF!</definedName>
    <definedName name="vdil">#REF!</definedName>
    <definedName name="vdil1mod" localSheetId="13">#REF!</definedName>
    <definedName name="vdil1mod" localSheetId="17">#REF!</definedName>
    <definedName name="vdil1mod" localSheetId="12">#REF!</definedName>
    <definedName name="vdil1mod" localSheetId="11">#REF!</definedName>
    <definedName name="vdil1mod">#REF!</definedName>
    <definedName name="VENTA">#N/A</definedName>
    <definedName name="veqc1mod" localSheetId="13">#REF!</definedName>
    <definedName name="veqc1mod" localSheetId="14">#REF!</definedName>
    <definedName name="veqc1mod" localSheetId="17">#REF!</definedName>
    <definedName name="veqc1mod" localSheetId="12">#REF!</definedName>
    <definedName name="veqc1mod" localSheetId="11">#REF!</definedName>
    <definedName name="veqc1mod">#REF!</definedName>
    <definedName name="veqh1mod" localSheetId="13">#REF!</definedName>
    <definedName name="veqh1mod" localSheetId="14">#REF!</definedName>
    <definedName name="veqh1mod" localSheetId="17">#REF!</definedName>
    <definedName name="veqh1mod" localSheetId="12">#REF!</definedName>
    <definedName name="veqh1mod" localSheetId="11">#REF!</definedName>
    <definedName name="veqh1mod">#REF!</definedName>
    <definedName name="veqh2mod" localSheetId="13">#REF!</definedName>
    <definedName name="veqh2mod" localSheetId="14">#REF!</definedName>
    <definedName name="veqh2mod" localSheetId="17">#REF!</definedName>
    <definedName name="veqh2mod" localSheetId="12">#REF!</definedName>
    <definedName name="veqh2mod" localSheetId="11">#REF!</definedName>
    <definedName name="veqh2mod">#REF!</definedName>
    <definedName name="veqh3mod" localSheetId="13">#REF!</definedName>
    <definedName name="veqh3mod" localSheetId="14">#REF!</definedName>
    <definedName name="veqh3mod" localSheetId="17">#REF!</definedName>
    <definedName name="veqh3mod" localSheetId="12">#REF!</definedName>
    <definedName name="veqh3mod" localSheetId="11">#REF!</definedName>
    <definedName name="veqh3mod">#REF!</definedName>
    <definedName name="veqhc" localSheetId="13">#REF!</definedName>
    <definedName name="veqhc" localSheetId="14">#REF!</definedName>
    <definedName name="veqhc" localSheetId="17">#REF!</definedName>
    <definedName name="veqhc" localSheetId="12">#REF!</definedName>
    <definedName name="veqhc" localSheetId="11">#REF!</definedName>
    <definedName name="veqhc">#REF!</definedName>
    <definedName name="veqhc1mod" localSheetId="13">#REF!</definedName>
    <definedName name="veqhc1mod" localSheetId="17">#REF!</definedName>
    <definedName name="veqhc1mod" localSheetId="12">#REF!</definedName>
    <definedName name="veqhc1mod" localSheetId="11">#REF!</definedName>
    <definedName name="veqhc1mod">#REF!</definedName>
    <definedName name="veqimp1mod" localSheetId="17">#REF!</definedName>
    <definedName name="veqimp1mod">#REF!</definedName>
    <definedName name="veqnac1mod" localSheetId="17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 localSheetId="13">#REF!</definedName>
    <definedName name="vfiller" localSheetId="14">#REF!</definedName>
    <definedName name="vfiller" localSheetId="17">#REF!</definedName>
    <definedName name="vfiller" localSheetId="12">#REF!</definedName>
    <definedName name="vfiller" localSheetId="11">#REF!</definedName>
    <definedName name="vfiller">#REF!</definedName>
    <definedName name="vfiller1mod" localSheetId="13">#REF!</definedName>
    <definedName name="vfiller1mod" localSheetId="17">#REF!</definedName>
    <definedName name="vfiller1mod" localSheetId="12">#REF!</definedName>
    <definedName name="vfiller1mod" localSheetId="11">#REF!</definedName>
    <definedName name="vfiller1mod">#REF!</definedName>
    <definedName name="vflex1mod" localSheetId="17">#REF!</definedName>
    <definedName name="vflex1mod">#REF!</definedName>
    <definedName name="vflexposte" localSheetId="13">#REF!</definedName>
    <definedName name="vflexposte" localSheetId="14">#REF!</definedName>
    <definedName name="vflexposte" localSheetId="17">#REF!</definedName>
    <definedName name="vflexposte" localSheetId="12">#REF!</definedName>
    <definedName name="vflexposte" localSheetId="11">#REF!</definedName>
    <definedName name="vflexposte">#REF!</definedName>
    <definedName name="vflexposte1mod" localSheetId="13">#REF!</definedName>
    <definedName name="vflexposte1mod" localSheetId="17">#REF!</definedName>
    <definedName name="vflexposte1mod" localSheetId="12">#REF!</definedName>
    <definedName name="vflexposte1mod" localSheetId="11">#REF!</definedName>
    <definedName name="vflexposte1mod">#REF!</definedName>
    <definedName name="vfo" localSheetId="13">#REF!</definedName>
    <definedName name="vfo" localSheetId="14">#REF!</definedName>
    <definedName name="vfo" localSheetId="17">#REF!</definedName>
    <definedName name="vfo" localSheetId="12">#REF!</definedName>
    <definedName name="vfo" localSheetId="11">#REF!</definedName>
    <definedName name="vfo">#REF!</definedName>
    <definedName name="vfo1mod" localSheetId="13">#REF!</definedName>
    <definedName name="vfo1mod" localSheetId="17">#REF!</definedName>
    <definedName name="vfo1mod" localSheetId="12">#REF!</definedName>
    <definedName name="vfo1mod" localSheetId="11">#REF!</definedName>
    <definedName name="vfo1mod">#REF!</definedName>
    <definedName name="vgav1mod" localSheetId="17">#REF!</definedName>
    <definedName name="vgav1mod">#REF!</definedName>
    <definedName name="vgavhex" localSheetId="13">#REF!</definedName>
    <definedName name="vgavhex" localSheetId="14">#REF!</definedName>
    <definedName name="vgavhex" localSheetId="17">#REF!</definedName>
    <definedName name="vgavhex" localSheetId="12">#REF!</definedName>
    <definedName name="vgavhex" localSheetId="11">#REF!</definedName>
    <definedName name="vgavhex">#REF!</definedName>
    <definedName name="vgavhex1mod" localSheetId="13">#REF!</definedName>
    <definedName name="vgavhex1mod" localSheetId="17">#REF!</definedName>
    <definedName name="vgavhex1mod" localSheetId="12">#REF!</definedName>
    <definedName name="vgavhex1mod" localSheetId="11">#REF!</definedName>
    <definedName name="vgavhex1mod">#REF!</definedName>
    <definedName name="vgel" localSheetId="13">#REF!</definedName>
    <definedName name="vgel" localSheetId="14">#REF!</definedName>
    <definedName name="vgel" localSheetId="17">#REF!</definedName>
    <definedName name="vgel" localSheetId="12">#REF!</definedName>
    <definedName name="vgel" localSheetId="11">#REF!</definedName>
    <definedName name="vgel">#REF!</definedName>
    <definedName name="vgel1mod" localSheetId="13">#REF!</definedName>
    <definedName name="vgel1mod" localSheetId="17">#REF!</definedName>
    <definedName name="vgel1mod" localSheetId="12">#REF!</definedName>
    <definedName name="vgel1mod" localSheetId="11">#REF!</definedName>
    <definedName name="vgel1mod">#REF!</definedName>
    <definedName name="vgeot" localSheetId="13">#REF!</definedName>
    <definedName name="vgeot" localSheetId="14">#REF!</definedName>
    <definedName name="vgeot" localSheetId="17">#REF!</definedName>
    <definedName name="vgeot" localSheetId="12">#REF!</definedName>
    <definedName name="vgeot" localSheetId="11">#REF!</definedName>
    <definedName name="vgeot">#REF!</definedName>
    <definedName name="vgeot1mod" localSheetId="13">#REF!</definedName>
    <definedName name="vgeot1mod" localSheetId="17">#REF!</definedName>
    <definedName name="vgeot1mod" localSheetId="12">#REF!</definedName>
    <definedName name="vgeot1mod" localSheetId="11">#REF!</definedName>
    <definedName name="vgeot1mod">#REF!</definedName>
    <definedName name="vgf" localSheetId="13">#REF!</definedName>
    <definedName name="vgf" localSheetId="14">#REF!</definedName>
    <definedName name="vgf" localSheetId="17">#REF!</definedName>
    <definedName name="vgf" localSheetId="12">#REF!</definedName>
    <definedName name="vgf" localSheetId="11">#REF!</definedName>
    <definedName name="vgf">#REF!</definedName>
    <definedName name="vgf1mod" localSheetId="13">#REF!</definedName>
    <definedName name="vgf1mod" localSheetId="17">#REF!</definedName>
    <definedName name="vgf1mod" localSheetId="12">#REF!</definedName>
    <definedName name="vgf1mod" localSheetId="11">#REF!</definedName>
    <definedName name="vgf1mod">#REF!</definedName>
    <definedName name="vgf3mod" localSheetId="13">#REF!</definedName>
    <definedName name="vgf3mod" localSheetId="14">#REF!</definedName>
    <definedName name="vgf3mod" localSheetId="17">#REF!</definedName>
    <definedName name="vgf3mod" localSheetId="12">#REF!</definedName>
    <definedName name="vgf3mod" localSheetId="11">#REF!</definedName>
    <definedName name="vgf3mod">#REF!</definedName>
    <definedName name="vggrales" localSheetId="13">#REF!</definedName>
    <definedName name="vggrales" localSheetId="14">#REF!</definedName>
    <definedName name="vggrales" localSheetId="17">#REF!</definedName>
    <definedName name="vggrales" localSheetId="12">#REF!</definedName>
    <definedName name="vggrales" localSheetId="11">#REF!</definedName>
    <definedName name="vggrales">#REF!</definedName>
    <definedName name="vgo" localSheetId="13">#REF!</definedName>
    <definedName name="vgo" localSheetId="14">#REF!</definedName>
    <definedName name="vgo" localSheetId="17">#REF!</definedName>
    <definedName name="vgo" localSheetId="12">#REF!</definedName>
    <definedName name="vgo" localSheetId="11">#REF!</definedName>
    <definedName name="vgo">#REF!</definedName>
    <definedName name="vgo1mod" localSheetId="13">#REF!</definedName>
    <definedName name="vgo1mod" localSheetId="17">#REF!</definedName>
    <definedName name="vgo1mod" localSheetId="12">#REF!</definedName>
    <definedName name="vgo1mod" localSheetId="11">#REF!</definedName>
    <definedName name="vgo1mod">#REF!</definedName>
    <definedName name="VH">#N/A</definedName>
    <definedName name="Vida" localSheetId="13">#REF!</definedName>
    <definedName name="Vida" localSheetId="14">#REF!</definedName>
    <definedName name="Vida" localSheetId="17">#REF!</definedName>
    <definedName name="Vida" localSheetId="12">#REF!</definedName>
    <definedName name="Vida" localSheetId="11">#REF!</definedName>
    <definedName name="Vida">#REF!</definedName>
    <definedName name="Viscosidad_Dinámica_y_Cinemática_del_Agua" localSheetId="13">#REF!</definedName>
    <definedName name="Viscosidad_Dinámica_y_Cinemática_del_Agua" localSheetId="14">#REF!</definedName>
    <definedName name="Viscosidad_Dinámica_y_Cinemática_del_Agua" localSheetId="17">#REF!</definedName>
    <definedName name="Viscosidad_Dinámica_y_Cinemática_del_Agua" localSheetId="12">#REF!</definedName>
    <definedName name="Viscosidad_Dinámica_y_Cinemática_del_Agua" localSheetId="11">#REF!</definedName>
    <definedName name="Viscosidad_Dinámica_y_Cinemática_del_Agua">#REF!</definedName>
    <definedName name="viv" localSheetId="13">#REF!</definedName>
    <definedName name="viv" localSheetId="14">#REF!</definedName>
    <definedName name="viv" localSheetId="17">#REF!</definedName>
    <definedName name="viv" localSheetId="12">#REF!</definedName>
    <definedName name="viv" localSheetId="11">#REF!</definedName>
    <definedName name="viv">#REF!</definedName>
    <definedName name="vjunexp" localSheetId="13">#REF!</definedName>
    <definedName name="vjunexp" localSheetId="14">#REF!</definedName>
    <definedName name="vjunexp" localSheetId="17">#REF!</definedName>
    <definedName name="vjunexp" localSheetId="12">#REF!</definedName>
    <definedName name="vjunexp" localSheetId="11">#REF!</definedName>
    <definedName name="vjunexp">#REF!</definedName>
    <definedName name="vjunt" localSheetId="13">#REF!</definedName>
    <definedName name="vjunt" localSheetId="14">#REF!</definedName>
    <definedName name="vjunt" localSheetId="17">#REF!</definedName>
    <definedName name="vjunt" localSheetId="12">#REF!</definedName>
    <definedName name="vjunt" localSheetId="11">#REF!</definedName>
    <definedName name="vjunt">#REF!</definedName>
    <definedName name="vjunt1mod" localSheetId="13">#REF!</definedName>
    <definedName name="vjunt1mod" localSheetId="17">#REF!</definedName>
    <definedName name="vjunt1mod" localSheetId="12">#REF!</definedName>
    <definedName name="vjunt1mod" localSheetId="11">#REF!</definedName>
    <definedName name="vjunt1mod">#REF!</definedName>
    <definedName name="vmad" localSheetId="13">#REF!</definedName>
    <definedName name="vmad" localSheetId="14">#REF!</definedName>
    <definedName name="vmad" localSheetId="17">#REF!</definedName>
    <definedName name="vmad" localSheetId="12">#REF!</definedName>
    <definedName name="vmad" localSheetId="11">#REF!</definedName>
    <definedName name="vmad">#REF!</definedName>
    <definedName name="vmad1mod" localSheetId="13">#REF!</definedName>
    <definedName name="vmad1mod" localSheetId="17">#REF!</definedName>
    <definedName name="vmad1mod" localSheetId="12">#REF!</definedName>
    <definedName name="vmad1mod" localSheetId="11">#REF!</definedName>
    <definedName name="vmad1mod">#REF!</definedName>
    <definedName name="vmas" localSheetId="13">#REF!</definedName>
    <definedName name="vmas" localSheetId="14">#REF!</definedName>
    <definedName name="vmas" localSheetId="17">#REF!</definedName>
    <definedName name="vmas" localSheetId="12">#REF!</definedName>
    <definedName name="vmas" localSheetId="11">#REF!</definedName>
    <definedName name="vmas">#REF!</definedName>
    <definedName name="vmdeo1mod" localSheetId="13">#REF!</definedName>
    <definedName name="vmdeo1mod" localSheetId="17">#REF!</definedName>
    <definedName name="vmdeo1mod" localSheetId="12">#REF!</definedName>
    <definedName name="vmdeo1mod" localSheetId="11">#REF!</definedName>
    <definedName name="vmdeo1mod">#REF!</definedName>
    <definedName name="vmhex" localSheetId="13">#REF!</definedName>
    <definedName name="vmhex" localSheetId="14">#REF!</definedName>
    <definedName name="vmhex" localSheetId="17">#REF!</definedName>
    <definedName name="vmhex" localSheetId="12">#REF!</definedName>
    <definedName name="vmhex" localSheetId="11">#REF!</definedName>
    <definedName name="vmhex">#REF!</definedName>
    <definedName name="vmhex1mod" localSheetId="13">#REF!</definedName>
    <definedName name="vmhex1mod" localSheetId="17">#REF!</definedName>
    <definedName name="vmhex1mod" localSheetId="12">#REF!</definedName>
    <definedName name="vmhex1mod" localSheetId="11">#REF!</definedName>
    <definedName name="vmhex1mod">#REF!</definedName>
    <definedName name="vmov1mod" localSheetId="17">#REF!</definedName>
    <definedName name="vmov1mod">#REF!</definedName>
    <definedName name="vnago" localSheetId="13">#REF!</definedName>
    <definedName name="vnago" localSheetId="14">#REF!</definedName>
    <definedName name="vnago" localSheetId="17">#REF!</definedName>
    <definedName name="vnago" localSheetId="12">#REF!</definedName>
    <definedName name="vnago" localSheetId="11">#REF!</definedName>
    <definedName name="vnago">#REF!</definedName>
    <definedName name="vnago1mod" localSheetId="13">#REF!</definedName>
    <definedName name="vnago1mod" localSheetId="17">#REF!</definedName>
    <definedName name="vnago1mod" localSheetId="12">#REF!</definedName>
    <definedName name="vnago1mod" localSheetId="11">#REF!</definedName>
    <definedName name="vnago1mod">#REF!</definedName>
    <definedName name="VOLT">#N/A</definedName>
    <definedName name="vomathap" localSheetId="13">#REF!</definedName>
    <definedName name="vomathap" localSheetId="14">#REF!</definedName>
    <definedName name="vomathap" localSheetId="17">#REF!</definedName>
    <definedName name="vomathap" localSheetId="12">#REF!</definedName>
    <definedName name="vomathap" localSheetId="11">#REF!</definedName>
    <definedName name="vomathap">#REF!</definedName>
    <definedName name="vomathpp" localSheetId="13">#REF!</definedName>
    <definedName name="vomathpp" localSheetId="14">#REF!</definedName>
    <definedName name="vomathpp" localSheetId="17">#REF!</definedName>
    <definedName name="vomathpp" localSheetId="12">#REF!</definedName>
    <definedName name="vomathpp" localSheetId="11">#REF!</definedName>
    <definedName name="vomathpp">#REF!</definedName>
    <definedName name="votros" localSheetId="13">#REF!</definedName>
    <definedName name="votros" localSheetId="14">#REF!</definedName>
    <definedName name="votros" localSheetId="17">#REF!</definedName>
    <definedName name="votros" localSheetId="12">#REF!</definedName>
    <definedName name="votros" localSheetId="11">#REF!</definedName>
    <definedName name="votros">#REF!</definedName>
    <definedName name="votros1mod" localSheetId="13">#REF!</definedName>
    <definedName name="votros1mod" localSheetId="17">#REF!</definedName>
    <definedName name="votros1mod" localSheetId="12">#REF!</definedName>
    <definedName name="votros1mod" localSheetId="11">#REF!</definedName>
    <definedName name="votros1mod">#REF!</definedName>
    <definedName name="vpintref" localSheetId="13">#REF!</definedName>
    <definedName name="vpintref" localSheetId="14">#REF!</definedName>
    <definedName name="vpintref" localSheetId="17">#REF!</definedName>
    <definedName name="vpintref" localSheetId="12">#REF!</definedName>
    <definedName name="vpintref" localSheetId="11">#REF!</definedName>
    <definedName name="vpintref">#REF!</definedName>
    <definedName name="vpintref1mod" localSheetId="13">#REF!</definedName>
    <definedName name="vpintref1mod" localSheetId="17">#REF!</definedName>
    <definedName name="vpintref1mod" localSheetId="12">#REF!</definedName>
    <definedName name="vpintref1mod" localSheetId="11">#REF!</definedName>
    <definedName name="vpintref1mod">#REF!</definedName>
    <definedName name="vpvc" localSheetId="13">#REF!</definedName>
    <definedName name="vpvc" localSheetId="14">#REF!</definedName>
    <definedName name="vpvc" localSheetId="17">#REF!</definedName>
    <definedName name="vpvc" localSheetId="12">#REF!</definedName>
    <definedName name="vpvc" localSheetId="11">#REF!</definedName>
    <definedName name="vpvc">#REF!</definedName>
    <definedName name="vpvc1mod" localSheetId="13">#REF!</definedName>
    <definedName name="vpvc1mod" localSheetId="17">#REF!</definedName>
    <definedName name="vpvc1mod" localSheetId="12">#REF!</definedName>
    <definedName name="vpvc1mod" localSheetId="11">#REF!</definedName>
    <definedName name="vpvc1mod">#REF!</definedName>
    <definedName name="vrrc1mod" localSheetId="17">#REF!</definedName>
    <definedName name="vrrc1mod">#REF!</definedName>
    <definedName name="vrrp1mod" localSheetId="17">#REF!</definedName>
    <definedName name="vrrp1mod">#REF!</definedName>
    <definedName name="vseñ" localSheetId="13">#REF!</definedName>
    <definedName name="vseñ" localSheetId="14">#REF!</definedName>
    <definedName name="vseñ" localSheetId="17">#REF!</definedName>
    <definedName name="vseñ" localSheetId="12">#REF!</definedName>
    <definedName name="vseñ" localSheetId="11">#REF!</definedName>
    <definedName name="vseñ">#REF!</definedName>
    <definedName name="vseñ1mod" localSheetId="13">#REF!</definedName>
    <definedName name="vseñ1mod" localSheetId="17">#REF!</definedName>
    <definedName name="vseñ1mod" localSheetId="12">#REF!</definedName>
    <definedName name="vseñ1mod" localSheetId="11">#REF!</definedName>
    <definedName name="vseñ1mod">#REF!</definedName>
    <definedName name="VT">#N/A</definedName>
    <definedName name="vt100k" localSheetId="13">#REF!</definedName>
    <definedName name="vt100k" localSheetId="14">#REF!</definedName>
    <definedName name="vt100k" localSheetId="17">#REF!</definedName>
    <definedName name="vt100k" localSheetId="12">#REF!</definedName>
    <definedName name="vt100k" localSheetId="11">#REF!</definedName>
    <definedName name="vt100k">#REF!</definedName>
    <definedName name="vt1400k" localSheetId="13">#REF!</definedName>
    <definedName name="vt1400k" localSheetId="14">#REF!</definedName>
    <definedName name="vt1400k" localSheetId="17">#REF!</definedName>
    <definedName name="vt1400k" localSheetId="12">#REF!</definedName>
    <definedName name="vt1400k" localSheetId="11">#REF!</definedName>
    <definedName name="vt1400k">#REF!</definedName>
    <definedName name="vt1450k" localSheetId="13">#REF!</definedName>
    <definedName name="vt1450k" localSheetId="14">#REF!</definedName>
    <definedName name="vt1450k" localSheetId="17">#REF!</definedName>
    <definedName name="vt1450k" localSheetId="12">#REF!</definedName>
    <definedName name="vt1450k" localSheetId="11">#REF!</definedName>
    <definedName name="vt1450k">#REF!</definedName>
    <definedName name="vt50k" localSheetId="13">#REF!</definedName>
    <definedName name="vt50k" localSheetId="14">#REF!</definedName>
    <definedName name="vt50k" localSheetId="17">#REF!</definedName>
    <definedName name="vt50k" localSheetId="12">#REF!</definedName>
    <definedName name="vt50k" localSheetId="11">#REF!</definedName>
    <definedName name="vt50k">#REF!</definedName>
    <definedName name="vtmesh" localSheetId="13">#REF!</definedName>
    <definedName name="vtmesh" localSheetId="14">#REF!</definedName>
    <definedName name="vtmesh" localSheetId="17">#REF!</definedName>
    <definedName name="vtmesh" localSheetId="12">#REF!</definedName>
    <definedName name="vtmesh" localSheetId="11">#REF!</definedName>
    <definedName name="vtmesh">#REF!</definedName>
    <definedName name="vtmesh1mod" localSheetId="13">#REF!</definedName>
    <definedName name="vtmesh1mod" localSheetId="17">#REF!</definedName>
    <definedName name="vtmesh1mod" localSheetId="12">#REF!</definedName>
    <definedName name="vtmesh1mod" localSheetId="11">#REF!</definedName>
    <definedName name="vtmesh1mod">#REF!</definedName>
    <definedName name="vtopes" localSheetId="13">#REF!</definedName>
    <definedName name="vtopes" localSheetId="14">#REF!</definedName>
    <definedName name="vtopes" localSheetId="17">#REF!</definedName>
    <definedName name="vtopes" localSheetId="12">#REF!</definedName>
    <definedName name="vtopes" localSheetId="11">#REF!</definedName>
    <definedName name="vtopes">#REF!</definedName>
    <definedName name="vviv" localSheetId="13">#REF!</definedName>
    <definedName name="vviv" localSheetId="14">#REF!</definedName>
    <definedName name="vviv" localSheetId="17">#REF!</definedName>
    <definedName name="vviv" localSheetId="12">#REF!</definedName>
    <definedName name="vviv" localSheetId="11">#REF!</definedName>
    <definedName name="vviv">#REF!</definedName>
    <definedName name="vviv1mod" localSheetId="13">#REF!</definedName>
    <definedName name="vviv1mod" localSheetId="17">#REF!</definedName>
    <definedName name="vviv1mod" localSheetId="12">#REF!</definedName>
    <definedName name="vviv1mod" localSheetId="11">#REF!</definedName>
    <definedName name="vviv1mod">#REF!</definedName>
    <definedName name="W" localSheetId="13" hidden="1">{"NORMAL",#N/A,FALSE,"02"}</definedName>
    <definedName name="W" localSheetId="21" hidden="1">{"NORMAL",#N/A,FALSE,"02"}</definedName>
    <definedName name="W" localSheetId="22" hidden="1">{"NORMAL",#N/A,FALSE,"02"}</definedName>
    <definedName name="W" localSheetId="14" hidden="1">{"NORMAL",#N/A,FALSE,"02"}</definedName>
    <definedName name="W" localSheetId="17" hidden="1">{"NORMAL",#N/A,FALSE,"02"}</definedName>
    <definedName name="W" localSheetId="19" hidden="1">{"NORMAL",#N/A,FALSE,"02"}</definedName>
    <definedName name="W" localSheetId="20" hidden="1">{"NORMAL",#N/A,FALSE,"02"}</definedName>
    <definedName name="W" localSheetId="12" hidden="1">{"NORMAL",#N/A,FALSE,"02"}</definedName>
    <definedName name="W" localSheetId="11" hidden="1">{"NORMAL",#N/A,FALSE,"02"}</definedName>
    <definedName name="W" localSheetId="23" hidden="1">{"NORMAL",#N/A,FALSE,"02"}</definedName>
    <definedName name="W" hidden="1">{"NORMAL",#N/A,FALSE,"02"}</definedName>
    <definedName name="we" localSheetId="13">#REF!</definedName>
    <definedName name="we" localSheetId="21">#REF!</definedName>
    <definedName name="we" localSheetId="22">#REF!</definedName>
    <definedName name="we" localSheetId="5">#REF!</definedName>
    <definedName name="we" localSheetId="10">#REF!</definedName>
    <definedName name="we" localSheetId="4">#REF!</definedName>
    <definedName name="we" localSheetId="0">#REF!</definedName>
    <definedName name="we" localSheetId="17">#REF!</definedName>
    <definedName name="we" localSheetId="7">#REF!</definedName>
    <definedName name="we" localSheetId="8">#REF!</definedName>
    <definedName name="we" localSheetId="6">#REF!</definedName>
    <definedName name="we" localSheetId="9">#REF!</definedName>
    <definedName name="we" localSheetId="19">#REF!</definedName>
    <definedName name="we" localSheetId="20">#REF!</definedName>
    <definedName name="we" localSheetId="12">#REF!</definedName>
    <definedName name="we" localSheetId="11">#REF!</definedName>
    <definedName name="we" localSheetId="1">#REF!</definedName>
    <definedName name="we" localSheetId="2">#REF!</definedName>
    <definedName name="we" localSheetId="3">#REF!</definedName>
    <definedName name="we">#REF!</definedName>
    <definedName name="wrn.02INFORME." localSheetId="13" hidden="1">{"NORMAL",#N/A,FALSE,"02"}</definedName>
    <definedName name="wrn.02INFORME." localSheetId="21" hidden="1">{"NORMAL",#N/A,FALSE,"02"}</definedName>
    <definedName name="wrn.02INFORME." localSheetId="22" hidden="1">{"NORMAL",#N/A,FALSE,"02"}</definedName>
    <definedName name="wrn.02INFORME." localSheetId="14" hidden="1">{"NORMAL",#N/A,FALSE,"02"}</definedName>
    <definedName name="wrn.02INFORME." localSheetId="17" hidden="1">{"NORMAL",#N/A,FALSE,"02"}</definedName>
    <definedName name="wrn.02INFORME." localSheetId="19" hidden="1">{"NORMAL",#N/A,FALSE,"02"}</definedName>
    <definedName name="wrn.02INFORME." localSheetId="20" hidden="1">{"NORMAL",#N/A,FALSE,"02"}</definedName>
    <definedName name="wrn.02INFORME." localSheetId="12" hidden="1">{"NORMAL",#N/A,FALSE,"02"}</definedName>
    <definedName name="wrn.02INFORME." localSheetId="11" hidden="1">{"NORMAL",#N/A,FALSE,"02"}</definedName>
    <definedName name="wrn.02INFORME." localSheetId="23" hidden="1">{"NORMAL",#N/A,FALSE,"02"}</definedName>
    <definedName name="wrn.02INFORME." hidden="1">{"NORMAL",#N/A,FALSE,"02"}</definedName>
    <definedName name="wrn.DECIMAL." localSheetId="13" hidden="1">{"DECIMAL",#N/A,FALSE,"02"}</definedName>
    <definedName name="wrn.DECIMAL." localSheetId="21" hidden="1">{"DECIMAL",#N/A,FALSE,"02"}</definedName>
    <definedName name="wrn.DECIMAL." localSheetId="22" hidden="1">{"DECIMAL",#N/A,FALSE,"02"}</definedName>
    <definedName name="wrn.DECIMAL." localSheetId="14" hidden="1">{"DECIMAL",#N/A,FALSE,"02"}</definedName>
    <definedName name="wrn.DECIMAL." localSheetId="17" hidden="1">{"DECIMAL",#N/A,FALSE,"02"}</definedName>
    <definedName name="wrn.DECIMAL." localSheetId="19" hidden="1">{"DECIMAL",#N/A,FALSE,"02"}</definedName>
    <definedName name="wrn.DECIMAL." localSheetId="20" hidden="1">{"DECIMAL",#N/A,FALSE,"02"}</definedName>
    <definedName name="wrn.DECIMAL." localSheetId="12" hidden="1">{"DECIMAL",#N/A,FALSE,"02"}</definedName>
    <definedName name="wrn.DECIMAL." localSheetId="11" hidden="1">{"DECIMAL",#N/A,FALSE,"02"}</definedName>
    <definedName name="wrn.DECIMAL." localSheetId="23" hidden="1">{"DECIMAL",#N/A,FALSE,"02"}</definedName>
    <definedName name="wrn.DECIMAL." hidden="1">{"DECIMAL",#N/A,FALSE,"02"}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21" hidden="1">{#N/A,#N/A,TRUE,"Cert.Global";#N/A,#N/A,TRUE,"Cert. M&amp;C";#N/A,#N/A,TRUE,"Cert. Engineering";#N/A,#N/A,TRUE,"Cert. Procurement ";#N/A,#N/A,TRUE,"Cert. Constr. Manag."}</definedName>
    <definedName name="wrn.Graficos._.CG." localSheetId="22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19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23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2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3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localSheetId="13" hidden="1">{#N/A,#N/A,FALSE,"Monthly report";#N/A,#N/A,FALSE,"M.R. UEM";#N/A,#N/A,FALSE,"M.R. VCM"}</definedName>
    <definedName name="wrn.Report._.Mensual." localSheetId="21" hidden="1">{#N/A,#N/A,FALSE,"Monthly report";#N/A,#N/A,FALSE,"M.R. UEM";#N/A,#N/A,FALSE,"M.R. VCM"}</definedName>
    <definedName name="wrn.Report._.Mensual." localSheetId="22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localSheetId="17" hidden="1">{#N/A,#N/A,FALSE,"Monthly report";#N/A,#N/A,FALSE,"M.R. UEM";#N/A,#N/A,FALSE,"M.R. VCM"}</definedName>
    <definedName name="wrn.Report._.Mensual." localSheetId="19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23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localSheetId="13" hidden="1">{"DECIMAL",#N/A,FALSE,"02"}</definedName>
    <definedName name="x" localSheetId="21" hidden="1">{"DECIMAL",#N/A,FALSE,"02"}</definedName>
    <definedName name="x" localSheetId="22" hidden="1">{"DECIMAL",#N/A,FALSE,"02"}</definedName>
    <definedName name="x" localSheetId="14" hidden="1">{"DECIMAL",#N/A,FALSE,"02"}</definedName>
    <definedName name="x" localSheetId="17" hidden="1">{"DECIMAL",#N/A,FALSE,"02"}</definedName>
    <definedName name="x" localSheetId="19" hidden="1">{"DECIMAL",#N/A,FALSE,"02"}</definedName>
    <definedName name="x" localSheetId="20" hidden="1">{"DECIMAL",#N/A,FALSE,"02"}</definedName>
    <definedName name="x" localSheetId="12" hidden="1">{"DECIMAL",#N/A,FALSE,"02"}</definedName>
    <definedName name="x" localSheetId="11" hidden="1">{"DECIMAL",#N/A,FALSE,"02"}</definedName>
    <definedName name="x" localSheetId="23" hidden="1">{"DECIMAL",#N/A,FALSE,"02"}</definedName>
    <definedName name="x" hidden="1">{"DECIMAL",#N/A,FALSE,"02"}</definedName>
    <definedName name="XXX" localSheetId="13" hidden="1">{"NORMAL",#N/A,FALSE,"02"}</definedName>
    <definedName name="XXX" localSheetId="21" hidden="1">{"NORMAL",#N/A,FALSE,"02"}</definedName>
    <definedName name="XXX" localSheetId="22" hidden="1">{"NORMAL",#N/A,FALSE,"02"}</definedName>
    <definedName name="XXX" localSheetId="14" hidden="1">{"NORMAL",#N/A,FALSE,"02"}</definedName>
    <definedName name="xxx" localSheetId="17">#REF!</definedName>
    <definedName name="XXX" localSheetId="19" hidden="1">{"NORMAL",#N/A,FALSE,"02"}</definedName>
    <definedName name="XXX" localSheetId="20" hidden="1">{"NORMAL",#N/A,FALSE,"02"}</definedName>
    <definedName name="XXX" localSheetId="12" hidden="1">{"NORMAL",#N/A,FALSE,"02"}</definedName>
    <definedName name="XXX" localSheetId="11" hidden="1">{"NORMAL",#N/A,FALSE,"02"}</definedName>
    <definedName name="XXX" localSheetId="23" hidden="1">{"NORMAL",#N/A,FALSE,"02"}</definedName>
    <definedName name="XXX" hidden="1">{"NORMAL",#N/A,FALSE,"02"}</definedName>
    <definedName name="Y2000Target">#REF!</definedName>
    <definedName name="z" localSheetId="13">#REF!</definedName>
    <definedName name="z" localSheetId="14">#REF!</definedName>
    <definedName name="z" localSheetId="17">#REF!</definedName>
    <definedName name="z" localSheetId="12">#REF!</definedName>
    <definedName name="z" localSheetId="11">#REF!</definedName>
    <definedName name="z">#REF!</definedName>
    <definedName name="Z_3EF0D3E3_8069_11D6_A032_005004A43871_.wvu.PrintTitles" localSheetId="13" hidden="1">#REF!</definedName>
    <definedName name="Z_3EF0D3E3_8069_11D6_A032_005004A43871_.wvu.PrintTitles" localSheetId="14" hidden="1">#REF!</definedName>
    <definedName name="Z_3EF0D3E3_8069_11D6_A032_005004A43871_.wvu.PrintTitles" localSheetId="17" hidden="1">#REF!</definedName>
    <definedName name="Z_3EF0D3E3_8069_11D6_A032_005004A43871_.wvu.PrintTitles" localSheetId="12" hidden="1">#REF!</definedName>
    <definedName name="Z_3EF0D3E3_8069_11D6_A032_005004A43871_.wvu.PrintTitles" localSheetId="11" hidden="1">#REF!</definedName>
    <definedName name="Z_3EF0D3E3_8069_11D6_A032_005004A43871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4" i="32" l="1"/>
  <c r="H120" i="3"/>
  <c r="G120" i="3"/>
  <c r="D123" i="3"/>
  <c r="C123" i="3"/>
  <c r="F123" i="3" s="1"/>
  <c r="J90" i="10"/>
  <c r="E91" i="10" s="1"/>
  <c r="G90" i="10"/>
  <c r="F90" i="10"/>
  <c r="J87" i="10"/>
  <c r="E88" i="10" s="1"/>
  <c r="G88" i="10" s="1"/>
  <c r="G89" i="10" s="1"/>
  <c r="G87" i="10"/>
  <c r="F87" i="10"/>
  <c r="P193" i="42"/>
  <c r="P192" i="42"/>
  <c r="P191" i="42"/>
  <c r="P190" i="42"/>
  <c r="P189" i="42"/>
  <c r="E92" i="10" l="1"/>
  <c r="F91" i="10"/>
  <c r="F92" i="10" s="1"/>
  <c r="G91" i="10"/>
  <c r="G92" i="10" s="1"/>
  <c r="G93" i="10"/>
  <c r="E89" i="10"/>
  <c r="F88" i="10"/>
  <c r="F89" i="10" s="1"/>
  <c r="S13" i="5"/>
  <c r="M17" i="31"/>
  <c r="M15" i="31"/>
  <c r="M9" i="31"/>
  <c r="T32" i="40"/>
  <c r="U32" i="40" s="1"/>
  <c r="S32" i="40"/>
  <c r="Q32" i="40"/>
  <c r="R32" i="40"/>
  <c r="T52" i="2"/>
  <c r="U52" i="2" s="1"/>
  <c r="S52" i="2"/>
  <c r="R52" i="2"/>
  <c r="Q52" i="2"/>
  <c r="Q24" i="37"/>
  <c r="R24" i="37"/>
  <c r="S24" i="37"/>
  <c r="T24" i="37"/>
  <c r="U24" i="37"/>
  <c r="Q23" i="37"/>
  <c r="U23" i="37" s="1"/>
  <c r="R23" i="37"/>
  <c r="S23" i="37"/>
  <c r="T23" i="37"/>
  <c r="L23" i="37"/>
  <c r="M23" i="37"/>
  <c r="L24" i="37"/>
  <c r="M24" i="37"/>
  <c r="I23" i="37"/>
  <c r="J23" i="37"/>
  <c r="K23" i="37"/>
  <c r="I24" i="37"/>
  <c r="J24" i="37"/>
  <c r="K24" i="37"/>
  <c r="H24" i="37"/>
  <c r="H23" i="37"/>
  <c r="F93" i="10" l="1"/>
  <c r="L88" i="10"/>
  <c r="E93" i="10"/>
  <c r="L87" i="10"/>
  <c r="T32" i="41"/>
  <c r="U32" i="41"/>
  <c r="S32" i="41"/>
  <c r="R32" i="41"/>
  <c r="Q32" i="41"/>
  <c r="Q31" i="40"/>
  <c r="R31" i="40"/>
  <c r="U31" i="40" s="1"/>
  <c r="S31" i="40"/>
  <c r="T31" i="40"/>
  <c r="L31" i="40"/>
  <c r="M31" i="40" s="1"/>
  <c r="I31" i="40"/>
  <c r="J31" i="40"/>
  <c r="K31" i="40"/>
  <c r="I32" i="40"/>
  <c r="J32" i="40"/>
  <c r="K32" i="40"/>
  <c r="H32" i="40"/>
  <c r="H31" i="40"/>
  <c r="Q31" i="41"/>
  <c r="R31" i="41"/>
  <c r="U31" i="41" s="1"/>
  <c r="S31" i="41"/>
  <c r="T31" i="41"/>
  <c r="L31" i="41"/>
  <c r="M31" i="41"/>
  <c r="I31" i="41"/>
  <c r="J31" i="41"/>
  <c r="K31" i="41"/>
  <c r="I32" i="41"/>
  <c r="J32" i="41"/>
  <c r="K32" i="41"/>
  <c r="H32" i="41"/>
  <c r="H31" i="41"/>
  <c r="L32" i="40" l="1"/>
  <c r="M32" i="40" s="1"/>
  <c r="L32" i="41"/>
  <c r="M32" i="41" s="1"/>
  <c r="Q51" i="2" l="1"/>
  <c r="R51" i="2"/>
  <c r="S51" i="2"/>
  <c r="T51" i="2"/>
  <c r="I51" i="2"/>
  <c r="J51" i="2"/>
  <c r="K51" i="2"/>
  <c r="I52" i="2"/>
  <c r="J52" i="2"/>
  <c r="K52" i="2"/>
  <c r="H52" i="2"/>
  <c r="H51" i="2"/>
  <c r="M19" i="31"/>
  <c r="L8" i="31"/>
  <c r="C41" i="3"/>
  <c r="S289" i="10"/>
  <c r="S290" i="10" s="1"/>
  <c r="T280" i="10"/>
  <c r="S284" i="10" s="1"/>
  <c r="E61" i="10"/>
  <c r="F59" i="10"/>
  <c r="E59" i="10"/>
  <c r="D86" i="3"/>
  <c r="E60" i="10" l="1"/>
  <c r="G59" i="10"/>
  <c r="H59" i="10" s="1"/>
  <c r="U280" i="10"/>
  <c r="L52" i="2"/>
  <c r="M52" i="2" s="1"/>
  <c r="L51" i="2"/>
  <c r="M51" i="2" s="1"/>
  <c r="U51" i="2"/>
  <c r="L18" i="31"/>
  <c r="Q29" i="40" l="1"/>
  <c r="R29" i="40"/>
  <c r="S29" i="40"/>
  <c r="T29" i="40"/>
  <c r="Q30" i="40"/>
  <c r="R30" i="40"/>
  <c r="S30" i="40"/>
  <c r="T30" i="40"/>
  <c r="I30" i="40"/>
  <c r="J30" i="40"/>
  <c r="K30" i="40"/>
  <c r="H30" i="40"/>
  <c r="I30" i="41"/>
  <c r="J30" i="41"/>
  <c r="K30" i="41"/>
  <c r="H30" i="41"/>
  <c r="I50" i="2"/>
  <c r="J50" i="2"/>
  <c r="K50" i="2"/>
  <c r="H50" i="2"/>
  <c r="I29" i="40"/>
  <c r="J29" i="40"/>
  <c r="K29" i="40"/>
  <c r="H29" i="40"/>
  <c r="Q29" i="41"/>
  <c r="R29" i="41"/>
  <c r="S29" i="41"/>
  <c r="T29" i="41"/>
  <c r="Q30" i="41"/>
  <c r="R30" i="41"/>
  <c r="S30" i="41"/>
  <c r="T30" i="41"/>
  <c r="I29" i="41"/>
  <c r="J29" i="41"/>
  <c r="K29" i="41"/>
  <c r="H29" i="41"/>
  <c r="L29" i="41" s="1"/>
  <c r="M29" i="41" s="1"/>
  <c r="Q50" i="2"/>
  <c r="R50" i="2"/>
  <c r="S50" i="2"/>
  <c r="T50" i="2"/>
  <c r="Q49" i="2"/>
  <c r="R49" i="2"/>
  <c r="S49" i="2"/>
  <c r="T49" i="2"/>
  <c r="I49" i="2"/>
  <c r="J49" i="2"/>
  <c r="K49" i="2"/>
  <c r="H49" i="2"/>
  <c r="T27" i="1"/>
  <c r="N7" i="30"/>
  <c r="N8" i="30" s="1"/>
  <c r="N13" i="30"/>
  <c r="N14" i="30"/>
  <c r="N15" i="30"/>
  <c r="N16" i="30"/>
  <c r="N17" i="30"/>
  <c r="N18" i="30"/>
  <c r="N19" i="30"/>
  <c r="N20" i="30"/>
  <c r="N22" i="30"/>
  <c r="N23" i="30"/>
  <c r="N24" i="30"/>
  <c r="N25" i="30"/>
  <c r="N26" i="30"/>
  <c r="N27" i="30"/>
  <c r="N28" i="30"/>
  <c r="N29" i="30"/>
  <c r="V30" i="21" a="1"/>
  <c r="V30" i="21" s="1"/>
  <c r="V29" i="21" a="1"/>
  <c r="V29" i="21" s="1"/>
  <c r="T9" i="21"/>
  <c r="T10" i="21" s="1"/>
  <c r="T7" i="21"/>
  <c r="T7" i="1" s="1"/>
  <c r="T8" i="1" s="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9" i="21"/>
  <c r="T30" i="21"/>
  <c r="T31" i="2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8" i="1"/>
  <c r="T29" i="1"/>
  <c r="T30" i="1"/>
  <c r="T31" i="1"/>
  <c r="T32" i="1"/>
  <c r="T33" i="1"/>
  <c r="T34" i="1"/>
  <c r="T35" i="1"/>
  <c r="S18" i="5"/>
  <c r="S20" i="5"/>
  <c r="S34" i="5"/>
  <c r="S36" i="5"/>
  <c r="S39" i="5"/>
  <c r="L21" i="31"/>
  <c r="C73" i="3"/>
  <c r="C70" i="3"/>
  <c r="C71" i="3" s="1"/>
  <c r="C68" i="3"/>
  <c r="U30" i="40" l="1"/>
  <c r="L29" i="40"/>
  <c r="M29" i="40" s="1"/>
  <c r="U29" i="41"/>
  <c r="L30" i="41"/>
  <c r="M30" i="41" s="1"/>
  <c r="U49" i="2"/>
  <c r="L49" i="2"/>
  <c r="M49" i="2" s="1"/>
  <c r="L50" i="2"/>
  <c r="M50" i="2" s="1"/>
  <c r="L9" i="31"/>
  <c r="U29" i="40"/>
  <c r="L30" i="40"/>
  <c r="M30" i="40" s="1"/>
  <c r="L17" i="31" s="1"/>
  <c r="U30" i="41"/>
  <c r="U50" i="2"/>
  <c r="L11" i="31"/>
  <c r="N21" i="30"/>
  <c r="N30" i="30" s="1"/>
  <c r="T36" i="1"/>
  <c r="T26" i="21"/>
  <c r="T8" i="21"/>
  <c r="M24" i="31"/>
  <c r="M27" i="31"/>
  <c r="M41" i="31"/>
  <c r="M43" i="31"/>
  <c r="M46" i="31"/>
  <c r="H57" i="10"/>
  <c r="H58" i="10"/>
  <c r="F56" i="10"/>
  <c r="E56" i="10"/>
  <c r="G56" i="10" s="1"/>
  <c r="N33" i="30" l="1"/>
  <c r="T39" i="1"/>
  <c r="N34" i="30"/>
  <c r="T40" i="1"/>
  <c r="R13" i="5"/>
  <c r="T33" i="21"/>
  <c r="S273" i="10"/>
  <c r="F101" i="10"/>
  <c r="J101" i="10"/>
  <c r="E102" i="10" s="1"/>
  <c r="G101" i="10"/>
  <c r="J98" i="10"/>
  <c r="E99" i="10" s="1"/>
  <c r="G98" i="10"/>
  <c r="F98" i="10"/>
  <c r="S272" i="10"/>
  <c r="S267" i="10"/>
  <c r="E100" i="10" l="1"/>
  <c r="L99" i="10"/>
  <c r="F60" i="10"/>
  <c r="G102" i="10"/>
  <c r="G103" i="10" s="1"/>
  <c r="F61" i="10"/>
  <c r="H61" i="10" s="1"/>
  <c r="T41" i="1"/>
  <c r="T43" i="1" s="1"/>
  <c r="N35" i="30"/>
  <c r="F102" i="10"/>
  <c r="F103" i="10" s="1"/>
  <c r="E103" i="10"/>
  <c r="G99" i="10"/>
  <c r="G100" i="10" s="1"/>
  <c r="F99" i="10"/>
  <c r="F100" i="10" s="1"/>
  <c r="H60" i="10" l="1"/>
  <c r="N9" i="30"/>
  <c r="E104" i="10"/>
  <c r="S283" i="10"/>
  <c r="L98" i="10"/>
  <c r="S282" i="10"/>
  <c r="S285" i="10" s="1"/>
  <c r="S291" i="10" s="1"/>
  <c r="F104" i="10"/>
  <c r="G104" i="10"/>
  <c r="F126" i="10"/>
  <c r="G126" i="10"/>
  <c r="S274" i="10"/>
  <c r="T264" i="10"/>
  <c r="S268" i="10" s="1"/>
  <c r="G112" i="10"/>
  <c r="N10" i="30" l="1"/>
  <c r="N37" i="30" s="1"/>
  <c r="T9" i="1"/>
  <c r="T10" i="1" s="1"/>
  <c r="T45" i="1" s="1"/>
  <c r="T48" i="1" s="1"/>
  <c r="U264" i="10"/>
  <c r="B856" i="44" l="1"/>
  <c r="B857" i="44" s="1"/>
  <c r="B858" i="44" s="1"/>
  <c r="B859" i="44" s="1"/>
  <c r="B860" i="44" s="1"/>
  <c r="B861" i="44" s="1"/>
  <c r="B862" i="44" s="1"/>
  <c r="B863" i="44" s="1"/>
  <c r="B864" i="44" s="1"/>
  <c r="B865" i="44" s="1"/>
  <c r="B866" i="44" s="1"/>
  <c r="B867" i="44" s="1"/>
  <c r="B868" i="44" s="1"/>
  <c r="B869" i="44" s="1"/>
  <c r="B870" i="44" s="1"/>
  <c r="B871" i="44" s="1"/>
  <c r="B872" i="44" s="1"/>
  <c r="B873" i="44" s="1"/>
  <c r="B874" i="44" s="1"/>
  <c r="B875" i="44" s="1"/>
  <c r="B876" i="44" s="1"/>
  <c r="B877" i="44" s="1"/>
  <c r="B878" i="44" s="1"/>
  <c r="B879" i="44" s="1"/>
  <c r="B880" i="44" s="1"/>
  <c r="B881" i="44" s="1"/>
  <c r="B882" i="44" s="1"/>
  <c r="B883" i="44" s="1"/>
  <c r="B884" i="44" s="1"/>
  <c r="B885" i="44" s="1"/>
  <c r="B886" i="44" s="1"/>
  <c r="B887" i="44" s="1"/>
  <c r="B888" i="44" s="1"/>
  <c r="B889" i="44" s="1"/>
  <c r="B890" i="44" s="1"/>
  <c r="B891" i="44" s="1"/>
  <c r="B892" i="44" s="1"/>
  <c r="B893" i="44" s="1"/>
  <c r="B894" i="44" s="1"/>
  <c r="B895" i="44" s="1"/>
  <c r="B896" i="44" s="1"/>
  <c r="B897" i="44" s="1"/>
  <c r="B898" i="44" s="1"/>
  <c r="B899" i="44" s="1"/>
  <c r="B900" i="44" s="1"/>
  <c r="B901" i="44" s="1"/>
  <c r="B902" i="44" s="1"/>
  <c r="B903" i="44" s="1"/>
  <c r="B904" i="44" s="1"/>
  <c r="B905" i="44" s="1"/>
  <c r="B906" i="44" s="1"/>
  <c r="B907" i="44" s="1"/>
  <c r="B908" i="44" s="1"/>
  <c r="B909" i="44" s="1"/>
  <c r="B910" i="44" s="1"/>
  <c r="B911" i="44" s="1"/>
  <c r="B912" i="44" s="1"/>
  <c r="B913" i="44" s="1"/>
  <c r="B914" i="44" s="1"/>
  <c r="B915" i="44" s="1"/>
  <c r="B916" i="44" s="1"/>
  <c r="B917" i="44" s="1"/>
  <c r="B918" i="44" s="1"/>
  <c r="B919" i="44" s="1"/>
  <c r="B920" i="44" s="1"/>
  <c r="B921" i="44" s="1"/>
  <c r="B922" i="44" s="1"/>
  <c r="B923" i="44" s="1"/>
  <c r="B924" i="44" s="1"/>
  <c r="B925" i="44" s="1"/>
  <c r="B926" i="44" s="1"/>
  <c r="B927" i="44" s="1"/>
  <c r="B928" i="44" s="1"/>
  <c r="B929" i="44" s="1"/>
  <c r="B930" i="44" s="1"/>
  <c r="B931" i="44" s="1"/>
  <c r="B932" i="44" s="1"/>
  <c r="B933" i="44" s="1"/>
  <c r="B934" i="44" s="1"/>
  <c r="B935" i="44" s="1"/>
  <c r="B936" i="44" s="1"/>
  <c r="B937" i="44" s="1"/>
  <c r="B938" i="44" s="1"/>
  <c r="B939" i="44" s="1"/>
  <c r="B940" i="44" s="1"/>
  <c r="B941" i="44" s="1"/>
  <c r="B942" i="44" s="1"/>
  <c r="B943" i="44" s="1"/>
  <c r="B944" i="44" s="1"/>
  <c r="B945" i="44" s="1"/>
  <c r="B946" i="44" s="1"/>
  <c r="B947" i="44" s="1"/>
  <c r="B948" i="44" s="1"/>
  <c r="B949" i="44" s="1"/>
  <c r="B950" i="44" s="1"/>
  <c r="B951" i="44" s="1"/>
  <c r="B952" i="44" s="1"/>
  <c r="B953" i="44" s="1"/>
  <c r="B954" i="44" s="1"/>
  <c r="B955" i="44" s="1"/>
  <c r="B956" i="44" s="1"/>
  <c r="B957" i="44" s="1"/>
  <c r="B958" i="44" s="1"/>
  <c r="B959" i="44" s="1"/>
  <c r="B960" i="44" s="1"/>
  <c r="B961" i="44" s="1"/>
  <c r="B962" i="44" s="1"/>
  <c r="B963" i="44" s="1"/>
  <c r="B964" i="44" s="1"/>
  <c r="B965" i="44" s="1"/>
  <c r="B966" i="44" s="1"/>
  <c r="B967" i="44" s="1"/>
  <c r="B968" i="44" s="1"/>
  <c r="B969" i="44" s="1"/>
  <c r="B970" i="44" s="1"/>
  <c r="B971" i="44" s="1"/>
  <c r="B972" i="44" s="1"/>
  <c r="B973" i="44" s="1"/>
  <c r="B974" i="44" s="1"/>
  <c r="B975" i="44" s="1"/>
  <c r="B976" i="44" s="1"/>
  <c r="B977" i="44" s="1"/>
  <c r="B978" i="44" s="1"/>
  <c r="B979" i="44" s="1"/>
  <c r="B980" i="44" s="1"/>
  <c r="B981" i="44" s="1"/>
  <c r="B982" i="44" s="1"/>
  <c r="B983" i="44" s="1"/>
  <c r="B984" i="44" s="1"/>
  <c r="B985" i="44" s="1"/>
  <c r="B986" i="44" s="1"/>
  <c r="B987" i="44" s="1"/>
  <c r="B988" i="44" s="1"/>
  <c r="B989" i="44" s="1"/>
  <c r="B990" i="44" s="1"/>
  <c r="B991" i="44" s="1"/>
  <c r="B992" i="44" s="1"/>
  <c r="B993" i="44" s="1"/>
  <c r="B994" i="44" s="1"/>
  <c r="B995" i="44" s="1"/>
  <c r="B996" i="44" s="1"/>
  <c r="B997" i="44" s="1"/>
  <c r="B998" i="44" s="1"/>
  <c r="B999" i="44" s="1"/>
  <c r="B1000" i="44" s="1"/>
  <c r="B1001" i="44" s="1"/>
  <c r="B1002" i="44" s="1"/>
  <c r="B1003" i="44" s="1"/>
  <c r="B1004" i="44" s="1"/>
  <c r="B1005" i="44" s="1"/>
  <c r="B1006" i="44" s="1"/>
  <c r="B1007" i="44" s="1"/>
  <c r="B1008" i="44" s="1"/>
  <c r="B1009" i="44" s="1"/>
  <c r="B1010" i="44" s="1"/>
  <c r="B1011" i="44" s="1"/>
  <c r="B1012" i="44" s="1"/>
  <c r="B1013" i="44" s="1"/>
  <c r="B1014" i="44" s="1"/>
  <c r="B1015" i="44" s="1"/>
  <c r="B1016" i="44" s="1"/>
  <c r="B1017" i="44" s="1"/>
  <c r="B1018" i="44" s="1"/>
  <c r="B1019" i="44" s="1"/>
  <c r="B1020" i="44" s="1"/>
  <c r="B1021" i="44" s="1"/>
  <c r="B1022" i="44" s="1"/>
  <c r="B1023" i="44" s="1"/>
  <c r="B1024" i="44" s="1"/>
  <c r="B1025" i="44" s="1"/>
  <c r="B1026" i="44" s="1"/>
  <c r="B1027" i="44" s="1"/>
  <c r="B1028" i="44" s="1"/>
  <c r="B1029" i="44" s="1"/>
  <c r="B1030" i="44" s="1"/>
  <c r="B1031" i="44" s="1"/>
  <c r="B1032" i="44" s="1"/>
  <c r="B1033" i="44" s="1"/>
  <c r="B1034" i="44" s="1"/>
  <c r="B1035" i="44" s="1"/>
  <c r="B1036" i="44" s="1"/>
  <c r="B1037" i="44" s="1"/>
  <c r="B1038" i="44" s="1"/>
  <c r="B1039" i="44" s="1"/>
  <c r="B1040" i="44" s="1"/>
  <c r="B1041" i="44" s="1"/>
  <c r="B1042" i="44" s="1"/>
  <c r="B1043" i="44" s="1"/>
  <c r="B1044" i="44" s="1"/>
  <c r="B1045" i="44" s="1"/>
  <c r="B1046" i="44" s="1"/>
  <c r="B1047" i="44" s="1"/>
  <c r="B1048" i="44" s="1"/>
  <c r="B1049" i="44" s="1"/>
  <c r="B1050" i="44" s="1"/>
  <c r="B1051" i="44" s="1"/>
  <c r="B1052" i="44" s="1"/>
  <c r="B1053" i="44" s="1"/>
  <c r="B1054" i="44" s="1"/>
  <c r="B1055" i="44" s="1"/>
  <c r="B1056" i="44" s="1"/>
  <c r="B1057" i="44" s="1"/>
  <c r="B1058" i="44" s="1"/>
  <c r="B1059" i="44" s="1"/>
  <c r="B1060" i="44" s="1"/>
  <c r="B1061" i="44" s="1"/>
  <c r="B1062" i="44" s="1"/>
  <c r="B1063" i="44" s="1"/>
  <c r="B1064" i="44" s="1"/>
  <c r="B1065" i="44" s="1"/>
  <c r="B1066" i="44" s="1"/>
  <c r="B1067" i="44" s="1"/>
  <c r="B1068" i="44" s="1"/>
  <c r="B1069" i="44" s="1"/>
  <c r="B1070" i="44" s="1"/>
  <c r="B1071" i="44" s="1"/>
  <c r="B1072" i="44" s="1"/>
  <c r="B1073" i="44" s="1"/>
  <c r="B1074" i="44" s="1"/>
  <c r="B1075" i="44" s="1"/>
  <c r="B1076" i="44" s="1"/>
  <c r="B1077" i="44" s="1"/>
  <c r="B1078" i="44" s="1"/>
  <c r="B1079" i="44" s="1"/>
  <c r="B1080" i="44" s="1"/>
  <c r="B1081" i="44" s="1"/>
  <c r="B1082" i="44" s="1"/>
  <c r="B1083" i="44" s="1"/>
  <c r="B1084" i="44" s="1"/>
  <c r="B1085" i="44" s="1"/>
  <c r="B1086" i="44" s="1"/>
  <c r="B1087" i="44" s="1"/>
  <c r="B1088" i="44" s="1"/>
  <c r="B1089" i="44" s="1"/>
  <c r="B1090" i="44" s="1"/>
  <c r="B1091" i="44" s="1"/>
  <c r="B1092" i="44" s="1"/>
  <c r="B1093" i="44" s="1"/>
  <c r="B1094" i="44" s="1"/>
  <c r="B1095" i="44" s="1"/>
  <c r="C110" i="3"/>
  <c r="L19" i="31" s="1"/>
  <c r="G194" i="42"/>
  <c r="D27" i="40" l="1"/>
  <c r="D27" i="41" l="1"/>
  <c r="I27" i="41" s="1"/>
  <c r="D28" i="40"/>
  <c r="R28" i="40" s="1"/>
  <c r="Q27" i="40"/>
  <c r="R27" i="40"/>
  <c r="U27" i="40" s="1"/>
  <c r="S27" i="40"/>
  <c r="T27" i="40"/>
  <c r="Q28" i="40"/>
  <c r="S28" i="40"/>
  <c r="T28" i="40"/>
  <c r="I27" i="40"/>
  <c r="J27" i="40"/>
  <c r="K27" i="40"/>
  <c r="J28" i="40"/>
  <c r="K28" i="40"/>
  <c r="H28" i="40"/>
  <c r="H27" i="40"/>
  <c r="D28" i="41"/>
  <c r="R28" i="41" s="1"/>
  <c r="Q27" i="41"/>
  <c r="S27" i="41"/>
  <c r="T27" i="41"/>
  <c r="Q28" i="41"/>
  <c r="S28" i="41"/>
  <c r="T28" i="41"/>
  <c r="J27" i="41"/>
  <c r="K27" i="41"/>
  <c r="J28" i="41"/>
  <c r="K28" i="41"/>
  <c r="H28" i="41"/>
  <c r="H27" i="41"/>
  <c r="Q47" i="2"/>
  <c r="R47" i="2"/>
  <c r="S47" i="2"/>
  <c r="T47" i="2"/>
  <c r="Q48" i="2"/>
  <c r="R48" i="2"/>
  <c r="S48" i="2"/>
  <c r="T48" i="2"/>
  <c r="I47" i="2"/>
  <c r="J47" i="2"/>
  <c r="K47" i="2"/>
  <c r="I48" i="2"/>
  <c r="J48" i="2"/>
  <c r="K48" i="2"/>
  <c r="H48" i="2"/>
  <c r="H47" i="2"/>
  <c r="S33" i="1"/>
  <c r="S25" i="1"/>
  <c r="L15" i="31"/>
  <c r="S27" i="1" s="1"/>
  <c r="S13" i="1"/>
  <c r="S14" i="1"/>
  <c r="S15" i="1"/>
  <c r="S16" i="1"/>
  <c r="S17" i="1"/>
  <c r="S18" i="1"/>
  <c r="S19" i="1"/>
  <c r="S20" i="1"/>
  <c r="S22" i="1"/>
  <c r="S23" i="1"/>
  <c r="S24" i="1"/>
  <c r="S26" i="1"/>
  <c r="S28" i="1"/>
  <c r="S29" i="1"/>
  <c r="S30" i="1"/>
  <c r="S31" i="1"/>
  <c r="S32" i="1"/>
  <c r="S34" i="1"/>
  <c r="S35" i="1"/>
  <c r="S39" i="1"/>
  <c r="M9" i="30"/>
  <c r="M10" i="30" s="1"/>
  <c r="M7" i="30"/>
  <c r="M8" i="30" s="1"/>
  <c r="M13" i="30"/>
  <c r="M14" i="30"/>
  <c r="M15" i="30"/>
  <c r="M16" i="30"/>
  <c r="M17" i="30"/>
  <c r="M18" i="30"/>
  <c r="M20" i="30"/>
  <c r="M22" i="30"/>
  <c r="M23" i="30"/>
  <c r="M24" i="30"/>
  <c r="M25" i="30"/>
  <c r="M26" i="30"/>
  <c r="M28" i="30"/>
  <c r="M29" i="30"/>
  <c r="M34" i="30"/>
  <c r="S9" i="21"/>
  <c r="S10" i="21" s="1"/>
  <c r="S7" i="21"/>
  <c r="S8" i="21" s="1"/>
  <c r="S13" i="21"/>
  <c r="S14" i="21"/>
  <c r="S15" i="21"/>
  <c r="S16" i="21"/>
  <c r="S17" i="21"/>
  <c r="S18" i="21"/>
  <c r="S19" i="21"/>
  <c r="S20" i="21"/>
  <c r="S22" i="21"/>
  <c r="S23" i="21"/>
  <c r="S24" i="21"/>
  <c r="S25" i="21"/>
  <c r="S29" i="21"/>
  <c r="S30" i="21"/>
  <c r="S31" i="21" s="1"/>
  <c r="R20" i="5"/>
  <c r="R34" i="5"/>
  <c r="R36" i="5"/>
  <c r="R39" i="5"/>
  <c r="L27" i="31"/>
  <c r="L41" i="31"/>
  <c r="M33" i="30" s="1"/>
  <c r="L43" i="31"/>
  <c r="L46" i="31"/>
  <c r="S40" i="1" s="1"/>
  <c r="K21" i="31"/>
  <c r="K15" i="31"/>
  <c r="R27" i="41" l="1"/>
  <c r="U27" i="41" s="1"/>
  <c r="I28" i="40"/>
  <c r="L28" i="40" s="1"/>
  <c r="M28" i="40" s="1"/>
  <c r="L27" i="40"/>
  <c r="M27" i="40" s="1"/>
  <c r="L27" i="41"/>
  <c r="M27" i="41" s="1"/>
  <c r="I28" i="41"/>
  <c r="L47" i="2"/>
  <c r="M47" i="2" s="1"/>
  <c r="U47" i="2"/>
  <c r="M21" i="30"/>
  <c r="S7" i="1"/>
  <c r="S8" i="1" s="1"/>
  <c r="L24" i="31"/>
  <c r="M27" i="30"/>
  <c r="M19" i="30"/>
  <c r="M35" i="30"/>
  <c r="S41" i="1"/>
  <c r="U28" i="40"/>
  <c r="L28" i="41"/>
  <c r="M28" i="41" s="1"/>
  <c r="K9" i="31" s="1"/>
  <c r="U28" i="41"/>
  <c r="L48" i="2"/>
  <c r="M48" i="2" s="1"/>
  <c r="U48" i="2"/>
  <c r="S9" i="1"/>
  <c r="S10" i="1" s="1"/>
  <c r="K17" i="31" l="1"/>
  <c r="Q13" i="5"/>
  <c r="M30" i="30"/>
  <c r="M37" i="30" s="1"/>
  <c r="R18" i="5"/>
  <c r="S21" i="1"/>
  <c r="S36" i="1" s="1"/>
  <c r="S43" i="1" s="1"/>
  <c r="S45" i="1" s="1"/>
  <c r="S48" i="1" s="1"/>
  <c r="S21" i="21"/>
  <c r="S26" i="21" s="1"/>
  <c r="S33" i="21" s="1"/>
  <c r="D116" i="3"/>
  <c r="C116" i="3"/>
  <c r="F116" i="3" s="1"/>
  <c r="C66" i="3"/>
  <c r="C86" i="3" s="1"/>
  <c r="G109" i="10"/>
  <c r="F109" i="10"/>
  <c r="J112" i="10"/>
  <c r="E114" i="10" s="1"/>
  <c r="J109" i="10"/>
  <c r="E110" i="10" s="1"/>
  <c r="S257" i="10"/>
  <c r="H56" i="10"/>
  <c r="F53" i="10"/>
  <c r="F55" i="10" s="1"/>
  <c r="E53" i="10"/>
  <c r="E55" i="10" s="1"/>
  <c r="F52" i="10"/>
  <c r="E52" i="10"/>
  <c r="E54" i="10" s="1"/>
  <c r="K11" i="31" l="1"/>
  <c r="E111" i="10"/>
  <c r="G110" i="10"/>
  <c r="G111" i="10" s="1"/>
  <c r="F110" i="10"/>
  <c r="F111" i="10" s="1"/>
  <c r="G113" i="10"/>
  <c r="G114" i="10" s="1"/>
  <c r="F113" i="10"/>
  <c r="F114" i="10" s="1"/>
  <c r="H55" i="10"/>
  <c r="G52" i="10"/>
  <c r="H52" i="10" s="1"/>
  <c r="F54" i="10"/>
  <c r="H54" i="10" s="1"/>
  <c r="G53" i="10"/>
  <c r="H53" i="10" s="1"/>
  <c r="E115" i="10" l="1"/>
  <c r="S266" i="10"/>
  <c r="G115" i="10"/>
  <c r="F115" i="10"/>
  <c r="S258" i="10"/>
  <c r="T246" i="10"/>
  <c r="S251" i="10" s="1"/>
  <c r="U246" i="10" l="1"/>
  <c r="J10" i="32" l="1"/>
  <c r="P24" i="33"/>
  <c r="P42" i="33"/>
  <c r="P51" i="33"/>
  <c r="R39" i="1"/>
  <c r="R40" i="1"/>
  <c r="L9" i="30"/>
  <c r="L10" i="30" s="1"/>
  <c r="L7" i="30"/>
  <c r="L8" i="30" s="1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4" i="30"/>
  <c r="K24" i="31"/>
  <c r="K27" i="31"/>
  <c r="K41" i="31"/>
  <c r="L33" i="30" s="1"/>
  <c r="K43" i="31"/>
  <c r="K46" i="31"/>
  <c r="Q18" i="5"/>
  <c r="Q20" i="5"/>
  <c r="Q34" i="5"/>
  <c r="Q36" i="5"/>
  <c r="Q39" i="5"/>
  <c r="R9" i="21"/>
  <c r="R7" i="21"/>
  <c r="R8" i="21" s="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9" i="2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T26" i="40"/>
  <c r="S26" i="40"/>
  <c r="R26" i="40"/>
  <c r="Q26" i="40"/>
  <c r="T25" i="40"/>
  <c r="S25" i="40"/>
  <c r="R25" i="40"/>
  <c r="Q25" i="40"/>
  <c r="T26" i="41"/>
  <c r="S26" i="41"/>
  <c r="R26" i="41"/>
  <c r="Q26" i="41"/>
  <c r="T25" i="41"/>
  <c r="S25" i="41"/>
  <c r="R25" i="41"/>
  <c r="Q25" i="41"/>
  <c r="T46" i="2"/>
  <c r="S46" i="2"/>
  <c r="R46" i="2"/>
  <c r="Q46" i="2"/>
  <c r="T45" i="2"/>
  <c r="S45" i="2"/>
  <c r="R45" i="2"/>
  <c r="Q45" i="2"/>
  <c r="H26" i="40"/>
  <c r="I26" i="40"/>
  <c r="J26" i="40"/>
  <c r="K26" i="40"/>
  <c r="I25" i="40"/>
  <c r="J25" i="40"/>
  <c r="K25" i="40"/>
  <c r="H25" i="40"/>
  <c r="I26" i="41"/>
  <c r="J26" i="41"/>
  <c r="K26" i="41"/>
  <c r="I25" i="41"/>
  <c r="J25" i="41"/>
  <c r="K25" i="41"/>
  <c r="H26" i="41"/>
  <c r="H25" i="41"/>
  <c r="I46" i="2"/>
  <c r="J46" i="2"/>
  <c r="K46" i="2"/>
  <c r="H46" i="2"/>
  <c r="D103" i="3"/>
  <c r="C103" i="3"/>
  <c r="F103" i="3" s="1"/>
  <c r="I45" i="2"/>
  <c r="J45" i="2"/>
  <c r="K45" i="2"/>
  <c r="H45" i="2"/>
  <c r="J123" i="10"/>
  <c r="E127" i="10" s="1"/>
  <c r="G123" i="10"/>
  <c r="F123" i="10"/>
  <c r="J120" i="10"/>
  <c r="E121" i="10" s="1"/>
  <c r="G120" i="10"/>
  <c r="F120" i="10"/>
  <c r="D96" i="3"/>
  <c r="C96" i="3"/>
  <c r="F96" i="3" s="1"/>
  <c r="F127" i="10" l="1"/>
  <c r="G127" i="10"/>
  <c r="G128" i="10" s="1"/>
  <c r="L25" i="41"/>
  <c r="M25" i="41" s="1"/>
  <c r="L45" i="2"/>
  <c r="M45" i="2" s="1"/>
  <c r="U45" i="2"/>
  <c r="U46" i="2"/>
  <c r="U25" i="40"/>
  <c r="U26" i="40"/>
  <c r="L26" i="41"/>
  <c r="M26" i="41" s="1"/>
  <c r="U25" i="41"/>
  <c r="U26" i="41"/>
  <c r="L46" i="2"/>
  <c r="M46" i="2" s="1"/>
  <c r="P13" i="5" s="1"/>
  <c r="L35" i="30"/>
  <c r="R41" i="1"/>
  <c r="L30" i="30"/>
  <c r="R9" i="1"/>
  <c r="R10" i="1" s="1"/>
  <c r="R36" i="1"/>
  <c r="R30" i="21"/>
  <c r="R31" i="21" s="1"/>
  <c r="R26" i="21"/>
  <c r="R10" i="21"/>
  <c r="R7" i="1"/>
  <c r="R8" i="1" s="1"/>
  <c r="L26" i="40"/>
  <c r="M26" i="40" s="1"/>
  <c r="L25" i="40"/>
  <c r="M25" i="40" s="1"/>
  <c r="J17" i="31" s="1"/>
  <c r="E124" i="10"/>
  <c r="F124" i="10" s="1"/>
  <c r="F125" i="10" s="1"/>
  <c r="F128" i="10"/>
  <c r="E128" i="10"/>
  <c r="G121" i="10"/>
  <c r="G122" i="10" s="1"/>
  <c r="F121" i="10"/>
  <c r="F122" i="10" s="1"/>
  <c r="E122" i="10"/>
  <c r="J9" i="31" l="1"/>
  <c r="G124" i="10"/>
  <c r="G125" i="10" s="1"/>
  <c r="G129" i="10" s="1"/>
  <c r="S248" i="10"/>
  <c r="L110" i="10"/>
  <c r="E125" i="10"/>
  <c r="L113" i="10" s="1"/>
  <c r="R33" i="21"/>
  <c r="L116" i="10"/>
  <c r="L37" i="30"/>
  <c r="R43" i="1"/>
  <c r="R45" i="1" s="1"/>
  <c r="R48" i="1" s="1"/>
  <c r="L117" i="10"/>
  <c r="F129" i="10"/>
  <c r="L111" i="10"/>
  <c r="D55" i="3"/>
  <c r="C55" i="3"/>
  <c r="F55" i="3" s="1"/>
  <c r="E129" i="10" l="1"/>
  <c r="S249" i="10"/>
  <c r="S252" i="10" s="1"/>
  <c r="S259" i="10" s="1"/>
  <c r="L114" i="10"/>
  <c r="D48" i="3"/>
  <c r="C48" i="3"/>
  <c r="F48" i="3" s="1"/>
  <c r="P40" i="1"/>
  <c r="Q39" i="1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9" i="21"/>
  <c r="Q30" i="2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J24" i="31"/>
  <c r="J27" i="31"/>
  <c r="J41" i="31"/>
  <c r="K33" i="30" s="1"/>
  <c r="J43" i="31"/>
  <c r="J46" i="31"/>
  <c r="K34" i="30" s="1"/>
  <c r="P18" i="5"/>
  <c r="P20" i="5"/>
  <c r="P34" i="5"/>
  <c r="P36" i="5"/>
  <c r="P39" i="5"/>
  <c r="Q23" i="40"/>
  <c r="R23" i="40"/>
  <c r="S23" i="40"/>
  <c r="T23" i="40"/>
  <c r="Q24" i="40"/>
  <c r="R24" i="40"/>
  <c r="S24" i="40"/>
  <c r="T24" i="40"/>
  <c r="I24" i="40"/>
  <c r="J24" i="40"/>
  <c r="K24" i="40"/>
  <c r="H24" i="40"/>
  <c r="Q23" i="41"/>
  <c r="R23" i="41"/>
  <c r="S23" i="41"/>
  <c r="T23" i="41"/>
  <c r="Q24" i="41"/>
  <c r="R24" i="41"/>
  <c r="S24" i="41"/>
  <c r="T24" i="41"/>
  <c r="I24" i="41"/>
  <c r="J24" i="41"/>
  <c r="K24" i="41"/>
  <c r="H24" i="41"/>
  <c r="Q43" i="2"/>
  <c r="R43" i="2"/>
  <c r="S43" i="2"/>
  <c r="T43" i="2"/>
  <c r="Q44" i="2"/>
  <c r="R44" i="2"/>
  <c r="S44" i="2"/>
  <c r="T44" i="2"/>
  <c r="I44" i="2"/>
  <c r="J44" i="2"/>
  <c r="K44" i="2"/>
  <c r="H44" i="2"/>
  <c r="I23" i="40"/>
  <c r="J23" i="40"/>
  <c r="K23" i="40"/>
  <c r="H23" i="40"/>
  <c r="I23" i="41"/>
  <c r="J23" i="41"/>
  <c r="K23" i="41"/>
  <c r="H23" i="41"/>
  <c r="I43" i="2"/>
  <c r="J43" i="2"/>
  <c r="K43" i="2"/>
  <c r="H43" i="2"/>
  <c r="C25" i="25" l="1"/>
  <c r="L43" i="2"/>
  <c r="M43" i="2" s="1"/>
  <c r="K35" i="30"/>
  <c r="Q40" i="1"/>
  <c r="Q41" i="1" s="1"/>
  <c r="L23" i="40"/>
  <c r="M23" i="40" s="1"/>
  <c r="L23" i="41"/>
  <c r="M23" i="41" s="1"/>
  <c r="L24" i="41"/>
  <c r="M24" i="41" s="1"/>
  <c r="U24" i="40"/>
  <c r="L24" i="40"/>
  <c r="M24" i="40" s="1"/>
  <c r="U23" i="40"/>
  <c r="U24" i="41"/>
  <c r="U23" i="41"/>
  <c r="L44" i="2"/>
  <c r="M44" i="2" s="1"/>
  <c r="U44" i="2"/>
  <c r="U43" i="2"/>
  <c r="Q31" i="21"/>
  <c r="K30" i="30"/>
  <c r="Q36" i="1"/>
  <c r="Q26" i="21"/>
  <c r="F49" i="10"/>
  <c r="E49" i="10"/>
  <c r="F6" i="10"/>
  <c r="G6" i="10" s="1"/>
  <c r="O13" i="5" l="1"/>
  <c r="I17" i="31"/>
  <c r="I9" i="31"/>
  <c r="G49" i="10"/>
  <c r="H49" i="10" s="1"/>
  <c r="Q43" i="1"/>
  <c r="F48" i="10"/>
  <c r="E48" i="10"/>
  <c r="F47" i="10"/>
  <c r="E47" i="10"/>
  <c r="P237" i="10"/>
  <c r="S238" i="10"/>
  <c r="S240" i="10" s="1"/>
  <c r="T229" i="10"/>
  <c r="U229" i="10" s="1"/>
  <c r="Y234" i="10"/>
  <c r="Y233" i="10"/>
  <c r="E51" i="10" l="1"/>
  <c r="K7" i="30" s="1"/>
  <c r="K8" i="30" s="1"/>
  <c r="F51" i="10"/>
  <c r="K9" i="30" s="1"/>
  <c r="K10" i="30" s="1"/>
  <c r="G47" i="10"/>
  <c r="H47" i="10" s="1"/>
  <c r="E50" i="10"/>
  <c r="F50" i="10"/>
  <c r="Q9" i="21" s="1"/>
  <c r="G48" i="10"/>
  <c r="H48" i="10" s="1"/>
  <c r="Y236" i="10"/>
  <c r="Y241" i="10" s="1"/>
  <c r="S234" i="10"/>
  <c r="J137" i="10"/>
  <c r="E141" i="10" s="1"/>
  <c r="H50" i="10" l="1"/>
  <c r="Q7" i="21"/>
  <c r="H51" i="10"/>
  <c r="Q10" i="21"/>
  <c r="Q9" i="1"/>
  <c r="Q10" i="1" s="1"/>
  <c r="K37" i="30"/>
  <c r="G141" i="10"/>
  <c r="F141" i="10"/>
  <c r="E142" i="10"/>
  <c r="G140" i="10"/>
  <c r="F140" i="10"/>
  <c r="G137" i="10"/>
  <c r="F137" i="10"/>
  <c r="J134" i="10"/>
  <c r="E138" i="10" s="1"/>
  <c r="G134" i="10"/>
  <c r="F134" i="10"/>
  <c r="S221" i="10"/>
  <c r="S223" i="10" s="1"/>
  <c r="Q8" i="21" l="1"/>
  <c r="Q33" i="21" s="1"/>
  <c r="Q7" i="1"/>
  <c r="Q8" i="1" s="1"/>
  <c r="Q45" i="1" s="1"/>
  <c r="Q48" i="1" s="1"/>
  <c r="L130" i="10"/>
  <c r="L131" i="10"/>
  <c r="F142" i="10"/>
  <c r="G142" i="10"/>
  <c r="E139" i="10"/>
  <c r="G138" i="10"/>
  <c r="G139" i="10" s="1"/>
  <c r="F138" i="10"/>
  <c r="F139" i="10" s="1"/>
  <c r="E135" i="10"/>
  <c r="T213" i="10"/>
  <c r="U213" i="10" s="1"/>
  <c r="H46" i="10"/>
  <c r="H45" i="10"/>
  <c r="G44" i="10"/>
  <c r="H44" i="10" s="1"/>
  <c r="H42" i="10"/>
  <c r="H41" i="10"/>
  <c r="F40" i="10"/>
  <c r="E40" i="10"/>
  <c r="F39" i="10"/>
  <c r="F37" i="10" s="1"/>
  <c r="E39" i="10"/>
  <c r="E37" i="10" s="1"/>
  <c r="I9" i="43"/>
  <c r="P9" i="43" s="1"/>
  <c r="P10" i="43" s="1"/>
  <c r="H9" i="43"/>
  <c r="O9" i="43" s="1"/>
  <c r="O10" i="43" s="1"/>
  <c r="F9" i="43"/>
  <c r="N9" i="43" s="1"/>
  <c r="N10" i="43" s="1"/>
  <c r="E9" i="43"/>
  <c r="M9" i="43" s="1"/>
  <c r="F38" i="10"/>
  <c r="S232" i="10" l="1"/>
  <c r="L127" i="10"/>
  <c r="L128" i="10"/>
  <c r="G40" i="10"/>
  <c r="H40" i="10" s="1"/>
  <c r="E136" i="10"/>
  <c r="L124" i="10" s="1"/>
  <c r="G135" i="10"/>
  <c r="G136" i="10" s="1"/>
  <c r="G143" i="10" s="1"/>
  <c r="F135" i="10"/>
  <c r="F136" i="10" s="1"/>
  <c r="S217" i="10"/>
  <c r="G43" i="10"/>
  <c r="H43" i="10" s="1"/>
  <c r="E38" i="10"/>
  <c r="H38" i="10" s="1"/>
  <c r="H37" i="10"/>
  <c r="M10" i="43"/>
  <c r="J9" i="43"/>
  <c r="G9" i="43"/>
  <c r="G39" i="10"/>
  <c r="H39" i="10" s="1"/>
  <c r="S21" i="40"/>
  <c r="T21" i="40"/>
  <c r="R22" i="40"/>
  <c r="S22" i="40"/>
  <c r="T22" i="40"/>
  <c r="Q22" i="40"/>
  <c r="Q21" i="40"/>
  <c r="I22" i="40"/>
  <c r="J22" i="40"/>
  <c r="K22" i="40"/>
  <c r="J21" i="40"/>
  <c r="K21" i="40"/>
  <c r="I20" i="40"/>
  <c r="J20" i="40"/>
  <c r="K20" i="40"/>
  <c r="I19" i="40"/>
  <c r="J19" i="40"/>
  <c r="K19" i="40"/>
  <c r="H22" i="40"/>
  <c r="H21" i="40"/>
  <c r="H20" i="40"/>
  <c r="H19" i="40"/>
  <c r="L19" i="40" l="1"/>
  <c r="M19" i="40" s="1"/>
  <c r="L22" i="40"/>
  <c r="M22" i="40" s="1"/>
  <c r="L20" i="40"/>
  <c r="M20" i="40" s="1"/>
  <c r="U22" i="40"/>
  <c r="L125" i="10"/>
  <c r="E143" i="10"/>
  <c r="S269" i="10" s="1"/>
  <c r="S275" i="10" s="1"/>
  <c r="S231" i="10"/>
  <c r="S235" i="10" s="1"/>
  <c r="S241" i="10" s="1"/>
  <c r="F143" i="10"/>
  <c r="K9" i="43"/>
  <c r="Q9" i="43" s="1"/>
  <c r="D21" i="40"/>
  <c r="F22" i="41"/>
  <c r="T22" i="41" s="1"/>
  <c r="S22" i="41"/>
  <c r="D22" i="41"/>
  <c r="R22" i="41" s="1"/>
  <c r="Q22" i="41"/>
  <c r="T42" i="2"/>
  <c r="E42" i="2"/>
  <c r="J42" i="2" s="1"/>
  <c r="K42" i="2"/>
  <c r="D42" i="2"/>
  <c r="R42" i="2" s="1"/>
  <c r="C42" i="2"/>
  <c r="H42" i="2" s="1"/>
  <c r="Q21" i="41"/>
  <c r="S21" i="41"/>
  <c r="J22" i="41"/>
  <c r="J21" i="41"/>
  <c r="H22" i="41"/>
  <c r="H21" i="41"/>
  <c r="F21" i="41"/>
  <c r="T21" i="41" s="1"/>
  <c r="D21" i="41"/>
  <c r="I21" i="41" s="1"/>
  <c r="T41" i="2"/>
  <c r="K41" i="2"/>
  <c r="E41" i="2"/>
  <c r="S41" i="2" s="1"/>
  <c r="D41" i="2"/>
  <c r="R41" i="2" s="1"/>
  <c r="C41" i="2"/>
  <c r="Q41" i="2" s="1"/>
  <c r="K21" i="41" l="1"/>
  <c r="L21" i="41" s="1"/>
  <c r="M21" i="41" s="1"/>
  <c r="S42" i="2"/>
  <c r="I22" i="41"/>
  <c r="U22" i="41"/>
  <c r="R21" i="41"/>
  <c r="U21" i="41" s="1"/>
  <c r="I41" i="2"/>
  <c r="H41" i="2"/>
  <c r="I21" i="40"/>
  <c r="L21" i="40" s="1"/>
  <c r="M21" i="40" s="1"/>
  <c r="H17" i="31" s="1"/>
  <c r="O29" i="1" s="1"/>
  <c r="R21" i="40"/>
  <c r="U21" i="40" s="1"/>
  <c r="U41" i="2"/>
  <c r="J41" i="2"/>
  <c r="I42" i="2"/>
  <c r="L42" i="2" s="1"/>
  <c r="M42" i="2" s="1"/>
  <c r="Q42" i="2"/>
  <c r="Q10" i="43"/>
  <c r="R9" i="43"/>
  <c r="L9" i="43"/>
  <c r="T9" i="43" s="1"/>
  <c r="U9" i="43" s="1"/>
  <c r="V8" i="43" s="1"/>
  <c r="K22" i="41"/>
  <c r="C24" i="25"/>
  <c r="C26" i="25"/>
  <c r="C27" i="25"/>
  <c r="C28" i="25"/>
  <c r="C23" i="25"/>
  <c r="C29" i="25"/>
  <c r="C30" i="25"/>
  <c r="I24" i="31"/>
  <c r="I27" i="31"/>
  <c r="I41" i="31"/>
  <c r="I43" i="31"/>
  <c r="I46" i="31"/>
  <c r="O18" i="5"/>
  <c r="O20" i="5"/>
  <c r="O34" i="5"/>
  <c r="O36" i="5"/>
  <c r="P30" i="21" s="1"/>
  <c r="O39" i="5"/>
  <c r="J9" i="30"/>
  <c r="J10" i="30" s="1"/>
  <c r="J7" i="30"/>
  <c r="J8" i="30" s="1"/>
  <c r="I9" i="30"/>
  <c r="I10" i="30" s="1"/>
  <c r="I7" i="30"/>
  <c r="I8" i="30" s="1"/>
  <c r="I13" i="30"/>
  <c r="J13" i="30"/>
  <c r="I14" i="30"/>
  <c r="J14" i="30"/>
  <c r="I15" i="30"/>
  <c r="J15" i="30"/>
  <c r="I16" i="30"/>
  <c r="J16" i="30"/>
  <c r="J17" i="30"/>
  <c r="I18" i="30"/>
  <c r="J18" i="30"/>
  <c r="I19" i="30"/>
  <c r="J19" i="30"/>
  <c r="I20" i="30"/>
  <c r="J20" i="30"/>
  <c r="I21" i="30"/>
  <c r="J21" i="30"/>
  <c r="I22" i="30"/>
  <c r="J22" i="30"/>
  <c r="J23" i="30"/>
  <c r="I24" i="30"/>
  <c r="J24" i="30"/>
  <c r="I25" i="30"/>
  <c r="J25" i="30"/>
  <c r="I26" i="30"/>
  <c r="J26" i="30"/>
  <c r="I27" i="30"/>
  <c r="J27" i="30"/>
  <c r="I28" i="30"/>
  <c r="J28" i="30"/>
  <c r="I29" i="30"/>
  <c r="J29" i="30"/>
  <c r="P9" i="21"/>
  <c r="P7" i="21"/>
  <c r="P8" i="21" s="1"/>
  <c r="O9" i="21"/>
  <c r="O10" i="21" s="1"/>
  <c r="O7" i="21"/>
  <c r="O8" i="21" s="1"/>
  <c r="O13" i="21"/>
  <c r="P13" i="21"/>
  <c r="O14" i="21"/>
  <c r="P14" i="21"/>
  <c r="O15" i="21"/>
  <c r="P15" i="21"/>
  <c r="O16" i="21"/>
  <c r="P16" i="21"/>
  <c r="O17" i="21"/>
  <c r="P17" i="21"/>
  <c r="O18" i="21"/>
  <c r="P18" i="21"/>
  <c r="O19" i="21"/>
  <c r="P19" i="21"/>
  <c r="O20" i="21"/>
  <c r="P20" i="21"/>
  <c r="P21" i="21"/>
  <c r="O22" i="21"/>
  <c r="P22" i="21"/>
  <c r="O23" i="21"/>
  <c r="P23" i="21"/>
  <c r="O24" i="21"/>
  <c r="P24" i="21"/>
  <c r="O25" i="21"/>
  <c r="P25" i="21"/>
  <c r="P29" i="2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P21" i="1"/>
  <c r="O22" i="1"/>
  <c r="P22" i="1"/>
  <c r="P23" i="1"/>
  <c r="O24" i="1"/>
  <c r="P24" i="1"/>
  <c r="O25" i="1"/>
  <c r="P25" i="1"/>
  <c r="O26" i="1"/>
  <c r="P26" i="1"/>
  <c r="O27" i="1"/>
  <c r="P27" i="1"/>
  <c r="O28" i="1"/>
  <c r="P28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Q20" i="41"/>
  <c r="S20" i="41"/>
  <c r="H20" i="41"/>
  <c r="J20" i="41"/>
  <c r="F20" i="41"/>
  <c r="T20" i="41" s="1"/>
  <c r="D20" i="41"/>
  <c r="R20" i="41" s="1"/>
  <c r="T40" i="2"/>
  <c r="K40" i="2"/>
  <c r="D40" i="2"/>
  <c r="R40" i="2" s="1"/>
  <c r="E40" i="2"/>
  <c r="S40" i="2" s="1"/>
  <c r="C40" i="2"/>
  <c r="H40" i="2" s="1"/>
  <c r="Q19" i="41"/>
  <c r="S19" i="41"/>
  <c r="T19" i="41"/>
  <c r="J19" i="41"/>
  <c r="K19" i="41"/>
  <c r="H19" i="41"/>
  <c r="D19" i="41"/>
  <c r="R19" i="41" s="1"/>
  <c r="T39" i="2"/>
  <c r="K39" i="2"/>
  <c r="I23" i="30" l="1"/>
  <c r="U42" i="2"/>
  <c r="L22" i="41"/>
  <c r="M22" i="41" s="1"/>
  <c r="H9" i="31" s="1"/>
  <c r="L41" i="2"/>
  <c r="M41" i="2" s="1"/>
  <c r="N13" i="5" s="1"/>
  <c r="V10" i="43"/>
  <c r="W10" i="43" s="1"/>
  <c r="S8" i="43"/>
  <c r="S10" i="43" s="1"/>
  <c r="R10" i="43"/>
  <c r="U20" i="41"/>
  <c r="I19" i="41"/>
  <c r="L19" i="41" s="1"/>
  <c r="M19" i="41" s="1"/>
  <c r="I20" i="41"/>
  <c r="K20" i="41"/>
  <c r="Q40" i="2"/>
  <c r="U40" i="2" s="1"/>
  <c r="I40" i="2"/>
  <c r="J40" i="2"/>
  <c r="P31" i="21"/>
  <c r="J30" i="30"/>
  <c r="P36" i="1"/>
  <c r="P26" i="21"/>
  <c r="P9" i="1"/>
  <c r="P10" i="1" s="1"/>
  <c r="P10" i="21"/>
  <c r="P7" i="1"/>
  <c r="P8" i="1" s="1"/>
  <c r="O7" i="1"/>
  <c r="O8" i="1" s="1"/>
  <c r="O9" i="1"/>
  <c r="O10" i="1" s="1"/>
  <c r="U19" i="41"/>
  <c r="E39" i="2"/>
  <c r="D39" i="2"/>
  <c r="C39" i="2"/>
  <c r="W8" i="43" l="1"/>
  <c r="I17" i="30"/>
  <c r="I30" i="30" s="1"/>
  <c r="O23" i="1"/>
  <c r="O21" i="1"/>
  <c r="O21" i="21"/>
  <c r="O26" i="21" s="1"/>
  <c r="L20" i="41"/>
  <c r="M20" i="41" s="1"/>
  <c r="G9" i="31" s="1"/>
  <c r="L40" i="2"/>
  <c r="M40" i="2" s="1"/>
  <c r="Q39" i="2"/>
  <c r="H39" i="2"/>
  <c r="I39" i="2"/>
  <c r="R39" i="2"/>
  <c r="J39" i="2"/>
  <c r="S39" i="2"/>
  <c r="P33" i="21"/>
  <c r="G151" i="10"/>
  <c r="F151" i="10"/>
  <c r="J148" i="10"/>
  <c r="G148" i="10"/>
  <c r="F148" i="10"/>
  <c r="S207" i="10"/>
  <c r="T195" i="10"/>
  <c r="U195" i="10" s="1"/>
  <c r="G15" i="5"/>
  <c r="V9" i="30"/>
  <c r="V10" i="30" s="1"/>
  <c r="O36" i="1" l="1"/>
  <c r="U39" i="2"/>
  <c r="L39" i="2"/>
  <c r="M39" i="2" s="1"/>
  <c r="M13" i="5" s="1"/>
  <c r="E152" i="10"/>
  <c r="F152" i="10" s="1"/>
  <c r="F153" i="10" s="1"/>
  <c r="E149" i="10"/>
  <c r="E150" i="10" s="1"/>
  <c r="S215" i="10" s="1"/>
  <c r="S199" i="10"/>
  <c r="H181" i="42"/>
  <c r="H182" i="42"/>
  <c r="H24" i="31"/>
  <c r="H27" i="31"/>
  <c r="H41" i="31"/>
  <c r="H43" i="31"/>
  <c r="H46" i="31"/>
  <c r="N18" i="5"/>
  <c r="N20" i="5"/>
  <c r="N34" i="5"/>
  <c r="O29" i="21" s="1"/>
  <c r="N36" i="5"/>
  <c r="N39" i="5"/>
  <c r="G162" i="10"/>
  <c r="F162" i="10"/>
  <c r="J159" i="10"/>
  <c r="E163" i="10" s="1"/>
  <c r="G159" i="10"/>
  <c r="F159" i="10"/>
  <c r="T18" i="40"/>
  <c r="S18" i="40"/>
  <c r="Q18" i="40"/>
  <c r="K18" i="40"/>
  <c r="J18" i="40"/>
  <c r="H18" i="40"/>
  <c r="D18" i="40"/>
  <c r="I18" i="40" s="1"/>
  <c r="T17" i="40"/>
  <c r="S17" i="40"/>
  <c r="R17" i="40"/>
  <c r="Q17" i="40"/>
  <c r="K17" i="40"/>
  <c r="J17" i="40"/>
  <c r="I17" i="40"/>
  <c r="H17" i="40"/>
  <c r="T18" i="41"/>
  <c r="S18" i="41"/>
  <c r="Q18" i="41"/>
  <c r="K18" i="41"/>
  <c r="J18" i="41"/>
  <c r="H18" i="41"/>
  <c r="D18" i="41"/>
  <c r="R18" i="41" s="1"/>
  <c r="T17" i="41"/>
  <c r="S17" i="41"/>
  <c r="Q17" i="41"/>
  <c r="K17" i="41"/>
  <c r="J17" i="41"/>
  <c r="H17" i="41"/>
  <c r="D17" i="41"/>
  <c r="I17" i="41" s="1"/>
  <c r="T38" i="2"/>
  <c r="K38" i="2"/>
  <c r="E38" i="2"/>
  <c r="J38" i="2" s="1"/>
  <c r="D38" i="2"/>
  <c r="I38" i="2" s="1"/>
  <c r="C38" i="2"/>
  <c r="Q38" i="2" s="1"/>
  <c r="T37" i="2"/>
  <c r="K37" i="2"/>
  <c r="E37" i="2"/>
  <c r="J37" i="2" s="1"/>
  <c r="D37" i="2"/>
  <c r="R37" i="2" s="1"/>
  <c r="C37" i="2"/>
  <c r="H37" i="2" s="1"/>
  <c r="G152" i="10" l="1"/>
  <c r="G153" i="10" s="1"/>
  <c r="E153" i="10"/>
  <c r="S216" i="10" s="1"/>
  <c r="S218" i="10" s="1"/>
  <c r="S224" i="10" s="1"/>
  <c r="L17" i="40"/>
  <c r="M17" i="40" s="1"/>
  <c r="L18" i="40"/>
  <c r="M18" i="40" s="1"/>
  <c r="F17" i="31" s="1"/>
  <c r="O30" i="21"/>
  <c r="O31" i="21" s="1"/>
  <c r="O33" i="21" s="1"/>
  <c r="L17" i="41"/>
  <c r="M17" i="41" s="1"/>
  <c r="U17" i="40"/>
  <c r="R18" i="40"/>
  <c r="U18" i="40" s="1"/>
  <c r="I18" i="41"/>
  <c r="L18" i="41" s="1"/>
  <c r="M18" i="41" s="1"/>
  <c r="R17" i="41"/>
  <c r="U17" i="41" s="1"/>
  <c r="U18" i="41"/>
  <c r="S37" i="2"/>
  <c r="I37" i="2"/>
  <c r="L37" i="2" s="1"/>
  <c r="M37" i="2" s="1"/>
  <c r="Q37" i="2"/>
  <c r="H38" i="2"/>
  <c r="L38" i="2" s="1"/>
  <c r="M38" i="2" s="1"/>
  <c r="R38" i="2"/>
  <c r="S38" i="2"/>
  <c r="F149" i="10"/>
  <c r="F150" i="10" s="1"/>
  <c r="F154" i="10" s="1"/>
  <c r="G149" i="10"/>
  <c r="G150" i="10" s="1"/>
  <c r="F163" i="10"/>
  <c r="F164" i="10" s="1"/>
  <c r="E164" i="10"/>
  <c r="S198" i="10" s="1"/>
  <c r="G163" i="10"/>
  <c r="G164" i="10" s="1"/>
  <c r="E160" i="10"/>
  <c r="S189" i="10"/>
  <c r="F36" i="10"/>
  <c r="E36" i="10"/>
  <c r="F35" i="10"/>
  <c r="E35" i="10"/>
  <c r="L13" i="5" l="1"/>
  <c r="F9" i="31"/>
  <c r="G154" i="10"/>
  <c r="E154" i="10"/>
  <c r="H36" i="10"/>
  <c r="U37" i="2"/>
  <c r="U38" i="2"/>
  <c r="G160" i="10"/>
  <c r="G161" i="10" s="1"/>
  <c r="G165" i="10" s="1"/>
  <c r="E161" i="10"/>
  <c r="S197" i="10" s="1"/>
  <c r="F160" i="10"/>
  <c r="F161" i="10" s="1"/>
  <c r="F165" i="10" s="1"/>
  <c r="H35" i="10"/>
  <c r="F34" i="10"/>
  <c r="E34" i="10"/>
  <c r="F33" i="10"/>
  <c r="E33" i="10"/>
  <c r="F32" i="10"/>
  <c r="E32" i="10"/>
  <c r="T177" i="10"/>
  <c r="U177" i="10" s="1"/>
  <c r="K182" i="42"/>
  <c r="E165" i="10" l="1"/>
  <c r="S181" i="10"/>
  <c r="G32" i="10"/>
  <c r="H32" i="10" s="1"/>
  <c r="G33" i="10"/>
  <c r="H33" i="10" s="1"/>
  <c r="G34" i="10"/>
  <c r="H34" i="10" s="1"/>
  <c r="R182" i="42"/>
  <c r="Q182" i="42"/>
  <c r="P182" i="42"/>
  <c r="S182" i="42" l="1"/>
  <c r="R201" i="42"/>
  <c r="S196" i="42"/>
  <c r="Q196" i="42"/>
  <c r="P185" i="42"/>
  <c r="K185" i="42"/>
  <c r="P184" i="42"/>
  <c r="K184" i="42"/>
  <c r="Q184" i="42" s="1"/>
  <c r="P181" i="42"/>
  <c r="K181" i="42"/>
  <c r="P180" i="42"/>
  <c r="K180" i="42"/>
  <c r="P179" i="42"/>
  <c r="K179" i="42"/>
  <c r="R179" i="42" s="1"/>
  <c r="P178" i="42"/>
  <c r="K178" i="42"/>
  <c r="Q178" i="42" s="1"/>
  <c r="P177" i="42"/>
  <c r="K177" i="42"/>
  <c r="P176" i="42"/>
  <c r="K176" i="42"/>
  <c r="P175" i="42"/>
  <c r="K175" i="42"/>
  <c r="P174" i="42"/>
  <c r="K174" i="42"/>
  <c r="Q174" i="42" s="1"/>
  <c r="P173" i="42"/>
  <c r="K173" i="42"/>
  <c r="P172" i="42"/>
  <c r="K172" i="42"/>
  <c r="Q172" i="42" s="1"/>
  <c r="P170" i="42"/>
  <c r="K170" i="42"/>
  <c r="P169" i="42"/>
  <c r="K169" i="42"/>
  <c r="Q169" i="42" s="1"/>
  <c r="P168" i="42"/>
  <c r="K168" i="42"/>
  <c r="P166" i="42"/>
  <c r="K166" i="42"/>
  <c r="P165" i="42"/>
  <c r="K165" i="42"/>
  <c r="P163" i="42"/>
  <c r="K163" i="42"/>
  <c r="P161" i="42"/>
  <c r="K161" i="42"/>
  <c r="P160" i="42"/>
  <c r="K160" i="42"/>
  <c r="P158" i="42"/>
  <c r="K158" i="42"/>
  <c r="P157" i="42"/>
  <c r="K157" i="42"/>
  <c r="Q157" i="42" s="1"/>
  <c r="P155" i="42"/>
  <c r="K155" i="42"/>
  <c r="P153" i="42"/>
  <c r="K153" i="42"/>
  <c r="Q153" i="42" s="1"/>
  <c r="P152" i="42"/>
  <c r="K152" i="42"/>
  <c r="P151" i="42"/>
  <c r="K151" i="42"/>
  <c r="Q151" i="42" s="1"/>
  <c r="P150" i="42"/>
  <c r="K150" i="42"/>
  <c r="Q150" i="42" s="1"/>
  <c r="P148" i="42"/>
  <c r="K148" i="42"/>
  <c r="L147" i="42" s="1"/>
  <c r="P146" i="42"/>
  <c r="K146" i="42"/>
  <c r="P145" i="42"/>
  <c r="K145" i="42"/>
  <c r="P144" i="42"/>
  <c r="K144" i="42"/>
  <c r="Q144" i="42" s="1"/>
  <c r="P143" i="42"/>
  <c r="K143" i="42"/>
  <c r="Q143" i="42" s="1"/>
  <c r="P142" i="42"/>
  <c r="K142" i="42"/>
  <c r="P140" i="42"/>
  <c r="K140" i="42"/>
  <c r="Q140" i="42" s="1"/>
  <c r="P139" i="42"/>
  <c r="K139" i="42"/>
  <c r="P138" i="42"/>
  <c r="K138" i="42"/>
  <c r="P136" i="42"/>
  <c r="K136" i="42"/>
  <c r="P135" i="42"/>
  <c r="K135" i="42"/>
  <c r="P134" i="42"/>
  <c r="K134" i="42"/>
  <c r="Q134" i="42" s="1"/>
  <c r="P133" i="42"/>
  <c r="K133" i="42"/>
  <c r="Q133" i="42" s="1"/>
  <c r="P130" i="42"/>
  <c r="K130" i="42"/>
  <c r="P129" i="42"/>
  <c r="K129" i="42"/>
  <c r="P128" i="42"/>
  <c r="K128" i="42"/>
  <c r="P127" i="42"/>
  <c r="K127" i="42"/>
  <c r="P126" i="42"/>
  <c r="K126" i="42"/>
  <c r="P125" i="42"/>
  <c r="K125" i="42"/>
  <c r="P124" i="42"/>
  <c r="K124" i="42"/>
  <c r="P123" i="42"/>
  <c r="K123" i="42"/>
  <c r="P122" i="42"/>
  <c r="K122" i="42"/>
  <c r="P121" i="42"/>
  <c r="K121" i="42"/>
  <c r="P120" i="42"/>
  <c r="K120" i="42"/>
  <c r="P119" i="42"/>
  <c r="K119" i="42"/>
  <c r="P118" i="42"/>
  <c r="K118" i="42"/>
  <c r="P117" i="42"/>
  <c r="K117" i="42"/>
  <c r="P116" i="42"/>
  <c r="K116" i="42"/>
  <c r="P115" i="42"/>
  <c r="K115" i="42"/>
  <c r="P114" i="42"/>
  <c r="K114" i="42"/>
  <c r="P113" i="42"/>
  <c r="K113" i="42"/>
  <c r="P112" i="42"/>
  <c r="K112" i="42"/>
  <c r="P111" i="42"/>
  <c r="K111" i="42"/>
  <c r="P110" i="42"/>
  <c r="K110" i="42"/>
  <c r="P109" i="42"/>
  <c r="K109" i="42"/>
  <c r="Q109" i="42" s="1"/>
  <c r="P108" i="42"/>
  <c r="K108" i="42"/>
  <c r="P107" i="42"/>
  <c r="K107" i="42"/>
  <c r="P106" i="42"/>
  <c r="K106" i="42"/>
  <c r="P105" i="42"/>
  <c r="K105" i="42"/>
  <c r="Q105" i="42" s="1"/>
  <c r="P104" i="42"/>
  <c r="K104" i="42"/>
  <c r="P103" i="42"/>
  <c r="K103" i="42"/>
  <c r="P102" i="42"/>
  <c r="K102" i="42"/>
  <c r="P101" i="42"/>
  <c r="K101" i="42"/>
  <c r="Q101" i="42" s="1"/>
  <c r="P99" i="42"/>
  <c r="K99" i="42"/>
  <c r="P98" i="42"/>
  <c r="K98" i="42"/>
  <c r="Q98" i="42" s="1"/>
  <c r="P97" i="42"/>
  <c r="K97" i="42"/>
  <c r="P96" i="42"/>
  <c r="K96" i="42"/>
  <c r="P94" i="42"/>
  <c r="K94" i="42"/>
  <c r="P92" i="42"/>
  <c r="K92" i="42"/>
  <c r="Q92" i="42" s="1"/>
  <c r="P91" i="42"/>
  <c r="K91" i="42"/>
  <c r="P90" i="42"/>
  <c r="K90" i="42"/>
  <c r="P89" i="42"/>
  <c r="K89" i="42"/>
  <c r="P88" i="42"/>
  <c r="K88" i="42"/>
  <c r="P87" i="42"/>
  <c r="K87" i="42"/>
  <c r="P86" i="42"/>
  <c r="K86" i="42"/>
  <c r="P85" i="42"/>
  <c r="K85" i="42"/>
  <c r="P84" i="42"/>
  <c r="K84" i="42"/>
  <c r="P82" i="42"/>
  <c r="K82" i="42"/>
  <c r="P81" i="42"/>
  <c r="K81" i="42"/>
  <c r="P80" i="42"/>
  <c r="K80" i="42"/>
  <c r="P79" i="42"/>
  <c r="K79" i="42"/>
  <c r="P78" i="42"/>
  <c r="K78" i="42"/>
  <c r="P77" i="42"/>
  <c r="K77" i="42"/>
  <c r="Q77" i="42" s="1"/>
  <c r="P76" i="42"/>
  <c r="K76" i="42"/>
  <c r="P74" i="42"/>
  <c r="K74" i="42"/>
  <c r="Q74" i="42" s="1"/>
  <c r="P73" i="42"/>
  <c r="K73" i="42"/>
  <c r="R73" i="42" s="1"/>
  <c r="P72" i="42"/>
  <c r="K72" i="42"/>
  <c r="Q72" i="42" s="1"/>
  <c r="P71" i="42"/>
  <c r="K71" i="42"/>
  <c r="R71" i="42" s="1"/>
  <c r="P69" i="42"/>
  <c r="K69" i="42"/>
  <c r="Q69" i="42" s="1"/>
  <c r="P68" i="42"/>
  <c r="K68" i="42"/>
  <c r="R68" i="42" s="1"/>
  <c r="P67" i="42"/>
  <c r="K67" i="42"/>
  <c r="Q67" i="42" s="1"/>
  <c r="P66" i="42"/>
  <c r="K66" i="42"/>
  <c r="Q66" i="42" s="1"/>
  <c r="P65" i="42"/>
  <c r="K65" i="42"/>
  <c r="P63" i="42"/>
  <c r="K63" i="42"/>
  <c r="R63" i="42" s="1"/>
  <c r="P62" i="42"/>
  <c r="K62" i="42"/>
  <c r="Q62" i="42" s="1"/>
  <c r="P61" i="42"/>
  <c r="K61" i="42"/>
  <c r="R61" i="42" s="1"/>
  <c r="P60" i="42"/>
  <c r="K60" i="42"/>
  <c r="Q60" i="42" s="1"/>
  <c r="P59" i="42"/>
  <c r="K59" i="42"/>
  <c r="R59" i="42" s="1"/>
  <c r="P58" i="42"/>
  <c r="K58" i="42"/>
  <c r="P57" i="42"/>
  <c r="K57" i="42"/>
  <c r="R57" i="42" s="1"/>
  <c r="P55" i="42"/>
  <c r="K55" i="42"/>
  <c r="Q55" i="42" s="1"/>
  <c r="P54" i="42"/>
  <c r="K54" i="42"/>
  <c r="R54" i="42" s="1"/>
  <c r="P53" i="42"/>
  <c r="K53" i="42"/>
  <c r="P52" i="42"/>
  <c r="K52" i="42"/>
  <c r="P50" i="42"/>
  <c r="K50" i="42"/>
  <c r="P49" i="42"/>
  <c r="K49" i="42"/>
  <c r="R49" i="42" s="1"/>
  <c r="P48" i="42"/>
  <c r="K48" i="42"/>
  <c r="P47" i="42"/>
  <c r="K47" i="42"/>
  <c r="P45" i="42"/>
  <c r="K45" i="42"/>
  <c r="P44" i="42"/>
  <c r="K44" i="42"/>
  <c r="P43" i="42"/>
  <c r="K43" i="42"/>
  <c r="Q43" i="42" s="1"/>
  <c r="P42" i="42"/>
  <c r="K42" i="42"/>
  <c r="R42" i="42" s="1"/>
  <c r="P41" i="42"/>
  <c r="K41" i="42"/>
  <c r="P40" i="42"/>
  <c r="K40" i="42"/>
  <c r="P39" i="42"/>
  <c r="K39" i="42"/>
  <c r="Q39" i="42" s="1"/>
  <c r="P38" i="42"/>
  <c r="K38" i="42"/>
  <c r="R38" i="42" s="1"/>
  <c r="P36" i="42"/>
  <c r="K36" i="42"/>
  <c r="Q36" i="42" s="1"/>
  <c r="P35" i="42"/>
  <c r="K35" i="42"/>
  <c r="R35" i="42" s="1"/>
  <c r="P34" i="42"/>
  <c r="K34" i="42"/>
  <c r="P33" i="42"/>
  <c r="K33" i="42"/>
  <c r="P32" i="42"/>
  <c r="K32" i="42"/>
  <c r="Q32" i="42" s="1"/>
  <c r="P31" i="42"/>
  <c r="K31" i="42"/>
  <c r="R31" i="42" s="1"/>
  <c r="P30" i="42"/>
  <c r="K30" i="42"/>
  <c r="P29" i="42"/>
  <c r="K29" i="42"/>
  <c r="P27" i="42"/>
  <c r="K27" i="42"/>
  <c r="P25" i="42"/>
  <c r="K25" i="42"/>
  <c r="R25" i="42" s="1"/>
  <c r="P24" i="42"/>
  <c r="K24" i="42"/>
  <c r="P23" i="42"/>
  <c r="K23" i="42"/>
  <c r="P22" i="42"/>
  <c r="K22" i="42"/>
  <c r="Q22" i="42" s="1"/>
  <c r="P21" i="42"/>
  <c r="K21" i="42"/>
  <c r="R21" i="42" s="1"/>
  <c r="P20" i="42"/>
  <c r="K20" i="42"/>
  <c r="P19" i="42"/>
  <c r="K19" i="42"/>
  <c r="P17" i="42"/>
  <c r="K17" i="42"/>
  <c r="P16" i="42"/>
  <c r="K16" i="42"/>
  <c r="P15" i="42"/>
  <c r="K15" i="42"/>
  <c r="Q15" i="42" s="1"/>
  <c r="P14" i="42"/>
  <c r="K14" i="42"/>
  <c r="R14" i="42" s="1"/>
  <c r="P13" i="42"/>
  <c r="K13" i="42"/>
  <c r="P12" i="42"/>
  <c r="K12" i="42"/>
  <c r="P11" i="42"/>
  <c r="K11" i="42"/>
  <c r="Q11" i="42" s="1"/>
  <c r="P10" i="42"/>
  <c r="K10" i="42"/>
  <c r="T94" i="42" l="1"/>
  <c r="U94" i="42"/>
  <c r="S81" i="42"/>
  <c r="S84" i="42"/>
  <c r="S88" i="42"/>
  <c r="S113" i="42"/>
  <c r="S138" i="42"/>
  <c r="S152" i="42"/>
  <c r="S165" i="42"/>
  <c r="S168" i="42"/>
  <c r="S170" i="42"/>
  <c r="S173" i="42"/>
  <c r="S175" i="42"/>
  <c r="S177" i="42"/>
  <c r="R178" i="42"/>
  <c r="S16" i="42"/>
  <c r="S23" i="42"/>
  <c r="S40" i="42"/>
  <c r="S52" i="42"/>
  <c r="S106" i="42"/>
  <c r="S108" i="42"/>
  <c r="S139" i="42"/>
  <c r="S19" i="42"/>
  <c r="R22" i="42"/>
  <c r="S146" i="42"/>
  <c r="S180" i="42"/>
  <c r="Q148" i="42"/>
  <c r="S13" i="42"/>
  <c r="S76" i="42"/>
  <c r="S99" i="42"/>
  <c r="R105" i="42"/>
  <c r="R77" i="42"/>
  <c r="R140" i="42"/>
  <c r="L149" i="42"/>
  <c r="S41" i="42"/>
  <c r="S45" i="42"/>
  <c r="S48" i="42"/>
  <c r="S65" i="42"/>
  <c r="S78" i="42"/>
  <c r="S80" i="42"/>
  <c r="R98" i="42"/>
  <c r="S163" i="42"/>
  <c r="S166" i="42"/>
  <c r="S176" i="42"/>
  <c r="S181" i="42"/>
  <c r="R39" i="42"/>
  <c r="S50" i="42"/>
  <c r="R62" i="42"/>
  <c r="S72" i="42"/>
  <c r="S117" i="42"/>
  <c r="S121" i="42"/>
  <c r="S125" i="42"/>
  <c r="S129" i="42"/>
  <c r="S144" i="42"/>
  <c r="S158" i="42"/>
  <c r="S179" i="42"/>
  <c r="R11" i="42"/>
  <c r="S17" i="42"/>
  <c r="S20" i="42"/>
  <c r="R43" i="42"/>
  <c r="Q61" i="42"/>
  <c r="R67" i="42"/>
  <c r="R81" i="42"/>
  <c r="R109" i="42"/>
  <c r="S157" i="42"/>
  <c r="Q163" i="42"/>
  <c r="Q165" i="42"/>
  <c r="Q166" i="42"/>
  <c r="Q168" i="42"/>
  <c r="S12" i="42"/>
  <c r="R15" i="42"/>
  <c r="S24" i="42"/>
  <c r="S44" i="42"/>
  <c r="S47" i="42"/>
  <c r="R50" i="42"/>
  <c r="S79" i="42"/>
  <c r="S82" i="42"/>
  <c r="S85" i="42"/>
  <c r="S87" i="42"/>
  <c r="S89" i="42"/>
  <c r="S91" i="42"/>
  <c r="S107" i="42"/>
  <c r="S110" i="42"/>
  <c r="S112" i="42"/>
  <c r="S114" i="42"/>
  <c r="S116" i="42"/>
  <c r="S118" i="42"/>
  <c r="S120" i="42"/>
  <c r="S122" i="42"/>
  <c r="S124" i="42"/>
  <c r="S126" i="42"/>
  <c r="S128" i="42"/>
  <c r="S130" i="42"/>
  <c r="S134" i="42"/>
  <c r="S160" i="42"/>
  <c r="L162" i="42"/>
  <c r="L164" i="42"/>
  <c r="R165" i="42"/>
  <c r="L167" i="42"/>
  <c r="S169" i="42"/>
  <c r="S185" i="42"/>
  <c r="K186" i="42"/>
  <c r="R12" i="42"/>
  <c r="R16" i="42"/>
  <c r="L18" i="42"/>
  <c r="R19" i="42"/>
  <c r="R23" i="42"/>
  <c r="S27" i="42"/>
  <c r="S29" i="42"/>
  <c r="S30" i="42"/>
  <c r="S33" i="42"/>
  <c r="S34" i="42"/>
  <c r="R40" i="42"/>
  <c r="R44" i="42"/>
  <c r="L46" i="42"/>
  <c r="R47" i="42"/>
  <c r="S53" i="42"/>
  <c r="L56" i="42"/>
  <c r="Q63" i="42"/>
  <c r="R65" i="42"/>
  <c r="Q68" i="42"/>
  <c r="R69" i="42"/>
  <c r="Q78" i="42"/>
  <c r="Q81" i="42"/>
  <c r="Q82" i="42"/>
  <c r="R84" i="42"/>
  <c r="S86" i="42"/>
  <c r="R88" i="42"/>
  <c r="S90" i="42"/>
  <c r="Q99" i="42"/>
  <c r="S102" i="42"/>
  <c r="Q106" i="42"/>
  <c r="S111" i="42"/>
  <c r="R113" i="42"/>
  <c r="S115" i="42"/>
  <c r="R117" i="42"/>
  <c r="S119" i="42"/>
  <c r="R121" i="42"/>
  <c r="S123" i="42"/>
  <c r="R125" i="42"/>
  <c r="S127" i="42"/>
  <c r="R129" i="42"/>
  <c r="S148" i="42"/>
  <c r="S150" i="42"/>
  <c r="S151" i="42"/>
  <c r="R153" i="42"/>
  <c r="R174" i="42"/>
  <c r="R175" i="42"/>
  <c r="Q179" i="42"/>
  <c r="Q180" i="42"/>
  <c r="S25" i="42"/>
  <c r="Q27" i="42"/>
  <c r="Q29" i="42"/>
  <c r="Q30" i="42"/>
  <c r="Q33" i="42"/>
  <c r="Q34" i="42"/>
  <c r="Q53" i="42"/>
  <c r="R60" i="42"/>
  <c r="R72" i="42"/>
  <c r="S98" i="42"/>
  <c r="Q102" i="42"/>
  <c r="R133" i="42"/>
  <c r="R143" i="42"/>
  <c r="R144" i="42"/>
  <c r="R168" i="42"/>
  <c r="Q12" i="42"/>
  <c r="Q13" i="42"/>
  <c r="Q16" i="42"/>
  <c r="Q17" i="42"/>
  <c r="Q19" i="42"/>
  <c r="Q20" i="42"/>
  <c r="Q23" i="42"/>
  <c r="Q24" i="42"/>
  <c r="L26" i="42"/>
  <c r="L28" i="42"/>
  <c r="R29" i="42"/>
  <c r="R32" i="42"/>
  <c r="R33" i="42"/>
  <c r="R36" i="42"/>
  <c r="Q40" i="42"/>
  <c r="Q41" i="42"/>
  <c r="Q44" i="42"/>
  <c r="Q45" i="42"/>
  <c r="Q47" i="42"/>
  <c r="Q48" i="42"/>
  <c r="Q52" i="42"/>
  <c r="R53" i="42"/>
  <c r="S57" i="42"/>
  <c r="Q65" i="42"/>
  <c r="R74" i="42"/>
  <c r="Q84" i="42"/>
  <c r="Q85" i="42"/>
  <c r="Q88" i="42"/>
  <c r="Q89" i="42"/>
  <c r="R92" i="42"/>
  <c r="R101" i="42"/>
  <c r="Q110" i="42"/>
  <c r="Q113" i="42"/>
  <c r="Q114" i="42"/>
  <c r="Q117" i="42"/>
  <c r="Q118" i="42"/>
  <c r="Q121" i="42"/>
  <c r="Q122" i="42"/>
  <c r="Q125" i="42"/>
  <c r="Q126" i="42"/>
  <c r="Q129" i="42"/>
  <c r="Q130" i="42"/>
  <c r="R150" i="42"/>
  <c r="Q160" i="42"/>
  <c r="Q175" i="42"/>
  <c r="Q176" i="42"/>
  <c r="S21" i="42"/>
  <c r="S31" i="42"/>
  <c r="S38" i="42"/>
  <c r="S42" i="42"/>
  <c r="R94" i="42"/>
  <c r="Q94" i="42"/>
  <c r="L93" i="42"/>
  <c r="R104" i="42"/>
  <c r="L100" i="42"/>
  <c r="Q104" i="42"/>
  <c r="R142" i="42"/>
  <c r="Q142" i="42"/>
  <c r="L141" i="42"/>
  <c r="S11" i="42"/>
  <c r="S39" i="42"/>
  <c r="S43" i="42"/>
  <c r="L51" i="42"/>
  <c r="S58" i="42"/>
  <c r="Q58" i="42"/>
  <c r="R97" i="42"/>
  <c r="Q97" i="42"/>
  <c r="R161" i="42"/>
  <c r="Q161" i="42"/>
  <c r="L159" i="42"/>
  <c r="L9" i="42"/>
  <c r="Q10" i="42"/>
  <c r="R13" i="42"/>
  <c r="Q14" i="42"/>
  <c r="R17" i="42"/>
  <c r="R20" i="42"/>
  <c r="Q21" i="42"/>
  <c r="R24" i="42"/>
  <c r="Q25" i="42"/>
  <c r="R27" i="42"/>
  <c r="R30" i="42"/>
  <c r="Q31" i="42"/>
  <c r="R34" i="42"/>
  <c r="Q35" i="42"/>
  <c r="L37" i="42"/>
  <c r="Q38" i="42"/>
  <c r="R41" i="42"/>
  <c r="Q42" i="42"/>
  <c r="R45" i="42"/>
  <c r="R48" i="42"/>
  <c r="Q49" i="42"/>
  <c r="R52" i="42"/>
  <c r="Q54" i="42"/>
  <c r="R55" i="42"/>
  <c r="Q59" i="42"/>
  <c r="S61" i="42"/>
  <c r="S63" i="42"/>
  <c r="S68" i="42"/>
  <c r="Q71" i="42"/>
  <c r="Q73" i="42"/>
  <c r="R80" i="42"/>
  <c r="Q80" i="42"/>
  <c r="R87" i="42"/>
  <c r="L83" i="42"/>
  <c r="Q87" i="42"/>
  <c r="R91" i="42"/>
  <c r="Q91" i="42"/>
  <c r="S94" i="42"/>
  <c r="S103" i="42"/>
  <c r="S104" i="42"/>
  <c r="R112" i="42"/>
  <c r="Q112" i="42"/>
  <c r="R116" i="42"/>
  <c r="Q116" i="42"/>
  <c r="R120" i="42"/>
  <c r="Q120" i="42"/>
  <c r="R124" i="42"/>
  <c r="Q124" i="42"/>
  <c r="R128" i="42"/>
  <c r="Q128" i="42"/>
  <c r="R139" i="42"/>
  <c r="Q139" i="42"/>
  <c r="S142" i="42"/>
  <c r="S145" i="42"/>
  <c r="R173" i="42"/>
  <c r="Q173" i="42"/>
  <c r="L171" i="42"/>
  <c r="R185" i="42"/>
  <c r="Q185" i="42"/>
  <c r="L183" i="42"/>
  <c r="S10" i="42"/>
  <c r="S14" i="42"/>
  <c r="S35" i="42"/>
  <c r="S49" i="42"/>
  <c r="R66" i="42"/>
  <c r="L64" i="42"/>
  <c r="R146" i="42"/>
  <c r="Q146" i="42"/>
  <c r="R170" i="42"/>
  <c r="Q170" i="42"/>
  <c r="R181" i="42"/>
  <c r="Q181" i="42"/>
  <c r="S15" i="42"/>
  <c r="S22" i="42"/>
  <c r="S32" i="42"/>
  <c r="S36" i="42"/>
  <c r="R136" i="42"/>
  <c r="L132" i="42"/>
  <c r="Q136" i="42"/>
  <c r="R155" i="42"/>
  <c r="Q155" i="42"/>
  <c r="L154" i="42"/>
  <c r="R10" i="42"/>
  <c r="Q50" i="42"/>
  <c r="S54" i="42"/>
  <c r="S55" i="42"/>
  <c r="Q57" i="42"/>
  <c r="R58" i="42"/>
  <c r="S59" i="42"/>
  <c r="S62" i="42"/>
  <c r="S66" i="42"/>
  <c r="S69" i="42"/>
  <c r="L70" i="42"/>
  <c r="S71" i="42"/>
  <c r="S73" i="42"/>
  <c r="R76" i="42"/>
  <c r="Q76" i="42"/>
  <c r="L75" i="42"/>
  <c r="S96" i="42"/>
  <c r="S97" i="42"/>
  <c r="R108" i="42"/>
  <c r="Q108" i="42"/>
  <c r="S135" i="42"/>
  <c r="S136" i="42"/>
  <c r="R152" i="42"/>
  <c r="Q152" i="42"/>
  <c r="S155" i="42"/>
  <c r="R158" i="42"/>
  <c r="Q158" i="42"/>
  <c r="L156" i="42"/>
  <c r="S161" i="42"/>
  <c r="S172" i="42"/>
  <c r="R177" i="42"/>
  <c r="Q177" i="42"/>
  <c r="S184" i="42"/>
  <c r="S60" i="42"/>
  <c r="S67" i="42"/>
  <c r="S74" i="42"/>
  <c r="S77" i="42"/>
  <c r="R78" i="42"/>
  <c r="Q79" i="42"/>
  <c r="R82" i="42"/>
  <c r="R85" i="42"/>
  <c r="Q86" i="42"/>
  <c r="R89" i="42"/>
  <c r="Q90" i="42"/>
  <c r="S92" i="42"/>
  <c r="L95" i="42"/>
  <c r="Q96" i="42"/>
  <c r="R99" i="42"/>
  <c r="S101" i="42"/>
  <c r="R102" i="42"/>
  <c r="Q103" i="42"/>
  <c r="S105" i="42"/>
  <c r="R106" i="42"/>
  <c r="Q107" i="42"/>
  <c r="S109" i="42"/>
  <c r="R110" i="42"/>
  <c r="Q111" i="42"/>
  <c r="R114" i="42"/>
  <c r="Q115" i="42"/>
  <c r="R118" i="42"/>
  <c r="Q119" i="42"/>
  <c r="R122" i="42"/>
  <c r="Q123" i="42"/>
  <c r="R126" i="42"/>
  <c r="Q127" i="42"/>
  <c r="R130" i="42"/>
  <c r="S133" i="42"/>
  <c r="R134" i="42"/>
  <c r="Q135" i="42"/>
  <c r="L137" i="42"/>
  <c r="Q138" i="42"/>
  <c r="S140" i="42"/>
  <c r="S143" i="42"/>
  <c r="Q145" i="42"/>
  <c r="S153" i="42"/>
  <c r="S174" i="42"/>
  <c r="S178" i="42"/>
  <c r="R79" i="42"/>
  <c r="R86" i="42"/>
  <c r="R90" i="42"/>
  <c r="R96" i="42"/>
  <c r="R103" i="42"/>
  <c r="R107" i="42"/>
  <c r="R111" i="42"/>
  <c r="R115" i="42"/>
  <c r="R119" i="42"/>
  <c r="R123" i="42"/>
  <c r="R127" i="42"/>
  <c r="R135" i="42"/>
  <c r="R138" i="42"/>
  <c r="R145" i="42"/>
  <c r="R148" i="42"/>
  <c r="R151" i="42"/>
  <c r="R157" i="42"/>
  <c r="R160" i="42"/>
  <c r="R163" i="42"/>
  <c r="R166" i="42"/>
  <c r="R169" i="42"/>
  <c r="R172" i="42"/>
  <c r="R176" i="42"/>
  <c r="R180" i="42"/>
  <c r="R184" i="42"/>
  <c r="V94" i="42" l="1"/>
  <c r="R186" i="42"/>
  <c r="L186" i="42"/>
  <c r="M183" i="42" s="1"/>
  <c r="S186" i="42"/>
  <c r="S7" i="30" s="1"/>
  <c r="V7" i="30" s="1"/>
  <c r="V8" i="30" s="1"/>
  <c r="Q186" i="42"/>
  <c r="M64" i="42" l="1"/>
  <c r="M93" i="42"/>
  <c r="S187" i="42"/>
  <c r="S28" i="30" s="1"/>
  <c r="M75" i="42"/>
  <c r="M171" i="42"/>
  <c r="M70" i="42"/>
  <c r="M51" i="42"/>
  <c r="M159" i="42"/>
  <c r="M9" i="42"/>
  <c r="M141" i="42"/>
  <c r="M137" i="42"/>
  <c r="M83" i="42"/>
  <c r="M132" i="42"/>
  <c r="M156" i="42"/>
  <c r="M95" i="42"/>
  <c r="M100" i="42"/>
  <c r="S198" i="42"/>
  <c r="S199" i="42" s="1"/>
  <c r="M46" i="42"/>
  <c r="M56" i="42"/>
  <c r="M164" i="42"/>
  <c r="M162" i="42"/>
  <c r="M18" i="42"/>
  <c r="M147" i="42"/>
  <c r="M26" i="42"/>
  <c r="M149" i="42"/>
  <c r="M28" i="42"/>
  <c r="M167" i="42"/>
  <c r="M37" i="42"/>
  <c r="M154" i="42"/>
  <c r="R187" i="42"/>
  <c r="S200" i="42"/>
  <c r="M186" i="42" l="1"/>
  <c r="S201" i="42"/>
  <c r="S202" i="42" s="1"/>
  <c r="H9" i="30" l="1"/>
  <c r="H10" i="30" s="1"/>
  <c r="H7" i="30"/>
  <c r="H8" i="30" s="1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N9" i="21"/>
  <c r="N10" i="21" s="1"/>
  <c r="N7" i="21"/>
  <c r="N8" i="21" s="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G24" i="31"/>
  <c r="G27" i="31"/>
  <c r="G41" i="31"/>
  <c r="G43" i="31"/>
  <c r="G46" i="31"/>
  <c r="M18" i="5"/>
  <c r="M20" i="5"/>
  <c r="M34" i="5"/>
  <c r="M36" i="5"/>
  <c r="M39" i="5"/>
  <c r="N40" i="1" s="1"/>
  <c r="N30" i="21" l="1"/>
  <c r="N29" i="21"/>
  <c r="H30" i="30"/>
  <c r="N36" i="1"/>
  <c r="N26" i="21"/>
  <c r="N7" i="1"/>
  <c r="N8" i="1" s="1"/>
  <c r="N9" i="1"/>
  <c r="N10" i="1" s="1"/>
  <c r="N31" i="21" l="1"/>
  <c r="N33" i="21" s="1"/>
  <c r="G173" i="10"/>
  <c r="F173" i="10"/>
  <c r="J170" i="10" l="1"/>
  <c r="G170" i="10"/>
  <c r="F170" i="10"/>
  <c r="S145" i="10"/>
  <c r="U160" i="10"/>
  <c r="S169" i="10"/>
  <c r="F26" i="10"/>
  <c r="F27" i="10" s="1"/>
  <c r="E26" i="10"/>
  <c r="E27" i="10" s="1"/>
  <c r="F24" i="10"/>
  <c r="F25" i="10" s="1"/>
  <c r="E24" i="10"/>
  <c r="E25" i="10" s="1"/>
  <c r="F22" i="10"/>
  <c r="F23" i="10" s="1"/>
  <c r="E22" i="10"/>
  <c r="E23" i="10" s="1"/>
  <c r="F19" i="10"/>
  <c r="F20" i="10" s="1"/>
  <c r="E19" i="10"/>
  <c r="E20" i="10" s="1"/>
  <c r="F17" i="10"/>
  <c r="E17" i="10"/>
  <c r="F16" i="10"/>
  <c r="E16" i="10"/>
  <c r="C18" i="10"/>
  <c r="F14" i="10"/>
  <c r="F15" i="10" s="1"/>
  <c r="E14" i="10"/>
  <c r="E15" i="10" s="1"/>
  <c r="C15" i="10"/>
  <c r="C13" i="10"/>
  <c r="F12" i="10"/>
  <c r="E12" i="10"/>
  <c r="C12" i="10"/>
  <c r="F11" i="10"/>
  <c r="E11" i="10"/>
  <c r="G16" i="10" l="1"/>
  <c r="E171" i="10"/>
  <c r="F171" i="10" s="1"/>
  <c r="F172" i="10" s="1"/>
  <c r="E174" i="10"/>
  <c r="E13" i="10"/>
  <c r="F18" i="10"/>
  <c r="F13" i="10"/>
  <c r="E18" i="10"/>
  <c r="H20" i="10"/>
  <c r="H15" i="10"/>
  <c r="G12" i="10"/>
  <c r="H12" i="10" s="1"/>
  <c r="S168" i="10"/>
  <c r="T159" i="10"/>
  <c r="S163" i="10" s="1"/>
  <c r="S164" i="10" s="1"/>
  <c r="S153" i="10"/>
  <c r="O29" i="10" s="1"/>
  <c r="E172" i="10" l="1"/>
  <c r="S179" i="10" s="1"/>
  <c r="G171" i="10"/>
  <c r="G172" i="10" s="1"/>
  <c r="S171" i="10"/>
  <c r="O31" i="10" s="1"/>
  <c r="H18" i="10"/>
  <c r="G174" i="10"/>
  <c r="G175" i="10" s="1"/>
  <c r="F174" i="10"/>
  <c r="F175" i="10" s="1"/>
  <c r="F176" i="10" s="1"/>
  <c r="E175" i="10"/>
  <c r="H13" i="10"/>
  <c r="S154" i="10"/>
  <c r="U159" i="10"/>
  <c r="G176" i="10" l="1"/>
  <c r="H170" i="10"/>
  <c r="H171" i="10"/>
  <c r="E176" i="10"/>
  <c r="S180" i="10"/>
  <c r="S182" i="10" s="1"/>
  <c r="S190" i="10" s="1"/>
  <c r="H174" i="10"/>
  <c r="C31" i="10"/>
  <c r="F30" i="10"/>
  <c r="F31" i="10" s="1"/>
  <c r="E30" i="10"/>
  <c r="E31" i="10" s="1"/>
  <c r="C30" i="10"/>
  <c r="C29" i="10"/>
  <c r="F28" i="10"/>
  <c r="F29" i="10" s="1"/>
  <c r="E28" i="10"/>
  <c r="C28" i="10"/>
  <c r="K16" i="40"/>
  <c r="J16" i="40"/>
  <c r="I16" i="40"/>
  <c r="K15" i="40"/>
  <c r="J15" i="40"/>
  <c r="H16" i="40"/>
  <c r="H15" i="40"/>
  <c r="K16" i="41"/>
  <c r="J16" i="41"/>
  <c r="I16" i="41"/>
  <c r="K15" i="41"/>
  <c r="J15" i="41"/>
  <c r="I15" i="41"/>
  <c r="H15" i="41"/>
  <c r="K36" i="2"/>
  <c r="K35" i="2"/>
  <c r="X54" i="2"/>
  <c r="C16" i="41"/>
  <c r="Q16" i="41" s="1"/>
  <c r="T16" i="41"/>
  <c r="T15" i="41"/>
  <c r="S15" i="41"/>
  <c r="R15" i="41"/>
  <c r="D15" i="40"/>
  <c r="R15" i="40" s="1"/>
  <c r="T16" i="40"/>
  <c r="Q16" i="40"/>
  <c r="T15" i="40"/>
  <c r="S15" i="40"/>
  <c r="I15" i="40" l="1"/>
  <c r="H16" i="41"/>
  <c r="L16" i="41" s="1"/>
  <c r="M16" i="41" s="1"/>
  <c r="K15" i="5" s="1"/>
  <c r="E29" i="10"/>
  <c r="H29" i="10" s="1"/>
  <c r="G28" i="10"/>
  <c r="H28" i="10" s="1"/>
  <c r="H31" i="10"/>
  <c r="G30" i="10"/>
  <c r="H30" i="10" s="1"/>
  <c r="R16" i="41"/>
  <c r="L15" i="41"/>
  <c r="M15" i="41" s="1"/>
  <c r="Q15" i="41"/>
  <c r="U15" i="41" s="1"/>
  <c r="S16" i="41"/>
  <c r="L16" i="40"/>
  <c r="M16" i="40" s="1"/>
  <c r="R16" i="40"/>
  <c r="Q15" i="40"/>
  <c r="U15" i="40" s="1"/>
  <c r="S16" i="40"/>
  <c r="U16" i="41" l="1"/>
  <c r="L34" i="41"/>
  <c r="M37" i="41"/>
  <c r="M39" i="41" s="1"/>
  <c r="M34" i="41"/>
  <c r="L15" i="40"/>
  <c r="M15" i="40" s="1"/>
  <c r="U16" i="40"/>
  <c r="M37" i="40" l="1"/>
  <c r="M39" i="40" s="1"/>
  <c r="E17" i="31"/>
  <c r="M34" i="40"/>
  <c r="L34" i="40"/>
  <c r="T36" i="2" l="1"/>
  <c r="E36" i="2"/>
  <c r="D36" i="2"/>
  <c r="I36" i="2" s="1"/>
  <c r="C36" i="2"/>
  <c r="T35" i="2"/>
  <c r="E35" i="2"/>
  <c r="D35" i="2"/>
  <c r="I35" i="2" s="1"/>
  <c r="C35" i="2"/>
  <c r="Q35" i="2" l="1"/>
  <c r="H35" i="2"/>
  <c r="Q36" i="2"/>
  <c r="H36" i="2"/>
  <c r="S35" i="2"/>
  <c r="J35" i="2"/>
  <c r="S36" i="2"/>
  <c r="J36" i="2"/>
  <c r="R35" i="2"/>
  <c r="L35" i="2"/>
  <c r="M35" i="2" s="1"/>
  <c r="R36" i="2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G9" i="30"/>
  <c r="G10" i="30" s="1"/>
  <c r="G7" i="30"/>
  <c r="G8" i="30" s="1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M9" i="21"/>
  <c r="M10" i="21" s="1"/>
  <c r="M7" i="21"/>
  <c r="M8" i="21" s="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L18" i="5"/>
  <c r="L20" i="5"/>
  <c r="L34" i="5"/>
  <c r="M29" i="21" s="1"/>
  <c r="L36" i="5"/>
  <c r="L39" i="5"/>
  <c r="M40" i="1" s="1"/>
  <c r="F24" i="31"/>
  <c r="F27" i="31"/>
  <c r="F41" i="31"/>
  <c r="F43" i="31"/>
  <c r="F46" i="31"/>
  <c r="U36" i="2" l="1"/>
  <c r="U35" i="2"/>
  <c r="L36" i="2"/>
  <c r="M36" i="2" s="1"/>
  <c r="K13" i="5" s="1"/>
  <c r="M30" i="21"/>
  <c r="M31" i="21" s="1"/>
  <c r="M9" i="1"/>
  <c r="M10" i="1" s="1"/>
  <c r="M7" i="1"/>
  <c r="M8" i="1" s="1"/>
  <c r="G30" i="30"/>
  <c r="M36" i="1"/>
  <c r="M26" i="21"/>
  <c r="R54" i="38"/>
  <c r="M33" i="21" l="1"/>
  <c r="J181" i="10" l="1"/>
  <c r="E182" i="10" s="1"/>
  <c r="G181" i="10"/>
  <c r="F181" i="10"/>
  <c r="E183" i="10" l="1"/>
  <c r="H181" i="10" s="1"/>
  <c r="G182" i="10"/>
  <c r="G183" i="10" s="1"/>
  <c r="F182" i="10"/>
  <c r="F183" i="10" s="1"/>
  <c r="H182" i="10" l="1"/>
  <c r="C20" i="25"/>
  <c r="C21" i="25"/>
  <c r="C22" i="25"/>
  <c r="M202" i="10"/>
  <c r="M205" i="10" s="1"/>
  <c r="E15" i="31"/>
  <c r="J11" i="5"/>
  <c r="M196" i="10"/>
  <c r="S134" i="10"/>
  <c r="S133" i="10"/>
  <c r="U126" i="10"/>
  <c r="T125" i="10"/>
  <c r="U125" i="10" s="1"/>
  <c r="M187" i="10"/>
  <c r="M184" i="10"/>
  <c r="H205" i="10"/>
  <c r="H212" i="10"/>
  <c r="H219" i="10"/>
  <c r="H226" i="10"/>
  <c r="H233" i="10"/>
  <c r="X159" i="10" l="1"/>
  <c r="K230" i="10"/>
  <c r="S129" i="10"/>
  <c r="D41" i="3"/>
  <c r="F41" i="3" l="1"/>
  <c r="T34" i="2"/>
  <c r="K34" i="2"/>
  <c r="E34" i="2"/>
  <c r="S34" i="2" s="1"/>
  <c r="D34" i="2"/>
  <c r="R34" i="2" s="1"/>
  <c r="C34" i="2"/>
  <c r="H34" i="2" s="1"/>
  <c r="T33" i="2"/>
  <c r="K33" i="2"/>
  <c r="E33" i="2"/>
  <c r="J33" i="2" s="1"/>
  <c r="D33" i="2"/>
  <c r="R33" i="2" s="1"/>
  <c r="C33" i="2"/>
  <c r="Q33" i="2" s="1"/>
  <c r="H33" i="2" l="1"/>
  <c r="J34" i="2"/>
  <c r="I33" i="2"/>
  <c r="I34" i="2"/>
  <c r="Q34" i="2"/>
  <c r="U34" i="2" s="1"/>
  <c r="S33" i="2"/>
  <c r="U33" i="2" s="1"/>
  <c r="H190" i="10"/>
  <c r="C27" i="10"/>
  <c r="C26" i="10"/>
  <c r="I40" i="1"/>
  <c r="H40" i="1"/>
  <c r="G40" i="1"/>
  <c r="F40" i="1"/>
  <c r="E40" i="1"/>
  <c r="I39" i="1"/>
  <c r="H39" i="1"/>
  <c r="G39" i="1"/>
  <c r="F39" i="1"/>
  <c r="E39" i="1"/>
  <c r="D40" i="1"/>
  <c r="D39" i="1"/>
  <c r="L33" i="2" l="1"/>
  <c r="M33" i="2" s="1"/>
  <c r="L34" i="2"/>
  <c r="M34" i="2" s="1"/>
  <c r="G26" i="10"/>
  <c r="H26" i="10" s="1"/>
  <c r="H27" i="10"/>
  <c r="J40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J35" i="1"/>
  <c r="J34" i="1"/>
  <c r="J23" i="1"/>
  <c r="J22" i="1"/>
  <c r="J20" i="1"/>
  <c r="J19" i="1"/>
  <c r="J18" i="1"/>
  <c r="J17" i="1"/>
  <c r="J16" i="1"/>
  <c r="J15" i="1"/>
  <c r="J14" i="1"/>
  <c r="J13" i="1"/>
  <c r="J33" i="1"/>
  <c r="J32" i="1"/>
  <c r="J31" i="1"/>
  <c r="J30" i="1"/>
  <c r="J29" i="1"/>
  <c r="J28" i="1"/>
  <c r="J27" i="1"/>
  <c r="J26" i="1"/>
  <c r="J25" i="1"/>
  <c r="J24" i="1"/>
  <c r="I35" i="1"/>
  <c r="H35" i="1"/>
  <c r="G35" i="1"/>
  <c r="F35" i="1"/>
  <c r="E35" i="1"/>
  <c r="I34" i="1"/>
  <c r="H34" i="1"/>
  <c r="G34" i="1"/>
  <c r="F34" i="1"/>
  <c r="E34" i="1"/>
  <c r="I33" i="1"/>
  <c r="H33" i="1"/>
  <c r="G33" i="1"/>
  <c r="F33" i="1"/>
  <c r="E33" i="1"/>
  <c r="I32" i="1"/>
  <c r="H32" i="1"/>
  <c r="G32" i="1"/>
  <c r="F32" i="1"/>
  <c r="E32" i="1"/>
  <c r="I31" i="1"/>
  <c r="H31" i="1"/>
  <c r="G31" i="1"/>
  <c r="F31" i="1"/>
  <c r="E31" i="1"/>
  <c r="I30" i="1"/>
  <c r="H30" i="1"/>
  <c r="G30" i="1"/>
  <c r="F30" i="1"/>
  <c r="E30" i="1"/>
  <c r="I29" i="1"/>
  <c r="H29" i="1"/>
  <c r="G29" i="1"/>
  <c r="F29" i="1"/>
  <c r="E29" i="1"/>
  <c r="I28" i="1"/>
  <c r="H28" i="1"/>
  <c r="G28" i="1"/>
  <c r="F28" i="1"/>
  <c r="E28" i="1"/>
  <c r="I27" i="1"/>
  <c r="H27" i="1"/>
  <c r="G27" i="1"/>
  <c r="F27" i="1"/>
  <c r="E27" i="1"/>
  <c r="I26" i="1"/>
  <c r="H26" i="1"/>
  <c r="G26" i="1"/>
  <c r="F26" i="1"/>
  <c r="E26" i="1"/>
  <c r="I25" i="1"/>
  <c r="H25" i="1"/>
  <c r="G25" i="1"/>
  <c r="F25" i="1"/>
  <c r="E25" i="1"/>
  <c r="I24" i="1"/>
  <c r="H24" i="1"/>
  <c r="G24" i="1"/>
  <c r="F24" i="1"/>
  <c r="E24" i="1"/>
  <c r="I23" i="1"/>
  <c r="H23" i="1"/>
  <c r="G23" i="1"/>
  <c r="F23" i="1"/>
  <c r="E23" i="1"/>
  <c r="I22" i="1"/>
  <c r="H22" i="1"/>
  <c r="G22" i="1"/>
  <c r="F22" i="1"/>
  <c r="E22" i="1"/>
  <c r="E21" i="1"/>
  <c r="I20" i="1"/>
  <c r="H20" i="1"/>
  <c r="G20" i="1"/>
  <c r="F20" i="1"/>
  <c r="E20" i="1"/>
  <c r="I19" i="1"/>
  <c r="H19" i="1"/>
  <c r="G19" i="1"/>
  <c r="F19" i="1"/>
  <c r="I18" i="1"/>
  <c r="H18" i="1"/>
  <c r="G18" i="1"/>
  <c r="F18" i="1"/>
  <c r="E18" i="1"/>
  <c r="I17" i="1"/>
  <c r="H17" i="1"/>
  <c r="G17" i="1"/>
  <c r="F17" i="1"/>
  <c r="E17" i="1"/>
  <c r="I16" i="1"/>
  <c r="H16" i="1"/>
  <c r="G16" i="1"/>
  <c r="E16" i="1"/>
  <c r="I15" i="1"/>
  <c r="H15" i="1"/>
  <c r="G15" i="1"/>
  <c r="F15" i="1"/>
  <c r="E15" i="1"/>
  <c r="I14" i="1"/>
  <c r="H14" i="1"/>
  <c r="G14" i="1"/>
  <c r="F14" i="1"/>
  <c r="E14" i="1"/>
  <c r="I13" i="1"/>
  <c r="H13" i="1"/>
  <c r="G13" i="1"/>
  <c r="F13" i="1"/>
  <c r="E13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J13" i="5" l="1"/>
  <c r="K21" i="1" s="1"/>
  <c r="V13" i="1" a="1"/>
  <c r="V13" i="1" s="1"/>
  <c r="V17" i="1" a="1"/>
  <c r="V17" i="1" s="1"/>
  <c r="V25" i="1" a="1"/>
  <c r="V25" i="1" s="1"/>
  <c r="V15" i="1" a="1"/>
  <c r="V15" i="1" s="1"/>
  <c r="V23" i="1" a="1"/>
  <c r="V23" i="1" s="1"/>
  <c r="V27" i="1" a="1"/>
  <c r="V27" i="1" s="1"/>
  <c r="V29" i="1" a="1"/>
  <c r="V29" i="1" s="1"/>
  <c r="V31" i="1" a="1"/>
  <c r="V31" i="1" s="1"/>
  <c r="V33" i="1" a="1"/>
  <c r="V33" i="1" s="1"/>
  <c r="V35" i="1" a="1"/>
  <c r="V35" i="1" s="1"/>
  <c r="V14" i="1" a="1"/>
  <c r="V14" i="1" s="1"/>
  <c r="V18" i="1" a="1"/>
  <c r="V18" i="1" s="1"/>
  <c r="V20" i="1" a="1"/>
  <c r="V20" i="1" s="1"/>
  <c r="V22" i="1" a="1"/>
  <c r="V22" i="1" s="1"/>
  <c r="V24" i="1" a="1"/>
  <c r="V24" i="1" s="1"/>
  <c r="V26" i="1" a="1"/>
  <c r="V26" i="1" s="1"/>
  <c r="V28" i="1" a="1"/>
  <c r="V28" i="1" s="1"/>
  <c r="V30" i="1" a="1"/>
  <c r="V30" i="1" s="1"/>
  <c r="V32" i="1" a="1"/>
  <c r="V32" i="1" s="1"/>
  <c r="V34" i="1" a="1"/>
  <c r="V34" i="1" s="1"/>
  <c r="F9" i="30"/>
  <c r="F10" i="30" s="1"/>
  <c r="F7" i="30"/>
  <c r="F8" i="30" s="1"/>
  <c r="F13" i="30"/>
  <c r="P13" i="30" s="1" a="1"/>
  <c r="P13" i="30" s="1"/>
  <c r="F14" i="30"/>
  <c r="P14" i="30" s="1" a="1"/>
  <c r="P14" i="30" s="1"/>
  <c r="F15" i="30"/>
  <c r="P15" i="30" s="1" a="1"/>
  <c r="P15" i="30" s="1"/>
  <c r="F16" i="30"/>
  <c r="P16" i="30" s="1" a="1"/>
  <c r="P16" i="30" s="1"/>
  <c r="F17" i="30"/>
  <c r="P17" i="30" s="1" a="1"/>
  <c r="P17" i="30" s="1"/>
  <c r="F18" i="30"/>
  <c r="P18" i="30" s="1" a="1"/>
  <c r="P18" i="30" s="1"/>
  <c r="F19" i="30"/>
  <c r="P19" i="30" s="1" a="1"/>
  <c r="P19" i="30" s="1"/>
  <c r="F20" i="30"/>
  <c r="P20" i="30" s="1" a="1"/>
  <c r="P20" i="30" s="1"/>
  <c r="F21" i="30"/>
  <c r="P21" i="30" s="1" a="1"/>
  <c r="P21" i="30" s="1"/>
  <c r="F22" i="30"/>
  <c r="P22" i="30" s="1" a="1"/>
  <c r="P22" i="30" s="1"/>
  <c r="F23" i="30"/>
  <c r="P23" i="30" s="1" a="1"/>
  <c r="P23" i="30" s="1"/>
  <c r="F24" i="30"/>
  <c r="P24" i="30" s="1" a="1"/>
  <c r="P24" i="30" s="1"/>
  <c r="F25" i="30"/>
  <c r="P25" i="30" s="1" a="1"/>
  <c r="P25" i="30" s="1"/>
  <c r="F26" i="30"/>
  <c r="P26" i="30" s="1" a="1"/>
  <c r="P26" i="30" s="1"/>
  <c r="F27" i="30"/>
  <c r="P27" i="30" s="1" a="1"/>
  <c r="P27" i="30" s="1"/>
  <c r="F28" i="30"/>
  <c r="P28" i="30" s="1" a="1"/>
  <c r="P28" i="30" s="1"/>
  <c r="F29" i="30"/>
  <c r="P29" i="30" s="1" a="1"/>
  <c r="P29" i="30" s="1"/>
  <c r="L9" i="21"/>
  <c r="L7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E24" i="31"/>
  <c r="E27" i="31"/>
  <c r="E41" i="31"/>
  <c r="E43" i="31"/>
  <c r="E46" i="31"/>
  <c r="K18" i="5"/>
  <c r="K20" i="5"/>
  <c r="K34" i="5"/>
  <c r="K36" i="5"/>
  <c r="K39" i="5"/>
  <c r="L40" i="1" s="1"/>
  <c r="L30" i="21" l="1"/>
  <c r="L29" i="21"/>
  <c r="L8" i="21"/>
  <c r="L7" i="1"/>
  <c r="L8" i="1" s="1"/>
  <c r="L10" i="21"/>
  <c r="L9" i="1"/>
  <c r="L10" i="1" s="1"/>
  <c r="L36" i="1"/>
  <c r="F30" i="30"/>
  <c r="L26" i="21"/>
  <c r="J241" i="10"/>
  <c r="J190" i="10"/>
  <c r="E191" i="10" s="1"/>
  <c r="L158" i="10" s="1"/>
  <c r="G190" i="10"/>
  <c r="F190" i="10"/>
  <c r="L31" i="21" l="1"/>
  <c r="L33" i="21" s="1"/>
  <c r="F191" i="10"/>
  <c r="G191" i="10"/>
  <c r="G192" i="10" l="1"/>
  <c r="F192" i="10"/>
  <c r="H191" i="10" s="1"/>
  <c r="E192" i="10"/>
  <c r="S200" i="10" s="1"/>
  <c r="S208" i="10" s="1"/>
  <c r="S128" i="10" l="1"/>
  <c r="S130" i="10" s="1"/>
  <c r="M121" i="10"/>
  <c r="H25" i="10"/>
  <c r="H23" i="10"/>
  <c r="C25" i="10"/>
  <c r="C24" i="10"/>
  <c r="S30" i="10"/>
  <c r="S116" i="10"/>
  <c r="S119" i="10" s="1"/>
  <c r="O25" i="10" s="1"/>
  <c r="E70" i="10" l="1"/>
  <c r="H198" i="10"/>
  <c r="G24" i="10"/>
  <c r="H24" i="10" s="1"/>
  <c r="E32" i="2"/>
  <c r="J32" i="2" s="1"/>
  <c r="T32" i="2"/>
  <c r="D32" i="2"/>
  <c r="R32" i="2" s="1"/>
  <c r="K32" i="2"/>
  <c r="C32" i="2"/>
  <c r="H32" i="2" s="1"/>
  <c r="S32" i="2" l="1"/>
  <c r="Q32" i="2"/>
  <c r="I32" i="2"/>
  <c r="L32" i="2" s="1"/>
  <c r="M32" i="2" s="1"/>
  <c r="T107" i="10"/>
  <c r="S111" i="10" s="1"/>
  <c r="U108" i="10"/>
  <c r="S97" i="10"/>
  <c r="S101" i="10" s="1"/>
  <c r="O23" i="10" s="1"/>
  <c r="C23" i="10"/>
  <c r="U32" i="2" l="1"/>
  <c r="U107" i="10"/>
  <c r="G198" i="10"/>
  <c r="F198" i="10"/>
  <c r="J198" i="10"/>
  <c r="E199" i="10" s="1"/>
  <c r="E201" i="10" s="1"/>
  <c r="F199" i="10" l="1"/>
  <c r="F200" i="10" s="1"/>
  <c r="H199" i="10" s="1"/>
  <c r="E200" i="10"/>
  <c r="S110" i="10" s="1"/>
  <c r="S112" i="10" s="1"/>
  <c r="S120" i="10" s="1"/>
  <c r="S132" i="10" s="1"/>
  <c r="G199" i="10"/>
  <c r="G200" i="10" s="1"/>
  <c r="E9" i="30"/>
  <c r="E10" i="30" s="1"/>
  <c r="E7" i="30"/>
  <c r="E8" i="30" s="1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C17" i="25"/>
  <c r="C18" i="25"/>
  <c r="C19" i="25"/>
  <c r="K9" i="21"/>
  <c r="K7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30" i="21"/>
  <c r="D24" i="31"/>
  <c r="D27" i="31"/>
  <c r="D41" i="31"/>
  <c r="D43" i="31"/>
  <c r="D46" i="31"/>
  <c r="J18" i="5"/>
  <c r="J20" i="5"/>
  <c r="J34" i="5"/>
  <c r="J36" i="5"/>
  <c r="J39" i="5"/>
  <c r="K40" i="1" s="1"/>
  <c r="S139" i="10" l="1"/>
  <c r="K29" i="21"/>
  <c r="K8" i="21"/>
  <c r="K7" i="1"/>
  <c r="K10" i="21"/>
  <c r="K9" i="1"/>
  <c r="E30" i="30"/>
  <c r="K26" i="21"/>
  <c r="T31" i="2"/>
  <c r="K31" i="2"/>
  <c r="E31" i="2"/>
  <c r="J31" i="2" s="1"/>
  <c r="D31" i="2"/>
  <c r="R31" i="2" s="1"/>
  <c r="C31" i="2"/>
  <c r="Q31" i="2" s="1"/>
  <c r="T30" i="2"/>
  <c r="K30" i="2"/>
  <c r="E30" i="2"/>
  <c r="J30" i="2" s="1"/>
  <c r="D30" i="2"/>
  <c r="I30" i="2" s="1"/>
  <c r="C30" i="2"/>
  <c r="H30" i="2" s="1"/>
  <c r="T29" i="2"/>
  <c r="K29" i="2"/>
  <c r="E29" i="2"/>
  <c r="J29" i="2" s="1"/>
  <c r="D29" i="2"/>
  <c r="R29" i="2" s="1"/>
  <c r="C29" i="2"/>
  <c r="Q29" i="2" s="1"/>
  <c r="K31" i="21" l="1"/>
  <c r="K33" i="21" s="1"/>
  <c r="S140" i="10"/>
  <c r="O27" i="10"/>
  <c r="I29" i="2"/>
  <c r="S30" i="2"/>
  <c r="H29" i="2"/>
  <c r="S31" i="2"/>
  <c r="U31" i="2" s="1"/>
  <c r="L30" i="2"/>
  <c r="M30" i="2" s="1"/>
  <c r="S29" i="2"/>
  <c r="U29" i="2" s="1"/>
  <c r="H31" i="2"/>
  <c r="R30" i="2"/>
  <c r="I31" i="2"/>
  <c r="Q30" i="2"/>
  <c r="K25" i="2"/>
  <c r="J25" i="2"/>
  <c r="K9" i="2"/>
  <c r="K28" i="2" s="1"/>
  <c r="J9" i="2"/>
  <c r="J27" i="2" s="1"/>
  <c r="I9" i="2"/>
  <c r="H9" i="2"/>
  <c r="L29" i="2" l="1"/>
  <c r="M29" i="2" s="1"/>
  <c r="H13" i="5" s="1"/>
  <c r="I21" i="1" s="1"/>
  <c r="L31" i="2"/>
  <c r="M31" i="2" s="1"/>
  <c r="I13" i="5" s="1"/>
  <c r="J21" i="1" s="1"/>
  <c r="U30" i="2"/>
  <c r="K27" i="2"/>
  <c r="S92" i="10" l="1"/>
  <c r="U89" i="10"/>
  <c r="U88" i="10"/>
  <c r="S82" i="10" l="1"/>
  <c r="O20" i="10" s="1"/>
  <c r="G22" i="10" l="1"/>
  <c r="H22" i="10" s="1"/>
  <c r="C22" i="10"/>
  <c r="C21" i="10"/>
  <c r="G21" i="10"/>
  <c r="H21" i="10" s="1"/>
  <c r="R22" i="38"/>
  <c r="Q22" i="38"/>
  <c r="P57" i="38" l="1"/>
  <c r="P56" i="38"/>
  <c r="P54" i="38"/>
  <c r="P53" i="38"/>
  <c r="P52" i="38"/>
  <c r="P51" i="38"/>
  <c r="P50" i="38"/>
  <c r="P49" i="38"/>
  <c r="P48" i="38"/>
  <c r="P47" i="38"/>
  <c r="P46" i="38"/>
  <c r="P45" i="38"/>
  <c r="P44" i="38"/>
  <c r="P42" i="38"/>
  <c r="P41" i="38"/>
  <c r="P40" i="38"/>
  <c r="P39" i="38"/>
  <c r="P38" i="38"/>
  <c r="P37" i="38"/>
  <c r="P36" i="38"/>
  <c r="P35" i="38"/>
  <c r="P34" i="38"/>
  <c r="P33" i="38"/>
  <c r="P32" i="38"/>
  <c r="P31" i="38"/>
  <c r="P30" i="38"/>
  <c r="P29" i="38"/>
  <c r="P28" i="38"/>
  <c r="P27" i="38"/>
  <c r="P26" i="38"/>
  <c r="P24" i="38"/>
  <c r="P23" i="38"/>
  <c r="P22" i="38"/>
  <c r="P21" i="38"/>
  <c r="P11" i="38"/>
  <c r="P12" i="38"/>
  <c r="P13" i="38"/>
  <c r="P14" i="38"/>
  <c r="P15" i="38"/>
  <c r="P16" i="38"/>
  <c r="P17" i="38"/>
  <c r="P18" i="38"/>
  <c r="P19" i="38"/>
  <c r="P10" i="38"/>
  <c r="N3" i="39"/>
  <c r="F163" i="42" l="1"/>
  <c r="F146" i="42"/>
  <c r="F142" i="42"/>
  <c r="F161" i="42"/>
  <c r="F151" i="42"/>
  <c r="F145" i="42"/>
  <c r="F157" i="42"/>
  <c r="F144" i="42"/>
  <c r="F172" i="42"/>
  <c r="F139" i="42"/>
  <c r="F134" i="42"/>
  <c r="F124" i="42"/>
  <c r="F120" i="42"/>
  <c r="F94" i="42"/>
  <c r="G94" i="42" s="1"/>
  <c r="F89" i="42"/>
  <c r="F52" i="42"/>
  <c r="F153" i="42"/>
  <c r="F143" i="42"/>
  <c r="F179" i="42"/>
  <c r="F184" i="42"/>
  <c r="F138" i="42"/>
  <c r="F133" i="42"/>
  <c r="F127" i="42"/>
  <c r="F123" i="42"/>
  <c r="F165" i="42"/>
  <c r="F140" i="42"/>
  <c r="F121" i="42"/>
  <c r="F173" i="42"/>
  <c r="F125" i="42"/>
  <c r="F90" i="42"/>
  <c r="F185" i="42"/>
  <c r="F182" i="42"/>
  <c r="F174" i="42"/>
  <c r="F136" i="42"/>
  <c r="F126" i="42"/>
  <c r="F54" i="42"/>
  <c r="F25" i="42"/>
  <c r="F148" i="42"/>
  <c r="F135" i="42"/>
  <c r="F117" i="42"/>
  <c r="F53" i="42"/>
  <c r="F166" i="42"/>
  <c r="F158" i="42"/>
  <c r="F178" i="42"/>
  <c r="F122" i="42"/>
  <c r="F181" i="42"/>
  <c r="F81" i="42"/>
  <c r="F130" i="42"/>
  <c r="F31" i="42"/>
  <c r="G191" i="42" s="1"/>
  <c r="F24" i="38"/>
  <c r="G24" i="38" s="1"/>
  <c r="F54" i="38"/>
  <c r="G54" i="38" s="1"/>
  <c r="S22" i="38"/>
  <c r="I158" i="42" l="1"/>
  <c r="T158" i="42" s="1"/>
  <c r="G158" i="42"/>
  <c r="J158" i="42" s="1"/>
  <c r="U158" i="42" s="1"/>
  <c r="G181" i="42"/>
  <c r="J181" i="42" s="1"/>
  <c r="U181" i="42" s="1"/>
  <c r="I181" i="42"/>
  <c r="T181" i="42" s="1"/>
  <c r="G166" i="42"/>
  <c r="J166" i="42" s="1"/>
  <c r="U166" i="42" s="1"/>
  <c r="I166" i="42"/>
  <c r="T166" i="42" s="1"/>
  <c r="I148" i="42"/>
  <c r="T148" i="42" s="1"/>
  <c r="G148" i="42"/>
  <c r="J148" i="42" s="1"/>
  <c r="U148" i="42" s="1"/>
  <c r="I136" i="42"/>
  <c r="T136" i="42" s="1"/>
  <c r="G136" i="42"/>
  <c r="J136" i="42" s="1"/>
  <c r="U136" i="42" s="1"/>
  <c r="I90" i="42"/>
  <c r="T90" i="42" s="1"/>
  <c r="G90" i="42"/>
  <c r="J90" i="42" s="1"/>
  <c r="U90" i="42" s="1"/>
  <c r="G140" i="42"/>
  <c r="J140" i="42" s="1"/>
  <c r="U140" i="42" s="1"/>
  <c r="I140" i="42"/>
  <c r="T140" i="42" s="1"/>
  <c r="I133" i="42"/>
  <c r="T133" i="42" s="1"/>
  <c r="G133" i="42"/>
  <c r="J133" i="42" s="1"/>
  <c r="U133" i="42" s="1"/>
  <c r="G143" i="42"/>
  <c r="J143" i="42" s="1"/>
  <c r="U143" i="42" s="1"/>
  <c r="I143" i="42"/>
  <c r="T143" i="42" s="1"/>
  <c r="I139" i="42"/>
  <c r="T139" i="42" s="1"/>
  <c r="G139" i="42"/>
  <c r="J139" i="42" s="1"/>
  <c r="U139" i="42" s="1"/>
  <c r="G145" i="42"/>
  <c r="J145" i="42" s="1"/>
  <c r="U145" i="42" s="1"/>
  <c r="I145" i="42"/>
  <c r="T145" i="42" s="1"/>
  <c r="I146" i="42"/>
  <c r="T146" i="42" s="1"/>
  <c r="G146" i="42"/>
  <c r="J146" i="42" s="1"/>
  <c r="U146" i="42" s="1"/>
  <c r="G135" i="42"/>
  <c r="J135" i="42" s="1"/>
  <c r="U135" i="42" s="1"/>
  <c r="I135" i="42"/>
  <c r="T135" i="42" s="1"/>
  <c r="G185" i="42"/>
  <c r="J185" i="42" s="1"/>
  <c r="U185" i="42" s="1"/>
  <c r="I185" i="42"/>
  <c r="T185" i="42" s="1"/>
  <c r="G127" i="42"/>
  <c r="J127" i="42" s="1"/>
  <c r="U127" i="42" s="1"/>
  <c r="I127" i="42"/>
  <c r="T127" i="42" s="1"/>
  <c r="I89" i="42"/>
  <c r="T89" i="42" s="1"/>
  <c r="G89" i="42"/>
  <c r="J89" i="42" s="1"/>
  <c r="U89" i="42" s="1"/>
  <c r="G157" i="42"/>
  <c r="J157" i="42" s="1"/>
  <c r="U157" i="42" s="1"/>
  <c r="I157" i="42"/>
  <c r="T157" i="42" s="1"/>
  <c r="I31" i="42"/>
  <c r="T31" i="42" s="1"/>
  <c r="G31" i="42"/>
  <c r="J31" i="42" s="1"/>
  <c r="U31" i="42" s="1"/>
  <c r="I122" i="42"/>
  <c r="T122" i="42" s="1"/>
  <c r="G122" i="42"/>
  <c r="J122" i="42" s="1"/>
  <c r="U122" i="42" s="1"/>
  <c r="G53" i="42"/>
  <c r="J53" i="42" s="1"/>
  <c r="U53" i="42" s="1"/>
  <c r="I53" i="42"/>
  <c r="T53" i="42" s="1"/>
  <c r="I25" i="42"/>
  <c r="T25" i="42" s="1"/>
  <c r="G25" i="42"/>
  <c r="J25" i="42" s="1"/>
  <c r="U25" i="42" s="1"/>
  <c r="G174" i="42"/>
  <c r="J174" i="42" s="1"/>
  <c r="U174" i="42" s="1"/>
  <c r="I174" i="42"/>
  <c r="T174" i="42" s="1"/>
  <c r="G125" i="42"/>
  <c r="J125" i="42" s="1"/>
  <c r="U125" i="42" s="1"/>
  <c r="I125" i="42"/>
  <c r="T125" i="42" s="1"/>
  <c r="I165" i="42"/>
  <c r="T165" i="42" s="1"/>
  <c r="G165" i="42"/>
  <c r="J165" i="42" s="1"/>
  <c r="U165" i="42" s="1"/>
  <c r="G138" i="42"/>
  <c r="J138" i="42" s="1"/>
  <c r="U138" i="42" s="1"/>
  <c r="I138" i="42"/>
  <c r="T138" i="42" s="1"/>
  <c r="G153" i="42"/>
  <c r="J153" i="42" s="1"/>
  <c r="U153" i="42" s="1"/>
  <c r="I153" i="42"/>
  <c r="T153" i="42" s="1"/>
  <c r="I120" i="42"/>
  <c r="T120" i="42" s="1"/>
  <c r="G120" i="42"/>
  <c r="J120" i="42" s="1"/>
  <c r="U120" i="42" s="1"/>
  <c r="I172" i="42"/>
  <c r="T172" i="42" s="1"/>
  <c r="G172" i="42"/>
  <c r="J172" i="42" s="1"/>
  <c r="U172" i="42" s="1"/>
  <c r="G151" i="42"/>
  <c r="J151" i="42" s="1"/>
  <c r="U151" i="42" s="1"/>
  <c r="I151" i="42"/>
  <c r="T151" i="42" s="1"/>
  <c r="G163" i="42"/>
  <c r="J163" i="42" s="1"/>
  <c r="U163" i="42" s="1"/>
  <c r="I163" i="42"/>
  <c r="T163" i="42" s="1"/>
  <c r="G81" i="42"/>
  <c r="J81" i="42" s="1"/>
  <c r="U81" i="42" s="1"/>
  <c r="I81" i="42"/>
  <c r="T81" i="42" s="1"/>
  <c r="I126" i="42"/>
  <c r="T126" i="42" s="1"/>
  <c r="G126" i="42"/>
  <c r="J126" i="42" s="1"/>
  <c r="U126" i="42" s="1"/>
  <c r="G121" i="42"/>
  <c r="J121" i="42" s="1"/>
  <c r="U121" i="42" s="1"/>
  <c r="I121" i="42"/>
  <c r="T121" i="42" s="1"/>
  <c r="I179" i="42"/>
  <c r="T179" i="42" s="1"/>
  <c r="G179" i="42"/>
  <c r="J179" i="42" s="1"/>
  <c r="U179" i="42" s="1"/>
  <c r="I134" i="42"/>
  <c r="T134" i="42" s="1"/>
  <c r="G134" i="42"/>
  <c r="J134" i="42" s="1"/>
  <c r="U134" i="42" s="1"/>
  <c r="I142" i="42"/>
  <c r="T142" i="42" s="1"/>
  <c r="G142" i="42"/>
  <c r="J142" i="42" s="1"/>
  <c r="U142" i="42" s="1"/>
  <c r="I130" i="42"/>
  <c r="T130" i="42" s="1"/>
  <c r="G130" i="42"/>
  <c r="J130" i="42" s="1"/>
  <c r="U130" i="42" s="1"/>
  <c r="G178" i="42"/>
  <c r="J178" i="42" s="1"/>
  <c r="U178" i="42" s="1"/>
  <c r="I178" i="42"/>
  <c r="T178" i="42" s="1"/>
  <c r="G117" i="42"/>
  <c r="J117" i="42" s="1"/>
  <c r="U117" i="42" s="1"/>
  <c r="I117" i="42"/>
  <c r="T117" i="42" s="1"/>
  <c r="I54" i="42"/>
  <c r="T54" i="42" s="1"/>
  <c r="G54" i="42"/>
  <c r="J54" i="42" s="1"/>
  <c r="U54" i="42" s="1"/>
  <c r="G182" i="42"/>
  <c r="J182" i="42" s="1"/>
  <c r="U182" i="42" s="1"/>
  <c r="I182" i="42"/>
  <c r="T182" i="42" s="1"/>
  <c r="G173" i="42"/>
  <c r="J173" i="42" s="1"/>
  <c r="U173" i="42" s="1"/>
  <c r="I173" i="42"/>
  <c r="T173" i="42" s="1"/>
  <c r="V173" i="42" s="1"/>
  <c r="G123" i="42"/>
  <c r="J123" i="42" s="1"/>
  <c r="U123" i="42" s="1"/>
  <c r="I123" i="42"/>
  <c r="T123" i="42" s="1"/>
  <c r="I184" i="42"/>
  <c r="T184" i="42" s="1"/>
  <c r="G184" i="42"/>
  <c r="J184" i="42" s="1"/>
  <c r="U184" i="42" s="1"/>
  <c r="I52" i="42"/>
  <c r="T52" i="42" s="1"/>
  <c r="G52" i="42"/>
  <c r="J52" i="42" s="1"/>
  <c r="U52" i="42" s="1"/>
  <c r="I124" i="42"/>
  <c r="T124" i="42" s="1"/>
  <c r="G124" i="42"/>
  <c r="J124" i="42" s="1"/>
  <c r="U124" i="42" s="1"/>
  <c r="G144" i="42"/>
  <c r="J144" i="42" s="1"/>
  <c r="U144" i="42" s="1"/>
  <c r="I144" i="42"/>
  <c r="T144" i="42" s="1"/>
  <c r="G161" i="42"/>
  <c r="J161" i="42" s="1"/>
  <c r="U161" i="42" s="1"/>
  <c r="I161" i="42"/>
  <c r="T161" i="42" s="1"/>
  <c r="V161" i="42" s="1"/>
  <c r="J54" i="38"/>
  <c r="U54" i="38" s="1"/>
  <c r="I54" i="38"/>
  <c r="T54" i="38" s="1"/>
  <c r="R249" i="39"/>
  <c r="Q249" i="39"/>
  <c r="P249" i="39"/>
  <c r="O249" i="39"/>
  <c r="L249" i="39"/>
  <c r="I249" i="39"/>
  <c r="R248" i="39"/>
  <c r="Q248" i="39"/>
  <c r="P248" i="39"/>
  <c r="L248" i="39"/>
  <c r="G248" i="39"/>
  <c r="R247" i="39"/>
  <c r="P247" i="39"/>
  <c r="J247" i="39"/>
  <c r="Q247" i="39" s="1"/>
  <c r="G247" i="39"/>
  <c r="I247" i="39" s="1"/>
  <c r="S245" i="39"/>
  <c r="R245" i="39"/>
  <c r="Q245" i="39"/>
  <c r="P245" i="39"/>
  <c r="L245" i="39"/>
  <c r="G245" i="39"/>
  <c r="O245" i="39" s="1"/>
  <c r="S244" i="39"/>
  <c r="R244" i="39"/>
  <c r="P244" i="39"/>
  <c r="J244" i="39"/>
  <c r="G244" i="39"/>
  <c r="S243" i="39"/>
  <c r="R243" i="39"/>
  <c r="P243" i="39"/>
  <c r="O243" i="39"/>
  <c r="J243" i="39"/>
  <c r="Q243" i="39" s="1"/>
  <c r="I243" i="39"/>
  <c r="S229" i="39"/>
  <c r="R229" i="39"/>
  <c r="Q229" i="39"/>
  <c r="P229" i="39"/>
  <c r="L229" i="39"/>
  <c r="S228" i="39"/>
  <c r="R228" i="39"/>
  <c r="Q228" i="39"/>
  <c r="P228" i="39"/>
  <c r="O228" i="39"/>
  <c r="L228" i="39"/>
  <c r="I228" i="39"/>
  <c r="S227" i="39"/>
  <c r="R227" i="39"/>
  <c r="Q227" i="39"/>
  <c r="P227" i="39"/>
  <c r="O227" i="39"/>
  <c r="L227" i="39"/>
  <c r="I227" i="39"/>
  <c r="S226" i="39"/>
  <c r="R226" i="39"/>
  <c r="Q226" i="39"/>
  <c r="P226" i="39"/>
  <c r="O226" i="39"/>
  <c r="L226" i="39"/>
  <c r="I226" i="39"/>
  <c r="S225" i="39"/>
  <c r="R225" i="39"/>
  <c r="Q225" i="39"/>
  <c r="P225" i="39"/>
  <c r="O225" i="39"/>
  <c r="L225" i="39"/>
  <c r="I225" i="39"/>
  <c r="S224" i="39"/>
  <c r="R224" i="39"/>
  <c r="Q224" i="39"/>
  <c r="P224" i="39"/>
  <c r="O224" i="39"/>
  <c r="L224" i="39"/>
  <c r="I224" i="39"/>
  <c r="J223" i="39"/>
  <c r="L223" i="39" s="1"/>
  <c r="G223" i="39"/>
  <c r="F223" i="39"/>
  <c r="J222" i="39"/>
  <c r="G222" i="39"/>
  <c r="I222" i="39" s="1"/>
  <c r="F222" i="39"/>
  <c r="R222" i="39" s="1"/>
  <c r="AE220" i="39"/>
  <c r="AF220" i="39" s="1"/>
  <c r="AE219" i="39"/>
  <c r="AF219" i="39" s="1"/>
  <c r="AH219" i="39" s="1"/>
  <c r="F219" i="39"/>
  <c r="J215" i="39"/>
  <c r="L215" i="39" s="1"/>
  <c r="I215" i="39"/>
  <c r="F57" i="38" s="1"/>
  <c r="F215" i="39"/>
  <c r="R215" i="39" s="1"/>
  <c r="J214" i="39"/>
  <c r="L214" i="39" s="1"/>
  <c r="I214" i="39"/>
  <c r="F56" i="38" s="1"/>
  <c r="F214" i="39"/>
  <c r="S214" i="39" s="1"/>
  <c r="K212" i="39"/>
  <c r="G212" i="39"/>
  <c r="I212" i="39" s="1"/>
  <c r="F53" i="38" s="1"/>
  <c r="F212" i="39"/>
  <c r="Q212" i="39" s="1"/>
  <c r="S211" i="39"/>
  <c r="Q211" i="39"/>
  <c r="K211" i="39"/>
  <c r="L211" i="39" s="1"/>
  <c r="H211" i="39"/>
  <c r="P211" i="39" s="1"/>
  <c r="G211" i="39"/>
  <c r="O211" i="39" s="1"/>
  <c r="L210" i="39"/>
  <c r="I210" i="39"/>
  <c r="F210" i="39"/>
  <c r="P210" i="39" s="1"/>
  <c r="R209" i="39"/>
  <c r="Q209" i="39"/>
  <c r="P209" i="39"/>
  <c r="O209" i="39"/>
  <c r="L209" i="39"/>
  <c r="I209" i="39"/>
  <c r="F50" i="38" s="1"/>
  <c r="K208" i="39"/>
  <c r="J208" i="39"/>
  <c r="H208" i="39"/>
  <c r="G208" i="39"/>
  <c r="F208" i="39"/>
  <c r="K207" i="39"/>
  <c r="J207" i="39"/>
  <c r="H207" i="39"/>
  <c r="G207" i="39"/>
  <c r="F207" i="39"/>
  <c r="K206" i="39"/>
  <c r="R206" i="39" s="1"/>
  <c r="J206" i="39"/>
  <c r="Q206" i="39" s="1"/>
  <c r="H206" i="39"/>
  <c r="P206" i="39" s="1"/>
  <c r="G206" i="39"/>
  <c r="J205" i="39"/>
  <c r="I205" i="39"/>
  <c r="F46" i="38" s="1"/>
  <c r="F205" i="39"/>
  <c r="J204" i="39"/>
  <c r="I204" i="39"/>
  <c r="F45" i="38" s="1"/>
  <c r="F204" i="39"/>
  <c r="J203" i="39"/>
  <c r="I203" i="39"/>
  <c r="F44" i="38" s="1"/>
  <c r="F203" i="39"/>
  <c r="S203" i="39" s="1"/>
  <c r="S201" i="39"/>
  <c r="R201" i="39"/>
  <c r="P201" i="39"/>
  <c r="J201" i="39"/>
  <c r="G201" i="39"/>
  <c r="O201" i="39" s="1"/>
  <c r="K200" i="39"/>
  <c r="R200" i="39" s="1"/>
  <c r="J200" i="39"/>
  <c r="Q200" i="39" s="1"/>
  <c r="H200" i="39"/>
  <c r="P200" i="39" s="1"/>
  <c r="G200" i="39"/>
  <c r="O200" i="39" s="1"/>
  <c r="K199" i="39"/>
  <c r="R199" i="39" s="1"/>
  <c r="J199" i="39"/>
  <c r="H199" i="39"/>
  <c r="P199" i="39" s="1"/>
  <c r="G199" i="39"/>
  <c r="O199" i="39" s="1"/>
  <c r="J197" i="39"/>
  <c r="I197" i="39"/>
  <c r="F197" i="39"/>
  <c r="S196" i="39"/>
  <c r="R196" i="39"/>
  <c r="P196" i="39"/>
  <c r="O196" i="39"/>
  <c r="J196" i="39"/>
  <c r="Q196" i="39" s="1"/>
  <c r="I196" i="39"/>
  <c r="S194" i="39"/>
  <c r="R194" i="39"/>
  <c r="Q194" i="39"/>
  <c r="P194" i="39"/>
  <c r="O194" i="39"/>
  <c r="L194" i="39"/>
  <c r="I194" i="39"/>
  <c r="S192" i="39"/>
  <c r="R192" i="39"/>
  <c r="P192" i="39"/>
  <c r="O192" i="39"/>
  <c r="J192" i="39"/>
  <c r="I192" i="39"/>
  <c r="S191" i="39"/>
  <c r="R191" i="39"/>
  <c r="P191" i="39"/>
  <c r="J191" i="39"/>
  <c r="G191" i="39"/>
  <c r="O191" i="39" s="1"/>
  <c r="S189" i="39"/>
  <c r="R189" i="39"/>
  <c r="P189" i="39"/>
  <c r="O189" i="39"/>
  <c r="I189" i="39"/>
  <c r="R188" i="39"/>
  <c r="P188" i="39"/>
  <c r="O188" i="39"/>
  <c r="J188" i="39"/>
  <c r="L188" i="39" s="1"/>
  <c r="I188" i="39"/>
  <c r="M188" i="39" s="1"/>
  <c r="S188" i="39" s="1"/>
  <c r="R186" i="39"/>
  <c r="P186" i="39"/>
  <c r="J186" i="39"/>
  <c r="L186" i="39" s="1"/>
  <c r="G186" i="39"/>
  <c r="R184" i="39"/>
  <c r="P184" i="39"/>
  <c r="J184" i="39"/>
  <c r="R183" i="39"/>
  <c r="P183" i="39"/>
  <c r="O183" i="39"/>
  <c r="J183" i="39"/>
  <c r="L183" i="39" s="1"/>
  <c r="I183" i="39"/>
  <c r="R182" i="39"/>
  <c r="P182" i="39"/>
  <c r="J182" i="39"/>
  <c r="R180" i="39"/>
  <c r="P180" i="39"/>
  <c r="R178" i="39"/>
  <c r="P178" i="39"/>
  <c r="R177" i="39"/>
  <c r="P177" i="39"/>
  <c r="R176" i="39"/>
  <c r="P176" i="39"/>
  <c r="R175" i="39"/>
  <c r="P175" i="39"/>
  <c r="R174" i="39"/>
  <c r="P174" i="39"/>
  <c r="R172" i="39"/>
  <c r="P172" i="39"/>
  <c r="R171" i="39"/>
  <c r="P171" i="39"/>
  <c r="R170" i="39"/>
  <c r="P170" i="39"/>
  <c r="R168" i="39"/>
  <c r="P168" i="39"/>
  <c r="R167" i="39"/>
  <c r="P167" i="39"/>
  <c r="R166" i="39"/>
  <c r="P166" i="39"/>
  <c r="R165" i="39"/>
  <c r="P165" i="39"/>
  <c r="AC163" i="39"/>
  <c r="AC165" i="39" s="1"/>
  <c r="AE165" i="39" s="1"/>
  <c r="S162" i="39"/>
  <c r="R162" i="39"/>
  <c r="P162" i="39"/>
  <c r="O162" i="39"/>
  <c r="J162" i="39"/>
  <c r="L162" i="39" s="1"/>
  <c r="I162" i="39"/>
  <c r="R161" i="39"/>
  <c r="P161" i="39"/>
  <c r="J161" i="39"/>
  <c r="G161" i="39"/>
  <c r="O161" i="39" s="1"/>
  <c r="R160" i="39"/>
  <c r="P160" i="39"/>
  <c r="J160" i="39"/>
  <c r="G160" i="39"/>
  <c r="I160" i="39" s="1"/>
  <c r="F128" i="42" s="1"/>
  <c r="R159" i="39"/>
  <c r="P159" i="39"/>
  <c r="O159" i="39"/>
  <c r="J159" i="39"/>
  <c r="I159" i="39"/>
  <c r="J158" i="39"/>
  <c r="I158" i="39"/>
  <c r="F158" i="39"/>
  <c r="P158" i="39" s="1"/>
  <c r="J157" i="39"/>
  <c r="L157" i="39" s="1"/>
  <c r="I157" i="39"/>
  <c r="F157" i="39"/>
  <c r="J156" i="39"/>
  <c r="I156" i="39"/>
  <c r="F156" i="39"/>
  <c r="P156" i="39" s="1"/>
  <c r="J155" i="39"/>
  <c r="L155" i="39" s="1"/>
  <c r="I155" i="39"/>
  <c r="F155" i="39"/>
  <c r="P155" i="39" s="1"/>
  <c r="J154" i="39"/>
  <c r="I154" i="39"/>
  <c r="F154" i="39"/>
  <c r="R154" i="39" s="1"/>
  <c r="J153" i="39"/>
  <c r="L153" i="39" s="1"/>
  <c r="I153" i="39"/>
  <c r="F153" i="39"/>
  <c r="J152" i="39"/>
  <c r="I152" i="39"/>
  <c r="F152" i="39"/>
  <c r="P152" i="39" s="1"/>
  <c r="P151" i="39"/>
  <c r="G151" i="39"/>
  <c r="I151" i="39" s="1"/>
  <c r="F119" i="42" s="1"/>
  <c r="P150" i="39"/>
  <c r="J150" i="39"/>
  <c r="K150" i="39" s="1"/>
  <c r="L150" i="39" s="1"/>
  <c r="G150" i="39"/>
  <c r="I150" i="39" s="1"/>
  <c r="F118" i="42" s="1"/>
  <c r="P149" i="39"/>
  <c r="O149" i="39"/>
  <c r="J149" i="39"/>
  <c r="K149" i="39" s="1"/>
  <c r="I149" i="39"/>
  <c r="R148" i="39"/>
  <c r="P148" i="39"/>
  <c r="J148" i="39"/>
  <c r="L148" i="39" s="1"/>
  <c r="G148" i="39"/>
  <c r="O148" i="39" s="1"/>
  <c r="R147" i="39"/>
  <c r="P147" i="39"/>
  <c r="J147" i="39"/>
  <c r="G147" i="39"/>
  <c r="I147" i="39" s="1"/>
  <c r="F115" i="42" s="1"/>
  <c r="R146" i="39"/>
  <c r="P146" i="39"/>
  <c r="J146" i="39"/>
  <c r="L146" i="39" s="1"/>
  <c r="G146" i="39"/>
  <c r="O146" i="39" s="1"/>
  <c r="R145" i="39"/>
  <c r="P145" i="39"/>
  <c r="J145" i="39"/>
  <c r="G145" i="39"/>
  <c r="I145" i="39" s="1"/>
  <c r="F113" i="42" s="1"/>
  <c r="R144" i="39"/>
  <c r="P144" i="39"/>
  <c r="J144" i="39"/>
  <c r="L144" i="39" s="1"/>
  <c r="G144" i="39"/>
  <c r="R143" i="39"/>
  <c r="P143" i="39"/>
  <c r="J143" i="39"/>
  <c r="Q143" i="39" s="1"/>
  <c r="G143" i="39"/>
  <c r="O143" i="39" s="1"/>
  <c r="R142" i="39"/>
  <c r="P142" i="39"/>
  <c r="J142" i="39"/>
  <c r="G142" i="39"/>
  <c r="M141" i="39"/>
  <c r="J141" i="39"/>
  <c r="L141" i="39" s="1"/>
  <c r="G141" i="39"/>
  <c r="I141" i="39" s="1"/>
  <c r="F109" i="42" s="1"/>
  <c r="F141" i="39"/>
  <c r="P141" i="39" s="1"/>
  <c r="M140" i="39"/>
  <c r="J140" i="39"/>
  <c r="G140" i="39"/>
  <c r="F140" i="39"/>
  <c r="P140" i="39" s="1"/>
  <c r="M139" i="39"/>
  <c r="J139" i="39"/>
  <c r="L139" i="39" s="1"/>
  <c r="G139" i="39"/>
  <c r="I139" i="39" s="1"/>
  <c r="F107" i="42" s="1"/>
  <c r="F139" i="39"/>
  <c r="M138" i="39"/>
  <c r="J138" i="39"/>
  <c r="L138" i="39" s="1"/>
  <c r="G138" i="39"/>
  <c r="F138" i="39"/>
  <c r="P138" i="39" s="1"/>
  <c r="M137" i="39"/>
  <c r="J137" i="39"/>
  <c r="L137" i="39" s="1"/>
  <c r="G137" i="39"/>
  <c r="I137" i="39" s="1"/>
  <c r="F105" i="42" s="1"/>
  <c r="F137" i="39"/>
  <c r="P137" i="39" s="1"/>
  <c r="M136" i="39"/>
  <c r="J136" i="39"/>
  <c r="G136" i="39"/>
  <c r="F136" i="39"/>
  <c r="R136" i="39" s="1"/>
  <c r="M135" i="39"/>
  <c r="J135" i="39"/>
  <c r="L135" i="39" s="1"/>
  <c r="G135" i="39"/>
  <c r="F135" i="39"/>
  <c r="P135" i="39" s="1"/>
  <c r="M134" i="39"/>
  <c r="J134" i="39"/>
  <c r="L134" i="39" s="1"/>
  <c r="G134" i="39"/>
  <c r="I134" i="39" s="1"/>
  <c r="F102" i="42" s="1"/>
  <c r="F134" i="39"/>
  <c r="P134" i="39" s="1"/>
  <c r="M133" i="39"/>
  <c r="J133" i="39"/>
  <c r="G133" i="39"/>
  <c r="I133" i="39" s="1"/>
  <c r="F101" i="42" s="1"/>
  <c r="F133" i="39"/>
  <c r="R133" i="39" s="1"/>
  <c r="B133" i="39"/>
  <c r="F131" i="39"/>
  <c r="O131" i="39" s="1"/>
  <c r="M130" i="39"/>
  <c r="K130" i="39"/>
  <c r="L130" i="39" s="1"/>
  <c r="H130" i="39"/>
  <c r="F130" i="39"/>
  <c r="M129" i="39"/>
  <c r="K129" i="39"/>
  <c r="L129" i="39" s="1"/>
  <c r="H129" i="39"/>
  <c r="I129" i="39" s="1"/>
  <c r="F97" i="42" s="1"/>
  <c r="F129" i="39"/>
  <c r="Q129" i="39" s="1"/>
  <c r="M128" i="39"/>
  <c r="M131" i="39" s="1"/>
  <c r="K128" i="39"/>
  <c r="L128" i="39" s="1"/>
  <c r="H128" i="39"/>
  <c r="F128" i="39"/>
  <c r="Q128" i="39" s="1"/>
  <c r="B128" i="39"/>
  <c r="S126" i="39"/>
  <c r="R126" i="39"/>
  <c r="Q126" i="39"/>
  <c r="P126" i="39"/>
  <c r="O126" i="39"/>
  <c r="L126" i="39"/>
  <c r="I126" i="39"/>
  <c r="N126" i="39" s="1"/>
  <c r="T124" i="39"/>
  <c r="K124" i="39"/>
  <c r="J124" i="39"/>
  <c r="H124" i="39"/>
  <c r="G124" i="39"/>
  <c r="T123" i="39"/>
  <c r="K123" i="39"/>
  <c r="J123" i="39"/>
  <c r="H123" i="39"/>
  <c r="G123" i="39"/>
  <c r="F123" i="39"/>
  <c r="T122" i="39"/>
  <c r="M122" i="39"/>
  <c r="J122" i="39"/>
  <c r="L122" i="39" s="1"/>
  <c r="I122" i="39"/>
  <c r="F122" i="39"/>
  <c r="T121" i="39"/>
  <c r="M121" i="39"/>
  <c r="J121" i="39"/>
  <c r="L121" i="39" s="1"/>
  <c r="I121" i="39"/>
  <c r="F121" i="39"/>
  <c r="T120" i="39"/>
  <c r="M120" i="39"/>
  <c r="J120" i="39"/>
  <c r="L120" i="39" s="1"/>
  <c r="G120" i="39"/>
  <c r="I120" i="39" s="1"/>
  <c r="F88" i="42" s="1"/>
  <c r="F120" i="39"/>
  <c r="T119" i="39"/>
  <c r="M119" i="39"/>
  <c r="J119" i="39"/>
  <c r="L119" i="39" s="1"/>
  <c r="G119" i="39"/>
  <c r="I119" i="39" s="1"/>
  <c r="F87" i="42" s="1"/>
  <c r="F119" i="39"/>
  <c r="T118" i="39"/>
  <c r="M118" i="39"/>
  <c r="J118" i="39"/>
  <c r="L118" i="39" s="1"/>
  <c r="G118" i="39"/>
  <c r="I118" i="39" s="1"/>
  <c r="F86" i="42" s="1"/>
  <c r="F118" i="39"/>
  <c r="T117" i="39"/>
  <c r="M117" i="39"/>
  <c r="J117" i="39"/>
  <c r="L117" i="39" s="1"/>
  <c r="G117" i="39"/>
  <c r="I117" i="39" s="1"/>
  <c r="F85" i="42" s="1"/>
  <c r="F117" i="39"/>
  <c r="T116" i="39"/>
  <c r="M116" i="39"/>
  <c r="J116" i="39"/>
  <c r="L116" i="39" s="1"/>
  <c r="G116" i="39"/>
  <c r="I116" i="39" s="1"/>
  <c r="F84" i="42" s="1"/>
  <c r="F116" i="39"/>
  <c r="K114" i="39"/>
  <c r="J114" i="39"/>
  <c r="H114" i="39"/>
  <c r="G114" i="39"/>
  <c r="F114" i="39"/>
  <c r="J113" i="39"/>
  <c r="L113" i="39" s="1"/>
  <c r="I113" i="39"/>
  <c r="F113" i="39"/>
  <c r="R113" i="39" s="1"/>
  <c r="K112" i="39"/>
  <c r="J112" i="39"/>
  <c r="H112" i="39"/>
  <c r="G112" i="39"/>
  <c r="F112" i="39"/>
  <c r="S112" i="39" s="1"/>
  <c r="M111" i="39"/>
  <c r="J111" i="39"/>
  <c r="L111" i="39" s="1"/>
  <c r="G111" i="39"/>
  <c r="F111" i="39"/>
  <c r="R111" i="39" s="1"/>
  <c r="M110" i="39"/>
  <c r="J110" i="39"/>
  <c r="L110" i="39" s="1"/>
  <c r="G110" i="39"/>
  <c r="F110" i="39"/>
  <c r="M109" i="39"/>
  <c r="J109" i="39"/>
  <c r="G109" i="39"/>
  <c r="I109" i="39" s="1"/>
  <c r="F77" i="42" s="1"/>
  <c r="F109" i="39"/>
  <c r="P109" i="39" s="1"/>
  <c r="M108" i="39"/>
  <c r="J108" i="39"/>
  <c r="G108" i="39"/>
  <c r="I108" i="39" s="1"/>
  <c r="F76" i="42" s="1"/>
  <c r="F108" i="39"/>
  <c r="P108" i="39" s="1"/>
  <c r="B108" i="39"/>
  <c r="B109" i="39" s="1"/>
  <c r="L106" i="39"/>
  <c r="H106" i="39"/>
  <c r="I106" i="39" s="1"/>
  <c r="F74" i="42" s="1"/>
  <c r="G192" i="42" s="1"/>
  <c r="F106" i="39"/>
  <c r="S106" i="39" s="1"/>
  <c r="M105" i="39"/>
  <c r="K105" i="39"/>
  <c r="H105" i="39"/>
  <c r="F105" i="39"/>
  <c r="O105" i="39" s="1"/>
  <c r="M104" i="39"/>
  <c r="K104" i="39"/>
  <c r="L104" i="39" s="1"/>
  <c r="H104" i="39"/>
  <c r="F104" i="39"/>
  <c r="O104" i="39" s="1"/>
  <c r="M103" i="39"/>
  <c r="K103" i="39"/>
  <c r="L103" i="39" s="1"/>
  <c r="H103" i="39"/>
  <c r="I103" i="39" s="1"/>
  <c r="F71" i="42" s="1"/>
  <c r="F103" i="39"/>
  <c r="M101" i="39"/>
  <c r="K101" i="39"/>
  <c r="H101" i="39"/>
  <c r="F101" i="39"/>
  <c r="O101" i="39" s="1"/>
  <c r="M100" i="39"/>
  <c r="K100" i="39"/>
  <c r="H100" i="39"/>
  <c r="F100" i="39"/>
  <c r="Q100" i="39" s="1"/>
  <c r="M99" i="39"/>
  <c r="K99" i="39"/>
  <c r="L99" i="39" s="1"/>
  <c r="H99" i="39"/>
  <c r="F99" i="39"/>
  <c r="O99" i="39" s="1"/>
  <c r="M98" i="39"/>
  <c r="K98" i="39"/>
  <c r="L98" i="39" s="1"/>
  <c r="H98" i="39"/>
  <c r="I98" i="39" s="1"/>
  <c r="F66" i="42" s="1"/>
  <c r="F98" i="39"/>
  <c r="K97" i="39"/>
  <c r="J97" i="39"/>
  <c r="H97" i="39"/>
  <c r="G97" i="39"/>
  <c r="F97" i="39"/>
  <c r="B97" i="39"/>
  <c r="K95" i="39"/>
  <c r="J95" i="39"/>
  <c r="H95" i="39"/>
  <c r="G95" i="39"/>
  <c r="F95" i="39"/>
  <c r="M94" i="39"/>
  <c r="K94" i="39"/>
  <c r="H94" i="39"/>
  <c r="F94" i="39"/>
  <c r="Q94" i="39" s="1"/>
  <c r="M93" i="39"/>
  <c r="K93" i="39"/>
  <c r="H93" i="39"/>
  <c r="I93" i="39" s="1"/>
  <c r="F61" i="42" s="1"/>
  <c r="F93" i="39"/>
  <c r="O93" i="39" s="1"/>
  <c r="M92" i="39"/>
  <c r="K92" i="39"/>
  <c r="H92" i="39"/>
  <c r="I92" i="39" s="1"/>
  <c r="F60" i="42" s="1"/>
  <c r="F92" i="39"/>
  <c r="Q92" i="39" s="1"/>
  <c r="M91" i="39"/>
  <c r="K91" i="39"/>
  <c r="L91" i="39" s="1"/>
  <c r="H91" i="39"/>
  <c r="F91" i="39"/>
  <c r="Q91" i="39" s="1"/>
  <c r="M90" i="39"/>
  <c r="K90" i="39"/>
  <c r="L90" i="39" s="1"/>
  <c r="H90" i="39"/>
  <c r="I90" i="39" s="1"/>
  <c r="F58" i="42" s="1"/>
  <c r="F90" i="39"/>
  <c r="O90" i="39" s="1"/>
  <c r="M89" i="39"/>
  <c r="K89" i="39"/>
  <c r="L89" i="39" s="1"/>
  <c r="H89" i="39"/>
  <c r="I89" i="39" s="1"/>
  <c r="F57" i="42" s="1"/>
  <c r="F89" i="39"/>
  <c r="S87" i="39"/>
  <c r="R87" i="39"/>
  <c r="P87" i="39"/>
  <c r="J87" i="39"/>
  <c r="G87" i="39"/>
  <c r="I87" i="39" s="1"/>
  <c r="F55" i="42" s="1"/>
  <c r="S86" i="39"/>
  <c r="R86" i="39"/>
  <c r="Q86" i="39"/>
  <c r="P86" i="39"/>
  <c r="O86" i="39"/>
  <c r="L86" i="39"/>
  <c r="I86" i="39"/>
  <c r="S85" i="39"/>
  <c r="R85" i="39"/>
  <c r="P85" i="39"/>
  <c r="O85" i="39"/>
  <c r="J85" i="39"/>
  <c r="I85" i="39"/>
  <c r="S84" i="39"/>
  <c r="R84" i="39"/>
  <c r="Q84" i="39"/>
  <c r="P84" i="39"/>
  <c r="O84" i="39"/>
  <c r="L84" i="39"/>
  <c r="I84" i="39"/>
  <c r="N84" i="39" s="1"/>
  <c r="K82" i="39"/>
  <c r="J82" i="39"/>
  <c r="H82" i="39"/>
  <c r="G82" i="39"/>
  <c r="F82" i="39"/>
  <c r="M81" i="39"/>
  <c r="K81" i="39"/>
  <c r="H81" i="39"/>
  <c r="I81" i="39" s="1"/>
  <c r="F49" i="42" s="1"/>
  <c r="F81" i="39"/>
  <c r="Q81" i="39" s="1"/>
  <c r="K80" i="39"/>
  <c r="J80" i="39"/>
  <c r="H80" i="39"/>
  <c r="G80" i="39"/>
  <c r="F80" i="39"/>
  <c r="K79" i="39"/>
  <c r="R79" i="39" s="1"/>
  <c r="J79" i="39"/>
  <c r="Q79" i="39" s="1"/>
  <c r="H79" i="39"/>
  <c r="P79" i="39" s="1"/>
  <c r="G79" i="39"/>
  <c r="K77" i="39"/>
  <c r="R77" i="39" s="1"/>
  <c r="J77" i="39"/>
  <c r="Q77" i="39" s="1"/>
  <c r="H77" i="39"/>
  <c r="P77" i="39" s="1"/>
  <c r="G77" i="39"/>
  <c r="O77" i="39" s="1"/>
  <c r="K76" i="39"/>
  <c r="R76" i="39" s="1"/>
  <c r="J76" i="39"/>
  <c r="Q76" i="39" s="1"/>
  <c r="H76" i="39"/>
  <c r="P76" i="39" s="1"/>
  <c r="G76" i="39"/>
  <c r="O76" i="39" s="1"/>
  <c r="M75" i="39"/>
  <c r="K75" i="39"/>
  <c r="H75" i="39"/>
  <c r="I75" i="39" s="1"/>
  <c r="F43" i="42" s="1"/>
  <c r="F75" i="39"/>
  <c r="Q75" i="39" s="1"/>
  <c r="M74" i="39"/>
  <c r="K74" i="39"/>
  <c r="L74" i="39" s="1"/>
  <c r="H74" i="39"/>
  <c r="I74" i="39" s="1"/>
  <c r="F42" i="42" s="1"/>
  <c r="F74" i="39"/>
  <c r="O74" i="39" s="1"/>
  <c r="M73" i="39"/>
  <c r="K73" i="39"/>
  <c r="L73" i="39" s="1"/>
  <c r="H73" i="39"/>
  <c r="F73" i="39"/>
  <c r="M72" i="39"/>
  <c r="K72" i="39"/>
  <c r="H72" i="39"/>
  <c r="F72" i="39"/>
  <c r="M71" i="39"/>
  <c r="K71" i="39"/>
  <c r="J71" i="39"/>
  <c r="H71" i="39"/>
  <c r="F71" i="39"/>
  <c r="O71" i="39" s="1"/>
  <c r="M70" i="39"/>
  <c r="K70" i="39"/>
  <c r="L70" i="39" s="1"/>
  <c r="H70" i="39"/>
  <c r="F70" i="39"/>
  <c r="O70" i="39" s="1"/>
  <c r="M68" i="39"/>
  <c r="K68" i="39"/>
  <c r="H68" i="39"/>
  <c r="F68" i="39"/>
  <c r="O68" i="39" s="1"/>
  <c r="K67" i="39"/>
  <c r="J67" i="39"/>
  <c r="H67" i="39"/>
  <c r="G67" i="39"/>
  <c r="F67" i="39"/>
  <c r="S67" i="39" s="1"/>
  <c r="K66" i="39"/>
  <c r="J66" i="39"/>
  <c r="H66" i="39"/>
  <c r="G66" i="39"/>
  <c r="F66" i="39"/>
  <c r="S66" i="39" s="1"/>
  <c r="K65" i="39"/>
  <c r="J65" i="39"/>
  <c r="H65" i="39"/>
  <c r="G65" i="39"/>
  <c r="F65" i="39"/>
  <c r="S65" i="39" s="1"/>
  <c r="M64" i="39"/>
  <c r="K64" i="39"/>
  <c r="H64" i="39"/>
  <c r="I64" i="39" s="1"/>
  <c r="F32" i="42" s="1"/>
  <c r="F64" i="39"/>
  <c r="K63" i="39"/>
  <c r="L63" i="39" s="1"/>
  <c r="I63" i="39"/>
  <c r="F63" i="39"/>
  <c r="M62" i="39"/>
  <c r="K62" i="39"/>
  <c r="H62" i="39"/>
  <c r="I62" i="39" s="1"/>
  <c r="F30" i="42" s="1"/>
  <c r="F62" i="39"/>
  <c r="M61" i="39"/>
  <c r="K61" i="39"/>
  <c r="H61" i="39"/>
  <c r="F61" i="39"/>
  <c r="Q61" i="39" s="1"/>
  <c r="K59" i="39"/>
  <c r="R59" i="39" s="1"/>
  <c r="J59" i="39"/>
  <c r="Q59" i="39" s="1"/>
  <c r="H59" i="39"/>
  <c r="P59" i="39" s="1"/>
  <c r="G59" i="39"/>
  <c r="O59" i="39" s="1"/>
  <c r="S57" i="39"/>
  <c r="R57" i="39"/>
  <c r="Q57" i="39"/>
  <c r="P57" i="39"/>
  <c r="O57" i="39"/>
  <c r="L57" i="39"/>
  <c r="I57" i="39"/>
  <c r="M56" i="39"/>
  <c r="K56" i="39"/>
  <c r="H56" i="39"/>
  <c r="F56" i="39"/>
  <c r="O56" i="39" s="1"/>
  <c r="M55" i="39"/>
  <c r="K55" i="39"/>
  <c r="H55" i="39"/>
  <c r="F55" i="39"/>
  <c r="O55" i="39" s="1"/>
  <c r="L54" i="39"/>
  <c r="H54" i="39"/>
  <c r="I54" i="39" s="1"/>
  <c r="F22" i="42" s="1"/>
  <c r="F54" i="39"/>
  <c r="R54" i="39" s="1"/>
  <c r="M53" i="39"/>
  <c r="K53" i="39"/>
  <c r="L53" i="39" s="1"/>
  <c r="H53" i="39"/>
  <c r="F53" i="39"/>
  <c r="O53" i="39" s="1"/>
  <c r="Q52" i="39"/>
  <c r="O52" i="39"/>
  <c r="M52" i="39"/>
  <c r="S52" i="39" s="1"/>
  <c r="K52" i="39"/>
  <c r="R52" i="39" s="1"/>
  <c r="H52" i="39"/>
  <c r="P52" i="39" s="1"/>
  <c r="M51" i="39"/>
  <c r="K51" i="39"/>
  <c r="J51" i="39" s="1"/>
  <c r="H51" i="39"/>
  <c r="F51" i="39"/>
  <c r="O51" i="39" s="1"/>
  <c r="K49" i="39"/>
  <c r="R49" i="39" s="1"/>
  <c r="J49" i="39"/>
  <c r="Q49" i="39" s="1"/>
  <c r="H49" i="39"/>
  <c r="P49" i="39" s="1"/>
  <c r="G49" i="39"/>
  <c r="O49" i="39" s="1"/>
  <c r="K48" i="39"/>
  <c r="J48" i="39"/>
  <c r="H48" i="39"/>
  <c r="G48" i="39"/>
  <c r="F48" i="39"/>
  <c r="R48" i="39" s="1"/>
  <c r="M47" i="39"/>
  <c r="K47" i="39"/>
  <c r="H47" i="39"/>
  <c r="F47" i="39"/>
  <c r="M46" i="39"/>
  <c r="K46" i="39"/>
  <c r="H46" i="39"/>
  <c r="G46" i="39" s="1"/>
  <c r="F46" i="39"/>
  <c r="M45" i="39"/>
  <c r="K45" i="39"/>
  <c r="H45" i="39"/>
  <c r="F45" i="39"/>
  <c r="O45" i="39" s="1"/>
  <c r="M44" i="39"/>
  <c r="K44" i="39"/>
  <c r="H44" i="39"/>
  <c r="I44" i="39" s="1"/>
  <c r="F12" i="42" s="1"/>
  <c r="G190" i="42" s="1"/>
  <c r="F44" i="39"/>
  <c r="M43" i="39"/>
  <c r="K43" i="39"/>
  <c r="H43" i="39"/>
  <c r="I43" i="39" s="1"/>
  <c r="F11" i="42" s="1"/>
  <c r="F43" i="39"/>
  <c r="O43" i="39" s="1"/>
  <c r="M42" i="39"/>
  <c r="K42" i="39"/>
  <c r="L42" i="39" s="1"/>
  <c r="H42" i="39"/>
  <c r="F42" i="39"/>
  <c r="Q42" i="39" s="1"/>
  <c r="K40" i="39"/>
  <c r="J40" i="39"/>
  <c r="H40" i="39"/>
  <c r="G40" i="39"/>
  <c r="F40" i="39"/>
  <c r="L39" i="39"/>
  <c r="I39" i="39"/>
  <c r="F39" i="39"/>
  <c r="L38" i="39"/>
  <c r="G38" i="39"/>
  <c r="I38" i="39" s="1"/>
  <c r="F38" i="39"/>
  <c r="R38" i="39" s="1"/>
  <c r="R37" i="39"/>
  <c r="Q37" i="39"/>
  <c r="P37" i="39"/>
  <c r="O37" i="39"/>
  <c r="M37" i="39"/>
  <c r="S37" i="39" s="1"/>
  <c r="L37" i="39"/>
  <c r="I37" i="39"/>
  <c r="F39" i="38" s="1"/>
  <c r="G39" i="38" s="1"/>
  <c r="S36" i="39"/>
  <c r="R36" i="39"/>
  <c r="Q36" i="39"/>
  <c r="P36" i="39"/>
  <c r="L36" i="39"/>
  <c r="G36" i="39"/>
  <c r="I36" i="39" s="1"/>
  <c r="J35" i="39"/>
  <c r="G35" i="39"/>
  <c r="I35" i="39" s="1"/>
  <c r="F35" i="39"/>
  <c r="P35" i="39" s="1"/>
  <c r="J34" i="39"/>
  <c r="L34" i="39" s="1"/>
  <c r="G34" i="39"/>
  <c r="I34" i="39" s="1"/>
  <c r="F36" i="38" s="1"/>
  <c r="G36" i="38" s="1"/>
  <c r="F34" i="39"/>
  <c r="R34" i="39" s="1"/>
  <c r="J33" i="39"/>
  <c r="L33" i="39" s="1"/>
  <c r="G33" i="39"/>
  <c r="F33" i="39"/>
  <c r="P33" i="39" s="1"/>
  <c r="J32" i="39"/>
  <c r="L32" i="39" s="1"/>
  <c r="G32" i="39"/>
  <c r="I32" i="39" s="1"/>
  <c r="F32" i="39"/>
  <c r="J31" i="39"/>
  <c r="G31" i="39"/>
  <c r="I31" i="39" s="1"/>
  <c r="F31" i="39"/>
  <c r="P31" i="39" s="1"/>
  <c r="J30" i="39"/>
  <c r="G30" i="39"/>
  <c r="I30" i="39" s="1"/>
  <c r="F30" i="39"/>
  <c r="R30" i="39" s="1"/>
  <c r="J29" i="39"/>
  <c r="L29" i="39" s="1"/>
  <c r="G29" i="39"/>
  <c r="F29" i="39"/>
  <c r="P29" i="39" s="1"/>
  <c r="J28" i="39"/>
  <c r="G28" i="39"/>
  <c r="F28" i="39"/>
  <c r="P28" i="39" s="1"/>
  <c r="J27" i="39"/>
  <c r="L27" i="39" s="1"/>
  <c r="G27" i="39"/>
  <c r="F27" i="39"/>
  <c r="P27" i="39" s="1"/>
  <c r="AD26" i="39"/>
  <c r="J26" i="39"/>
  <c r="L26" i="39" s="1"/>
  <c r="G26" i="39"/>
  <c r="I26" i="39" s="1"/>
  <c r="F28" i="38" s="1"/>
  <c r="G28" i="38" s="1"/>
  <c r="F26" i="39"/>
  <c r="P26" i="39" s="1"/>
  <c r="J25" i="39"/>
  <c r="L25" i="39" s="1"/>
  <c r="G25" i="39"/>
  <c r="I25" i="39" s="1"/>
  <c r="F25" i="39"/>
  <c r="R25" i="39" s="1"/>
  <c r="K24" i="39"/>
  <c r="G24" i="39"/>
  <c r="F24" i="39"/>
  <c r="K22" i="39"/>
  <c r="L22" i="39" s="1"/>
  <c r="I22" i="39"/>
  <c r="F22" i="39"/>
  <c r="S22" i="39" s="1"/>
  <c r="S21" i="39"/>
  <c r="R21" i="39"/>
  <c r="Q21" i="39"/>
  <c r="P21" i="39"/>
  <c r="O21" i="39"/>
  <c r="L21" i="39"/>
  <c r="I21" i="39"/>
  <c r="F22" i="38" s="1"/>
  <c r="G22" i="38" s="1"/>
  <c r="K20" i="39"/>
  <c r="M20" i="39" s="1"/>
  <c r="J20" i="39"/>
  <c r="H20" i="39"/>
  <c r="G20" i="39"/>
  <c r="F20" i="39"/>
  <c r="R20" i="39" s="1"/>
  <c r="S18" i="39"/>
  <c r="R18" i="39"/>
  <c r="P18" i="39"/>
  <c r="O18" i="39"/>
  <c r="J18" i="39"/>
  <c r="Q18" i="39" s="1"/>
  <c r="I18" i="39"/>
  <c r="S17" i="39"/>
  <c r="K17" i="39"/>
  <c r="R17" i="39" s="1"/>
  <c r="J17" i="39"/>
  <c r="Q17" i="39" s="1"/>
  <c r="H17" i="39"/>
  <c r="P17" i="39" s="1"/>
  <c r="G17" i="39"/>
  <c r="K16" i="39"/>
  <c r="R16" i="39" s="1"/>
  <c r="J16" i="39"/>
  <c r="H16" i="39"/>
  <c r="P16" i="39" s="1"/>
  <c r="G16" i="39"/>
  <c r="O16" i="39" s="1"/>
  <c r="K15" i="39"/>
  <c r="R15" i="39" s="1"/>
  <c r="J15" i="39"/>
  <c r="Q15" i="39" s="1"/>
  <c r="H15" i="39"/>
  <c r="P15" i="39" s="1"/>
  <c r="G15" i="39"/>
  <c r="O15" i="39" s="1"/>
  <c r="S14" i="39"/>
  <c r="P14" i="39"/>
  <c r="O14" i="39"/>
  <c r="K14" i="39"/>
  <c r="R14" i="39" s="1"/>
  <c r="J14" i="39"/>
  <c r="I14" i="39"/>
  <c r="F15" i="38" s="1"/>
  <c r="G15" i="38" s="1"/>
  <c r="K13" i="39"/>
  <c r="R13" i="39" s="1"/>
  <c r="J13" i="39"/>
  <c r="H13" i="39"/>
  <c r="P13" i="39" s="1"/>
  <c r="G13" i="39"/>
  <c r="O13" i="39" s="1"/>
  <c r="K12" i="39"/>
  <c r="R12" i="39" s="1"/>
  <c r="J12" i="39"/>
  <c r="H12" i="39"/>
  <c r="P12" i="39" s="1"/>
  <c r="G12" i="39"/>
  <c r="O12" i="39" s="1"/>
  <c r="S11" i="39"/>
  <c r="R11" i="39"/>
  <c r="Q11" i="39"/>
  <c r="P11" i="39"/>
  <c r="O11" i="39"/>
  <c r="L11" i="39"/>
  <c r="I11" i="39"/>
  <c r="N11" i="39" s="1"/>
  <c r="K10" i="39"/>
  <c r="R10" i="39" s="1"/>
  <c r="J10" i="39"/>
  <c r="Q10" i="39" s="1"/>
  <c r="H10" i="39"/>
  <c r="P10" i="39" s="1"/>
  <c r="G10" i="39"/>
  <c r="O10" i="39" s="1"/>
  <c r="S9" i="39"/>
  <c r="R9" i="39"/>
  <c r="Q9" i="39"/>
  <c r="P9" i="39"/>
  <c r="O9" i="39"/>
  <c r="L9" i="39"/>
  <c r="I9" i="39"/>
  <c r="F10" i="38" s="1"/>
  <c r="U5" i="39"/>
  <c r="X2" i="39"/>
  <c r="J189" i="39" s="1"/>
  <c r="W2" i="39"/>
  <c r="V178" i="42" l="1"/>
  <c r="V163" i="42"/>
  <c r="V153" i="42"/>
  <c r="V174" i="42"/>
  <c r="S13" i="30" s="1"/>
  <c r="V53" i="42"/>
  <c r="V185" i="42"/>
  <c r="V181" i="42"/>
  <c r="V123" i="42"/>
  <c r="V151" i="42"/>
  <c r="V138" i="42"/>
  <c r="V140" i="42"/>
  <c r="V166" i="42"/>
  <c r="V144" i="42"/>
  <c r="V81" i="42"/>
  <c r="V182" i="42"/>
  <c r="S29" i="30" s="1"/>
  <c r="V157" i="42"/>
  <c r="V145" i="42"/>
  <c r="V143" i="42"/>
  <c r="V135" i="42"/>
  <c r="V117" i="42"/>
  <c r="V121" i="42"/>
  <c r="V125" i="42"/>
  <c r="V127" i="42"/>
  <c r="I42" i="42"/>
  <c r="T42" i="42" s="1"/>
  <c r="G42" i="42"/>
  <c r="J42" i="42" s="1"/>
  <c r="U42" i="42" s="1"/>
  <c r="I10" i="38"/>
  <c r="T10" i="38" s="1"/>
  <c r="G10" i="38"/>
  <c r="J10" i="38" s="1"/>
  <c r="U10" i="38" s="1"/>
  <c r="V10" i="38" s="1"/>
  <c r="G11" i="42"/>
  <c r="J11" i="42" s="1"/>
  <c r="U11" i="42" s="1"/>
  <c r="I11" i="42"/>
  <c r="T11" i="42" s="1"/>
  <c r="I12" i="42"/>
  <c r="T12" i="42" s="1"/>
  <c r="G12" i="42"/>
  <c r="J12" i="42" s="1"/>
  <c r="U12" i="42" s="1"/>
  <c r="G30" i="42"/>
  <c r="J30" i="42" s="1"/>
  <c r="U30" i="42" s="1"/>
  <c r="I30" i="42"/>
  <c r="T30" i="42" s="1"/>
  <c r="I49" i="42"/>
  <c r="T49" i="42" s="1"/>
  <c r="G49" i="42"/>
  <c r="J49" i="42" s="1"/>
  <c r="U49" i="42" s="1"/>
  <c r="I55" i="42"/>
  <c r="T55" i="42" s="1"/>
  <c r="G55" i="42"/>
  <c r="J55" i="42" s="1"/>
  <c r="U55" i="42" s="1"/>
  <c r="I86" i="42"/>
  <c r="T86" i="42" s="1"/>
  <c r="G86" i="42"/>
  <c r="J86" i="42" s="1"/>
  <c r="U86" i="42" s="1"/>
  <c r="I97" i="42"/>
  <c r="T97" i="42" s="1"/>
  <c r="G97" i="42"/>
  <c r="J97" i="42" s="1"/>
  <c r="U97" i="42" s="1"/>
  <c r="G119" i="42"/>
  <c r="J119" i="42" s="1"/>
  <c r="U119" i="42" s="1"/>
  <c r="I119" i="42"/>
  <c r="T119" i="42" s="1"/>
  <c r="I128" i="42"/>
  <c r="T128" i="42" s="1"/>
  <c r="G128" i="42"/>
  <c r="J128" i="42" s="1"/>
  <c r="U128" i="42" s="1"/>
  <c r="I53" i="38"/>
  <c r="T53" i="38" s="1"/>
  <c r="G53" i="38"/>
  <c r="V124" i="42"/>
  <c r="V184" i="42"/>
  <c r="S14" i="30" s="1"/>
  <c r="V54" i="42"/>
  <c r="V142" i="42"/>
  <c r="V179" i="42"/>
  <c r="V126" i="42"/>
  <c r="V172" i="42"/>
  <c r="V165" i="42"/>
  <c r="V31" i="42"/>
  <c r="V89" i="42"/>
  <c r="V146" i="42"/>
  <c r="V139" i="42"/>
  <c r="V133" i="42"/>
  <c r="V90" i="42"/>
  <c r="V148" i="42"/>
  <c r="I32" i="42"/>
  <c r="T32" i="42" s="1"/>
  <c r="G32" i="42"/>
  <c r="J32" i="42" s="1"/>
  <c r="U32" i="42" s="1"/>
  <c r="G43" i="42"/>
  <c r="J43" i="42" s="1"/>
  <c r="U43" i="42" s="1"/>
  <c r="I43" i="42"/>
  <c r="T43" i="42" s="1"/>
  <c r="I85" i="42"/>
  <c r="T85" i="42" s="1"/>
  <c r="G85" i="42"/>
  <c r="J85" i="42" s="1"/>
  <c r="U85" i="42" s="1"/>
  <c r="I44" i="38"/>
  <c r="T44" i="38" s="1"/>
  <c r="G44" i="38"/>
  <c r="I56" i="38"/>
  <c r="T56" i="38" s="1"/>
  <c r="G56" i="38"/>
  <c r="I66" i="42"/>
  <c r="T66" i="42" s="1"/>
  <c r="G66" i="42"/>
  <c r="J66" i="42" s="1"/>
  <c r="U66" i="42" s="1"/>
  <c r="I71" i="42"/>
  <c r="T71" i="42" s="1"/>
  <c r="G71" i="42"/>
  <c r="J71" i="42" s="1"/>
  <c r="U71" i="42" s="1"/>
  <c r="I74" i="42"/>
  <c r="T74" i="42" s="1"/>
  <c r="G74" i="42"/>
  <c r="J74" i="42" s="1"/>
  <c r="U74" i="42" s="1"/>
  <c r="I76" i="42"/>
  <c r="T76" i="42" s="1"/>
  <c r="G76" i="42"/>
  <c r="J76" i="42" s="1"/>
  <c r="U76" i="42" s="1"/>
  <c r="G77" i="42"/>
  <c r="J77" i="42" s="1"/>
  <c r="U77" i="42" s="1"/>
  <c r="I77" i="42"/>
  <c r="T77" i="42" s="1"/>
  <c r="I112" i="39"/>
  <c r="F80" i="42" s="1"/>
  <c r="I87" i="42"/>
  <c r="T87" i="42" s="1"/>
  <c r="G87" i="42"/>
  <c r="J87" i="42" s="1"/>
  <c r="U87" i="42" s="1"/>
  <c r="G113" i="42"/>
  <c r="J113" i="42" s="1"/>
  <c r="U113" i="42" s="1"/>
  <c r="I113" i="42"/>
  <c r="T113" i="42" s="1"/>
  <c r="G115" i="42"/>
  <c r="J115" i="42" s="1"/>
  <c r="U115" i="42" s="1"/>
  <c r="I115" i="42"/>
  <c r="T115" i="42" s="1"/>
  <c r="I118" i="42"/>
  <c r="T118" i="42" s="1"/>
  <c r="G118" i="42"/>
  <c r="J118" i="42" s="1"/>
  <c r="U118" i="42" s="1"/>
  <c r="I46" i="38"/>
  <c r="T46" i="38" s="1"/>
  <c r="G46" i="38"/>
  <c r="I50" i="38"/>
  <c r="T50" i="38" s="1"/>
  <c r="G50" i="38"/>
  <c r="I22" i="42"/>
  <c r="T22" i="42" s="1"/>
  <c r="G22" i="42"/>
  <c r="J22" i="42" s="1"/>
  <c r="U22" i="42" s="1"/>
  <c r="I57" i="42"/>
  <c r="T57" i="42" s="1"/>
  <c r="G57" i="42"/>
  <c r="J57" i="42" s="1"/>
  <c r="U57" i="42" s="1"/>
  <c r="G58" i="42"/>
  <c r="J58" i="42" s="1"/>
  <c r="U58" i="42" s="1"/>
  <c r="I58" i="42"/>
  <c r="T58" i="42" s="1"/>
  <c r="I60" i="42"/>
  <c r="T60" i="42" s="1"/>
  <c r="G60" i="42"/>
  <c r="J60" i="42" s="1"/>
  <c r="U60" i="42" s="1"/>
  <c r="I61" i="42"/>
  <c r="T61" i="42" s="1"/>
  <c r="G61" i="42"/>
  <c r="J61" i="42" s="1"/>
  <c r="U61" i="42" s="1"/>
  <c r="I84" i="42"/>
  <c r="T84" i="42" s="1"/>
  <c r="G84" i="42"/>
  <c r="J84" i="42" s="1"/>
  <c r="U84" i="42" s="1"/>
  <c r="I88" i="42"/>
  <c r="T88" i="42" s="1"/>
  <c r="G88" i="42"/>
  <c r="J88" i="42" s="1"/>
  <c r="U88" i="42" s="1"/>
  <c r="G101" i="42"/>
  <c r="J101" i="42" s="1"/>
  <c r="U101" i="42" s="1"/>
  <c r="I101" i="42"/>
  <c r="T101" i="42" s="1"/>
  <c r="I102" i="42"/>
  <c r="T102" i="42" s="1"/>
  <c r="G102" i="42"/>
  <c r="J102" i="42" s="1"/>
  <c r="U102" i="42" s="1"/>
  <c r="G105" i="42"/>
  <c r="J105" i="42" s="1"/>
  <c r="U105" i="42" s="1"/>
  <c r="I105" i="42"/>
  <c r="T105" i="42" s="1"/>
  <c r="G107" i="42"/>
  <c r="J107" i="42" s="1"/>
  <c r="U107" i="42" s="1"/>
  <c r="I107" i="42"/>
  <c r="T107" i="42" s="1"/>
  <c r="G109" i="42"/>
  <c r="J109" i="42" s="1"/>
  <c r="U109" i="42" s="1"/>
  <c r="I109" i="42"/>
  <c r="T109" i="42" s="1"/>
  <c r="I45" i="38"/>
  <c r="T45" i="38" s="1"/>
  <c r="G45" i="38"/>
  <c r="I57" i="38"/>
  <c r="T57" i="38" s="1"/>
  <c r="G57" i="38"/>
  <c r="V52" i="42"/>
  <c r="V130" i="42"/>
  <c r="V134" i="42"/>
  <c r="V120" i="42"/>
  <c r="V25" i="42"/>
  <c r="V122" i="42"/>
  <c r="V136" i="42"/>
  <c r="V158" i="42"/>
  <c r="V54" i="38"/>
  <c r="O48" i="39"/>
  <c r="U115" i="39"/>
  <c r="R250" i="39"/>
  <c r="N225" i="39"/>
  <c r="V225" i="39" s="1"/>
  <c r="W225" i="39" s="1"/>
  <c r="T226" i="39"/>
  <c r="Q48" i="39"/>
  <c r="N54" i="39"/>
  <c r="Q66" i="39"/>
  <c r="S81" i="39"/>
  <c r="P48" i="39"/>
  <c r="N57" i="39"/>
  <c r="S138" i="39"/>
  <c r="N162" i="39"/>
  <c r="T227" i="39"/>
  <c r="O152" i="39"/>
  <c r="N224" i="39"/>
  <c r="V224" i="39" s="1"/>
  <c r="W224" i="39" s="1"/>
  <c r="T225" i="39"/>
  <c r="N226" i="39"/>
  <c r="V226" i="39" s="1"/>
  <c r="W226" i="39" s="1"/>
  <c r="Q31" i="39"/>
  <c r="S47" i="39"/>
  <c r="S61" i="39"/>
  <c r="Q82" i="39"/>
  <c r="R100" i="39"/>
  <c r="O111" i="39"/>
  <c r="S133" i="39"/>
  <c r="S135" i="39"/>
  <c r="S136" i="39"/>
  <c r="Q144" i="39"/>
  <c r="O145" i="39"/>
  <c r="I146" i="39"/>
  <c r="F114" i="42" s="1"/>
  <c r="O27" i="39"/>
  <c r="R63" i="39"/>
  <c r="Q71" i="39"/>
  <c r="N74" i="39"/>
  <c r="I80" i="39"/>
  <c r="F48" i="42" s="1"/>
  <c r="L112" i="39"/>
  <c r="N112" i="39" s="1"/>
  <c r="V112" i="39" s="1"/>
  <c r="W112" i="39" s="1"/>
  <c r="Q114" i="39"/>
  <c r="L123" i="39"/>
  <c r="S129" i="39"/>
  <c r="S130" i="39"/>
  <c r="J168" i="39"/>
  <c r="J166" i="39"/>
  <c r="Q166" i="39" s="1"/>
  <c r="J165" i="39"/>
  <c r="L165" i="39" s="1"/>
  <c r="F41" i="38"/>
  <c r="S43" i="39"/>
  <c r="AC167" i="39"/>
  <c r="AE167" i="39" s="1"/>
  <c r="N9" i="39"/>
  <c r="V9" i="39" s="1"/>
  <c r="W9" i="39" s="1"/>
  <c r="S44" i="39"/>
  <c r="T84" i="39"/>
  <c r="Q162" i="39"/>
  <c r="T162" i="39" s="1"/>
  <c r="AC166" i="39"/>
  <c r="AE166" i="39" s="1"/>
  <c r="Q188" i="39"/>
  <c r="T194" i="39"/>
  <c r="U193" i="39" s="1"/>
  <c r="I200" i="39"/>
  <c r="F169" i="42" s="1"/>
  <c r="M209" i="39"/>
  <c r="S209" i="39" s="1"/>
  <c r="J50" i="38"/>
  <c r="U50" i="38" s="1"/>
  <c r="Q210" i="39"/>
  <c r="P222" i="39"/>
  <c r="N227" i="39"/>
  <c r="V227" i="39" s="1"/>
  <c r="W227" i="39" s="1"/>
  <c r="AC168" i="39"/>
  <c r="AE168" i="39" s="1"/>
  <c r="I24" i="38"/>
  <c r="T24" i="38" s="1"/>
  <c r="F23" i="38"/>
  <c r="J39" i="38"/>
  <c r="U39" i="38" s="1"/>
  <c r="N39" i="39"/>
  <c r="R43" i="39"/>
  <c r="T86" i="39"/>
  <c r="Q186" i="39"/>
  <c r="T224" i="39"/>
  <c r="F12" i="38"/>
  <c r="F19" i="38"/>
  <c r="G19" i="38" s="1"/>
  <c r="N21" i="39"/>
  <c r="V21" i="39" s="1"/>
  <c r="W21" i="39" s="1"/>
  <c r="R46" i="39"/>
  <c r="R47" i="39"/>
  <c r="R61" i="39"/>
  <c r="N106" i="39"/>
  <c r="N210" i="39"/>
  <c r="F51" i="38"/>
  <c r="T228" i="39"/>
  <c r="T18" i="39"/>
  <c r="I143" i="39"/>
  <c r="F111" i="42" s="1"/>
  <c r="Q51" i="39"/>
  <c r="O66" i="39"/>
  <c r="R92" i="39"/>
  <c r="R97" i="39"/>
  <c r="R128" i="39"/>
  <c r="Q148" i="39"/>
  <c r="O150" i="39"/>
  <c r="Q153" i="39"/>
  <c r="O158" i="39"/>
  <c r="I49" i="39"/>
  <c r="F17" i="42" s="1"/>
  <c r="L14" i="39"/>
  <c r="J15" i="38" s="1"/>
  <c r="U15" i="38" s="1"/>
  <c r="L16" i="39"/>
  <c r="O36" i="39"/>
  <c r="T36" i="39" s="1"/>
  <c r="Q43" i="39"/>
  <c r="P47" i="39"/>
  <c r="S56" i="39"/>
  <c r="Q65" i="39"/>
  <c r="P66" i="39"/>
  <c r="R75" i="39"/>
  <c r="S91" i="39"/>
  <c r="S92" i="39"/>
  <c r="Q95" i="39"/>
  <c r="I97" i="39"/>
  <c r="F65" i="42" s="1"/>
  <c r="P98" i="39"/>
  <c r="Q101" i="39"/>
  <c r="P114" i="39"/>
  <c r="I123" i="39"/>
  <c r="Q146" i="39"/>
  <c r="O147" i="39"/>
  <c r="I148" i="39"/>
  <c r="P203" i="39"/>
  <c r="J36" i="38"/>
  <c r="U36" i="38" s="1"/>
  <c r="N134" i="39"/>
  <c r="V134" i="39" s="1"/>
  <c r="W134" i="39" s="1"/>
  <c r="Q113" i="39"/>
  <c r="S222" i="39"/>
  <c r="I245" i="39"/>
  <c r="N245" i="39" s="1"/>
  <c r="V245" i="39" s="1"/>
  <c r="W245" i="39" s="1"/>
  <c r="L247" i="39"/>
  <c r="V11" i="39"/>
  <c r="W11" i="39" s="1"/>
  <c r="L12" i="39"/>
  <c r="L13" i="39"/>
  <c r="O28" i="39"/>
  <c r="O35" i="39"/>
  <c r="F40" i="38"/>
  <c r="P42" i="39"/>
  <c r="R42" i="39"/>
  <c r="S46" i="39"/>
  <c r="S54" i="39"/>
  <c r="O61" i="39"/>
  <c r="P68" i="39"/>
  <c r="R70" i="39"/>
  <c r="R71" i="39"/>
  <c r="N90" i="39"/>
  <c r="S101" i="39"/>
  <c r="Q108" i="39"/>
  <c r="R135" i="39"/>
  <c r="L143" i="39"/>
  <c r="R155" i="39"/>
  <c r="Q157" i="39"/>
  <c r="P157" i="39"/>
  <c r="O160" i="39"/>
  <c r="L196" i="39"/>
  <c r="L243" i="39"/>
  <c r="N243" i="39" s="1"/>
  <c r="V243" i="39" s="1"/>
  <c r="W243" i="39" s="1"/>
  <c r="S20" i="39"/>
  <c r="F27" i="38"/>
  <c r="J28" i="38"/>
  <c r="U28" i="38" s="1"/>
  <c r="F32" i="38"/>
  <c r="F33" i="38"/>
  <c r="F34" i="38"/>
  <c r="F37" i="38"/>
  <c r="R140" i="39"/>
  <c r="M146" i="39"/>
  <c r="S146" i="39" s="1"/>
  <c r="Q183" i="39"/>
  <c r="J56" i="38"/>
  <c r="U56" i="38" s="1"/>
  <c r="V56" i="38" s="1"/>
  <c r="AA14" i="1" s="1"/>
  <c r="Q14" i="39"/>
  <c r="T14" i="39" s="1"/>
  <c r="Q34" i="39"/>
  <c r="S42" i="39"/>
  <c r="Q68" i="39"/>
  <c r="Q74" i="39"/>
  <c r="L100" i="39"/>
  <c r="I111" i="39"/>
  <c r="S113" i="39"/>
  <c r="P153" i="39"/>
  <c r="S212" i="39"/>
  <c r="I16" i="39"/>
  <c r="I17" i="39"/>
  <c r="L20" i="39"/>
  <c r="J24" i="38"/>
  <c r="U24" i="38" s="1"/>
  <c r="N36" i="39"/>
  <c r="V36" i="39" s="1"/>
  <c r="W36" i="39" s="1"/>
  <c r="F38" i="38"/>
  <c r="Q40" i="39"/>
  <c r="I42" i="39"/>
  <c r="I48" i="39"/>
  <c r="F16" i="42" s="1"/>
  <c r="R62" i="39"/>
  <c r="R64" i="39"/>
  <c r="Q67" i="39"/>
  <c r="R68" i="39"/>
  <c r="S72" i="39"/>
  <c r="S73" i="39"/>
  <c r="I79" i="39"/>
  <c r="F47" i="42" s="1"/>
  <c r="L79" i="39"/>
  <c r="S111" i="39"/>
  <c r="Q112" i="39"/>
  <c r="P113" i="39"/>
  <c r="O114" i="39"/>
  <c r="O128" i="39"/>
  <c r="Q134" i="39"/>
  <c r="S140" i="39"/>
  <c r="J151" i="39"/>
  <c r="Q151" i="39" s="1"/>
  <c r="Q204" i="39"/>
  <c r="I206" i="39"/>
  <c r="F175" i="42" s="1"/>
  <c r="R211" i="39"/>
  <c r="J57" i="38"/>
  <c r="U57" i="38" s="1"/>
  <c r="V57" i="38" s="1"/>
  <c r="T245" i="39"/>
  <c r="M26" i="39"/>
  <c r="S26" i="39" s="1"/>
  <c r="I28" i="38"/>
  <c r="T28" i="38" s="1"/>
  <c r="P30" i="39"/>
  <c r="S39" i="39"/>
  <c r="R39" i="39"/>
  <c r="Q39" i="39"/>
  <c r="P39" i="39"/>
  <c r="Q152" i="39"/>
  <c r="L152" i="39"/>
  <c r="M152" i="39" s="1"/>
  <c r="S152" i="39" s="1"/>
  <c r="Q223" i="39"/>
  <c r="R223" i="39"/>
  <c r="R230" i="39" s="1"/>
  <c r="T11" i="39"/>
  <c r="I15" i="39"/>
  <c r="O20" i="39"/>
  <c r="P22" i="39"/>
  <c r="O24" i="39"/>
  <c r="R26" i="39"/>
  <c r="I28" i="39"/>
  <c r="O29" i="39"/>
  <c r="K31" i="39"/>
  <c r="L31" i="39" s="1"/>
  <c r="M34" i="39"/>
  <c r="S34" i="39" s="1"/>
  <c r="I36" i="38"/>
  <c r="T36" i="38" s="1"/>
  <c r="R35" i="39"/>
  <c r="N37" i="39"/>
  <c r="V37" i="39" s="1"/>
  <c r="W37" i="39" s="1"/>
  <c r="I39" i="38"/>
  <c r="T39" i="38" s="1"/>
  <c r="L40" i="39"/>
  <c r="P45" i="39"/>
  <c r="I52" i="39"/>
  <c r="F20" i="42" s="1"/>
  <c r="P61" i="39"/>
  <c r="I61" i="39"/>
  <c r="F29" i="42" s="1"/>
  <c r="P93" i="39"/>
  <c r="Q109" i="39"/>
  <c r="L109" i="39"/>
  <c r="N109" i="39" s="1"/>
  <c r="V109" i="39" s="1"/>
  <c r="W109" i="39" s="1"/>
  <c r="P128" i="39"/>
  <c r="I128" i="39"/>
  <c r="H136" i="39"/>
  <c r="P136" i="39" s="1"/>
  <c r="O136" i="39"/>
  <c r="O22" i="39"/>
  <c r="Q45" i="39"/>
  <c r="R94" i="39"/>
  <c r="L94" i="39"/>
  <c r="P105" i="39"/>
  <c r="I105" i="39"/>
  <c r="F73" i="42" s="1"/>
  <c r="I10" i="39"/>
  <c r="N14" i="39"/>
  <c r="V14" i="39" s="1"/>
  <c r="W14" i="39" s="1"/>
  <c r="I15" i="38"/>
  <c r="T15" i="38" s="1"/>
  <c r="L15" i="39"/>
  <c r="O17" i="39"/>
  <c r="T17" i="39" s="1"/>
  <c r="P20" i="39"/>
  <c r="R22" i="39"/>
  <c r="Q22" i="39"/>
  <c r="R24" i="39"/>
  <c r="R27" i="39"/>
  <c r="Q28" i="39"/>
  <c r="Q33" i="39"/>
  <c r="O40" i="39"/>
  <c r="I40" i="39"/>
  <c r="R44" i="39"/>
  <c r="L44" i="39"/>
  <c r="N44" i="39" s="1"/>
  <c r="V44" i="39" s="1"/>
  <c r="W44" i="39" s="1"/>
  <c r="G47" i="39"/>
  <c r="I47" i="39" s="1"/>
  <c r="F15" i="42" s="1"/>
  <c r="R51" i="39"/>
  <c r="Q72" i="39"/>
  <c r="O72" i="39"/>
  <c r="O73" i="39"/>
  <c r="R73" i="39"/>
  <c r="R81" i="39"/>
  <c r="L81" i="39"/>
  <c r="N81" i="39" s="1"/>
  <c r="V81" i="39" s="1"/>
  <c r="W81" i="39" s="1"/>
  <c r="P106" i="39"/>
  <c r="I140" i="39"/>
  <c r="F108" i="42" s="1"/>
  <c r="O140" i="39"/>
  <c r="O144" i="39"/>
  <c r="I144" i="39"/>
  <c r="F112" i="42" s="1"/>
  <c r="Q199" i="39"/>
  <c r="L199" i="39"/>
  <c r="O26" i="39"/>
  <c r="P101" i="39"/>
  <c r="I101" i="39"/>
  <c r="F69" i="42" s="1"/>
  <c r="Q16" i="39"/>
  <c r="I20" i="39"/>
  <c r="F21" i="38" s="1"/>
  <c r="G21" i="38" s="1"/>
  <c r="Q20" i="39"/>
  <c r="T21" i="39"/>
  <c r="P25" i="39"/>
  <c r="R29" i="39"/>
  <c r="Q30" i="39"/>
  <c r="N38" i="39"/>
  <c r="V38" i="39" s="1"/>
  <c r="W38" i="39" s="1"/>
  <c r="S45" i="39"/>
  <c r="P54" i="39"/>
  <c r="R55" i="39"/>
  <c r="L55" i="39"/>
  <c r="Q89" i="39"/>
  <c r="O89" i="39"/>
  <c r="S89" i="39"/>
  <c r="P110" i="39"/>
  <c r="Q110" i="39"/>
  <c r="S110" i="39"/>
  <c r="Q139" i="39"/>
  <c r="R139" i="39"/>
  <c r="M153" i="39"/>
  <c r="S153" i="39" s="1"/>
  <c r="P154" i="39"/>
  <c r="O154" i="39"/>
  <c r="Q160" i="39"/>
  <c r="L160" i="39"/>
  <c r="M160" i="39" s="1"/>
  <c r="S160" i="39" s="1"/>
  <c r="O186" i="39"/>
  <c r="I186" i="39"/>
  <c r="F155" i="42" s="1"/>
  <c r="S53" i="39"/>
  <c r="P56" i="39"/>
  <c r="T57" i="39"/>
  <c r="O63" i="39"/>
  <c r="R65" i="39"/>
  <c r="R67" i="39"/>
  <c r="P72" i="39"/>
  <c r="P73" i="39"/>
  <c r="R74" i="39"/>
  <c r="R82" i="39"/>
  <c r="O95" i="39"/>
  <c r="L95" i="39"/>
  <c r="P100" i="39"/>
  <c r="S100" i="39"/>
  <c r="S104" i="39"/>
  <c r="R112" i="39"/>
  <c r="Q130" i="39"/>
  <c r="O130" i="39"/>
  <c r="Q156" i="39"/>
  <c r="L156" i="39"/>
  <c r="M156" i="39" s="1"/>
  <c r="S156" i="39" s="1"/>
  <c r="M157" i="39"/>
  <c r="S157" i="39" s="1"/>
  <c r="R158" i="39"/>
  <c r="L161" i="39"/>
  <c r="Q161" i="39"/>
  <c r="Q184" i="39"/>
  <c r="L184" i="39"/>
  <c r="S205" i="39"/>
  <c r="P205" i="39"/>
  <c r="R208" i="39"/>
  <c r="L212" i="39"/>
  <c r="R212" i="39"/>
  <c r="O34" i="39"/>
  <c r="P40" i="39"/>
  <c r="R45" i="39"/>
  <c r="P51" i="39"/>
  <c r="S51" i="39"/>
  <c r="P53" i="39"/>
  <c r="Q53" i="39"/>
  <c r="S55" i="39"/>
  <c r="I56" i="39"/>
  <c r="F24" i="42" s="1"/>
  <c r="N63" i="39"/>
  <c r="S63" i="39"/>
  <c r="O65" i="39"/>
  <c r="P65" i="39"/>
  <c r="O67" i="39"/>
  <c r="P67" i="39"/>
  <c r="L68" i="39"/>
  <c r="P70" i="39"/>
  <c r="S70" i="39"/>
  <c r="P71" i="39"/>
  <c r="S71" i="39"/>
  <c r="I72" i="39"/>
  <c r="F40" i="42" s="1"/>
  <c r="S74" i="39"/>
  <c r="L75" i="39"/>
  <c r="N75" i="39" s="1"/>
  <c r="V75" i="39" s="1"/>
  <c r="W75" i="39" s="1"/>
  <c r="O82" i="39"/>
  <c r="R89" i="39"/>
  <c r="P91" i="39"/>
  <c r="O91" i="39"/>
  <c r="O92" i="39"/>
  <c r="R93" i="39"/>
  <c r="P94" i="39"/>
  <c r="S94" i="39"/>
  <c r="P95" i="39"/>
  <c r="P97" i="39"/>
  <c r="S99" i="39"/>
  <c r="I100" i="39"/>
  <c r="F68" i="42" s="1"/>
  <c r="Q104" i="39"/>
  <c r="R105" i="39"/>
  <c r="L108" i="39"/>
  <c r="N108" i="39" s="1"/>
  <c r="V108" i="39" s="1"/>
  <c r="W108" i="39" s="1"/>
  <c r="Q111" i="39"/>
  <c r="O112" i="39"/>
  <c r="O113" i="39"/>
  <c r="R114" i="39"/>
  <c r="N129" i="39"/>
  <c r="V129" i="39" s="1"/>
  <c r="W129" i="39" s="1"/>
  <c r="N139" i="39"/>
  <c r="V139" i="39" s="1"/>
  <c r="W139" i="39" s="1"/>
  <c r="O142" i="39"/>
  <c r="I142" i="39"/>
  <c r="F110" i="42" s="1"/>
  <c r="Q150" i="39"/>
  <c r="R152" i="39"/>
  <c r="Q154" i="39"/>
  <c r="L154" i="39"/>
  <c r="M154" i="39" s="1"/>
  <c r="S154" i="39" s="1"/>
  <c r="M155" i="39"/>
  <c r="S155" i="39" s="1"/>
  <c r="O156" i="39"/>
  <c r="M183" i="39"/>
  <c r="S183" i="39" s="1"/>
  <c r="P214" i="39"/>
  <c r="O244" i="39"/>
  <c r="I244" i="39"/>
  <c r="T37" i="39"/>
  <c r="P43" i="39"/>
  <c r="L45" i="39"/>
  <c r="I51" i="39"/>
  <c r="F19" i="42" s="1"/>
  <c r="L52" i="39"/>
  <c r="R53" i="39"/>
  <c r="O54" i="39"/>
  <c r="P55" i="39"/>
  <c r="Q55" i="39"/>
  <c r="R56" i="39"/>
  <c r="I59" i="39"/>
  <c r="F27" i="42" s="1"/>
  <c r="S62" i="39"/>
  <c r="L62" i="39"/>
  <c r="N62" i="39" s="1"/>
  <c r="V62" i="39" s="1"/>
  <c r="W62" i="39" s="1"/>
  <c r="S64" i="39"/>
  <c r="L64" i="39"/>
  <c r="N64" i="39" s="1"/>
  <c r="V64" i="39" s="1"/>
  <c r="W64" i="39" s="1"/>
  <c r="R66" i="39"/>
  <c r="S68" i="39"/>
  <c r="I70" i="39"/>
  <c r="Q70" i="39"/>
  <c r="I71" i="39"/>
  <c r="F39" i="42" s="1"/>
  <c r="R72" i="39"/>
  <c r="P74" i="39"/>
  <c r="T74" i="39" s="1"/>
  <c r="R80" i="39"/>
  <c r="L80" i="39"/>
  <c r="M80" i="39" s="1"/>
  <c r="S80" i="39" s="1"/>
  <c r="I91" i="39"/>
  <c r="S93" i="39"/>
  <c r="I94" i="39"/>
  <c r="F62" i="42" s="1"/>
  <c r="I95" i="39"/>
  <c r="F63" i="42" s="1"/>
  <c r="Q97" i="39"/>
  <c r="Q99" i="39"/>
  <c r="P103" i="39"/>
  <c r="R104" i="39"/>
  <c r="S105" i="39"/>
  <c r="P112" i="39"/>
  <c r="L114" i="39"/>
  <c r="I135" i="39"/>
  <c r="O135" i="39"/>
  <c r="N137" i="39"/>
  <c r="V137" i="39" s="1"/>
  <c r="W137" i="39" s="1"/>
  <c r="L142" i="39"/>
  <c r="Q142" i="39"/>
  <c r="Q145" i="39"/>
  <c r="L145" i="39"/>
  <c r="M145" i="39" s="1"/>
  <c r="S145" i="39" s="1"/>
  <c r="Q147" i="39"/>
  <c r="L147" i="39"/>
  <c r="M147" i="39" s="1"/>
  <c r="S147" i="39" s="1"/>
  <c r="R156" i="39"/>
  <c r="Q158" i="39"/>
  <c r="L158" i="39"/>
  <c r="M158" i="39" s="1"/>
  <c r="S158" i="39" s="1"/>
  <c r="S197" i="39"/>
  <c r="P197" i="39"/>
  <c r="Q207" i="39"/>
  <c r="T243" i="39"/>
  <c r="O248" i="39"/>
  <c r="I248" i="39"/>
  <c r="M248" i="39" s="1"/>
  <c r="S248" i="39" s="1"/>
  <c r="O134" i="39"/>
  <c r="S134" i="39"/>
  <c r="O139" i="39"/>
  <c r="S139" i="39"/>
  <c r="R153" i="39"/>
  <c r="Q155" i="39"/>
  <c r="R157" i="39"/>
  <c r="L200" i="39"/>
  <c r="O207" i="39"/>
  <c r="L207" i="39"/>
  <c r="I208" i="39"/>
  <c r="F177" i="42" s="1"/>
  <c r="O212" i="39"/>
  <c r="N214" i="39"/>
  <c r="V214" i="39" s="1"/>
  <c r="Q214" i="39"/>
  <c r="O222" i="39"/>
  <c r="O247" i="39"/>
  <c r="P207" i="39"/>
  <c r="P208" i="39"/>
  <c r="O215" i="39"/>
  <c r="S131" i="39"/>
  <c r="P133" i="39"/>
  <c r="Q137" i="39"/>
  <c r="Q138" i="39"/>
  <c r="I207" i="39"/>
  <c r="Q208" i="39"/>
  <c r="T211" i="39"/>
  <c r="N215" i="39"/>
  <c r="V215" i="39" s="1"/>
  <c r="S215" i="39"/>
  <c r="M25" i="39"/>
  <c r="S25" i="39" s="1"/>
  <c r="V123" i="39"/>
  <c r="W123" i="39" s="1"/>
  <c r="V124" i="39"/>
  <c r="W124" i="39" s="1"/>
  <c r="V118" i="39"/>
  <c r="W118" i="39" s="1"/>
  <c r="V117" i="39"/>
  <c r="W117" i="39" s="1"/>
  <c r="V122" i="39"/>
  <c r="W122" i="39" s="1"/>
  <c r="V121" i="39"/>
  <c r="W121" i="39" s="1"/>
  <c r="V120" i="39"/>
  <c r="W120" i="39" s="1"/>
  <c r="V116" i="39"/>
  <c r="W116" i="39" s="1"/>
  <c r="V126" i="39"/>
  <c r="W126" i="39" s="1"/>
  <c r="X125" i="39" s="1"/>
  <c r="V119" i="39"/>
  <c r="W119" i="39" s="1"/>
  <c r="T9" i="39"/>
  <c r="L10" i="39"/>
  <c r="I12" i="39"/>
  <c r="Q12" i="39"/>
  <c r="I13" i="39"/>
  <c r="Q13" i="39"/>
  <c r="L17" i="39"/>
  <c r="L18" i="39"/>
  <c r="Q24" i="39"/>
  <c r="H24" i="39"/>
  <c r="P24" i="39" s="1"/>
  <c r="L24" i="39"/>
  <c r="K28" i="39"/>
  <c r="R28" i="39" s="1"/>
  <c r="I29" i="39"/>
  <c r="O30" i="39"/>
  <c r="Q32" i="39"/>
  <c r="Q35" i="39"/>
  <c r="L35" i="39"/>
  <c r="M35" i="39" s="1"/>
  <c r="S35" i="39" s="1"/>
  <c r="O38" i="39"/>
  <c r="V39" i="39"/>
  <c r="W39" i="39" s="1"/>
  <c r="V74" i="39"/>
  <c r="W74" i="39" s="1"/>
  <c r="M16" i="39"/>
  <c r="S16" i="39" s="1"/>
  <c r="Q29" i="39"/>
  <c r="O32" i="39"/>
  <c r="R32" i="39"/>
  <c r="O33" i="39"/>
  <c r="I33" i="39"/>
  <c r="V54" i="39"/>
  <c r="W54" i="39" s="1"/>
  <c r="V90" i="39"/>
  <c r="W90" i="39" s="1"/>
  <c r="L189" i="39"/>
  <c r="Q189" i="39"/>
  <c r="T189" i="39" s="1"/>
  <c r="Q25" i="39"/>
  <c r="Q26" i="39"/>
  <c r="I27" i="39"/>
  <c r="L30" i="39"/>
  <c r="R31" i="39"/>
  <c r="P32" i="39"/>
  <c r="T52" i="39"/>
  <c r="V63" i="39"/>
  <c r="W63" i="39" s="1"/>
  <c r="N22" i="39"/>
  <c r="V22" i="39" s="1"/>
  <c r="W22" i="39" s="1"/>
  <c r="O25" i="39"/>
  <c r="Q27" i="39"/>
  <c r="L28" i="39"/>
  <c r="O31" i="39"/>
  <c r="Q38" i="39"/>
  <c r="P38" i="39"/>
  <c r="S38" i="39"/>
  <c r="O46" i="39"/>
  <c r="I46" i="39"/>
  <c r="F14" i="42" s="1"/>
  <c r="V57" i="39"/>
  <c r="W57" i="39" s="1"/>
  <c r="V84" i="39"/>
  <c r="W84" i="39" s="1"/>
  <c r="P44" i="39"/>
  <c r="P46" i="39"/>
  <c r="P62" i="39"/>
  <c r="P64" i="39"/>
  <c r="P75" i="39"/>
  <c r="O80" i="39"/>
  <c r="O87" i="39"/>
  <c r="Q90" i="39"/>
  <c r="P99" i="39"/>
  <c r="I99" i="39"/>
  <c r="P104" i="39"/>
  <c r="I104" i="39"/>
  <c r="I130" i="39"/>
  <c r="P130" i="39"/>
  <c r="M32" i="39"/>
  <c r="S32" i="39" s="1"/>
  <c r="R33" i="39"/>
  <c r="O39" i="39"/>
  <c r="R40" i="39"/>
  <c r="O42" i="39"/>
  <c r="L43" i="39"/>
  <c r="N43" i="39" s="1"/>
  <c r="V43" i="39" s="1"/>
  <c r="W43" i="39" s="1"/>
  <c r="Q44" i="39"/>
  <c r="I45" i="39"/>
  <c r="F13" i="42" s="1"/>
  <c r="I53" i="39"/>
  <c r="Q54" i="39"/>
  <c r="I55" i="39"/>
  <c r="F23" i="42" s="1"/>
  <c r="J56" i="39"/>
  <c r="L61" i="39"/>
  <c r="Q62" i="39"/>
  <c r="P63" i="39"/>
  <c r="Q64" i="39"/>
  <c r="L65" i="39"/>
  <c r="L66" i="39"/>
  <c r="L67" i="39"/>
  <c r="I68" i="39"/>
  <c r="F36" i="42" s="1"/>
  <c r="L72" i="39"/>
  <c r="I73" i="39"/>
  <c r="I76" i="39"/>
  <c r="F44" i="42" s="1"/>
  <c r="L76" i="39"/>
  <c r="I77" i="39"/>
  <c r="F45" i="42" s="1"/>
  <c r="L77" i="39"/>
  <c r="Q80" i="39"/>
  <c r="O81" i="39"/>
  <c r="P82" i="39"/>
  <c r="S90" i="39"/>
  <c r="R90" i="39"/>
  <c r="R91" i="39"/>
  <c r="L92" i="39"/>
  <c r="N92" i="39" s="1"/>
  <c r="V92" i="39" s="1"/>
  <c r="W92" i="39" s="1"/>
  <c r="P92" i="39"/>
  <c r="L93" i="39"/>
  <c r="N93" i="39" s="1"/>
  <c r="V93" i="39" s="1"/>
  <c r="W93" i="39" s="1"/>
  <c r="Q93" i="39"/>
  <c r="O97" i="39"/>
  <c r="N98" i="39"/>
  <c r="V98" i="39" s="1"/>
  <c r="W98" i="39" s="1"/>
  <c r="R101" i="39"/>
  <c r="L101" i="39"/>
  <c r="N103" i="39"/>
  <c r="V103" i="39" s="1"/>
  <c r="W103" i="39" s="1"/>
  <c r="S108" i="39"/>
  <c r="O108" i="39"/>
  <c r="R108" i="39"/>
  <c r="S109" i="39"/>
  <c r="O109" i="39"/>
  <c r="R109" i="39"/>
  <c r="N113" i="39"/>
  <c r="V113" i="39" s="1"/>
  <c r="W113" i="39" s="1"/>
  <c r="R149" i="39"/>
  <c r="L149" i="39"/>
  <c r="M149" i="39" s="1"/>
  <c r="S149" i="39" s="1"/>
  <c r="P34" i="39"/>
  <c r="J46" i="39"/>
  <c r="L48" i="39"/>
  <c r="L49" i="39"/>
  <c r="L51" i="39"/>
  <c r="N51" i="39" s="1"/>
  <c r="V51" i="39" s="1"/>
  <c r="W51" i="39" s="1"/>
  <c r="L59" i="39"/>
  <c r="Q63" i="39"/>
  <c r="I65" i="39"/>
  <c r="F33" i="42" s="1"/>
  <c r="I66" i="39"/>
  <c r="F34" i="42" s="1"/>
  <c r="I67" i="39"/>
  <c r="F35" i="42" s="1"/>
  <c r="L71" i="39"/>
  <c r="S75" i="39"/>
  <c r="O79" i="39"/>
  <c r="P80" i="39"/>
  <c r="P81" i="39"/>
  <c r="I82" i="39"/>
  <c r="F50" i="42" s="1"/>
  <c r="Q87" i="39"/>
  <c r="L87" i="39"/>
  <c r="N87" i="39" s="1"/>
  <c r="V87" i="39" s="1"/>
  <c r="W87" i="39" s="1"/>
  <c r="N89" i="39"/>
  <c r="V89" i="39" s="1"/>
  <c r="W89" i="39" s="1"/>
  <c r="R98" i="39"/>
  <c r="R103" i="39"/>
  <c r="O110" i="39"/>
  <c r="I110" i="39"/>
  <c r="Q133" i="39"/>
  <c r="L133" i="39"/>
  <c r="N133" i="39" s="1"/>
  <c r="V133" i="39" s="1"/>
  <c r="W133" i="39" s="1"/>
  <c r="M150" i="39"/>
  <c r="S150" i="39" s="1"/>
  <c r="V162" i="39"/>
  <c r="W162" i="39" s="1"/>
  <c r="L168" i="39"/>
  <c r="G168" i="39"/>
  <c r="Q168" i="39"/>
  <c r="O44" i="39"/>
  <c r="J47" i="39"/>
  <c r="O62" i="39"/>
  <c r="O64" i="39"/>
  <c r="Q73" i="39"/>
  <c r="O75" i="39"/>
  <c r="L82" i="39"/>
  <c r="Q85" i="39"/>
  <c r="T85" i="39" s="1"/>
  <c r="L85" i="39"/>
  <c r="N85" i="39" s="1"/>
  <c r="V85" i="39" s="1"/>
  <c r="W85" i="39" s="1"/>
  <c r="N86" i="39"/>
  <c r="V86" i="39" s="1"/>
  <c r="W86" i="39" s="1"/>
  <c r="P89" i="39"/>
  <c r="P90" i="39"/>
  <c r="S98" i="39"/>
  <c r="O98" i="39"/>
  <c r="Q98" i="39"/>
  <c r="S103" i="39"/>
  <c r="O103" i="39"/>
  <c r="Q103" i="39"/>
  <c r="V106" i="39"/>
  <c r="W106" i="39" s="1"/>
  <c r="L124" i="39"/>
  <c r="L136" i="39"/>
  <c r="Q136" i="39"/>
  <c r="O94" i="39"/>
  <c r="R95" i="39"/>
  <c r="L97" i="39"/>
  <c r="R99" i="39"/>
  <c r="O100" i="39"/>
  <c r="J105" i="39"/>
  <c r="Q106" i="39"/>
  <c r="R110" i="39"/>
  <c r="I114" i="39"/>
  <c r="F82" i="42" s="1"/>
  <c r="I124" i="39"/>
  <c r="F92" i="42" s="1"/>
  <c r="O129" i="39"/>
  <c r="R130" i="39"/>
  <c r="K131" i="39"/>
  <c r="R134" i="39"/>
  <c r="Q135" i="39"/>
  <c r="S137" i="39"/>
  <c r="O137" i="39"/>
  <c r="R137" i="39"/>
  <c r="N141" i="39"/>
  <c r="V141" i="39" s="1"/>
  <c r="W141" i="39" s="1"/>
  <c r="T146" i="39"/>
  <c r="N146" i="39"/>
  <c r="V146" i="39" s="1"/>
  <c r="W146" i="39" s="1"/>
  <c r="Q159" i="39"/>
  <c r="L159" i="39"/>
  <c r="M159" i="39" s="1"/>
  <c r="S159" i="39" s="1"/>
  <c r="Q191" i="39"/>
  <c r="T191" i="39" s="1"/>
  <c r="L191" i="39"/>
  <c r="R106" i="39"/>
  <c r="P111" i="39"/>
  <c r="P129" i="39"/>
  <c r="O138" i="39"/>
  <c r="I138" i="39"/>
  <c r="Q140" i="39"/>
  <c r="L140" i="39"/>
  <c r="Q141" i="39"/>
  <c r="L166" i="39"/>
  <c r="G166" i="39"/>
  <c r="J180" i="39"/>
  <c r="J172" i="39"/>
  <c r="J171" i="39"/>
  <c r="J170" i="39"/>
  <c r="O106" i="39"/>
  <c r="T126" i="39"/>
  <c r="U125" i="39" s="1"/>
  <c r="S128" i="39"/>
  <c r="R129" i="39"/>
  <c r="H131" i="39"/>
  <c r="O133" i="39"/>
  <c r="S141" i="39"/>
  <c r="O141" i="39"/>
  <c r="R141" i="39"/>
  <c r="Q182" i="39"/>
  <c r="G182" i="39"/>
  <c r="L182" i="39"/>
  <c r="R138" i="39"/>
  <c r="M143" i="39"/>
  <c r="S143" i="39" s="1"/>
  <c r="T143" i="39" s="1"/>
  <c r="Q149" i="39"/>
  <c r="R150" i="39"/>
  <c r="K151" i="39"/>
  <c r="R151" i="39" s="1"/>
  <c r="O151" i="39"/>
  <c r="O153" i="39"/>
  <c r="O155" i="39"/>
  <c r="O157" i="39"/>
  <c r="G165" i="39"/>
  <c r="J177" i="39"/>
  <c r="T188" i="39"/>
  <c r="N194" i="39"/>
  <c r="V194" i="39" s="1"/>
  <c r="W194" i="39" s="1"/>
  <c r="X193" i="39" s="1"/>
  <c r="T196" i="39"/>
  <c r="Q197" i="39"/>
  <c r="L197" i="39"/>
  <c r="N197" i="39" s="1"/>
  <c r="V197" i="39" s="1"/>
  <c r="W197" i="39" s="1"/>
  <c r="P139" i="39"/>
  <c r="Q165" i="39"/>
  <c r="AE169" i="39"/>
  <c r="J167" i="39"/>
  <c r="J174" i="39"/>
  <c r="N188" i="39"/>
  <c r="V188" i="39" s="1"/>
  <c r="W188" i="39" s="1"/>
  <c r="N189" i="39"/>
  <c r="V189" i="39" s="1"/>
  <c r="W189" i="39" s="1"/>
  <c r="Q192" i="39"/>
  <c r="T192" i="39" s="1"/>
  <c r="L192" i="39"/>
  <c r="N192" i="39" s="1"/>
  <c r="V192" i="39" s="1"/>
  <c r="W192" i="39" s="1"/>
  <c r="N196" i="39"/>
  <c r="V196" i="39" s="1"/>
  <c r="W196" i="39" s="1"/>
  <c r="V210" i="39"/>
  <c r="I161" i="39"/>
  <c r="F129" i="42" s="1"/>
  <c r="AC169" i="39"/>
  <c r="J175" i="39"/>
  <c r="G184" i="39"/>
  <c r="I199" i="39"/>
  <c r="F168" i="42" s="1"/>
  <c r="O206" i="39"/>
  <c r="T209" i="39"/>
  <c r="O223" i="39"/>
  <c r="I223" i="39"/>
  <c r="N223" i="39" s="1"/>
  <c r="V223" i="39" s="1"/>
  <c r="W223" i="39" s="1"/>
  <c r="N228" i="39"/>
  <c r="V228" i="39" s="1"/>
  <c r="W228" i="39" s="1"/>
  <c r="M249" i="39"/>
  <c r="S249" i="39" s="1"/>
  <c r="T249" i="39" s="1"/>
  <c r="R197" i="39"/>
  <c r="P204" i="39"/>
  <c r="S204" i="39"/>
  <c r="O204" i="39"/>
  <c r="R204" i="39"/>
  <c r="Q205" i="39"/>
  <c r="L205" i="39"/>
  <c r="O208" i="39"/>
  <c r="M247" i="39"/>
  <c r="S247" i="39" s="1"/>
  <c r="I191" i="39"/>
  <c r="F160" i="42" s="1"/>
  <c r="O197" i="39"/>
  <c r="Q201" i="39"/>
  <c r="T201" i="39" s="1"/>
  <c r="L201" i="39"/>
  <c r="Q203" i="39"/>
  <c r="L203" i="39"/>
  <c r="N209" i="39"/>
  <c r="V209" i="39" s="1"/>
  <c r="Q222" i="39"/>
  <c r="L222" i="39"/>
  <c r="N222" i="39" s="1"/>
  <c r="V222" i="39" s="1"/>
  <c r="W222" i="39" s="1"/>
  <c r="Q244" i="39"/>
  <c r="L244" i="39"/>
  <c r="L206" i="39"/>
  <c r="R207" i="39"/>
  <c r="L208" i="39"/>
  <c r="R210" i="39"/>
  <c r="I211" i="39"/>
  <c r="P212" i="39"/>
  <c r="R214" i="39"/>
  <c r="P215" i="39"/>
  <c r="S223" i="39"/>
  <c r="S230" i="39" s="1"/>
  <c r="P250" i="39"/>
  <c r="R203" i="39"/>
  <c r="R205" i="39"/>
  <c r="O210" i="39"/>
  <c r="S210" i="39"/>
  <c r="O214" i="39"/>
  <c r="Q215" i="39"/>
  <c r="P223" i="39"/>
  <c r="P230" i="39" s="1"/>
  <c r="I201" i="39"/>
  <c r="F170" i="42" s="1"/>
  <c r="O203" i="39"/>
  <c r="L204" i="39"/>
  <c r="O205" i="39"/>
  <c r="S15" i="30" l="1"/>
  <c r="V109" i="42"/>
  <c r="V105" i="42"/>
  <c r="V119" i="42"/>
  <c r="V85" i="42"/>
  <c r="V43" i="42"/>
  <c r="V88" i="42"/>
  <c r="V61" i="42"/>
  <c r="V115" i="42"/>
  <c r="V74" i="42"/>
  <c r="V66" i="42"/>
  <c r="V128" i="42"/>
  <c r="V55" i="42"/>
  <c r="V22" i="42"/>
  <c r="V102" i="42"/>
  <c r="V118" i="42"/>
  <c r="V97" i="42"/>
  <c r="V32" i="42"/>
  <c r="N110" i="39"/>
  <c r="V110" i="39" s="1"/>
  <c r="W110" i="39" s="1"/>
  <c r="F78" i="42"/>
  <c r="I29" i="42"/>
  <c r="T29" i="42" s="1"/>
  <c r="G29" i="42"/>
  <c r="J29" i="42" s="1"/>
  <c r="U29" i="42" s="1"/>
  <c r="I47" i="42"/>
  <c r="T47" i="42" s="1"/>
  <c r="G47" i="42"/>
  <c r="J47" i="42" s="1"/>
  <c r="U47" i="42" s="1"/>
  <c r="N42" i="39"/>
  <c r="V42" i="39" s="1"/>
  <c r="W42" i="39" s="1"/>
  <c r="F10" i="42"/>
  <c r="I37" i="38"/>
  <c r="T37" i="38" s="1"/>
  <c r="G37" i="38"/>
  <c r="I32" i="38"/>
  <c r="T32" i="38" s="1"/>
  <c r="G32" i="38"/>
  <c r="I40" i="38"/>
  <c r="T40" i="38" s="1"/>
  <c r="G40" i="38"/>
  <c r="J40" i="38" s="1"/>
  <c r="U40" i="38" s="1"/>
  <c r="M148" i="39"/>
  <c r="F116" i="42"/>
  <c r="I17" i="42"/>
  <c r="T17" i="42" s="1"/>
  <c r="G17" i="42"/>
  <c r="J17" i="42" s="1"/>
  <c r="U17" i="42" s="1"/>
  <c r="I23" i="38"/>
  <c r="T23" i="38" s="1"/>
  <c r="G23" i="38"/>
  <c r="J23" i="38" s="1"/>
  <c r="U23" i="38" s="1"/>
  <c r="G169" i="42"/>
  <c r="J169" i="42" s="1"/>
  <c r="U169" i="42" s="1"/>
  <c r="I169" i="42"/>
  <c r="T169" i="42" s="1"/>
  <c r="F52" i="38"/>
  <c r="G52" i="38" s="1"/>
  <c r="J52" i="38" s="1"/>
  <c r="U52" i="38" s="1"/>
  <c r="F180" i="42"/>
  <c r="I45" i="42"/>
  <c r="T45" i="42" s="1"/>
  <c r="G45" i="42"/>
  <c r="J45" i="42" s="1"/>
  <c r="U45" i="42" s="1"/>
  <c r="N53" i="39"/>
  <c r="V53" i="39" s="1"/>
  <c r="W53" i="39" s="1"/>
  <c r="F21" i="42"/>
  <c r="G62" i="42"/>
  <c r="J62" i="42" s="1"/>
  <c r="U62" i="42" s="1"/>
  <c r="I62" i="42"/>
  <c r="T62" i="42" s="1"/>
  <c r="I27" i="42"/>
  <c r="T27" i="42" s="1"/>
  <c r="G27" i="42"/>
  <c r="J27" i="42" s="1"/>
  <c r="U27" i="42" s="1"/>
  <c r="I68" i="42"/>
  <c r="T68" i="42" s="1"/>
  <c r="G68" i="42"/>
  <c r="J68" i="42" s="1"/>
  <c r="U68" i="42" s="1"/>
  <c r="I136" i="39"/>
  <c r="F104" i="42" s="1"/>
  <c r="G193" i="42" s="1"/>
  <c r="H189" i="42" s="1"/>
  <c r="N138" i="39"/>
  <c r="V138" i="39" s="1"/>
  <c r="W138" i="39" s="1"/>
  <c r="F106" i="42"/>
  <c r="I92" i="42"/>
  <c r="T92" i="42" s="1"/>
  <c r="G92" i="42"/>
  <c r="J92" i="42" s="1"/>
  <c r="U92" i="42" s="1"/>
  <c r="I35" i="42"/>
  <c r="T35" i="42" s="1"/>
  <c r="G35" i="42"/>
  <c r="J35" i="42" s="1"/>
  <c r="U35" i="42" s="1"/>
  <c r="I36" i="42"/>
  <c r="T36" i="42" s="1"/>
  <c r="G36" i="42"/>
  <c r="J36" i="42" s="1"/>
  <c r="U36" i="42" s="1"/>
  <c r="I13" i="42"/>
  <c r="T13" i="42" s="1"/>
  <c r="G13" i="42"/>
  <c r="J13" i="42" s="1"/>
  <c r="U13" i="42" s="1"/>
  <c r="N99" i="39"/>
  <c r="V99" i="39" s="1"/>
  <c r="W99" i="39" s="1"/>
  <c r="F67" i="42"/>
  <c r="I14" i="42"/>
  <c r="T14" i="42" s="1"/>
  <c r="G14" i="42"/>
  <c r="J14" i="42" s="1"/>
  <c r="U14" i="42" s="1"/>
  <c r="N70" i="39"/>
  <c r="V70" i="39" s="1"/>
  <c r="W70" i="39" s="1"/>
  <c r="F38" i="42"/>
  <c r="I110" i="42"/>
  <c r="T110" i="42" s="1"/>
  <c r="G110" i="42"/>
  <c r="J110" i="42" s="1"/>
  <c r="U110" i="42" s="1"/>
  <c r="I69" i="42"/>
  <c r="T69" i="42" s="1"/>
  <c r="G69" i="42"/>
  <c r="J69" i="42" s="1"/>
  <c r="U69" i="42" s="1"/>
  <c r="I108" i="42"/>
  <c r="T108" i="42" s="1"/>
  <c r="G108" i="42"/>
  <c r="J108" i="42" s="1"/>
  <c r="U108" i="42" s="1"/>
  <c r="I175" i="42"/>
  <c r="T175" i="42" s="1"/>
  <c r="G175" i="42"/>
  <c r="J175" i="42" s="1"/>
  <c r="U175" i="42" s="1"/>
  <c r="N111" i="39"/>
  <c r="V111" i="39" s="1"/>
  <c r="W111" i="39" s="1"/>
  <c r="F79" i="42"/>
  <c r="I51" i="38"/>
  <c r="T51" i="38" s="1"/>
  <c r="G51" i="38"/>
  <c r="J51" i="38" s="1"/>
  <c r="U51" i="38" s="1"/>
  <c r="G48" i="42"/>
  <c r="J48" i="42" s="1"/>
  <c r="U48" i="42" s="1"/>
  <c r="I48" i="42"/>
  <c r="T48" i="42" s="1"/>
  <c r="V101" i="42"/>
  <c r="V87" i="42"/>
  <c r="I38" i="38"/>
  <c r="T38" i="38" s="1"/>
  <c r="V38" i="38" s="1"/>
  <c r="G38" i="38"/>
  <c r="J38" i="38" s="1"/>
  <c r="U38" i="38" s="1"/>
  <c r="I34" i="38"/>
  <c r="T34" i="38" s="1"/>
  <c r="V34" i="38" s="1"/>
  <c r="G34" i="38"/>
  <c r="J34" i="38" s="1"/>
  <c r="U34" i="38" s="1"/>
  <c r="G111" i="42"/>
  <c r="J111" i="42" s="1"/>
  <c r="U111" i="42" s="1"/>
  <c r="I111" i="42"/>
  <c r="T111" i="42" s="1"/>
  <c r="I19" i="38"/>
  <c r="T19" i="38" s="1"/>
  <c r="V50" i="38"/>
  <c r="I114" i="42"/>
  <c r="T114" i="42" s="1"/>
  <c r="G114" i="42"/>
  <c r="J114" i="42" s="1"/>
  <c r="U114" i="42" s="1"/>
  <c r="V84" i="42"/>
  <c r="V60" i="42"/>
  <c r="V57" i="42"/>
  <c r="V113" i="42"/>
  <c r="I80" i="42"/>
  <c r="T80" i="42" s="1"/>
  <c r="G80" i="42"/>
  <c r="J80" i="42" s="1"/>
  <c r="U80" i="42" s="1"/>
  <c r="V76" i="42"/>
  <c r="V71" i="42"/>
  <c r="V86" i="42"/>
  <c r="V49" i="42"/>
  <c r="V12" i="42"/>
  <c r="I82" i="42"/>
  <c r="T82" i="42" s="1"/>
  <c r="G82" i="42"/>
  <c r="J82" i="42" s="1"/>
  <c r="U82" i="42" s="1"/>
  <c r="G34" i="42"/>
  <c r="J34" i="42" s="1"/>
  <c r="U34" i="42" s="1"/>
  <c r="I34" i="42"/>
  <c r="T34" i="42" s="1"/>
  <c r="I44" i="42"/>
  <c r="T44" i="42" s="1"/>
  <c r="G44" i="42"/>
  <c r="J44" i="42" s="1"/>
  <c r="U44" i="42" s="1"/>
  <c r="I23" i="42"/>
  <c r="T23" i="42" s="1"/>
  <c r="G23" i="42"/>
  <c r="J23" i="42" s="1"/>
  <c r="U23" i="42" s="1"/>
  <c r="N130" i="39"/>
  <c r="V130" i="39" s="1"/>
  <c r="W130" i="39" s="1"/>
  <c r="F98" i="42"/>
  <c r="F48" i="38"/>
  <c r="G48" i="38" s="1"/>
  <c r="J48" i="38" s="1"/>
  <c r="U48" i="38" s="1"/>
  <c r="F176" i="42"/>
  <c r="N91" i="39"/>
  <c r="V91" i="39" s="1"/>
  <c r="W91" i="39" s="1"/>
  <c r="F59" i="42"/>
  <c r="I40" i="42"/>
  <c r="T40" i="42" s="1"/>
  <c r="G40" i="42"/>
  <c r="J40" i="42" s="1"/>
  <c r="U40" i="42" s="1"/>
  <c r="G24" i="42"/>
  <c r="J24" i="42" s="1"/>
  <c r="U24" i="42" s="1"/>
  <c r="I24" i="42"/>
  <c r="T24" i="42" s="1"/>
  <c r="G155" i="42"/>
  <c r="J155" i="42" s="1"/>
  <c r="U155" i="42" s="1"/>
  <c r="I155" i="42"/>
  <c r="T155" i="42" s="1"/>
  <c r="I112" i="42"/>
  <c r="T112" i="42" s="1"/>
  <c r="G112" i="42"/>
  <c r="J112" i="42" s="1"/>
  <c r="U112" i="42" s="1"/>
  <c r="G15" i="42"/>
  <c r="J15" i="42" s="1"/>
  <c r="U15" i="42" s="1"/>
  <c r="I15" i="42"/>
  <c r="T15" i="42" s="1"/>
  <c r="G20" i="42"/>
  <c r="J20" i="42" s="1"/>
  <c r="U20" i="42" s="1"/>
  <c r="I20" i="42"/>
  <c r="T20" i="42" s="1"/>
  <c r="I170" i="42"/>
  <c r="T170" i="42" s="1"/>
  <c r="G170" i="42"/>
  <c r="J170" i="42" s="1"/>
  <c r="U170" i="42" s="1"/>
  <c r="I160" i="42"/>
  <c r="T160" i="42" s="1"/>
  <c r="G160" i="42"/>
  <c r="J160" i="42" s="1"/>
  <c r="U160" i="42" s="1"/>
  <c r="G168" i="42"/>
  <c r="J168" i="42" s="1"/>
  <c r="U168" i="42" s="1"/>
  <c r="I168" i="42"/>
  <c r="T168" i="42" s="1"/>
  <c r="G129" i="42"/>
  <c r="J129" i="42" s="1"/>
  <c r="U129" i="42" s="1"/>
  <c r="I129" i="42"/>
  <c r="T129" i="42" s="1"/>
  <c r="I50" i="42"/>
  <c r="T50" i="42" s="1"/>
  <c r="G50" i="42"/>
  <c r="J50" i="42" s="1"/>
  <c r="U50" i="42" s="1"/>
  <c r="I33" i="42"/>
  <c r="T33" i="42" s="1"/>
  <c r="G33" i="42"/>
  <c r="J33" i="42" s="1"/>
  <c r="U33" i="42" s="1"/>
  <c r="N73" i="39"/>
  <c r="V73" i="39" s="1"/>
  <c r="W73" i="39" s="1"/>
  <c r="F41" i="42"/>
  <c r="N104" i="39"/>
  <c r="V104" i="39" s="1"/>
  <c r="W104" i="39" s="1"/>
  <c r="F72" i="42"/>
  <c r="G177" i="42"/>
  <c r="J177" i="42" s="1"/>
  <c r="U177" i="42" s="1"/>
  <c r="I177" i="42"/>
  <c r="T177" i="42" s="1"/>
  <c r="N135" i="39"/>
  <c r="V135" i="39" s="1"/>
  <c r="W135" i="39" s="1"/>
  <c r="F103" i="42"/>
  <c r="I63" i="42"/>
  <c r="T63" i="42" s="1"/>
  <c r="G63" i="42"/>
  <c r="J63" i="42" s="1"/>
  <c r="U63" i="42" s="1"/>
  <c r="G39" i="42"/>
  <c r="J39" i="42" s="1"/>
  <c r="U39" i="42" s="1"/>
  <c r="I39" i="42"/>
  <c r="T39" i="42" s="1"/>
  <c r="I19" i="42"/>
  <c r="T19" i="42" s="1"/>
  <c r="G19" i="42"/>
  <c r="J19" i="42" s="1"/>
  <c r="U19" i="42" s="1"/>
  <c r="I73" i="42"/>
  <c r="T73" i="42" s="1"/>
  <c r="G73" i="42"/>
  <c r="J73" i="42" s="1"/>
  <c r="U73" i="42" s="1"/>
  <c r="N128" i="39"/>
  <c r="V128" i="39" s="1"/>
  <c r="W128" i="39" s="1"/>
  <c r="F96" i="42"/>
  <c r="I16" i="42"/>
  <c r="T16" i="42" s="1"/>
  <c r="G16" i="42"/>
  <c r="J16" i="42" s="1"/>
  <c r="U16" i="42" s="1"/>
  <c r="I33" i="38"/>
  <c r="T33" i="38" s="1"/>
  <c r="G33" i="38"/>
  <c r="J33" i="38" s="1"/>
  <c r="U33" i="38" s="1"/>
  <c r="V33" i="38" s="1"/>
  <c r="I27" i="38"/>
  <c r="T27" i="38" s="1"/>
  <c r="G27" i="38"/>
  <c r="J27" i="38" s="1"/>
  <c r="U27" i="38" s="1"/>
  <c r="M123" i="39"/>
  <c r="F91" i="42"/>
  <c r="I65" i="42"/>
  <c r="T65" i="42" s="1"/>
  <c r="G65" i="42"/>
  <c r="J65" i="42" s="1"/>
  <c r="U65" i="42" s="1"/>
  <c r="I12" i="38"/>
  <c r="T12" i="38" s="1"/>
  <c r="G12" i="38"/>
  <c r="J12" i="38" s="1"/>
  <c r="U12" i="38" s="1"/>
  <c r="V12" i="38" s="1"/>
  <c r="I41" i="38"/>
  <c r="T41" i="38" s="1"/>
  <c r="G41" i="38"/>
  <c r="J41" i="38" s="1"/>
  <c r="U41" i="38" s="1"/>
  <c r="V107" i="42"/>
  <c r="V58" i="42"/>
  <c r="V77" i="42"/>
  <c r="V30" i="42"/>
  <c r="V11" i="42"/>
  <c r="V42" i="42"/>
  <c r="V24" i="38"/>
  <c r="O47" i="39"/>
  <c r="N26" i="39"/>
  <c r="V26" i="39" s="1"/>
  <c r="W26" i="39" s="1"/>
  <c r="N66" i="39"/>
  <c r="V66" i="39" s="1"/>
  <c r="W66" i="39" s="1"/>
  <c r="T43" i="39"/>
  <c r="S148" i="39"/>
  <c r="N148" i="39"/>
  <c r="V148" i="39" s="1"/>
  <c r="W148" i="39" s="1"/>
  <c r="N136" i="39"/>
  <c r="V136" i="39" s="1"/>
  <c r="W136" i="39" s="1"/>
  <c r="T35" i="39"/>
  <c r="T183" i="39"/>
  <c r="N244" i="39"/>
  <c r="V244" i="39" s="1"/>
  <c r="W244" i="39" s="1"/>
  <c r="T134" i="39"/>
  <c r="T53" i="39"/>
  <c r="T67" i="39"/>
  <c r="T100" i="39"/>
  <c r="N45" i="39"/>
  <c r="V45" i="39" s="1"/>
  <c r="W45" i="39" s="1"/>
  <c r="T26" i="39"/>
  <c r="N34" i="39"/>
  <c r="V34" i="39" s="1"/>
  <c r="W34" i="39" s="1"/>
  <c r="T61" i="39"/>
  <c r="T148" i="39"/>
  <c r="T66" i="39"/>
  <c r="N249" i="39"/>
  <c r="V249" i="39" s="1"/>
  <c r="W249" i="39" s="1"/>
  <c r="T55" i="39"/>
  <c r="V39" i="38"/>
  <c r="N71" i="39"/>
  <c r="V71" i="39" s="1"/>
  <c r="W71" i="39" s="1"/>
  <c r="M48" i="39"/>
  <c r="S48" i="39" s="1"/>
  <c r="T48" i="39" s="1"/>
  <c r="N72" i="39"/>
  <c r="V72" i="39" s="1"/>
  <c r="W72" i="39" s="1"/>
  <c r="T42" i="39"/>
  <c r="I24" i="39"/>
  <c r="F26" i="38" s="1"/>
  <c r="O250" i="39"/>
  <c r="N100" i="39"/>
  <c r="V100" i="39" s="1"/>
  <c r="W100" i="39" s="1"/>
  <c r="T45" i="39"/>
  <c r="T152" i="39"/>
  <c r="N68" i="39"/>
  <c r="V68" i="39" s="1"/>
  <c r="W68" i="39" s="1"/>
  <c r="T104" i="39"/>
  <c r="M200" i="39"/>
  <c r="S200" i="39" s="1"/>
  <c r="T200" i="39" s="1"/>
  <c r="T248" i="39"/>
  <c r="M142" i="39"/>
  <c r="S142" i="39" s="1"/>
  <c r="T142" i="39" s="1"/>
  <c r="V40" i="38"/>
  <c r="J178" i="39"/>
  <c r="J176" i="39"/>
  <c r="V23" i="38"/>
  <c r="V36" i="38"/>
  <c r="T156" i="39"/>
  <c r="M95" i="39"/>
  <c r="S95" i="39" s="1"/>
  <c r="T95" i="39" s="1"/>
  <c r="T20" i="39"/>
  <c r="T16" i="39"/>
  <c r="T70" i="39"/>
  <c r="T91" i="39"/>
  <c r="T71" i="39"/>
  <c r="T51" i="39"/>
  <c r="N20" i="39"/>
  <c r="V20" i="39" s="1"/>
  <c r="W20" i="39" s="1"/>
  <c r="T113" i="39"/>
  <c r="T68" i="39"/>
  <c r="N201" i="39"/>
  <c r="V201" i="39" s="1"/>
  <c r="W201" i="39" s="1"/>
  <c r="T244" i="39"/>
  <c r="U242" i="39" s="1"/>
  <c r="X195" i="39"/>
  <c r="Z195" i="39" s="1"/>
  <c r="T155" i="39"/>
  <c r="T147" i="39"/>
  <c r="T99" i="39"/>
  <c r="T62" i="39"/>
  <c r="M49" i="39"/>
  <c r="S49" i="39" s="1"/>
  <c r="T49" i="39" s="1"/>
  <c r="T92" i="39"/>
  <c r="F35" i="38"/>
  <c r="T154" i="39"/>
  <c r="T128" i="39"/>
  <c r="N140" i="39"/>
  <c r="V140" i="39" s="1"/>
  <c r="W140" i="39" s="1"/>
  <c r="T135" i="39"/>
  <c r="N55" i="39"/>
  <c r="V55" i="39" s="1"/>
  <c r="W55" i="39" s="1"/>
  <c r="Z28" i="39"/>
  <c r="J32" i="38"/>
  <c r="U32" i="38" s="1"/>
  <c r="V32" i="38" s="1"/>
  <c r="J37" i="38"/>
  <c r="U37" i="38" s="1"/>
  <c r="V37" i="38" s="1"/>
  <c r="F31" i="38"/>
  <c r="T212" i="39"/>
  <c r="J53" i="38"/>
  <c r="U53" i="38" s="1"/>
  <c r="V53" i="38" s="1"/>
  <c r="T101" i="39"/>
  <c r="F42" i="38"/>
  <c r="V15" i="38"/>
  <c r="F30" i="38"/>
  <c r="T158" i="39"/>
  <c r="T153" i="39"/>
  <c r="T133" i="39"/>
  <c r="T140" i="39"/>
  <c r="T44" i="39"/>
  <c r="N67" i="39"/>
  <c r="V67" i="39" s="1"/>
  <c r="W67" i="39" s="1"/>
  <c r="F29" i="38"/>
  <c r="M10" i="39"/>
  <c r="S10" i="39" s="1"/>
  <c r="T10" i="39" s="1"/>
  <c r="F14" i="38"/>
  <c r="N212" i="39"/>
  <c r="V212" i="39" s="1"/>
  <c r="W212" i="39" s="1"/>
  <c r="F49" i="38"/>
  <c r="N157" i="39"/>
  <c r="V157" i="39" s="1"/>
  <c r="W157" i="39" s="1"/>
  <c r="T160" i="39"/>
  <c r="N153" i="39"/>
  <c r="V153" i="39" s="1"/>
  <c r="W153" i="39" s="1"/>
  <c r="T136" i="39"/>
  <c r="F16" i="38"/>
  <c r="V28" i="38"/>
  <c r="M79" i="39"/>
  <c r="F18" i="38"/>
  <c r="F13" i="38"/>
  <c r="J22" i="38"/>
  <c r="U22" i="38" s="1"/>
  <c r="J21" i="38"/>
  <c r="U21" i="38" s="1"/>
  <c r="T157" i="39"/>
  <c r="T90" i="39"/>
  <c r="T64" i="39"/>
  <c r="T34" i="39"/>
  <c r="N101" i="39"/>
  <c r="V101" i="39" s="1"/>
  <c r="W101" i="39" s="1"/>
  <c r="T93" i="39"/>
  <c r="N61" i="39"/>
  <c r="V61" i="39" s="1"/>
  <c r="W61" i="39" s="1"/>
  <c r="T72" i="39"/>
  <c r="F11" i="38"/>
  <c r="F47" i="38"/>
  <c r="F17" i="38"/>
  <c r="X187" i="39"/>
  <c r="Z187" i="39" s="1"/>
  <c r="T145" i="39"/>
  <c r="T111" i="39"/>
  <c r="T159" i="39"/>
  <c r="T89" i="39"/>
  <c r="T25" i="39"/>
  <c r="Z30" i="39"/>
  <c r="N17" i="39"/>
  <c r="V17" i="39" s="1"/>
  <c r="W17" i="39" s="1"/>
  <c r="M186" i="39"/>
  <c r="S186" i="39" s="1"/>
  <c r="T186" i="39" s="1"/>
  <c r="U185" i="39" s="1"/>
  <c r="I21" i="38"/>
  <c r="T21" i="38" s="1"/>
  <c r="I22" i="38"/>
  <c r="T22" i="38" s="1"/>
  <c r="N52" i="39"/>
  <c r="V52" i="39" s="1"/>
  <c r="W52" i="39" s="1"/>
  <c r="N205" i="39"/>
  <c r="V205" i="39" s="1"/>
  <c r="Z205" i="39" s="1"/>
  <c r="J46" i="38"/>
  <c r="U46" i="38" s="1"/>
  <c r="V46" i="38" s="1"/>
  <c r="N18" i="39"/>
  <c r="V18" i="39" s="1"/>
  <c r="W18" i="39" s="1"/>
  <c r="J19" i="38"/>
  <c r="U19" i="38" s="1"/>
  <c r="V19" i="38" s="1"/>
  <c r="AA17" i="1" s="1"/>
  <c r="M144" i="39"/>
  <c r="S144" i="39" s="1"/>
  <c r="T144" i="39" s="1"/>
  <c r="T22" i="39"/>
  <c r="N211" i="39"/>
  <c r="V211" i="39" s="1"/>
  <c r="Z211" i="39" s="1"/>
  <c r="I52" i="38"/>
  <c r="T52" i="38" s="1"/>
  <c r="V52" i="38" s="1"/>
  <c r="T215" i="39"/>
  <c r="G229" i="39"/>
  <c r="I229" i="39" s="1"/>
  <c r="N229" i="39" s="1"/>
  <c r="V229" i="39" s="1"/>
  <c r="W229" i="39" s="1"/>
  <c r="N203" i="39"/>
  <c r="V203" i="39" s="1"/>
  <c r="Z203" i="39" s="1"/>
  <c r="J44" i="38"/>
  <c r="U44" i="38" s="1"/>
  <c r="T197" i="39"/>
  <c r="U195" i="39" s="1"/>
  <c r="U187" i="39"/>
  <c r="N145" i="39"/>
  <c r="V145" i="39" s="1"/>
  <c r="W145" i="39" s="1"/>
  <c r="T75" i="39"/>
  <c r="T109" i="39"/>
  <c r="T63" i="39"/>
  <c r="T39" i="39"/>
  <c r="T130" i="39"/>
  <c r="M40" i="39"/>
  <c r="S40" i="39" s="1"/>
  <c r="T40" i="39" s="1"/>
  <c r="N10" i="39"/>
  <c r="V10" i="39" s="1"/>
  <c r="W10" i="39" s="1"/>
  <c r="T210" i="39"/>
  <c r="M206" i="39"/>
  <c r="S206" i="39" s="1"/>
  <c r="T206" i="39" s="1"/>
  <c r="N204" i="39"/>
  <c r="V204" i="39" s="1"/>
  <c r="Z204" i="39" s="1"/>
  <c r="J45" i="38"/>
  <c r="U45" i="38" s="1"/>
  <c r="V45" i="38" s="1"/>
  <c r="T150" i="39"/>
  <c r="T214" i="39"/>
  <c r="N191" i="39"/>
  <c r="V191" i="39" s="1"/>
  <c r="W191" i="39" s="1"/>
  <c r="X190" i="39" s="1"/>
  <c r="Z190" i="39" s="1"/>
  <c r="T139" i="39"/>
  <c r="T149" i="39"/>
  <c r="T106" i="39"/>
  <c r="N150" i="39"/>
  <c r="V150" i="39" s="1"/>
  <c r="W150" i="39" s="1"/>
  <c r="T94" i="39"/>
  <c r="T103" i="39"/>
  <c r="T73" i="39"/>
  <c r="N65" i="39"/>
  <c r="V65" i="39" s="1"/>
  <c r="W65" i="39" s="1"/>
  <c r="M31" i="39"/>
  <c r="S31" i="39" s="1"/>
  <c r="T31" i="39" s="1"/>
  <c r="T54" i="39"/>
  <c r="N35" i="39"/>
  <c r="V35" i="39" s="1"/>
  <c r="W35" i="39" s="1"/>
  <c r="M28" i="39"/>
  <c r="S28" i="39" s="1"/>
  <c r="T28" i="39" s="1"/>
  <c r="M15" i="39"/>
  <c r="S15" i="39" s="1"/>
  <c r="T15" i="39" s="1"/>
  <c r="AB23" i="39"/>
  <c r="AB24" i="39" s="1"/>
  <c r="AD24" i="39" s="1"/>
  <c r="AE24" i="39" s="1"/>
  <c r="I48" i="38"/>
  <c r="T48" i="38" s="1"/>
  <c r="M207" i="39"/>
  <c r="N94" i="39"/>
  <c r="V94" i="39" s="1"/>
  <c r="W94" i="39" s="1"/>
  <c r="N155" i="39"/>
  <c r="V155" i="39" s="1"/>
  <c r="W155" i="39" s="1"/>
  <c r="T112" i="39"/>
  <c r="T65" i="39"/>
  <c r="N183" i="39"/>
  <c r="V183" i="39" s="1"/>
  <c r="W183" i="39" s="1"/>
  <c r="S250" i="39"/>
  <c r="T247" i="39"/>
  <c r="T205" i="39"/>
  <c r="Z209" i="39"/>
  <c r="W209" i="39"/>
  <c r="N247" i="39"/>
  <c r="V247" i="39" s="1"/>
  <c r="W247" i="39" s="1"/>
  <c r="M208" i="39"/>
  <c r="S208" i="39" s="1"/>
  <c r="T208" i="39" s="1"/>
  <c r="Q250" i="39"/>
  <c r="Z214" i="39"/>
  <c r="W214" i="39"/>
  <c r="N200" i="39"/>
  <c r="V200" i="39" s="1"/>
  <c r="W200" i="39" s="1"/>
  <c r="Z193" i="39"/>
  <c r="L151" i="39"/>
  <c r="L171" i="39"/>
  <c r="Q171" i="39"/>
  <c r="G171" i="39"/>
  <c r="T138" i="39"/>
  <c r="N154" i="39"/>
  <c r="V154" i="39" s="1"/>
  <c r="W154" i="39" s="1"/>
  <c r="N143" i="39"/>
  <c r="V143" i="39" s="1"/>
  <c r="W143" i="39" s="1"/>
  <c r="T137" i="39"/>
  <c r="M124" i="39"/>
  <c r="L105" i="39"/>
  <c r="N105" i="39" s="1"/>
  <c r="V105" i="39" s="1"/>
  <c r="W105" i="39" s="1"/>
  <c r="X102" i="39" s="1"/>
  <c r="Q105" i="39"/>
  <c r="T105" i="39" s="1"/>
  <c r="T110" i="39"/>
  <c r="M82" i="39"/>
  <c r="S82" i="39" s="1"/>
  <c r="T82" i="39" s="1"/>
  <c r="Q46" i="39"/>
  <c r="L46" i="39"/>
  <c r="N46" i="39" s="1"/>
  <c r="V46" i="39" s="1"/>
  <c r="W46" i="39" s="1"/>
  <c r="N142" i="39"/>
  <c r="V142" i="39" s="1"/>
  <c r="W142" i="39" s="1"/>
  <c r="L56" i="39"/>
  <c r="N56" i="39" s="1"/>
  <c r="V56" i="39" s="1"/>
  <c r="W56" i="39" s="1"/>
  <c r="Q56" i="39"/>
  <c r="T56" i="39" s="1"/>
  <c r="X83" i="39"/>
  <c r="M59" i="39"/>
  <c r="S59" i="39" s="1"/>
  <c r="T59" i="39" s="1"/>
  <c r="U58" i="39" s="1"/>
  <c r="T46" i="39"/>
  <c r="N32" i="39"/>
  <c r="V32" i="39" s="1"/>
  <c r="W32" i="39" s="1"/>
  <c r="M27" i="39"/>
  <c r="S27" i="39" s="1"/>
  <c r="T27" i="39" s="1"/>
  <c r="M33" i="39"/>
  <c r="S33" i="39" s="1"/>
  <c r="T33" i="39" s="1"/>
  <c r="T38" i="39"/>
  <c r="M29" i="39"/>
  <c r="S29" i="39" s="1"/>
  <c r="T29" i="39" s="1"/>
  <c r="X19" i="39"/>
  <c r="T204" i="39"/>
  <c r="L175" i="39"/>
  <c r="Q175" i="39"/>
  <c r="G175" i="39"/>
  <c r="L174" i="39"/>
  <c r="Q174" i="39"/>
  <c r="G174" i="39"/>
  <c r="I182" i="39"/>
  <c r="F150" i="42" s="1"/>
  <c r="O182" i="39"/>
  <c r="P131" i="39"/>
  <c r="P216" i="39" s="1"/>
  <c r="I131" i="39"/>
  <c r="F99" i="42" s="1"/>
  <c r="L172" i="39"/>
  <c r="Q172" i="39"/>
  <c r="G172" i="39"/>
  <c r="N152" i="39"/>
  <c r="V152" i="39" s="1"/>
  <c r="W152" i="39" s="1"/>
  <c r="R131" i="39"/>
  <c r="R216" i="39" s="1"/>
  <c r="J131" i="39"/>
  <c r="M114" i="39"/>
  <c r="S114" i="39" s="1"/>
  <c r="T114" i="39" s="1"/>
  <c r="Q47" i="39"/>
  <c r="T47" i="39" s="1"/>
  <c r="L47" i="39"/>
  <c r="N47" i="39" s="1"/>
  <c r="V47" i="39" s="1"/>
  <c r="W47" i="39" s="1"/>
  <c r="I168" i="39"/>
  <c r="O168" i="39"/>
  <c r="N149" i="39"/>
  <c r="V149" i="39" s="1"/>
  <c r="W149" i="39" s="1"/>
  <c r="M97" i="39"/>
  <c r="S97" i="39" s="1"/>
  <c r="T97" i="39" s="1"/>
  <c r="M76" i="39"/>
  <c r="S76" i="39" s="1"/>
  <c r="T76" i="39" s="1"/>
  <c r="N80" i="39"/>
  <c r="V80" i="39" s="1"/>
  <c r="W80" i="39" s="1"/>
  <c r="M13" i="39"/>
  <c r="S13" i="39" s="1"/>
  <c r="T13" i="39" s="1"/>
  <c r="Z125" i="39"/>
  <c r="W204" i="39"/>
  <c r="T203" i="39"/>
  <c r="Q230" i="39"/>
  <c r="T222" i="39"/>
  <c r="N248" i="39"/>
  <c r="V248" i="39" s="1"/>
  <c r="W248" i="39" s="1"/>
  <c r="M199" i="39"/>
  <c r="S199" i="39" s="1"/>
  <c r="T199" i="39" s="1"/>
  <c r="U198" i="39" s="1"/>
  <c r="Z210" i="39"/>
  <c r="W210" i="39"/>
  <c r="L167" i="39"/>
  <c r="Q167" i="39"/>
  <c r="G167" i="39"/>
  <c r="L177" i="39"/>
  <c r="Q177" i="39"/>
  <c r="G177" i="39"/>
  <c r="N160" i="39"/>
  <c r="V160" i="39" s="1"/>
  <c r="W160" i="39" s="1"/>
  <c r="T141" i="39"/>
  <c r="L180" i="39"/>
  <c r="G180" i="39"/>
  <c r="Q180" i="39"/>
  <c r="U190" i="39"/>
  <c r="N158" i="39"/>
  <c r="V158" i="39" s="1"/>
  <c r="W158" i="39" s="1"/>
  <c r="T98" i="39"/>
  <c r="T108" i="39"/>
  <c r="T87" i="39"/>
  <c r="U83" i="39" s="1"/>
  <c r="X115" i="39"/>
  <c r="N25" i="39"/>
  <c r="V25" i="39" s="1"/>
  <c r="W25" i="39" s="1"/>
  <c r="W215" i="39"/>
  <c r="Z215" i="39"/>
  <c r="T223" i="39"/>
  <c r="O184" i="39"/>
  <c r="I184" i="39"/>
  <c r="F152" i="42" s="1"/>
  <c r="M161" i="39"/>
  <c r="S161" i="39" s="1"/>
  <c r="T161" i="39" s="1"/>
  <c r="I165" i="39"/>
  <c r="O165" i="39"/>
  <c r="N147" i="39"/>
  <c r="V147" i="39" s="1"/>
  <c r="W147" i="39" s="1"/>
  <c r="L170" i="39"/>
  <c r="Q170" i="39"/>
  <c r="G170" i="39"/>
  <c r="I166" i="39"/>
  <c r="O166" i="39"/>
  <c r="X242" i="39"/>
  <c r="N156" i="39"/>
  <c r="V156" i="39" s="1"/>
  <c r="W156" i="39" s="1"/>
  <c r="T129" i="39"/>
  <c r="N159" i="39"/>
  <c r="V159" i="39" s="1"/>
  <c r="W159" i="39" s="1"/>
  <c r="T81" i="39"/>
  <c r="M77" i="39"/>
  <c r="S77" i="39" s="1"/>
  <c r="T77" i="39" s="1"/>
  <c r="T80" i="39"/>
  <c r="M24" i="39"/>
  <c r="S24" i="39" s="1"/>
  <c r="T24" i="39" s="1"/>
  <c r="T32" i="39"/>
  <c r="M30" i="39"/>
  <c r="S30" i="39" s="1"/>
  <c r="T30" i="39" s="1"/>
  <c r="M12" i="39"/>
  <c r="S12" i="39" s="1"/>
  <c r="N16" i="39"/>
  <c r="V16" i="39" s="1"/>
  <c r="W16" i="39" s="1"/>
  <c r="V27" i="42" l="1"/>
  <c r="V29" i="42"/>
  <c r="V175" i="42"/>
  <c r="V69" i="42"/>
  <c r="V177" i="42"/>
  <c r="V65" i="42"/>
  <c r="V73" i="42"/>
  <c r="V168" i="42"/>
  <c r="V15" i="42"/>
  <c r="V155" i="42"/>
  <c r="V14" i="42"/>
  <c r="V13" i="42"/>
  <c r="V35" i="42"/>
  <c r="V112" i="42"/>
  <c r="V44" i="42"/>
  <c r="V68" i="42"/>
  <c r="V47" i="42"/>
  <c r="V108" i="42"/>
  <c r="V110" i="42"/>
  <c r="V82" i="42"/>
  <c r="V33" i="42"/>
  <c r="V111" i="42"/>
  <c r="V34" i="42"/>
  <c r="V16" i="42"/>
  <c r="V17" i="42"/>
  <c r="V51" i="38"/>
  <c r="AA15" i="1" s="1"/>
  <c r="V41" i="38"/>
  <c r="V27" i="38"/>
  <c r="I29" i="38"/>
  <c r="T29" i="38" s="1"/>
  <c r="G29" i="38"/>
  <c r="J29" i="38" s="1"/>
  <c r="U29" i="38" s="1"/>
  <c r="I152" i="42"/>
  <c r="T152" i="42" s="1"/>
  <c r="G152" i="42"/>
  <c r="J152" i="42" s="1"/>
  <c r="U152" i="42" s="1"/>
  <c r="G150" i="42"/>
  <c r="J150" i="42" s="1"/>
  <c r="U150" i="42" s="1"/>
  <c r="I150" i="42"/>
  <c r="T150" i="42" s="1"/>
  <c r="I17" i="38"/>
  <c r="T17" i="38" s="1"/>
  <c r="G17" i="38"/>
  <c r="J17" i="38" s="1"/>
  <c r="U17" i="38" s="1"/>
  <c r="I14" i="38"/>
  <c r="T14" i="38" s="1"/>
  <c r="G14" i="38"/>
  <c r="J14" i="38" s="1"/>
  <c r="U14" i="38" s="1"/>
  <c r="V19" i="42"/>
  <c r="V63" i="42"/>
  <c r="V50" i="42"/>
  <c r="V170" i="42"/>
  <c r="V40" i="42"/>
  <c r="V23" i="42"/>
  <c r="I21" i="42"/>
  <c r="T21" i="42" s="1"/>
  <c r="G21" i="42"/>
  <c r="J21" i="42" s="1"/>
  <c r="U21" i="42" s="1"/>
  <c r="I180" i="42"/>
  <c r="T180" i="42" s="1"/>
  <c r="G180" i="42"/>
  <c r="J180" i="42" s="1"/>
  <c r="U180" i="42" s="1"/>
  <c r="I116" i="42"/>
  <c r="T116" i="42" s="1"/>
  <c r="G116" i="42"/>
  <c r="J116" i="42" s="1"/>
  <c r="U116" i="42" s="1"/>
  <c r="I10" i="42"/>
  <c r="T10" i="42" s="1"/>
  <c r="G10" i="42"/>
  <c r="J10" i="42" s="1"/>
  <c r="U10" i="42" s="1"/>
  <c r="I18" i="38"/>
  <c r="T18" i="38" s="1"/>
  <c r="G18" i="38"/>
  <c r="J18" i="38" s="1"/>
  <c r="U18" i="38" s="1"/>
  <c r="S26" i="30"/>
  <c r="AA32" i="1"/>
  <c r="V160" i="42"/>
  <c r="I99" i="42"/>
  <c r="T99" i="42" s="1"/>
  <c r="G99" i="42"/>
  <c r="J99" i="42" s="1"/>
  <c r="U99" i="42" s="1"/>
  <c r="N95" i="39"/>
  <c r="V95" i="39" s="1"/>
  <c r="W95" i="39" s="1"/>
  <c r="I47" i="38"/>
  <c r="T47" i="38" s="1"/>
  <c r="V47" i="38" s="1"/>
  <c r="G47" i="38"/>
  <c r="J47" i="38" s="1"/>
  <c r="U47" i="38" s="1"/>
  <c r="I13" i="38"/>
  <c r="T13" i="38" s="1"/>
  <c r="G13" i="38"/>
  <c r="J13" i="38" s="1"/>
  <c r="U13" i="38" s="1"/>
  <c r="V13" i="38" s="1"/>
  <c r="I16" i="38"/>
  <c r="T16" i="38" s="1"/>
  <c r="G16" i="38"/>
  <c r="J16" i="38" s="1"/>
  <c r="U16" i="38" s="1"/>
  <c r="I30" i="38"/>
  <c r="T30" i="38" s="1"/>
  <c r="G30" i="38"/>
  <c r="J30" i="38" s="1"/>
  <c r="U30" i="38" s="1"/>
  <c r="V39" i="42"/>
  <c r="G103" i="42"/>
  <c r="J103" i="42" s="1"/>
  <c r="U103" i="42" s="1"/>
  <c r="I103" i="42"/>
  <c r="T103" i="42" s="1"/>
  <c r="G72" i="42"/>
  <c r="J72" i="42" s="1"/>
  <c r="U72" i="42" s="1"/>
  <c r="I72" i="42"/>
  <c r="T72" i="42" s="1"/>
  <c r="V129" i="42"/>
  <c r="S27" i="30"/>
  <c r="AA33" i="1"/>
  <c r="V20" i="42"/>
  <c r="V24" i="42"/>
  <c r="I59" i="42"/>
  <c r="T59" i="42" s="1"/>
  <c r="G59" i="42"/>
  <c r="J59" i="42" s="1"/>
  <c r="U59" i="42" s="1"/>
  <c r="G98" i="42"/>
  <c r="J98" i="42" s="1"/>
  <c r="U98" i="42" s="1"/>
  <c r="I98" i="42"/>
  <c r="T98" i="42" s="1"/>
  <c r="V114" i="42"/>
  <c r="I38" i="42"/>
  <c r="T38" i="42" s="1"/>
  <c r="G38" i="42"/>
  <c r="J38" i="42" s="1"/>
  <c r="U38" i="42" s="1"/>
  <c r="G67" i="42"/>
  <c r="J67" i="42" s="1"/>
  <c r="U67" i="42" s="1"/>
  <c r="I67" i="42"/>
  <c r="T67" i="42" s="1"/>
  <c r="V67" i="42" s="1"/>
  <c r="I104" i="42"/>
  <c r="T104" i="42" s="1"/>
  <c r="G104" i="42"/>
  <c r="J104" i="42" s="1"/>
  <c r="U104" i="42" s="1"/>
  <c r="V36" i="42"/>
  <c r="V92" i="42"/>
  <c r="V62" i="42"/>
  <c r="V169" i="42"/>
  <c r="I78" i="42"/>
  <c r="T78" i="42" s="1"/>
  <c r="G78" i="42"/>
  <c r="J78" i="42" s="1"/>
  <c r="U78" i="42" s="1"/>
  <c r="I11" i="38"/>
  <c r="T11" i="38" s="1"/>
  <c r="V11" i="38" s="1"/>
  <c r="AA18" i="1" s="1"/>
  <c r="G11" i="38"/>
  <c r="J11" i="38" s="1"/>
  <c r="U11" i="38" s="1"/>
  <c r="I49" i="38"/>
  <c r="T49" i="38" s="1"/>
  <c r="V49" i="38" s="1"/>
  <c r="G49" i="38"/>
  <c r="J49" i="38" s="1"/>
  <c r="U49" i="38" s="1"/>
  <c r="I42" i="38"/>
  <c r="T42" i="38" s="1"/>
  <c r="G42" i="38"/>
  <c r="J42" i="38" s="1"/>
  <c r="U42" i="38" s="1"/>
  <c r="I31" i="38"/>
  <c r="T31" i="38" s="1"/>
  <c r="G31" i="38"/>
  <c r="J31" i="38" s="1"/>
  <c r="U31" i="38" s="1"/>
  <c r="I35" i="38"/>
  <c r="T35" i="38" s="1"/>
  <c r="G35" i="38"/>
  <c r="J35" i="38" s="1"/>
  <c r="U35" i="38" s="1"/>
  <c r="I26" i="38"/>
  <c r="T26" i="38" s="1"/>
  <c r="AA20" i="1" s="1"/>
  <c r="G26" i="38"/>
  <c r="J26" i="38" s="1"/>
  <c r="U26" i="38" s="1"/>
  <c r="AA21" i="1" s="1"/>
  <c r="G91" i="42"/>
  <c r="J91" i="42" s="1"/>
  <c r="U91" i="42" s="1"/>
  <c r="I91" i="42"/>
  <c r="T91" i="42" s="1"/>
  <c r="G96" i="42"/>
  <c r="J96" i="42" s="1"/>
  <c r="U96" i="42" s="1"/>
  <c r="I96" i="42"/>
  <c r="T96" i="42" s="1"/>
  <c r="I41" i="42"/>
  <c r="T41" i="42" s="1"/>
  <c r="G41" i="42"/>
  <c r="J41" i="42" s="1"/>
  <c r="U41" i="42" s="1"/>
  <c r="G176" i="42"/>
  <c r="J176" i="42" s="1"/>
  <c r="U176" i="42" s="1"/>
  <c r="I176" i="42"/>
  <c r="T176" i="42" s="1"/>
  <c r="V176" i="42" s="1"/>
  <c r="V80" i="42"/>
  <c r="V48" i="42"/>
  <c r="I79" i="42"/>
  <c r="T79" i="42" s="1"/>
  <c r="G79" i="42"/>
  <c r="J79" i="42" s="1"/>
  <c r="U79" i="42" s="1"/>
  <c r="I106" i="42"/>
  <c r="T106" i="42" s="1"/>
  <c r="G106" i="42"/>
  <c r="J106" i="42" s="1"/>
  <c r="U106" i="42" s="1"/>
  <c r="V45" i="42"/>
  <c r="Y13" i="21"/>
  <c r="AA13" i="1"/>
  <c r="N48" i="39"/>
  <c r="V48" i="39" s="1"/>
  <c r="W48" i="39" s="1"/>
  <c r="U41" i="39"/>
  <c r="Z212" i="39"/>
  <c r="N186" i="39"/>
  <c r="V186" i="39" s="1"/>
  <c r="W186" i="39" s="1"/>
  <c r="X185" i="39" s="1"/>
  <c r="Z185" i="39" s="1"/>
  <c r="U246" i="39"/>
  <c r="U250" i="39" s="1"/>
  <c r="U252" i="39" s="1"/>
  <c r="T252" i="39" s="1"/>
  <c r="W205" i="39"/>
  <c r="L176" i="39"/>
  <c r="G176" i="39"/>
  <c r="Q176" i="39"/>
  <c r="U60" i="39"/>
  <c r="V18" i="38"/>
  <c r="AA35" i="1" s="1"/>
  <c r="G178" i="39"/>
  <c r="Q178" i="39"/>
  <c r="L178" i="39"/>
  <c r="U88" i="39"/>
  <c r="U19" i="39"/>
  <c r="N15" i="39"/>
  <c r="V15" i="39" s="1"/>
  <c r="W15" i="39" s="1"/>
  <c r="U213" i="39"/>
  <c r="N144" i="39"/>
  <c r="V144" i="39" s="1"/>
  <c r="W144" i="39" s="1"/>
  <c r="N49" i="39"/>
  <c r="V49" i="39" s="1"/>
  <c r="W49" i="39" s="1"/>
  <c r="W203" i="39"/>
  <c r="V21" i="38"/>
  <c r="AA19" i="1" s="1"/>
  <c r="V42" i="38"/>
  <c r="V16" i="38"/>
  <c r="V14" i="38"/>
  <c r="W211" i="39"/>
  <c r="N29" i="39"/>
  <c r="V29" i="39" s="1"/>
  <c r="W29" i="39" s="1"/>
  <c r="X88" i="39"/>
  <c r="Z88" i="39" s="1"/>
  <c r="X41" i="39"/>
  <c r="Z41" i="39" s="1"/>
  <c r="U102" i="39"/>
  <c r="V48" i="38"/>
  <c r="X60" i="39"/>
  <c r="Z60" i="39" s="1"/>
  <c r="V22" i="38"/>
  <c r="Y20" i="21"/>
  <c r="U96" i="39"/>
  <c r="V30" i="38"/>
  <c r="U50" i="39"/>
  <c r="N206" i="39"/>
  <c r="V206" i="39" s="1"/>
  <c r="W206" i="39" s="1"/>
  <c r="Y23" i="21"/>
  <c r="V44" i="38"/>
  <c r="S79" i="39"/>
  <c r="T79" i="39" s="1"/>
  <c r="U78" i="39" s="1"/>
  <c r="N79" i="39"/>
  <c r="V79" i="39" s="1"/>
  <c r="W79" i="39" s="1"/>
  <c r="S207" i="39"/>
  <c r="T207" i="39" s="1"/>
  <c r="U202" i="39" s="1"/>
  <c r="N207" i="39"/>
  <c r="V207" i="39" s="1"/>
  <c r="N40" i="39"/>
  <c r="V40" i="39" s="1"/>
  <c r="W40" i="39" s="1"/>
  <c r="N24" i="39"/>
  <c r="V24" i="39" s="1"/>
  <c r="W24" i="39" s="1"/>
  <c r="U69" i="39"/>
  <c r="N161" i="39"/>
  <c r="V161" i="39" s="1"/>
  <c r="W161" i="39" s="1"/>
  <c r="W250" i="39"/>
  <c r="N33" i="39"/>
  <c r="V33" i="39" s="1"/>
  <c r="W33" i="39" s="1"/>
  <c r="X50" i="39"/>
  <c r="Z50" i="39" s="1"/>
  <c r="O229" i="39"/>
  <c r="N114" i="39"/>
  <c r="V114" i="39" s="1"/>
  <c r="W114" i="39" s="1"/>
  <c r="X107" i="39" s="1"/>
  <c r="Z107" i="39" s="1"/>
  <c r="N28" i="39"/>
  <c r="V28" i="39" s="1"/>
  <c r="W28" i="39" s="1"/>
  <c r="N31" i="39"/>
  <c r="V31" i="39" s="1"/>
  <c r="W31" i="39" s="1"/>
  <c r="Z102" i="39"/>
  <c r="U23" i="39"/>
  <c r="N76" i="39"/>
  <c r="V76" i="39" s="1"/>
  <c r="W76" i="39" s="1"/>
  <c r="M168" i="39"/>
  <c r="S168" i="39" s="1"/>
  <c r="T168" i="39" s="1"/>
  <c r="M182" i="39"/>
  <c r="S182" i="39" s="1"/>
  <c r="T182" i="39" s="1"/>
  <c r="N59" i="39"/>
  <c r="V59" i="39" s="1"/>
  <c r="W59" i="39" s="1"/>
  <c r="X58" i="39" s="1"/>
  <c r="I171" i="39"/>
  <c r="O171" i="39"/>
  <c r="M151" i="39"/>
  <c r="S151" i="39" s="1"/>
  <c r="T151" i="39" s="1"/>
  <c r="U132" i="39" s="1"/>
  <c r="T250" i="39"/>
  <c r="W230" i="39"/>
  <c r="M166" i="39"/>
  <c r="S166" i="39" s="1"/>
  <c r="T166" i="39" s="1"/>
  <c r="O180" i="39"/>
  <c r="I180" i="39"/>
  <c r="O177" i="39"/>
  <c r="I177" i="39"/>
  <c r="I167" i="39"/>
  <c r="O167" i="39"/>
  <c r="N208" i="39"/>
  <c r="V208" i="39" s="1"/>
  <c r="X221" i="39"/>
  <c r="X230" i="39" s="1"/>
  <c r="N30" i="39"/>
  <c r="V30" i="39" s="1"/>
  <c r="W30" i="39" s="1"/>
  <c r="I172" i="39"/>
  <c r="O172" i="39"/>
  <c r="I175" i="39"/>
  <c r="O175" i="39"/>
  <c r="X213" i="39"/>
  <c r="T12" i="39"/>
  <c r="N97" i="39"/>
  <c r="V97" i="39" s="1"/>
  <c r="W97" i="39" s="1"/>
  <c r="X96" i="39" s="1"/>
  <c r="I170" i="39"/>
  <c r="O170" i="39"/>
  <c r="N12" i="39"/>
  <c r="V12" i="39" s="1"/>
  <c r="W12" i="39" s="1"/>
  <c r="N77" i="39"/>
  <c r="V77" i="39" s="1"/>
  <c r="W77" i="39" s="1"/>
  <c r="M165" i="39"/>
  <c r="S165" i="39" s="1"/>
  <c r="T165" i="39" s="1"/>
  <c r="M184" i="39"/>
  <c r="S184" i="39" s="1"/>
  <c r="T184" i="39" s="1"/>
  <c r="U107" i="39"/>
  <c r="N199" i="39"/>
  <c r="V199" i="39" s="1"/>
  <c r="W199" i="39" s="1"/>
  <c r="X198" i="39" s="1"/>
  <c r="N13" i="39"/>
  <c r="V13" i="39" s="1"/>
  <c r="W13" i="39" s="1"/>
  <c r="Q131" i="39"/>
  <c r="Q216" i="39" s="1"/>
  <c r="L131" i="39"/>
  <c r="N131" i="39" s="1"/>
  <c r="V131" i="39" s="1"/>
  <c r="W131" i="39" s="1"/>
  <c r="X127" i="39" s="1"/>
  <c r="I174" i="39"/>
  <c r="O174" i="39"/>
  <c r="Z19" i="39"/>
  <c r="N27" i="39"/>
  <c r="V27" i="39" s="1"/>
  <c r="W27" i="39" s="1"/>
  <c r="Z83" i="39"/>
  <c r="N82" i="39"/>
  <c r="V82" i="39" s="1"/>
  <c r="W82" i="39" s="1"/>
  <c r="X246" i="39"/>
  <c r="X250" i="39" s="1"/>
  <c r="X252" i="39" s="1"/>
  <c r="V91" i="42" l="1"/>
  <c r="V116" i="42"/>
  <c r="V21" i="42"/>
  <c r="V38" i="42"/>
  <c r="V152" i="42"/>
  <c r="V180" i="42"/>
  <c r="V104" i="42"/>
  <c r="V96" i="42"/>
  <c r="Y22" i="21"/>
  <c r="AA23" i="1"/>
  <c r="Y21" i="21"/>
  <c r="V26" i="38"/>
  <c r="V29" i="38"/>
  <c r="AA16" i="1"/>
  <c r="V17" i="38"/>
  <c r="U58" i="38"/>
  <c r="S19" i="30"/>
  <c r="AA25" i="1"/>
  <c r="AA30" i="1"/>
  <c r="S25" i="30"/>
  <c r="U186" i="42"/>
  <c r="S17" i="30"/>
  <c r="V103" i="42"/>
  <c r="S20" i="30"/>
  <c r="AA26" i="1"/>
  <c r="T186" i="42"/>
  <c r="V10" i="42"/>
  <c r="S16" i="30"/>
  <c r="AA22" i="1"/>
  <c r="V79" i="42"/>
  <c r="V31" i="38"/>
  <c r="V58" i="38" s="1"/>
  <c r="V78" i="42"/>
  <c r="AA24" i="1"/>
  <c r="S18" i="30"/>
  <c r="V59" i="42"/>
  <c r="AA31" i="1"/>
  <c r="S24" i="30"/>
  <c r="X78" i="39"/>
  <c r="T58" i="38"/>
  <c r="V98" i="42"/>
  <c r="S21" i="30"/>
  <c r="AA27" i="1"/>
  <c r="V99" i="42"/>
  <c r="V150" i="42"/>
  <c r="AA28" i="1"/>
  <c r="S22" i="30"/>
  <c r="V106" i="42"/>
  <c r="V41" i="42"/>
  <c r="V35" i="38"/>
  <c r="V72" i="42"/>
  <c r="S23" i="30"/>
  <c r="AA29" i="1"/>
  <c r="N165" i="39"/>
  <c r="V165" i="39" s="1"/>
  <c r="W165" i="39" s="1"/>
  <c r="Z206" i="39"/>
  <c r="U254" i="39"/>
  <c r="T254" i="39" s="1"/>
  <c r="I176" i="39"/>
  <c r="M176" i="39" s="1"/>
  <c r="S176" i="39" s="1"/>
  <c r="T176" i="39" s="1"/>
  <c r="O176" i="39"/>
  <c r="N166" i="39"/>
  <c r="V166" i="39" s="1"/>
  <c r="W166" i="39" s="1"/>
  <c r="I178" i="39"/>
  <c r="M178" i="39" s="1"/>
  <c r="S178" i="39" s="1"/>
  <c r="O178" i="39"/>
  <c r="X23" i="39"/>
  <c r="X254" i="39" s="1"/>
  <c r="W254" i="39" s="1"/>
  <c r="T229" i="39"/>
  <c r="O230" i="39"/>
  <c r="N182" i="39"/>
  <c r="V182" i="39" s="1"/>
  <c r="W182" i="39" s="1"/>
  <c r="Z207" i="39"/>
  <c r="W207" i="39"/>
  <c r="Z78" i="39"/>
  <c r="U181" i="39"/>
  <c r="X8" i="39"/>
  <c r="M167" i="39"/>
  <c r="S167" i="39" s="1"/>
  <c r="Z198" i="39"/>
  <c r="T131" i="39"/>
  <c r="U127" i="39" s="1"/>
  <c r="Z96" i="39"/>
  <c r="N178" i="39"/>
  <c r="V178" i="39" s="1"/>
  <c r="W178" i="39" s="1"/>
  <c r="M172" i="39"/>
  <c r="S172" i="39" s="1"/>
  <c r="T172" i="39" s="1"/>
  <c r="N177" i="39"/>
  <c r="V177" i="39" s="1"/>
  <c r="W177" i="39" s="1"/>
  <c r="M177" i="39"/>
  <c r="S177" i="39" s="1"/>
  <c r="N151" i="39"/>
  <c r="V151" i="39" s="1"/>
  <c r="W151" i="39" s="1"/>
  <c r="X132" i="39" s="1"/>
  <c r="X69" i="39"/>
  <c r="U8" i="39"/>
  <c r="Z127" i="39"/>
  <c r="T177" i="39"/>
  <c r="M174" i="39"/>
  <c r="S174" i="39" s="1"/>
  <c r="T174" i="39" s="1"/>
  <c r="M170" i="39"/>
  <c r="S170" i="39" s="1"/>
  <c r="T170" i="39" s="1"/>
  <c r="M175" i="39"/>
  <c r="S175" i="39" s="1"/>
  <c r="T175" i="39" s="1"/>
  <c r="M180" i="39"/>
  <c r="S180" i="39" s="1"/>
  <c r="M171" i="39"/>
  <c r="S171" i="39" s="1"/>
  <c r="T171" i="39" s="1"/>
  <c r="N184" i="39"/>
  <c r="V184" i="39" s="1"/>
  <c r="W184" i="39" s="1"/>
  <c r="W208" i="39"/>
  <c r="Z208" i="39"/>
  <c r="T180" i="39"/>
  <c r="U179" i="39" s="1"/>
  <c r="Z58" i="39"/>
  <c r="N168" i="39"/>
  <c r="V168" i="39" s="1"/>
  <c r="W168" i="39" s="1"/>
  <c r="V186" i="42" l="1"/>
  <c r="X181" i="39"/>
  <c r="O216" i="39"/>
  <c r="N176" i="39"/>
  <c r="V176" i="39" s="1"/>
  <c r="W176" i="39" s="1"/>
  <c r="T178" i="39"/>
  <c r="U173" i="39" s="1"/>
  <c r="U169" i="39"/>
  <c r="X202" i="39"/>
  <c r="N171" i="39"/>
  <c r="V171" i="39" s="1"/>
  <c r="W171" i="39" s="1"/>
  <c r="N170" i="39"/>
  <c r="V170" i="39" s="1"/>
  <c r="W170" i="39" s="1"/>
  <c r="Z23" i="39"/>
  <c r="U221" i="39"/>
  <c r="U230" i="39" s="1"/>
  <c r="U232" i="39" s="1"/>
  <c r="T232" i="39" s="1"/>
  <c r="T230" i="39"/>
  <c r="Z181" i="39"/>
  <c r="Z69" i="39"/>
  <c r="S216" i="39"/>
  <c r="Z8" i="39"/>
  <c r="N180" i="39"/>
  <c r="V180" i="39" s="1"/>
  <c r="W180" i="39" s="1"/>
  <c r="X179" i="39" s="1"/>
  <c r="N174" i="39"/>
  <c r="V174" i="39" s="1"/>
  <c r="W174" i="39" s="1"/>
  <c r="Z132" i="39"/>
  <c r="N172" i="39"/>
  <c r="V172" i="39" s="1"/>
  <c r="W172" i="39" s="1"/>
  <c r="N167" i="39"/>
  <c r="V167" i="39" s="1"/>
  <c r="W167" i="39" s="1"/>
  <c r="X164" i="39" s="1"/>
  <c r="T167" i="39"/>
  <c r="N175" i="39"/>
  <c r="V175" i="39" s="1"/>
  <c r="W175" i="39" s="1"/>
  <c r="X169" i="39" l="1"/>
  <c r="Z169" i="39" s="1"/>
  <c r="T216" i="39"/>
  <c r="U164" i="39"/>
  <c r="U216" i="39" s="1"/>
  <c r="U219" i="39" s="1"/>
  <c r="W216" i="39"/>
  <c r="Z164" i="39"/>
  <c r="X173" i="39"/>
  <c r="Z179" i="39"/>
  <c r="Z173" i="39" l="1"/>
  <c r="Z216" i="39" s="1"/>
  <c r="T219" i="39"/>
  <c r="U234" i="39"/>
  <c r="T234" i="39" s="1"/>
  <c r="X216" i="39"/>
  <c r="Y173" i="39" s="1"/>
  <c r="X232" i="39" l="1"/>
  <c r="X219" i="39"/>
  <c r="W219" i="39" s="1"/>
  <c r="Y216" i="39"/>
  <c r="AD224" i="39"/>
  <c r="AA221" i="39"/>
  <c r="AA216" i="39"/>
  <c r="X217" i="39"/>
  <c r="X218" i="39" s="1"/>
  <c r="AD225" i="39"/>
  <c r="Y193" i="39"/>
  <c r="Y195" i="39"/>
  <c r="Y185" i="39"/>
  <c r="Y187" i="39"/>
  <c r="Y60" i="39"/>
  <c r="Y125" i="39"/>
  <c r="Y190" i="39"/>
  <c r="Y102" i="39"/>
  <c r="Y41" i="39"/>
  <c r="Y88" i="39"/>
  <c r="Y107" i="39"/>
  <c r="Y115" i="39"/>
  <c r="Y50" i="39"/>
  <c r="Y83" i="39"/>
  <c r="Y19" i="39"/>
  <c r="Y23" i="39"/>
  <c r="Y78" i="39"/>
  <c r="Y198" i="39"/>
  <c r="Y127" i="39"/>
  <c r="Y58" i="39"/>
  <c r="Y96" i="39"/>
  <c r="Y213" i="39"/>
  <c r="Y69" i="39"/>
  <c r="Y202" i="39"/>
  <c r="Y8" i="39"/>
  <c r="Y181" i="39"/>
  <c r="Y132" i="39"/>
  <c r="Y164" i="39"/>
  <c r="Y179" i="39"/>
  <c r="Y169" i="39"/>
  <c r="AC216" i="39" l="1"/>
  <c r="AD216" i="39" s="1"/>
  <c r="AE216" i="39" s="1"/>
  <c r="AG213" i="39"/>
  <c r="X234" i="39"/>
  <c r="W234" i="39" s="1"/>
  <c r="AA232" i="39"/>
  <c r="Z229" i="39"/>
  <c r="AI219" i="39" l="1"/>
  <c r="AI220" i="39"/>
  <c r="Z10" i="1" l="1"/>
  <c r="R10" i="30"/>
  <c r="X10" i="21"/>
  <c r="D9" i="30" l="1"/>
  <c r="D10" i="30" s="1"/>
  <c r="D7" i="30"/>
  <c r="D8" i="30" s="1"/>
  <c r="I39" i="5"/>
  <c r="H39" i="5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J9" i="21"/>
  <c r="J7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G205" i="10"/>
  <c r="F205" i="10"/>
  <c r="J204" i="10"/>
  <c r="E206" i="10" s="1"/>
  <c r="C24" i="31"/>
  <c r="C27" i="31"/>
  <c r="C41" i="31"/>
  <c r="C43" i="31"/>
  <c r="C46" i="31"/>
  <c r="I18" i="5"/>
  <c r="I20" i="5"/>
  <c r="I34" i="5"/>
  <c r="I36" i="5"/>
  <c r="D7" i="21"/>
  <c r="C16" i="25"/>
  <c r="I9" i="21"/>
  <c r="J34" i="30" l="1"/>
  <c r="I34" i="30"/>
  <c r="O40" i="1"/>
  <c r="V40" i="1" s="1" a="1"/>
  <c r="V40" i="1" s="1"/>
  <c r="H34" i="30"/>
  <c r="G34" i="30"/>
  <c r="P39" i="1"/>
  <c r="P41" i="1" s="1"/>
  <c r="P43" i="1" s="1"/>
  <c r="P45" i="1" s="1"/>
  <c r="P48" i="1" s="1"/>
  <c r="J33" i="30"/>
  <c r="O39" i="1"/>
  <c r="I33" i="30"/>
  <c r="H33" i="30"/>
  <c r="N39" i="1"/>
  <c r="N41" i="1" s="1"/>
  <c r="N43" i="1" s="1"/>
  <c r="N45" i="1" s="1"/>
  <c r="N48" i="1" s="1"/>
  <c r="G33" i="30"/>
  <c r="M39" i="1"/>
  <c r="M41" i="1" s="1"/>
  <c r="M43" i="1" s="1"/>
  <c r="M45" i="1" s="1"/>
  <c r="M48" i="1" s="1"/>
  <c r="J39" i="1"/>
  <c r="L39" i="1"/>
  <c r="K39" i="1"/>
  <c r="D8" i="21"/>
  <c r="D7" i="1"/>
  <c r="J8" i="21"/>
  <c r="J7" i="1"/>
  <c r="J8" i="1" s="1"/>
  <c r="J10" i="21"/>
  <c r="J9" i="1"/>
  <c r="J10" i="1" s="1"/>
  <c r="I10" i="21"/>
  <c r="I9" i="1"/>
  <c r="I10" i="1" s="1"/>
  <c r="F34" i="30"/>
  <c r="E34" i="30"/>
  <c r="F33" i="30"/>
  <c r="E33" i="30"/>
  <c r="J26" i="21"/>
  <c r="D30" i="30"/>
  <c r="J36" i="1"/>
  <c r="F206" i="10"/>
  <c r="F207" i="10" s="1"/>
  <c r="H206" i="10" s="1"/>
  <c r="G206" i="10"/>
  <c r="G207" i="10" s="1"/>
  <c r="E207" i="10"/>
  <c r="S91" i="10" s="1"/>
  <c r="S93" i="10" s="1"/>
  <c r="S102" i="10" s="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P33" i="30" l="1" a="1"/>
  <c r="P33" i="30" s="1"/>
  <c r="P34" i="30" a="1"/>
  <c r="P34" i="30" s="1"/>
  <c r="L41" i="1"/>
  <c r="L43" i="1" s="1"/>
  <c r="L45" i="1" s="1"/>
  <c r="L48" i="1" s="1"/>
  <c r="V39" i="1" a="1"/>
  <c r="V39" i="1" s="1"/>
  <c r="V41" i="1" s="1"/>
  <c r="G35" i="30"/>
  <c r="G37" i="30" s="1"/>
  <c r="J35" i="30"/>
  <c r="J37" i="30" s="1"/>
  <c r="J41" i="1"/>
  <c r="J43" i="1" s="1"/>
  <c r="J45" i="1" s="1"/>
  <c r="J48" i="1" s="1"/>
  <c r="I35" i="30"/>
  <c r="I37" i="30" s="1"/>
  <c r="O41" i="1"/>
  <c r="O43" i="1" s="1"/>
  <c r="O45" i="1" s="1"/>
  <c r="O48" i="1" s="1"/>
  <c r="H35" i="30"/>
  <c r="H37" i="30" s="1"/>
  <c r="F35" i="30"/>
  <c r="F37" i="30" s="1"/>
  <c r="E35" i="30"/>
  <c r="E37" i="30" s="1"/>
  <c r="I26" i="21"/>
  <c r="I36" i="1"/>
  <c r="V25" i="30"/>
  <c r="V24" i="30"/>
  <c r="C20" i="10"/>
  <c r="I7" i="21" l="1"/>
  <c r="I8" i="21" l="1"/>
  <c r="I7" i="1"/>
  <c r="I8" i="1" s="1"/>
  <c r="G19" i="10"/>
  <c r="C17" i="10" l="1"/>
  <c r="C19" i="10"/>
  <c r="T22" i="37" l="1"/>
  <c r="S22" i="37"/>
  <c r="R22" i="37"/>
  <c r="Q22" i="37"/>
  <c r="T21" i="37"/>
  <c r="S21" i="37"/>
  <c r="R21" i="37"/>
  <c r="Q21" i="37"/>
  <c r="T20" i="37"/>
  <c r="S20" i="37"/>
  <c r="R20" i="37"/>
  <c r="Q20" i="37"/>
  <c r="T19" i="37"/>
  <c r="S19" i="37"/>
  <c r="R19" i="37"/>
  <c r="Q19" i="37"/>
  <c r="T18" i="37"/>
  <c r="S18" i="37"/>
  <c r="R18" i="37"/>
  <c r="Q18" i="37"/>
  <c r="T17" i="37"/>
  <c r="S17" i="37"/>
  <c r="Q17" i="37"/>
  <c r="T16" i="37"/>
  <c r="S16" i="37"/>
  <c r="R16" i="37"/>
  <c r="Q16" i="37"/>
  <c r="K22" i="37"/>
  <c r="J22" i="37"/>
  <c r="I22" i="37"/>
  <c r="H22" i="37"/>
  <c r="K21" i="37"/>
  <c r="J21" i="37"/>
  <c r="I21" i="37"/>
  <c r="H21" i="37"/>
  <c r="D27" i="2"/>
  <c r="C27" i="2"/>
  <c r="H27" i="2" s="1"/>
  <c r="E28" i="2"/>
  <c r="J28" i="2" s="1"/>
  <c r="D28" i="2"/>
  <c r="C28" i="2"/>
  <c r="T28" i="2"/>
  <c r="S27" i="2"/>
  <c r="T26" i="2"/>
  <c r="S26" i="2"/>
  <c r="T25" i="2"/>
  <c r="S25" i="2"/>
  <c r="T24" i="2"/>
  <c r="S24" i="2"/>
  <c r="R24" i="2"/>
  <c r="T23" i="2"/>
  <c r="S23" i="2"/>
  <c r="Q23" i="2"/>
  <c r="T22" i="2"/>
  <c r="S22" i="2"/>
  <c r="R22" i="2"/>
  <c r="Q22" i="2"/>
  <c r="S28" i="2" l="1"/>
  <c r="Q28" i="2"/>
  <c r="H28" i="2"/>
  <c r="R27" i="2"/>
  <c r="I27" i="2"/>
  <c r="L27" i="2" s="1"/>
  <c r="M27" i="2" s="1"/>
  <c r="R28" i="2"/>
  <c r="I28" i="2"/>
  <c r="L21" i="37"/>
  <c r="M21" i="37" s="1"/>
  <c r="U22" i="37"/>
  <c r="L22" i="37"/>
  <c r="M22" i="37" s="1"/>
  <c r="Q27" i="2"/>
  <c r="U21" i="37"/>
  <c r="T27" i="2"/>
  <c r="U28" i="2" l="1"/>
  <c r="L28" i="2"/>
  <c r="M28" i="2" s="1"/>
  <c r="G13" i="5" s="1"/>
  <c r="H21" i="1" s="1"/>
  <c r="U27" i="2"/>
  <c r="S75" i="10"/>
  <c r="U72" i="10"/>
  <c r="G39" i="5"/>
  <c r="H18" i="5"/>
  <c r="H20" i="5"/>
  <c r="H34" i="5"/>
  <c r="H36" i="5"/>
  <c r="G212" i="10"/>
  <c r="F212" i="10"/>
  <c r="J211" i="10"/>
  <c r="E213" i="10" s="1"/>
  <c r="F213" i="10" l="1"/>
  <c r="F214" i="10" s="1"/>
  <c r="H213" i="10" s="1"/>
  <c r="E214" i="10"/>
  <c r="S74" i="10" s="1"/>
  <c r="S76" i="10" s="1"/>
  <c r="G213" i="10"/>
  <c r="G214" i="10" s="1"/>
  <c r="J232" i="10"/>
  <c r="S20" i="10"/>
  <c r="O13" i="10" s="1"/>
  <c r="S64" i="10"/>
  <c r="S65" i="10" s="1"/>
  <c r="O18" i="10" s="1"/>
  <c r="U47" i="10"/>
  <c r="S38" i="10" l="1"/>
  <c r="O15" i="10" s="1"/>
  <c r="S50" i="10"/>
  <c r="U46" i="10"/>
  <c r="U26" i="10" l="1"/>
  <c r="V34" i="30" l="1"/>
  <c r="V33" i="30"/>
  <c r="V14" i="30"/>
  <c r="V15" i="30"/>
  <c r="V16" i="30"/>
  <c r="V17" i="30"/>
  <c r="V18" i="30"/>
  <c r="V19" i="30"/>
  <c r="V20" i="30"/>
  <c r="V21" i="30"/>
  <c r="V22" i="30"/>
  <c r="V23" i="30"/>
  <c r="V26" i="30"/>
  <c r="V27" i="30"/>
  <c r="V28" i="30"/>
  <c r="V29" i="30"/>
  <c r="V30" i="30"/>
  <c r="V13" i="30"/>
  <c r="AD9" i="1"/>
  <c r="AD10" i="1" s="1"/>
  <c r="AB9" i="1"/>
  <c r="X9" i="1"/>
  <c r="X10" i="1" s="1"/>
  <c r="T9" i="30"/>
  <c r="T10" i="30" s="1"/>
  <c r="U9" i="30" l="1"/>
  <c r="AC9" i="1"/>
  <c r="AB10" i="1"/>
  <c r="V35" i="30"/>
  <c r="AB9" i="21"/>
  <c r="AB10" i="21" s="1"/>
  <c r="Z9" i="21"/>
  <c r="AA9" i="21" l="1"/>
  <c r="Z10" i="21"/>
  <c r="K54" i="38"/>
  <c r="K57" i="38"/>
  <c r="K56" i="38"/>
  <c r="K53" i="38"/>
  <c r="K52" i="38"/>
  <c r="K51" i="38"/>
  <c r="K50" i="38"/>
  <c r="K49" i="38"/>
  <c r="K48" i="38"/>
  <c r="K47" i="38"/>
  <c r="K46" i="38"/>
  <c r="K45" i="38"/>
  <c r="K44" i="38"/>
  <c r="K42" i="38"/>
  <c r="K41" i="38"/>
  <c r="K40" i="38"/>
  <c r="K39" i="38"/>
  <c r="K38" i="38"/>
  <c r="K37" i="38"/>
  <c r="K36" i="38"/>
  <c r="K35" i="38"/>
  <c r="K34" i="38"/>
  <c r="K33" i="38"/>
  <c r="K32" i="38"/>
  <c r="K31" i="38"/>
  <c r="K30" i="38"/>
  <c r="K29" i="38"/>
  <c r="K28" i="38"/>
  <c r="K27" i="38"/>
  <c r="K26" i="38"/>
  <c r="K24" i="38"/>
  <c r="K23" i="38"/>
  <c r="K21" i="38"/>
  <c r="K19" i="38"/>
  <c r="K18" i="38"/>
  <c r="K17" i="38"/>
  <c r="K16" i="38"/>
  <c r="K15" i="38"/>
  <c r="K14" i="38"/>
  <c r="K13" i="38"/>
  <c r="K12" i="38"/>
  <c r="K11" i="38"/>
  <c r="K10" i="38"/>
  <c r="Q14" i="38" l="1"/>
  <c r="R14" i="38"/>
  <c r="S14" i="38"/>
  <c r="R28" i="38"/>
  <c r="Q28" i="38"/>
  <c r="S28" i="38"/>
  <c r="R45" i="38"/>
  <c r="Q45" i="38"/>
  <c r="S45" i="38"/>
  <c r="Q57" i="38"/>
  <c r="R57" i="38"/>
  <c r="S57" i="38"/>
  <c r="R15" i="38"/>
  <c r="Q15" i="38"/>
  <c r="S15" i="38"/>
  <c r="Y25" i="21"/>
  <c r="R19" i="38"/>
  <c r="Q19" i="38"/>
  <c r="S19" i="38"/>
  <c r="Y17" i="21"/>
  <c r="R24" i="38"/>
  <c r="Q24" i="38"/>
  <c r="S24" i="38"/>
  <c r="Q29" i="38"/>
  <c r="R29" i="38"/>
  <c r="S29" i="38"/>
  <c r="Q33" i="38"/>
  <c r="R33" i="38"/>
  <c r="S33" i="38"/>
  <c r="Q37" i="38"/>
  <c r="R37" i="38"/>
  <c r="S37" i="38"/>
  <c r="Q41" i="38"/>
  <c r="R41" i="38"/>
  <c r="S41" i="38"/>
  <c r="R49" i="38"/>
  <c r="Q49" i="38"/>
  <c r="S49" i="38"/>
  <c r="Q52" i="38"/>
  <c r="R52" i="38"/>
  <c r="S52" i="38"/>
  <c r="Q54" i="38"/>
  <c r="S54" i="38"/>
  <c r="Q12" i="38"/>
  <c r="R12" i="38"/>
  <c r="S12" i="38"/>
  <c r="Q16" i="38"/>
  <c r="R16" i="38"/>
  <c r="S16" i="38"/>
  <c r="R30" i="38"/>
  <c r="Q30" i="38"/>
  <c r="S30" i="38"/>
  <c r="R42" i="38"/>
  <c r="Q42" i="38"/>
  <c r="S42" i="38"/>
  <c r="Q50" i="38"/>
  <c r="R50" i="38"/>
  <c r="S50" i="38"/>
  <c r="R53" i="38"/>
  <c r="Q53" i="38"/>
  <c r="S53" i="38"/>
  <c r="R11" i="38"/>
  <c r="Q11" i="38"/>
  <c r="S11" i="38"/>
  <c r="Y18" i="21"/>
  <c r="Q18" i="38"/>
  <c r="R18" i="38"/>
  <c r="S18" i="38"/>
  <c r="R23" i="38"/>
  <c r="Q23" i="38"/>
  <c r="S23" i="38"/>
  <c r="R32" i="38"/>
  <c r="Q32" i="38"/>
  <c r="S32" i="38"/>
  <c r="R36" i="38"/>
  <c r="Q36" i="38"/>
  <c r="S36" i="38"/>
  <c r="R40" i="38"/>
  <c r="Q40" i="38"/>
  <c r="S40" i="38"/>
  <c r="Q48" i="38"/>
  <c r="R48" i="38"/>
  <c r="S48" i="38"/>
  <c r="R26" i="38"/>
  <c r="Q26" i="38"/>
  <c r="S26" i="38"/>
  <c r="R34" i="38"/>
  <c r="Q34" i="38"/>
  <c r="S34" i="38"/>
  <c r="R38" i="38"/>
  <c r="Q38" i="38"/>
  <c r="S38" i="38"/>
  <c r="Q46" i="38"/>
  <c r="R46" i="38"/>
  <c r="S46" i="38"/>
  <c r="R10" i="38"/>
  <c r="Q10" i="38"/>
  <c r="S10" i="38"/>
  <c r="Y16" i="21"/>
  <c r="Q13" i="38"/>
  <c r="R13" i="38"/>
  <c r="S13" i="38"/>
  <c r="R17" i="38"/>
  <c r="Q17" i="38"/>
  <c r="S17" i="38"/>
  <c r="R21" i="38"/>
  <c r="Q21" i="38"/>
  <c r="S21" i="38"/>
  <c r="Y19" i="21"/>
  <c r="Q27" i="38"/>
  <c r="R27" i="38"/>
  <c r="S27" i="38"/>
  <c r="Q31" i="38"/>
  <c r="R31" i="38"/>
  <c r="S31" i="38"/>
  <c r="Q35" i="38"/>
  <c r="R35" i="38"/>
  <c r="S35" i="38"/>
  <c r="Q39" i="38"/>
  <c r="R39" i="38"/>
  <c r="S39" i="38"/>
  <c r="Q44" i="38"/>
  <c r="R44" i="38"/>
  <c r="S44" i="38"/>
  <c r="R47" i="38"/>
  <c r="Q47" i="38"/>
  <c r="S47" i="38"/>
  <c r="R51" i="38"/>
  <c r="Q51" i="38"/>
  <c r="S51" i="38"/>
  <c r="Y15" i="21"/>
  <c r="R56" i="38"/>
  <c r="Q56" i="38"/>
  <c r="S56" i="38"/>
  <c r="Y14" i="21"/>
  <c r="L43" i="38"/>
  <c r="L9" i="38"/>
  <c r="L55" i="38"/>
  <c r="K58" i="38"/>
  <c r="L20" i="38"/>
  <c r="L25" i="38"/>
  <c r="S58" i="38" l="1"/>
  <c r="Q58" i="38"/>
  <c r="R58" i="38"/>
  <c r="L58" i="38"/>
  <c r="M25" i="38" s="1"/>
  <c r="Y24" i="21" l="1"/>
  <c r="Y7" i="21"/>
  <c r="Y30" i="21"/>
  <c r="Y29" i="21"/>
  <c r="S59" i="38"/>
  <c r="M9" i="38"/>
  <c r="M55" i="38"/>
  <c r="M43" i="38"/>
  <c r="M20" i="38"/>
  <c r="AB7" i="21" l="1"/>
  <c r="AB8" i="21" s="1"/>
  <c r="M58" i="38"/>
  <c r="AB29" i="21" l="1"/>
  <c r="AB30" i="21"/>
  <c r="AB24" i="21"/>
  <c r="C7" i="25"/>
  <c r="C8" i="25"/>
  <c r="C9" i="25"/>
  <c r="C10" i="25"/>
  <c r="C11" i="25"/>
  <c r="C12" i="25"/>
  <c r="C13" i="25"/>
  <c r="C14" i="25"/>
  <c r="C15" i="25"/>
  <c r="C6" i="25"/>
  <c r="C23" i="3"/>
  <c r="AB31" i="21" l="1"/>
  <c r="J26" i="2"/>
  <c r="K24" i="2"/>
  <c r="J24" i="2"/>
  <c r="I24" i="2"/>
  <c r="H23" i="2"/>
  <c r="H22" i="2"/>
  <c r="D26" i="2"/>
  <c r="C26" i="2"/>
  <c r="D25" i="2"/>
  <c r="I25" i="2" s="1"/>
  <c r="C25" i="2"/>
  <c r="H25" i="2" s="1"/>
  <c r="C24" i="2"/>
  <c r="D23" i="2"/>
  <c r="H26" i="2" l="1"/>
  <c r="Q26" i="2"/>
  <c r="Q25" i="2"/>
  <c r="I23" i="2"/>
  <c r="R23" i="2"/>
  <c r="H24" i="2"/>
  <c r="Q24" i="2"/>
  <c r="I26" i="2"/>
  <c r="R26" i="2"/>
  <c r="R25" i="2"/>
  <c r="C16" i="10"/>
  <c r="H7" i="21" s="1"/>
  <c r="G14" i="10"/>
  <c r="H14" i="10" s="1"/>
  <c r="C14" i="10"/>
  <c r="H9" i="21"/>
  <c r="G9" i="21"/>
  <c r="F9" i="21"/>
  <c r="H8" i="21" l="1"/>
  <c r="H7" i="1"/>
  <c r="H8" i="1" s="1"/>
  <c r="F10" i="21"/>
  <c r="F9" i="1"/>
  <c r="H10" i="21"/>
  <c r="H9" i="1"/>
  <c r="H10" i="1" s="1"/>
  <c r="G10" i="21"/>
  <c r="G9" i="1"/>
  <c r="G10" i="1" s="1"/>
  <c r="U26" i="2"/>
  <c r="G7" i="21"/>
  <c r="G13" i="21"/>
  <c r="H13" i="21"/>
  <c r="G14" i="21"/>
  <c r="H14" i="21"/>
  <c r="G15" i="21"/>
  <c r="H15" i="21"/>
  <c r="G16" i="21"/>
  <c r="H16" i="21"/>
  <c r="G17" i="21"/>
  <c r="H17" i="21"/>
  <c r="G18" i="21"/>
  <c r="H18" i="21"/>
  <c r="G19" i="21"/>
  <c r="H19" i="21"/>
  <c r="G20" i="21"/>
  <c r="H20" i="21"/>
  <c r="H21" i="21"/>
  <c r="G22" i="21"/>
  <c r="H22" i="21"/>
  <c r="G23" i="21"/>
  <c r="H23" i="21"/>
  <c r="G24" i="21"/>
  <c r="H24" i="21"/>
  <c r="G25" i="21"/>
  <c r="H25" i="21"/>
  <c r="G36" i="5"/>
  <c r="G20" i="5"/>
  <c r="G34" i="5"/>
  <c r="G18" i="5"/>
  <c r="G219" i="10"/>
  <c r="F219" i="10"/>
  <c r="J218" i="10"/>
  <c r="E220" i="10" s="1"/>
  <c r="E233" i="10"/>
  <c r="U4" i="10"/>
  <c r="G8" i="21" l="1"/>
  <c r="G7" i="1"/>
  <c r="G8" i="1" s="1"/>
  <c r="G233" i="10"/>
  <c r="E234" i="10"/>
  <c r="H26" i="21"/>
  <c r="F220" i="10"/>
  <c r="F221" i="10" s="1"/>
  <c r="H220" i="10" s="1"/>
  <c r="E221" i="10"/>
  <c r="S49" i="10" s="1"/>
  <c r="S51" i="10" s="1"/>
  <c r="G220" i="10"/>
  <c r="G221" i="10" s="1"/>
  <c r="F233" i="10"/>
  <c r="H36" i="1" l="1"/>
  <c r="G234" i="10"/>
  <c r="G235" i="10" s="1"/>
  <c r="F234" i="10"/>
  <c r="F235" i="10" s="1"/>
  <c r="H234" i="10" s="1"/>
  <c r="E235" i="10"/>
  <c r="S8" i="10" s="1"/>
  <c r="X8" i="10" s="1"/>
  <c r="F20" i="5"/>
  <c r="F34" i="5"/>
  <c r="F36" i="5"/>
  <c r="F39" i="5"/>
  <c r="D13" i="3"/>
  <c r="C13" i="3"/>
  <c r="D17" i="37"/>
  <c r="R17" i="37" s="1"/>
  <c r="U20" i="37"/>
  <c r="K20" i="37"/>
  <c r="J20" i="37"/>
  <c r="I20" i="37"/>
  <c r="H20" i="37"/>
  <c r="U19" i="37"/>
  <c r="K19" i="37"/>
  <c r="J19" i="37"/>
  <c r="I19" i="37"/>
  <c r="H19" i="37"/>
  <c r="U18" i="37"/>
  <c r="K18" i="37"/>
  <c r="J18" i="37"/>
  <c r="I18" i="37"/>
  <c r="H18" i="37"/>
  <c r="K17" i="37"/>
  <c r="J17" i="37"/>
  <c r="H17" i="37"/>
  <c r="K16" i="37"/>
  <c r="J16" i="37"/>
  <c r="I16" i="37"/>
  <c r="H16" i="37"/>
  <c r="L19" i="37" l="1"/>
  <c r="M19" i="37" s="1"/>
  <c r="L20" i="37"/>
  <c r="M20" i="37" s="1"/>
  <c r="L18" i="37"/>
  <c r="M18" i="37" s="1"/>
  <c r="L16" i="37"/>
  <c r="M16" i="37" s="1"/>
  <c r="U16" i="37"/>
  <c r="U17" i="37"/>
  <c r="I17" i="37"/>
  <c r="L17" i="37" s="1"/>
  <c r="K22" i="2"/>
  <c r="J22" i="2"/>
  <c r="K23" i="2"/>
  <c r="J23" i="2"/>
  <c r="I22" i="2"/>
  <c r="F10" i="1"/>
  <c r="M17" i="37" l="1"/>
  <c r="L26" i="37"/>
  <c r="F17" i="21"/>
  <c r="E17" i="21"/>
  <c r="D17" i="21"/>
  <c r="V17" i="21" l="1" a="1"/>
  <c r="V17" i="21" s="1"/>
  <c r="M26" i="37"/>
  <c r="M29" i="37"/>
  <c r="M31" i="37" s="1"/>
  <c r="Y9" i="1"/>
  <c r="Y10" i="1" s="1"/>
  <c r="F7" i="21" l="1"/>
  <c r="F8" i="21" l="1"/>
  <c r="F7" i="1"/>
  <c r="F8" i="1" s="1"/>
  <c r="C11" i="10"/>
  <c r="E7" i="21" s="1"/>
  <c r="G11" i="10"/>
  <c r="E8" i="21" l="1"/>
  <c r="E7" i="1"/>
  <c r="E8" i="1" s="1"/>
  <c r="S9" i="10"/>
  <c r="S10" i="10" s="1"/>
  <c r="S21" i="10" s="1"/>
  <c r="U5" i="10"/>
  <c r="E9" i="21"/>
  <c r="E9" i="1" s="1"/>
  <c r="E20" i="5"/>
  <c r="E34" i="5"/>
  <c r="E36" i="5"/>
  <c r="E39" i="5"/>
  <c r="F13" i="21"/>
  <c r="F14" i="21"/>
  <c r="F15" i="21"/>
  <c r="F18" i="21"/>
  <c r="F19" i="21"/>
  <c r="F20" i="21"/>
  <c r="F22" i="21"/>
  <c r="F23" i="21"/>
  <c r="F24" i="21"/>
  <c r="F25" i="21"/>
  <c r="J225" i="10"/>
  <c r="E10" i="1" l="1"/>
  <c r="E10" i="21"/>
  <c r="D33" i="30"/>
  <c r="D36" i="5"/>
  <c r="C36" i="5"/>
  <c r="D20" i="5"/>
  <c r="C20" i="5"/>
  <c r="J29" i="21" s="1"/>
  <c r="I30" i="21" l="1"/>
  <c r="J30" i="21"/>
  <c r="D34" i="30"/>
  <c r="I29" i="21"/>
  <c r="F30" i="21"/>
  <c r="G30" i="21"/>
  <c r="H30" i="21"/>
  <c r="H29" i="21"/>
  <c r="G29" i="21"/>
  <c r="F29" i="21"/>
  <c r="K22" i="33"/>
  <c r="J31" i="21" l="1"/>
  <c r="J33" i="21" s="1"/>
  <c r="D35" i="30"/>
  <c r="D37" i="30" s="1"/>
  <c r="D38" i="30" s="1"/>
  <c r="I31" i="21"/>
  <c r="I33" i="21" s="1"/>
  <c r="G31" i="21"/>
  <c r="H31" i="21"/>
  <c r="H33" i="21" s="1"/>
  <c r="F31" i="21"/>
  <c r="D24" i="21"/>
  <c r="E24" i="21"/>
  <c r="V24" i="21" s="1" a="1"/>
  <c r="V24" i="21" s="1"/>
  <c r="D25" i="21"/>
  <c r="E25" i="21"/>
  <c r="V25" i="21" s="1" a="1"/>
  <c r="V25" i="21" s="1"/>
  <c r="I41" i="1" l="1"/>
  <c r="I43" i="1" s="1"/>
  <c r="I45" i="1" s="1"/>
  <c r="I48" i="1" s="1"/>
  <c r="H41" i="1"/>
  <c r="G41" i="1"/>
  <c r="H43" i="1" l="1"/>
  <c r="H45" i="1" s="1"/>
  <c r="H48" i="1" s="1"/>
  <c r="L64" i="35"/>
  <c r="I56" i="35"/>
  <c r="I55" i="35"/>
  <c r="I54" i="35"/>
  <c r="I53" i="35"/>
  <c r="I52" i="35"/>
  <c r="G46" i="35"/>
  <c r="I46" i="35" s="1"/>
  <c r="F45" i="35"/>
  <c r="E45" i="35"/>
  <c r="D45" i="35"/>
  <c r="G44" i="35"/>
  <c r="I44" i="35" s="1"/>
  <c r="D42" i="35"/>
  <c r="D43" i="35" s="1"/>
  <c r="G43" i="35" s="1"/>
  <c r="I43" i="35" s="1"/>
  <c r="G36" i="35"/>
  <c r="G35" i="35"/>
  <c r="G34" i="35"/>
  <c r="G33" i="35"/>
  <c r="G32" i="35"/>
  <c r="D29" i="35"/>
  <c r="D28" i="35"/>
  <c r="G28" i="35" s="1"/>
  <c r="J27" i="35"/>
  <c r="D27" i="35"/>
  <c r="F26" i="35"/>
  <c r="D26" i="35"/>
  <c r="D25" i="35"/>
  <c r="G25" i="35" s="1"/>
  <c r="I25" i="35" s="1"/>
  <c r="D24" i="35"/>
  <c r="D23" i="35"/>
  <c r="F23" i="35"/>
  <c r="D22" i="35"/>
  <c r="D21" i="35"/>
  <c r="G21" i="35" s="1"/>
  <c r="D20" i="35"/>
  <c r="N19" i="35"/>
  <c r="O18" i="35"/>
  <c r="D18" i="35"/>
  <c r="O17" i="35"/>
  <c r="D17" i="35"/>
  <c r="O16" i="35"/>
  <c r="D16" i="35"/>
  <c r="G16" i="35" s="1"/>
  <c r="O15" i="35"/>
  <c r="D15" i="35"/>
  <c r="G15" i="35" s="1"/>
  <c r="P14" i="35"/>
  <c r="O14" i="35"/>
  <c r="D14" i="35"/>
  <c r="G14" i="35" s="1"/>
  <c r="O13" i="35"/>
  <c r="D13" i="35"/>
  <c r="K13" i="35" s="1"/>
  <c r="Q12" i="35"/>
  <c r="R12" i="35" s="1"/>
  <c r="O12" i="35"/>
  <c r="K12" i="35"/>
  <c r="G12" i="35"/>
  <c r="O11" i="35"/>
  <c r="O10" i="35"/>
  <c r="F10" i="35"/>
  <c r="D10" i="35"/>
  <c r="O9" i="35"/>
  <c r="F9" i="35"/>
  <c r="D9" i="35"/>
  <c r="O8" i="35"/>
  <c r="F8" i="35"/>
  <c r="D8" i="35"/>
  <c r="O7" i="35"/>
  <c r="F7" i="35"/>
  <c r="D7" i="35"/>
  <c r="O6" i="35"/>
  <c r="Q5" i="35"/>
  <c r="O5" i="35"/>
  <c r="O4" i="35"/>
  <c r="K27" i="35" l="1"/>
  <c r="G9" i="35"/>
  <c r="G7" i="35"/>
  <c r="G24" i="35"/>
  <c r="I24" i="35" s="1"/>
  <c r="K29" i="35"/>
  <c r="G23" i="35"/>
  <c r="G20" i="35"/>
  <c r="I20" i="35" s="1"/>
  <c r="G17" i="35"/>
  <c r="G8" i="35"/>
  <c r="K21" i="35"/>
  <c r="H31" i="35"/>
  <c r="G45" i="35"/>
  <c r="I45" i="35" s="1"/>
  <c r="G26" i="35"/>
  <c r="I26" i="35" s="1"/>
  <c r="G13" i="35"/>
  <c r="G10" i="35"/>
  <c r="G42" i="35"/>
  <c r="I42" i="35" s="1"/>
  <c r="G22" i="35"/>
  <c r="O19" i="35"/>
  <c r="G18" i="35"/>
  <c r="I18" i="35" s="1"/>
  <c r="I58" i="35"/>
  <c r="I14" i="35"/>
  <c r="G27" i="35"/>
  <c r="G58" i="35"/>
  <c r="K48" i="35" l="1"/>
  <c r="H6" i="35"/>
  <c r="H11" i="35"/>
  <c r="H41" i="35"/>
  <c r="G48" i="35"/>
  <c r="G63" i="35"/>
  <c r="I63" i="35" s="1"/>
  <c r="F70" i="35"/>
  <c r="G62" i="35"/>
  <c r="G61" i="35"/>
  <c r="I61" i="35" s="1"/>
  <c r="H19" i="35"/>
  <c r="I48" i="35"/>
  <c r="I62" i="35" l="1"/>
  <c r="I72" i="35" s="1"/>
  <c r="H48" i="35"/>
  <c r="G50" i="35" s="1"/>
  <c r="F60" i="35" s="1"/>
  <c r="F64" i="35" s="1"/>
  <c r="F66" i="35" s="1"/>
  <c r="G66" i="35" s="1"/>
  <c r="F71" i="35" s="1"/>
  <c r="G60" i="35" l="1"/>
  <c r="G64" i="35" s="1"/>
  <c r="I60" i="35" l="1"/>
  <c r="I64" i="35"/>
  <c r="G68" i="35"/>
  <c r="I68" i="35" s="1"/>
  <c r="L48" i="35"/>
  <c r="M48" i="35" s="1"/>
  <c r="J53" i="33" l="1"/>
  <c r="K53" i="33" s="1"/>
  <c r="J236" i="33"/>
  <c r="K236" i="33" s="1"/>
  <c r="G236" i="33"/>
  <c r="G53" i="33"/>
  <c r="J208" i="33"/>
  <c r="K208" i="33" s="1"/>
  <c r="H208" i="33"/>
  <c r="I208" i="33" s="1"/>
  <c r="F208" i="33"/>
  <c r="G208" i="33" s="1"/>
  <c r="J240" i="33"/>
  <c r="K240" i="33" s="1"/>
  <c r="J239" i="33"/>
  <c r="K239" i="33" s="1"/>
  <c r="J237" i="33"/>
  <c r="K237" i="33" s="1"/>
  <c r="I237" i="33"/>
  <c r="J235" i="33"/>
  <c r="K235" i="33" s="1"/>
  <c r="J234" i="33"/>
  <c r="K234" i="33" s="1"/>
  <c r="J229" i="33"/>
  <c r="K229" i="33" s="1"/>
  <c r="J228" i="33"/>
  <c r="K228" i="33" s="1"/>
  <c r="J227" i="33"/>
  <c r="K227" i="33" s="1"/>
  <c r="J225" i="33"/>
  <c r="K225" i="33" s="1"/>
  <c r="J221" i="33"/>
  <c r="K221" i="33" s="1"/>
  <c r="J220" i="33"/>
  <c r="K220" i="33" s="1"/>
  <c r="J218" i="33"/>
  <c r="K218" i="33" s="1"/>
  <c r="K217" i="33" s="1"/>
  <c r="J216" i="33"/>
  <c r="K216" i="33" s="1"/>
  <c r="J215" i="33"/>
  <c r="K215" i="33" s="1"/>
  <c r="J213" i="33"/>
  <c r="K213" i="33" s="1"/>
  <c r="J185" i="33"/>
  <c r="K185" i="33" s="1"/>
  <c r="K147" i="33"/>
  <c r="I147" i="33"/>
  <c r="G147" i="33"/>
  <c r="K146" i="33"/>
  <c r="I146" i="33"/>
  <c r="G146" i="33"/>
  <c r="K145" i="33"/>
  <c r="I145" i="33"/>
  <c r="G145" i="33"/>
  <c r="K144" i="33"/>
  <c r="I144" i="33"/>
  <c r="G144" i="33"/>
  <c r="K143" i="33"/>
  <c r="I143" i="33"/>
  <c r="G143" i="33"/>
  <c r="K142" i="33"/>
  <c r="I142" i="33"/>
  <c r="G142" i="33"/>
  <c r="K141" i="33"/>
  <c r="I141" i="33"/>
  <c r="G141" i="33"/>
  <c r="K140" i="33"/>
  <c r="I140" i="33"/>
  <c r="G140" i="33"/>
  <c r="K139" i="33"/>
  <c r="I139" i="33"/>
  <c r="G139" i="33"/>
  <c r="J136" i="33"/>
  <c r="K136" i="33" s="1"/>
  <c r="J135" i="33"/>
  <c r="K135" i="33" s="1"/>
  <c r="J129" i="33"/>
  <c r="K129" i="33" s="1"/>
  <c r="J110" i="33"/>
  <c r="K110" i="33" s="1"/>
  <c r="J109" i="33"/>
  <c r="K109" i="33" s="1"/>
  <c r="J108" i="33"/>
  <c r="K108" i="33" s="1"/>
  <c r="J107" i="33"/>
  <c r="K107" i="33" s="1"/>
  <c r="J90" i="33"/>
  <c r="K90" i="33" s="1"/>
  <c r="J89" i="33"/>
  <c r="K89" i="33" s="1"/>
  <c r="J88" i="33"/>
  <c r="K88" i="33" s="1"/>
  <c r="J86" i="33"/>
  <c r="K86" i="33" s="1"/>
  <c r="J80" i="33"/>
  <c r="K80" i="33" s="1"/>
  <c r="J77" i="33"/>
  <c r="K77" i="33" s="1"/>
  <c r="J57" i="33"/>
  <c r="K57" i="33" s="1"/>
  <c r="J56" i="33"/>
  <c r="K56" i="33" s="1"/>
  <c r="I54" i="33"/>
  <c r="J54" i="33"/>
  <c r="K54" i="33" s="1"/>
  <c r="J52" i="33"/>
  <c r="K52" i="33" s="1"/>
  <c r="J51" i="33"/>
  <c r="K51" i="33" s="1"/>
  <c r="J46" i="33"/>
  <c r="K46" i="33" s="1"/>
  <c r="J45" i="33"/>
  <c r="K45" i="33" s="1"/>
  <c r="J44" i="33"/>
  <c r="K44" i="33" s="1"/>
  <c r="J41" i="33"/>
  <c r="K41" i="33" s="1"/>
  <c r="J40" i="33"/>
  <c r="K40" i="33" s="1"/>
  <c r="J38" i="33"/>
  <c r="K38" i="33" s="1"/>
  <c r="J24" i="33"/>
  <c r="K24" i="33" s="1"/>
  <c r="J23" i="33"/>
  <c r="K23" i="33" s="1"/>
  <c r="J19" i="33"/>
  <c r="K19" i="33" s="1"/>
  <c r="J18" i="33"/>
  <c r="K18" i="33" s="1"/>
  <c r="J15" i="33"/>
  <c r="K15" i="33" s="1"/>
  <c r="J12" i="33"/>
  <c r="K12" i="33" s="1"/>
  <c r="J10" i="33"/>
  <c r="K10" i="33" s="1"/>
  <c r="Q249" i="34"/>
  <c r="P249" i="34"/>
  <c r="O249" i="34"/>
  <c r="N249" i="34"/>
  <c r="K249" i="34"/>
  <c r="H249" i="34"/>
  <c r="Q248" i="34"/>
  <c r="P248" i="34"/>
  <c r="O248" i="34"/>
  <c r="K248" i="34"/>
  <c r="N248" i="34"/>
  <c r="Q247" i="34"/>
  <c r="O247" i="34"/>
  <c r="P247" i="34"/>
  <c r="N247" i="34"/>
  <c r="R245" i="34"/>
  <c r="Q245" i="34"/>
  <c r="P245" i="34"/>
  <c r="O245" i="34"/>
  <c r="K245" i="34"/>
  <c r="N245" i="34"/>
  <c r="R244" i="34"/>
  <c r="Q244" i="34"/>
  <c r="O244" i="34"/>
  <c r="K244" i="34"/>
  <c r="H244" i="34"/>
  <c r="R243" i="34"/>
  <c r="Q243" i="34"/>
  <c r="O243" i="34"/>
  <c r="N243" i="34"/>
  <c r="P243" i="34"/>
  <c r="H243" i="34"/>
  <c r="R229" i="34"/>
  <c r="Q229" i="34"/>
  <c r="P229" i="34"/>
  <c r="O229" i="34"/>
  <c r="K229" i="34"/>
  <c r="R228" i="34"/>
  <c r="Q228" i="34"/>
  <c r="P228" i="34"/>
  <c r="O228" i="34"/>
  <c r="N228" i="34"/>
  <c r="K228" i="34"/>
  <c r="H228" i="34"/>
  <c r="R227" i="34"/>
  <c r="Q227" i="34"/>
  <c r="P227" i="34"/>
  <c r="O227" i="34"/>
  <c r="N227" i="34"/>
  <c r="K227" i="34"/>
  <c r="H227" i="34"/>
  <c r="R226" i="34"/>
  <c r="Q226" i="34"/>
  <c r="P226" i="34"/>
  <c r="O226" i="34"/>
  <c r="N226" i="34"/>
  <c r="K226" i="34"/>
  <c r="H226" i="34"/>
  <c r="R225" i="34"/>
  <c r="Q225" i="34"/>
  <c r="P225" i="34"/>
  <c r="O225" i="34"/>
  <c r="N225" i="34"/>
  <c r="K225" i="34"/>
  <c r="H225" i="34"/>
  <c r="R224" i="34"/>
  <c r="Q224" i="34"/>
  <c r="P224" i="34"/>
  <c r="O224" i="34"/>
  <c r="N224" i="34"/>
  <c r="K224" i="34"/>
  <c r="H224" i="34"/>
  <c r="K223" i="34"/>
  <c r="H223" i="34"/>
  <c r="R223" i="34"/>
  <c r="K222" i="34"/>
  <c r="H222" i="34"/>
  <c r="R222" i="34"/>
  <c r="AD220" i="34"/>
  <c r="AE220" i="34" s="1"/>
  <c r="AD219" i="34"/>
  <c r="AE219" i="34" s="1"/>
  <c r="AG219" i="34" s="1"/>
  <c r="H215" i="34"/>
  <c r="F57" i="33" s="1"/>
  <c r="G57" i="33" s="1"/>
  <c r="Q215" i="34"/>
  <c r="H214" i="34"/>
  <c r="F56" i="33" s="1"/>
  <c r="G56" i="33" s="1"/>
  <c r="R214" i="34"/>
  <c r="K212" i="34"/>
  <c r="H236" i="33" s="1"/>
  <c r="I236" i="33" s="1"/>
  <c r="F212" i="34"/>
  <c r="R212" i="34"/>
  <c r="R211" i="34"/>
  <c r="P211" i="34"/>
  <c r="K211" i="34"/>
  <c r="H235" i="33" s="1"/>
  <c r="I235" i="33" s="1"/>
  <c r="N211" i="34"/>
  <c r="K210" i="34"/>
  <c r="H234" i="33" s="1"/>
  <c r="I234" i="33" s="1"/>
  <c r="H210" i="34"/>
  <c r="F234" i="33" s="1"/>
  <c r="G234" i="33" s="1"/>
  <c r="R210" i="34"/>
  <c r="Q209" i="34"/>
  <c r="P209" i="34"/>
  <c r="O209" i="34"/>
  <c r="N209" i="34"/>
  <c r="K209" i="34"/>
  <c r="H50" i="33" s="1"/>
  <c r="I50" i="33" s="1"/>
  <c r="H209" i="34"/>
  <c r="F233" i="33" s="1"/>
  <c r="G233" i="33" s="1"/>
  <c r="Q206" i="34"/>
  <c r="P206" i="34"/>
  <c r="O206" i="34"/>
  <c r="H205" i="34"/>
  <c r="F229" i="33" s="1"/>
  <c r="G229" i="33" s="1"/>
  <c r="R205" i="34"/>
  <c r="K204" i="34"/>
  <c r="H204" i="34"/>
  <c r="F228" i="33" s="1"/>
  <c r="G228" i="33" s="1"/>
  <c r="R204" i="34"/>
  <c r="K203" i="34"/>
  <c r="H203" i="34"/>
  <c r="F227" i="33" s="1"/>
  <c r="G227" i="33" s="1"/>
  <c r="N203" i="34"/>
  <c r="R201" i="34"/>
  <c r="Q201" i="34"/>
  <c r="O201" i="34"/>
  <c r="K201" i="34"/>
  <c r="H225" i="33" s="1"/>
  <c r="I225" i="33" s="1"/>
  <c r="N201" i="34"/>
  <c r="Q200" i="34"/>
  <c r="P200" i="34"/>
  <c r="O200" i="34"/>
  <c r="N200" i="34"/>
  <c r="Q199" i="34"/>
  <c r="O199" i="34"/>
  <c r="H197" i="34"/>
  <c r="F221" i="33" s="1"/>
  <c r="G221" i="33" s="1"/>
  <c r="O197" i="34"/>
  <c r="R196" i="34"/>
  <c r="Q196" i="34"/>
  <c r="O196" i="34"/>
  <c r="N196" i="34"/>
  <c r="P196" i="34"/>
  <c r="H196" i="34"/>
  <c r="F220" i="33" s="1"/>
  <c r="G220" i="33" s="1"/>
  <c r="R194" i="34"/>
  <c r="Q194" i="34"/>
  <c r="P194" i="34"/>
  <c r="O194" i="34"/>
  <c r="N194" i="34"/>
  <c r="K194" i="34"/>
  <c r="H218" i="33" s="1"/>
  <c r="I218" i="33" s="1"/>
  <c r="I217" i="33" s="1"/>
  <c r="H194" i="34"/>
  <c r="F218" i="33" s="1"/>
  <c r="G218" i="33" s="1"/>
  <c r="R192" i="34"/>
  <c r="Q192" i="34"/>
  <c r="O192" i="34"/>
  <c r="N192" i="34"/>
  <c r="K192" i="34"/>
  <c r="H216" i="33" s="1"/>
  <c r="I216" i="33" s="1"/>
  <c r="H192" i="34"/>
  <c r="F216" i="33" s="1"/>
  <c r="G216" i="33" s="1"/>
  <c r="R191" i="34"/>
  <c r="Q191" i="34"/>
  <c r="O191" i="34"/>
  <c r="K191" i="34"/>
  <c r="H191" i="34"/>
  <c r="F215" i="33" s="1"/>
  <c r="G215" i="33" s="1"/>
  <c r="R189" i="34"/>
  <c r="Q189" i="34"/>
  <c r="O189" i="34"/>
  <c r="N189" i="34"/>
  <c r="H189" i="34"/>
  <c r="F213" i="33" s="1"/>
  <c r="G213" i="33" s="1"/>
  <c r="Q188" i="34"/>
  <c r="O188" i="34"/>
  <c r="N188" i="34"/>
  <c r="I188" i="34"/>
  <c r="K188" i="34" s="1"/>
  <c r="H212" i="33" s="1"/>
  <c r="I212" i="33" s="1"/>
  <c r="H188" i="34"/>
  <c r="F212" i="33" s="1"/>
  <c r="G212" i="33" s="1"/>
  <c r="Q186" i="34"/>
  <c r="O186" i="34"/>
  <c r="P186" i="34"/>
  <c r="H186" i="34"/>
  <c r="F210" i="33" s="1"/>
  <c r="G210" i="33" s="1"/>
  <c r="Q184" i="34"/>
  <c r="O184" i="34"/>
  <c r="K184" i="34"/>
  <c r="H207" i="33" s="1"/>
  <c r="I207" i="33" s="1"/>
  <c r="Q183" i="34"/>
  <c r="O183" i="34"/>
  <c r="N183" i="34"/>
  <c r="H183" i="34"/>
  <c r="F206" i="33" s="1"/>
  <c r="G206" i="33" s="1"/>
  <c r="Q182" i="34"/>
  <c r="O182" i="34"/>
  <c r="P182" i="34"/>
  <c r="Q180" i="34"/>
  <c r="O180" i="34"/>
  <c r="Q178" i="34"/>
  <c r="O178" i="34"/>
  <c r="Q177" i="34"/>
  <c r="O177" i="34"/>
  <c r="Q176" i="34"/>
  <c r="O176" i="34"/>
  <c r="Q175" i="34"/>
  <c r="O175" i="34"/>
  <c r="Q174" i="34"/>
  <c r="O174" i="34"/>
  <c r="Q172" i="34"/>
  <c r="O172" i="34"/>
  <c r="Q171" i="34"/>
  <c r="O171" i="34"/>
  <c r="Q170" i="34"/>
  <c r="O170" i="34"/>
  <c r="Q168" i="34"/>
  <c r="O168" i="34"/>
  <c r="Q167" i="34"/>
  <c r="O167" i="34"/>
  <c r="Q166" i="34"/>
  <c r="O166" i="34"/>
  <c r="Q165" i="34"/>
  <c r="O165" i="34"/>
  <c r="AB163" i="34"/>
  <c r="R162" i="34"/>
  <c r="Q162" i="34"/>
  <c r="O162" i="34"/>
  <c r="N162" i="34"/>
  <c r="K162" i="34"/>
  <c r="H185" i="33" s="1"/>
  <c r="I185" i="33" s="1"/>
  <c r="H162" i="34"/>
  <c r="F185" i="33" s="1"/>
  <c r="G185" i="33" s="1"/>
  <c r="Q161" i="34"/>
  <c r="O161" i="34"/>
  <c r="H161" i="34"/>
  <c r="F184" i="33" s="1"/>
  <c r="G184" i="33" s="1"/>
  <c r="Q160" i="34"/>
  <c r="O160" i="34"/>
  <c r="K160" i="34"/>
  <c r="H183" i="33" s="1"/>
  <c r="I183" i="33" s="1"/>
  <c r="N160" i="34"/>
  <c r="Q159" i="34"/>
  <c r="O159" i="34"/>
  <c r="N159" i="34"/>
  <c r="P159" i="34"/>
  <c r="H159" i="34"/>
  <c r="F182" i="33" s="1"/>
  <c r="G182" i="33" s="1"/>
  <c r="H158" i="34"/>
  <c r="N158" i="34"/>
  <c r="H157" i="34"/>
  <c r="F180" i="33" s="1"/>
  <c r="G180" i="33" s="1"/>
  <c r="N157" i="34"/>
  <c r="K156" i="34"/>
  <c r="H179" i="33" s="1"/>
  <c r="I179" i="33" s="1"/>
  <c r="H156" i="34"/>
  <c r="F179" i="33" s="1"/>
  <c r="G179" i="33" s="1"/>
  <c r="N156" i="34"/>
  <c r="H155" i="34"/>
  <c r="F178" i="33" s="1"/>
  <c r="G178" i="33" s="1"/>
  <c r="Q155" i="34"/>
  <c r="K154" i="34"/>
  <c r="H177" i="33" s="1"/>
  <c r="I177" i="33" s="1"/>
  <c r="H154" i="34"/>
  <c r="F177" i="33" s="1"/>
  <c r="G177" i="33" s="1"/>
  <c r="H153" i="34"/>
  <c r="F176" i="33" s="1"/>
  <c r="G176" i="33" s="1"/>
  <c r="Q153" i="34"/>
  <c r="K152" i="34"/>
  <c r="H175" i="33" s="1"/>
  <c r="I175" i="33" s="1"/>
  <c r="H152" i="34"/>
  <c r="F175" i="33" s="1"/>
  <c r="G175" i="33" s="1"/>
  <c r="Q152" i="34"/>
  <c r="O151" i="34"/>
  <c r="H151" i="34"/>
  <c r="F174" i="33" s="1"/>
  <c r="G174" i="33" s="1"/>
  <c r="O150" i="34"/>
  <c r="P150" i="34"/>
  <c r="N150" i="34"/>
  <c r="O149" i="34"/>
  <c r="N149" i="34"/>
  <c r="J149" i="34"/>
  <c r="Q149" i="34" s="1"/>
  <c r="H149" i="34"/>
  <c r="F172" i="33" s="1"/>
  <c r="G172" i="33" s="1"/>
  <c r="Q148" i="34"/>
  <c r="O148" i="34"/>
  <c r="H148" i="34"/>
  <c r="F171" i="33" s="1"/>
  <c r="G171" i="33" s="1"/>
  <c r="Q147" i="34"/>
  <c r="O147" i="34"/>
  <c r="K147" i="34"/>
  <c r="H170" i="33" s="1"/>
  <c r="I170" i="33" s="1"/>
  <c r="N147" i="34"/>
  <c r="Q146" i="34"/>
  <c r="O146" i="34"/>
  <c r="P146" i="34"/>
  <c r="H146" i="34"/>
  <c r="F169" i="33" s="1"/>
  <c r="G169" i="33" s="1"/>
  <c r="Q145" i="34"/>
  <c r="O145" i="34"/>
  <c r="K145" i="34"/>
  <c r="N145" i="34"/>
  <c r="Q144" i="34"/>
  <c r="O144" i="34"/>
  <c r="K144" i="34"/>
  <c r="H167" i="33" s="1"/>
  <c r="I167" i="33" s="1"/>
  <c r="N144" i="34"/>
  <c r="Q143" i="34"/>
  <c r="O143" i="34"/>
  <c r="P143" i="34"/>
  <c r="Q142" i="34"/>
  <c r="O142" i="34"/>
  <c r="H142" i="34"/>
  <c r="F165" i="33" s="1"/>
  <c r="G165" i="33" s="1"/>
  <c r="J164" i="33"/>
  <c r="K164" i="33" s="1"/>
  <c r="K141" i="34"/>
  <c r="H164" i="33" s="1"/>
  <c r="I164" i="33" s="1"/>
  <c r="Q141" i="34"/>
  <c r="Q140" i="34"/>
  <c r="J162" i="33"/>
  <c r="K162" i="33" s="1"/>
  <c r="Q139" i="34"/>
  <c r="K138" i="34"/>
  <c r="H161" i="33" s="1"/>
  <c r="I161" i="33" s="1"/>
  <c r="O138" i="34"/>
  <c r="K137" i="34"/>
  <c r="H160" i="33" s="1"/>
  <c r="I160" i="33" s="1"/>
  <c r="Q137" i="34"/>
  <c r="J159" i="33"/>
  <c r="K159" i="33" s="1"/>
  <c r="Q136" i="34"/>
  <c r="J158" i="33"/>
  <c r="K158" i="33" s="1"/>
  <c r="H135" i="34"/>
  <c r="F158" i="33" s="1"/>
  <c r="G158" i="33" s="1"/>
  <c r="J157" i="33"/>
  <c r="K157" i="33" s="1"/>
  <c r="H134" i="34"/>
  <c r="F157" i="33" s="1"/>
  <c r="G157" i="33" s="1"/>
  <c r="Q134" i="34"/>
  <c r="J156" i="33"/>
  <c r="K156" i="33" s="1"/>
  <c r="K133" i="34"/>
  <c r="H156" i="33" s="1"/>
  <c r="I156" i="33" s="1"/>
  <c r="H133" i="34"/>
  <c r="F156" i="33" s="1"/>
  <c r="G156" i="33" s="1"/>
  <c r="O133" i="34"/>
  <c r="A133" i="34"/>
  <c r="N131" i="34"/>
  <c r="J153" i="33"/>
  <c r="K153" i="33" s="1"/>
  <c r="K130" i="34"/>
  <c r="H153" i="33" s="1"/>
  <c r="I153" i="33" s="1"/>
  <c r="P130" i="34"/>
  <c r="J152" i="33"/>
  <c r="K152" i="33" s="1"/>
  <c r="K129" i="34"/>
  <c r="H152" i="33" s="1"/>
  <c r="I152" i="33" s="1"/>
  <c r="H129" i="34"/>
  <c r="L131" i="34"/>
  <c r="H128" i="34"/>
  <c r="F151" i="33" s="1"/>
  <c r="G151" i="33" s="1"/>
  <c r="A128" i="34"/>
  <c r="R126" i="34"/>
  <c r="Q126" i="34"/>
  <c r="P126" i="34"/>
  <c r="O126" i="34"/>
  <c r="N126" i="34"/>
  <c r="K126" i="34"/>
  <c r="H126" i="34"/>
  <c r="S124" i="34"/>
  <c r="S123" i="34"/>
  <c r="S122" i="34"/>
  <c r="K122" i="34"/>
  <c r="H122" i="34"/>
  <c r="S121" i="34"/>
  <c r="K121" i="34"/>
  <c r="H121" i="34"/>
  <c r="S120" i="34"/>
  <c r="K120" i="34"/>
  <c r="H120" i="34"/>
  <c r="S119" i="34"/>
  <c r="K119" i="34"/>
  <c r="H119" i="34"/>
  <c r="S118" i="34"/>
  <c r="K118" i="34"/>
  <c r="H118" i="34"/>
  <c r="S117" i="34"/>
  <c r="K117" i="34"/>
  <c r="H117" i="34"/>
  <c r="S116" i="34"/>
  <c r="K116" i="34"/>
  <c r="H116" i="34"/>
  <c r="H113" i="34"/>
  <c r="R113" i="34"/>
  <c r="R112" i="34"/>
  <c r="K111" i="34"/>
  <c r="H134" i="33" s="1"/>
  <c r="I134" i="33" s="1"/>
  <c r="O111" i="34"/>
  <c r="J133" i="33"/>
  <c r="K133" i="33" s="1"/>
  <c r="Q110" i="34"/>
  <c r="O109" i="34"/>
  <c r="K108" i="34"/>
  <c r="H131" i="33" s="1"/>
  <c r="I131" i="33" s="1"/>
  <c r="H108" i="34"/>
  <c r="Q108" i="34"/>
  <c r="A108" i="34"/>
  <c r="A109" i="34" s="1"/>
  <c r="K106" i="34"/>
  <c r="H129" i="33" s="1"/>
  <c r="I129" i="33" s="1"/>
  <c r="H106" i="34"/>
  <c r="J128" i="33"/>
  <c r="K128" i="33" s="1"/>
  <c r="H105" i="34"/>
  <c r="F128" i="33" s="1"/>
  <c r="G128" i="33" s="1"/>
  <c r="K104" i="34"/>
  <c r="H127" i="33" s="1"/>
  <c r="I127" i="33" s="1"/>
  <c r="H104" i="34"/>
  <c r="F127" i="33" s="1"/>
  <c r="G127" i="33" s="1"/>
  <c r="P104" i="34"/>
  <c r="J126" i="33"/>
  <c r="K126" i="33" s="1"/>
  <c r="K103" i="34"/>
  <c r="H126" i="33" s="1"/>
  <c r="I126" i="33" s="1"/>
  <c r="P103" i="34"/>
  <c r="K101" i="34"/>
  <c r="H124" i="33" s="1"/>
  <c r="I124" i="33" s="1"/>
  <c r="H101" i="34"/>
  <c r="F124" i="33" s="1"/>
  <c r="G124" i="33" s="1"/>
  <c r="N101" i="34"/>
  <c r="K100" i="34"/>
  <c r="H123" i="33" s="1"/>
  <c r="I123" i="33" s="1"/>
  <c r="H100" i="34"/>
  <c r="N100" i="34"/>
  <c r="J122" i="33"/>
  <c r="K122" i="33" s="1"/>
  <c r="P99" i="34"/>
  <c r="H98" i="34"/>
  <c r="P98" i="34"/>
  <c r="A97" i="34"/>
  <c r="K94" i="34"/>
  <c r="H117" i="33" s="1"/>
  <c r="I117" i="33" s="1"/>
  <c r="H94" i="34"/>
  <c r="N94" i="34"/>
  <c r="J116" i="33"/>
  <c r="K116" i="33" s="1"/>
  <c r="P93" i="34"/>
  <c r="J115" i="33"/>
  <c r="K115" i="33" s="1"/>
  <c r="H92" i="34"/>
  <c r="F115" i="33" s="1"/>
  <c r="G115" i="33" s="1"/>
  <c r="N92" i="34"/>
  <c r="J114" i="33"/>
  <c r="K114" i="33" s="1"/>
  <c r="K91" i="34"/>
  <c r="H114" i="33" s="1"/>
  <c r="I114" i="33" s="1"/>
  <c r="H91" i="34"/>
  <c r="F114" i="33" s="1"/>
  <c r="G114" i="33" s="1"/>
  <c r="P91" i="34"/>
  <c r="J113" i="33"/>
  <c r="K113" i="33" s="1"/>
  <c r="K90" i="34"/>
  <c r="H113" i="33" s="1"/>
  <c r="I113" i="33" s="1"/>
  <c r="H90" i="34"/>
  <c r="N90" i="34"/>
  <c r="J112" i="33"/>
  <c r="K112" i="33" s="1"/>
  <c r="P89" i="34"/>
  <c r="R87" i="34"/>
  <c r="Q87" i="34"/>
  <c r="O87" i="34"/>
  <c r="K87" i="34"/>
  <c r="H110" i="33" s="1"/>
  <c r="I110" i="33" s="1"/>
  <c r="H87" i="34"/>
  <c r="R86" i="34"/>
  <c r="Q86" i="34"/>
  <c r="P86" i="34"/>
  <c r="O86" i="34"/>
  <c r="N86" i="34"/>
  <c r="K86" i="34"/>
  <c r="H109" i="33" s="1"/>
  <c r="I109" i="33" s="1"/>
  <c r="H86" i="34"/>
  <c r="R85" i="34"/>
  <c r="Q85" i="34"/>
  <c r="O85" i="34"/>
  <c r="N85" i="34"/>
  <c r="I85" i="34"/>
  <c r="K85" i="34" s="1"/>
  <c r="H85" i="34"/>
  <c r="F108" i="33" s="1"/>
  <c r="G108" i="33" s="1"/>
  <c r="R84" i="34"/>
  <c r="Q84" i="34"/>
  <c r="P84" i="34"/>
  <c r="O84" i="34"/>
  <c r="N84" i="34"/>
  <c r="K84" i="34"/>
  <c r="H107" i="33" s="1"/>
  <c r="I107" i="33" s="1"/>
  <c r="H84" i="34"/>
  <c r="J121" i="33"/>
  <c r="K121" i="33" s="1"/>
  <c r="H81" i="34"/>
  <c r="F121" i="33" s="1"/>
  <c r="G121" i="33" s="1"/>
  <c r="P81" i="34"/>
  <c r="Q79" i="34"/>
  <c r="P79" i="34"/>
  <c r="O79" i="34"/>
  <c r="N79" i="34"/>
  <c r="Q77" i="34"/>
  <c r="O77" i="34"/>
  <c r="Q76" i="34"/>
  <c r="P76" i="34"/>
  <c r="O76" i="34"/>
  <c r="N76" i="34"/>
  <c r="K75" i="34"/>
  <c r="H98" i="33" s="1"/>
  <c r="I98" i="33" s="1"/>
  <c r="P75" i="34"/>
  <c r="J97" i="33"/>
  <c r="K97" i="33" s="1"/>
  <c r="K74" i="34"/>
  <c r="H97" i="33" s="1"/>
  <c r="I97" i="33" s="1"/>
  <c r="H74" i="34"/>
  <c r="F97" i="33" s="1"/>
  <c r="G97" i="33" s="1"/>
  <c r="P74" i="34"/>
  <c r="K73" i="34"/>
  <c r="H96" i="33" s="1"/>
  <c r="I96" i="33" s="1"/>
  <c r="H73" i="34"/>
  <c r="N73" i="34"/>
  <c r="P72" i="34"/>
  <c r="I71" i="34"/>
  <c r="H71" i="34"/>
  <c r="F94" i="33" s="1"/>
  <c r="G94" i="33" s="1"/>
  <c r="N71" i="34"/>
  <c r="J93" i="33"/>
  <c r="K93" i="33" s="1"/>
  <c r="K70" i="34"/>
  <c r="H93" i="33" s="1"/>
  <c r="I93" i="33" s="1"/>
  <c r="H70" i="34"/>
  <c r="F93" i="33" s="1"/>
  <c r="G93" i="33" s="1"/>
  <c r="P70" i="34"/>
  <c r="P68" i="34"/>
  <c r="R67" i="34"/>
  <c r="R66" i="34"/>
  <c r="R65" i="34"/>
  <c r="J87" i="33"/>
  <c r="K87" i="33" s="1"/>
  <c r="H64" i="34"/>
  <c r="F87" i="33" s="1"/>
  <c r="G87" i="33" s="1"/>
  <c r="P64" i="34"/>
  <c r="K63" i="34"/>
  <c r="H86" i="33" s="1"/>
  <c r="I86" i="33" s="1"/>
  <c r="H63" i="34"/>
  <c r="R63" i="34"/>
  <c r="K62" i="34"/>
  <c r="H85" i="33" s="1"/>
  <c r="I85" i="33" s="1"/>
  <c r="H62" i="34"/>
  <c r="N62" i="34"/>
  <c r="J84" i="33"/>
  <c r="K84" i="33" s="1"/>
  <c r="P61" i="34"/>
  <c r="Q59" i="34"/>
  <c r="O59" i="34"/>
  <c r="R57" i="34"/>
  <c r="Q57" i="34"/>
  <c r="P57" i="34"/>
  <c r="O57" i="34"/>
  <c r="N57" i="34"/>
  <c r="K57" i="34"/>
  <c r="H80" i="33" s="1"/>
  <c r="I80" i="33" s="1"/>
  <c r="H57" i="34"/>
  <c r="J79" i="33"/>
  <c r="K79" i="33" s="1"/>
  <c r="H56" i="34"/>
  <c r="F79" i="33" s="1"/>
  <c r="G79" i="33" s="1"/>
  <c r="N56" i="34"/>
  <c r="K55" i="34"/>
  <c r="H78" i="33" s="1"/>
  <c r="I78" i="33" s="1"/>
  <c r="H55" i="34"/>
  <c r="P55" i="34"/>
  <c r="K54" i="34"/>
  <c r="H77" i="33" s="1"/>
  <c r="I77" i="33" s="1"/>
  <c r="H54" i="34"/>
  <c r="N54" i="34"/>
  <c r="K53" i="34"/>
  <c r="H76" i="33" s="1"/>
  <c r="I76" i="33" s="1"/>
  <c r="N53" i="34"/>
  <c r="P52" i="34"/>
  <c r="N52" i="34"/>
  <c r="R52" i="34"/>
  <c r="Q52" i="34"/>
  <c r="O52" i="34"/>
  <c r="I51" i="34"/>
  <c r="H51" i="34"/>
  <c r="F74" i="33" s="1"/>
  <c r="G74" i="33" s="1"/>
  <c r="Q49" i="34"/>
  <c r="P49" i="34"/>
  <c r="N49" i="34"/>
  <c r="E48" i="34"/>
  <c r="F47" i="34"/>
  <c r="I46" i="34"/>
  <c r="F46" i="34"/>
  <c r="K45" i="34"/>
  <c r="H68" i="33" s="1"/>
  <c r="I68" i="33" s="1"/>
  <c r="N45" i="34"/>
  <c r="K44" i="34"/>
  <c r="H67" i="33" s="1"/>
  <c r="I67" i="33" s="1"/>
  <c r="H44" i="34"/>
  <c r="F67" i="33" s="1"/>
  <c r="G67" i="33" s="1"/>
  <c r="N44" i="34"/>
  <c r="J66" i="33"/>
  <c r="K66" i="33" s="1"/>
  <c r="K43" i="34"/>
  <c r="H66" i="33" s="1"/>
  <c r="I66" i="33" s="1"/>
  <c r="H43" i="34"/>
  <c r="N43" i="34"/>
  <c r="J65" i="33"/>
  <c r="K65" i="33" s="1"/>
  <c r="P42" i="34"/>
  <c r="K39" i="34"/>
  <c r="H39" i="34"/>
  <c r="F41" i="33" s="1"/>
  <c r="G41" i="33" s="1"/>
  <c r="Q39" i="34"/>
  <c r="K38" i="34"/>
  <c r="H40" i="33" s="1"/>
  <c r="I40" i="33" s="1"/>
  <c r="H38" i="34"/>
  <c r="Q38" i="34"/>
  <c r="Q37" i="34"/>
  <c r="P37" i="34"/>
  <c r="O37" i="34"/>
  <c r="N37" i="34"/>
  <c r="R37" i="34"/>
  <c r="K37" i="34"/>
  <c r="H39" i="33" s="1"/>
  <c r="I39" i="33" s="1"/>
  <c r="H37" i="34"/>
  <c r="F39" i="33" s="1"/>
  <c r="G39" i="33" s="1"/>
  <c r="R36" i="34"/>
  <c r="Q36" i="34"/>
  <c r="P36" i="34"/>
  <c r="O36" i="34"/>
  <c r="K36" i="34"/>
  <c r="H38" i="33" s="1"/>
  <c r="I38" i="33" s="1"/>
  <c r="N36" i="34"/>
  <c r="H35" i="34"/>
  <c r="F37" i="33" s="1"/>
  <c r="G37" i="33" s="1"/>
  <c r="Q35" i="34"/>
  <c r="H34" i="34"/>
  <c r="F36" i="33" s="1"/>
  <c r="G36" i="33" s="1"/>
  <c r="Q34" i="34"/>
  <c r="K33" i="34"/>
  <c r="H35" i="33" s="1"/>
  <c r="I35" i="33" s="1"/>
  <c r="H33" i="34"/>
  <c r="Q33" i="34"/>
  <c r="K32" i="34"/>
  <c r="H34" i="33" s="1"/>
  <c r="I34" i="33" s="1"/>
  <c r="O32" i="34"/>
  <c r="O31" i="34"/>
  <c r="H30" i="34"/>
  <c r="F32" i="33" s="1"/>
  <c r="G32" i="33" s="1"/>
  <c r="Q30" i="34"/>
  <c r="K29" i="34"/>
  <c r="H31" i="33" s="1"/>
  <c r="I31" i="33" s="1"/>
  <c r="H29" i="34"/>
  <c r="F31" i="33" s="1"/>
  <c r="G31" i="33" s="1"/>
  <c r="O29" i="34"/>
  <c r="O28" i="34"/>
  <c r="Q27" i="34"/>
  <c r="AC26" i="34"/>
  <c r="K26" i="34"/>
  <c r="H28" i="33" s="1"/>
  <c r="I28" i="33" s="1"/>
  <c r="H26" i="34"/>
  <c r="Q26" i="34"/>
  <c r="K25" i="34"/>
  <c r="H27" i="33" s="1"/>
  <c r="I27" i="33" s="1"/>
  <c r="O25" i="34"/>
  <c r="O24" i="34"/>
  <c r="K22" i="34"/>
  <c r="H24" i="33" s="1"/>
  <c r="I24" i="33" s="1"/>
  <c r="H22" i="34"/>
  <c r="F24" i="33" s="1"/>
  <c r="G24" i="33" s="1"/>
  <c r="R22" i="34"/>
  <c r="R21" i="34"/>
  <c r="Q21" i="34"/>
  <c r="P21" i="34"/>
  <c r="O21" i="34"/>
  <c r="N21" i="34"/>
  <c r="K21" i="34"/>
  <c r="H23" i="33" s="1"/>
  <c r="I23" i="33" s="1"/>
  <c r="H21" i="34"/>
  <c r="H21" i="33"/>
  <c r="I21" i="33" s="1"/>
  <c r="R18" i="34"/>
  <c r="Q18" i="34"/>
  <c r="O18" i="34"/>
  <c r="N18" i="34"/>
  <c r="K18" i="34"/>
  <c r="H19" i="33" s="1"/>
  <c r="I19" i="33" s="1"/>
  <c r="H18" i="34"/>
  <c r="F19" i="33" s="1"/>
  <c r="G19" i="33" s="1"/>
  <c r="R17" i="34"/>
  <c r="Q17" i="34"/>
  <c r="P17" i="34"/>
  <c r="O17" i="34"/>
  <c r="N17" i="34"/>
  <c r="Q16" i="34"/>
  <c r="P16" i="34"/>
  <c r="O16" i="34"/>
  <c r="N16" i="34"/>
  <c r="Q15" i="34"/>
  <c r="P15" i="34"/>
  <c r="O15" i="34"/>
  <c r="N15" i="34"/>
  <c r="R14" i="34"/>
  <c r="O14" i="34"/>
  <c r="N14" i="34"/>
  <c r="Q14" i="34"/>
  <c r="H14" i="34"/>
  <c r="P13" i="34"/>
  <c r="O13" i="34"/>
  <c r="N13" i="34"/>
  <c r="Q12" i="34"/>
  <c r="O12" i="34"/>
  <c r="N12" i="34"/>
  <c r="R11" i="34"/>
  <c r="Q11" i="34"/>
  <c r="P11" i="34"/>
  <c r="O11" i="34"/>
  <c r="N11" i="34"/>
  <c r="K11" i="34"/>
  <c r="H11" i="34"/>
  <c r="F12" i="33" s="1"/>
  <c r="G12" i="33" s="1"/>
  <c r="Q10" i="34"/>
  <c r="P10" i="34"/>
  <c r="O10" i="34"/>
  <c r="N10" i="34"/>
  <c r="R9" i="34"/>
  <c r="Q9" i="34"/>
  <c r="P9" i="34"/>
  <c r="O9" i="34"/>
  <c r="N9" i="34"/>
  <c r="K9" i="34"/>
  <c r="H10" i="33" s="1"/>
  <c r="I10" i="33" s="1"/>
  <c r="H9" i="34"/>
  <c r="I189" i="34"/>
  <c r="AL245" i="33"/>
  <c r="C245" i="33"/>
  <c r="AL244" i="33"/>
  <c r="C244" i="33"/>
  <c r="AI240" i="33"/>
  <c r="AI239" i="33"/>
  <c r="AI237" i="33"/>
  <c r="AI235" i="33"/>
  <c r="AI234" i="33"/>
  <c r="AI233" i="33"/>
  <c r="AI232" i="33"/>
  <c r="AI231" i="33"/>
  <c r="AI230" i="33"/>
  <c r="AI229" i="33"/>
  <c r="AI228" i="33"/>
  <c r="AI227" i="33"/>
  <c r="AI225" i="33"/>
  <c r="AI224" i="33"/>
  <c r="AI223" i="33"/>
  <c r="AI221" i="33"/>
  <c r="AI220" i="33"/>
  <c r="AI218" i="33"/>
  <c r="AI216" i="33"/>
  <c r="AI215" i="33"/>
  <c r="AI213" i="33"/>
  <c r="AI212" i="33"/>
  <c r="AI210" i="33"/>
  <c r="AI208" i="33"/>
  <c r="AI207" i="33"/>
  <c r="AI206" i="33"/>
  <c r="AI205" i="33"/>
  <c r="AI203" i="33"/>
  <c r="AI201" i="33"/>
  <c r="AI200" i="33"/>
  <c r="AI199" i="33"/>
  <c r="AI198" i="33"/>
  <c r="AI197" i="33"/>
  <c r="AI195" i="33"/>
  <c r="AI194" i="33"/>
  <c r="AI193" i="33"/>
  <c r="AI191" i="33"/>
  <c r="AI190" i="33"/>
  <c r="AI189" i="33"/>
  <c r="AI188" i="33"/>
  <c r="AI185" i="33"/>
  <c r="AI184" i="33"/>
  <c r="AI183" i="33"/>
  <c r="AI182" i="33"/>
  <c r="AI181" i="33"/>
  <c r="AI180" i="33"/>
  <c r="AI179" i="33"/>
  <c r="AI178" i="33"/>
  <c r="AI177" i="33"/>
  <c r="AI176" i="33"/>
  <c r="AI175" i="33"/>
  <c r="AI174" i="33"/>
  <c r="AI173" i="33"/>
  <c r="AI172" i="33"/>
  <c r="AI171" i="33"/>
  <c r="AI170" i="33"/>
  <c r="AI169" i="33"/>
  <c r="AI168" i="33"/>
  <c r="AI167" i="33"/>
  <c r="AI166" i="33"/>
  <c r="AI165" i="33"/>
  <c r="AI164" i="33"/>
  <c r="AI163" i="33"/>
  <c r="AI162" i="33"/>
  <c r="AI161" i="33"/>
  <c r="AI160" i="33"/>
  <c r="AI159" i="33"/>
  <c r="AI158" i="33"/>
  <c r="AI157" i="33"/>
  <c r="AI156" i="33"/>
  <c r="B156" i="33"/>
  <c r="AI154" i="33"/>
  <c r="AI153" i="33"/>
  <c r="AI152" i="33"/>
  <c r="AI151" i="33"/>
  <c r="B151" i="33"/>
  <c r="AI149" i="33"/>
  <c r="AI147" i="33"/>
  <c r="AI146" i="33"/>
  <c r="AI145" i="33"/>
  <c r="AI144" i="33"/>
  <c r="AI143" i="33"/>
  <c r="AI142" i="33"/>
  <c r="AI141" i="33"/>
  <c r="AI140" i="33"/>
  <c r="AI139" i="33"/>
  <c r="AI137" i="33"/>
  <c r="AI136" i="33"/>
  <c r="AI135" i="33"/>
  <c r="AI134" i="33"/>
  <c r="AI133" i="33"/>
  <c r="AI132" i="33"/>
  <c r="AI131" i="33"/>
  <c r="B131" i="33"/>
  <c r="B132" i="33" s="1"/>
  <c r="AI129" i="33"/>
  <c r="AI128" i="33"/>
  <c r="AI127" i="33"/>
  <c r="AI126" i="33"/>
  <c r="AI123" i="33"/>
  <c r="AI122" i="33"/>
  <c r="AI121" i="33"/>
  <c r="AI120" i="33"/>
  <c r="B120" i="33"/>
  <c r="AI118" i="33"/>
  <c r="AI117" i="33"/>
  <c r="AI116" i="33"/>
  <c r="AI115" i="33"/>
  <c r="AI114" i="33"/>
  <c r="AI113" i="33"/>
  <c r="AI112" i="33"/>
  <c r="AI110" i="33"/>
  <c r="AI109" i="33"/>
  <c r="AI108" i="33"/>
  <c r="AI107" i="33"/>
  <c r="AI105" i="33"/>
  <c r="AI104" i="33"/>
  <c r="AI103" i="33"/>
  <c r="AI102" i="33"/>
  <c r="AI100" i="33"/>
  <c r="AI99" i="33"/>
  <c r="AI98" i="33"/>
  <c r="AI97" i="33"/>
  <c r="AI96" i="33"/>
  <c r="AI95" i="33"/>
  <c r="AI94" i="33"/>
  <c r="AI93" i="33"/>
  <c r="AI91" i="33"/>
  <c r="AI90" i="33"/>
  <c r="AI89" i="33"/>
  <c r="AI88" i="33"/>
  <c r="AI87" i="33"/>
  <c r="AI86" i="33"/>
  <c r="AI85" i="33"/>
  <c r="AI84" i="33"/>
  <c r="AI82" i="33"/>
  <c r="AI80" i="33"/>
  <c r="AI79" i="33"/>
  <c r="AI78" i="33"/>
  <c r="AI77" i="33"/>
  <c r="AI76" i="33"/>
  <c r="AI75" i="33"/>
  <c r="AI74" i="33"/>
  <c r="AI72" i="33"/>
  <c r="AI71" i="33"/>
  <c r="AI70" i="33"/>
  <c r="AI69" i="33"/>
  <c r="AI68" i="33"/>
  <c r="AI67" i="33"/>
  <c r="AI66" i="33"/>
  <c r="AI65" i="33"/>
  <c r="AI57" i="33"/>
  <c r="AI56" i="33"/>
  <c r="AI54" i="33"/>
  <c r="AI52" i="33"/>
  <c r="AI51" i="33"/>
  <c r="AI50" i="33"/>
  <c r="AI49" i="33"/>
  <c r="AI48" i="33"/>
  <c r="AI47" i="33"/>
  <c r="AI46" i="33"/>
  <c r="AI45" i="33"/>
  <c r="AI44" i="33"/>
  <c r="AI42" i="33"/>
  <c r="AI41" i="33"/>
  <c r="AI40" i="33"/>
  <c r="AI39" i="33"/>
  <c r="AI38" i="33"/>
  <c r="AI37" i="33"/>
  <c r="AI36" i="33"/>
  <c r="AI35" i="33"/>
  <c r="AI34" i="33"/>
  <c r="AI33" i="33"/>
  <c r="AI32" i="33"/>
  <c r="AI31" i="33"/>
  <c r="AI30" i="33"/>
  <c r="AI29" i="33"/>
  <c r="AI28" i="33"/>
  <c r="AI27" i="33"/>
  <c r="AI26" i="33"/>
  <c r="AI24" i="33"/>
  <c r="AI23" i="33"/>
  <c r="AI21" i="33"/>
  <c r="AI19" i="33"/>
  <c r="AI18" i="33"/>
  <c r="AI17" i="33"/>
  <c r="AI16" i="33"/>
  <c r="AI15" i="33"/>
  <c r="AI14" i="33"/>
  <c r="AI13" i="33"/>
  <c r="AI12" i="33"/>
  <c r="AI11" i="33"/>
  <c r="AI10" i="33"/>
  <c r="AJ243" i="32"/>
  <c r="C243" i="32"/>
  <c r="AJ242" i="32"/>
  <c r="C242" i="32"/>
  <c r="AG238" i="32"/>
  <c r="L238" i="32"/>
  <c r="AG237" i="32"/>
  <c r="L237" i="32"/>
  <c r="AD14" i="1" s="1"/>
  <c r="AG234" i="32"/>
  <c r="L234" i="32"/>
  <c r="AG233" i="32"/>
  <c r="L233" i="32"/>
  <c r="AG232" i="32"/>
  <c r="L232" i="32"/>
  <c r="AD15" i="1" s="1"/>
  <c r="AG231" i="32"/>
  <c r="L231" i="32"/>
  <c r="AG230" i="32"/>
  <c r="L230" i="32"/>
  <c r="AG229" i="32"/>
  <c r="L229" i="32"/>
  <c r="AG228" i="32"/>
  <c r="L228" i="32"/>
  <c r="AG227" i="32"/>
  <c r="L227" i="32"/>
  <c r="AG226" i="32"/>
  <c r="L226" i="32"/>
  <c r="AD13" i="1" s="1"/>
  <c r="AG225" i="32"/>
  <c r="L225" i="32"/>
  <c r="AG223" i="32"/>
  <c r="L223" i="32"/>
  <c r="AG222" i="32"/>
  <c r="L222" i="32"/>
  <c r="AG221" i="32"/>
  <c r="L221" i="32"/>
  <c r="AG219" i="32"/>
  <c r="L219" i="32"/>
  <c r="AG218" i="32"/>
  <c r="L218" i="32"/>
  <c r="AG216" i="32"/>
  <c r="L216" i="32"/>
  <c r="M215" i="32" s="1"/>
  <c r="AG214" i="32"/>
  <c r="L214" i="32"/>
  <c r="AG213" i="32"/>
  <c r="L213" i="32"/>
  <c r="AG211" i="32"/>
  <c r="L211" i="32"/>
  <c r="AG210" i="32"/>
  <c r="L210" i="32"/>
  <c r="AG208" i="32"/>
  <c r="L208" i="32"/>
  <c r="M207" i="32" s="1"/>
  <c r="AG206" i="32"/>
  <c r="L206" i="32"/>
  <c r="AG205" i="32"/>
  <c r="L205" i="32"/>
  <c r="AG204" i="32"/>
  <c r="L204" i="32"/>
  <c r="AG203" i="32"/>
  <c r="L203" i="32"/>
  <c r="AG201" i="32"/>
  <c r="L201" i="32"/>
  <c r="M200" i="32" s="1"/>
  <c r="AG199" i="32"/>
  <c r="L199" i="32"/>
  <c r="AG198" i="32"/>
  <c r="L198" i="32"/>
  <c r="AG197" i="32"/>
  <c r="L197" i="32"/>
  <c r="AG196" i="32"/>
  <c r="L196" i="32"/>
  <c r="AG195" i="32"/>
  <c r="L195" i="32"/>
  <c r="AG193" i="32"/>
  <c r="L193" i="32"/>
  <c r="AG192" i="32"/>
  <c r="L192" i="32"/>
  <c r="AG191" i="32"/>
  <c r="L191" i="32"/>
  <c r="AG189" i="32"/>
  <c r="L189" i="32"/>
  <c r="AG188" i="32"/>
  <c r="L188" i="32"/>
  <c r="AG187" i="32"/>
  <c r="L187" i="32"/>
  <c r="AG186" i="32"/>
  <c r="L186" i="32"/>
  <c r="AG183" i="32"/>
  <c r="L183" i="32"/>
  <c r="AG182" i="32"/>
  <c r="L182" i="32"/>
  <c r="AG181" i="32"/>
  <c r="L181" i="32"/>
  <c r="AG180" i="32"/>
  <c r="L180" i="32"/>
  <c r="AG179" i="32"/>
  <c r="L179" i="32"/>
  <c r="AG178" i="32"/>
  <c r="L178" i="32"/>
  <c r="AG177" i="32"/>
  <c r="L177" i="32"/>
  <c r="AG176" i="32"/>
  <c r="L176" i="32"/>
  <c r="AG175" i="32"/>
  <c r="L175" i="32"/>
  <c r="AG174" i="32"/>
  <c r="L174" i="32"/>
  <c r="AG173" i="32"/>
  <c r="L173" i="32"/>
  <c r="AG172" i="32"/>
  <c r="L172" i="32"/>
  <c r="AG171" i="32"/>
  <c r="L171" i="32"/>
  <c r="AG170" i="32"/>
  <c r="L170" i="32"/>
  <c r="AG169" i="32"/>
  <c r="L169" i="32"/>
  <c r="AG168" i="32"/>
  <c r="L168" i="32"/>
  <c r="AG167" i="32"/>
  <c r="L167" i="32"/>
  <c r="AG166" i="32"/>
  <c r="L166" i="32"/>
  <c r="AG165" i="32"/>
  <c r="L165" i="32"/>
  <c r="AG164" i="32"/>
  <c r="L164" i="32"/>
  <c r="AG163" i="32"/>
  <c r="L163" i="32"/>
  <c r="AG162" i="32"/>
  <c r="L162" i="32"/>
  <c r="AG161" i="32"/>
  <c r="L161" i="32"/>
  <c r="AG160" i="32"/>
  <c r="L160" i="32"/>
  <c r="AG159" i="32"/>
  <c r="L159" i="32"/>
  <c r="AG158" i="32"/>
  <c r="L158" i="32"/>
  <c r="AG157" i="32"/>
  <c r="L157" i="32"/>
  <c r="AG156" i="32"/>
  <c r="L156" i="32"/>
  <c r="AG155" i="32"/>
  <c r="L155" i="32"/>
  <c r="AG154" i="32"/>
  <c r="L154" i="32"/>
  <c r="B154" i="32"/>
  <c r="AG152" i="32"/>
  <c r="L152" i="32"/>
  <c r="AG151" i="32"/>
  <c r="L151" i="32"/>
  <c r="AG150" i="32"/>
  <c r="L150" i="32"/>
  <c r="AG149" i="32"/>
  <c r="L149" i="32"/>
  <c r="B149" i="32"/>
  <c r="AG147" i="32"/>
  <c r="L147" i="32"/>
  <c r="M146" i="32" s="1"/>
  <c r="AG145" i="32"/>
  <c r="L145" i="32"/>
  <c r="AG144" i="32"/>
  <c r="L144" i="32"/>
  <c r="AG143" i="32"/>
  <c r="L143" i="32"/>
  <c r="AG142" i="32"/>
  <c r="L142" i="32"/>
  <c r="AG141" i="32"/>
  <c r="L141" i="32"/>
  <c r="AG140" i="32"/>
  <c r="L140" i="32"/>
  <c r="AG139" i="32"/>
  <c r="L139" i="32"/>
  <c r="AG138" i="32"/>
  <c r="L138" i="32"/>
  <c r="AG137" i="32"/>
  <c r="L137" i="32"/>
  <c r="AG135" i="32"/>
  <c r="L135" i="32"/>
  <c r="AG134" i="32"/>
  <c r="L134" i="32"/>
  <c r="AG133" i="32"/>
  <c r="L133" i="32"/>
  <c r="AG132" i="32"/>
  <c r="L132" i="32"/>
  <c r="AG131" i="32"/>
  <c r="L131" i="32"/>
  <c r="AG130" i="32"/>
  <c r="L130" i="32"/>
  <c r="AG129" i="32"/>
  <c r="L129" i="32"/>
  <c r="B129" i="32"/>
  <c r="B130" i="32" s="1"/>
  <c r="AG127" i="32"/>
  <c r="L127" i="32"/>
  <c r="AG126" i="32"/>
  <c r="L126" i="32"/>
  <c r="AG125" i="32"/>
  <c r="L125" i="32"/>
  <c r="AG124" i="32"/>
  <c r="L124" i="32"/>
  <c r="L122" i="32"/>
  <c r="AG121" i="32"/>
  <c r="L121" i="32"/>
  <c r="AG120" i="32"/>
  <c r="L120" i="32"/>
  <c r="AG119" i="32"/>
  <c r="L119" i="32"/>
  <c r="AG118" i="32"/>
  <c r="L118" i="32"/>
  <c r="B118" i="32"/>
  <c r="AG116" i="32"/>
  <c r="L116" i="32"/>
  <c r="AG115" i="32"/>
  <c r="L115" i="32"/>
  <c r="AG114" i="32"/>
  <c r="L114" i="32"/>
  <c r="AG113" i="32"/>
  <c r="L113" i="32"/>
  <c r="AG112" i="32"/>
  <c r="L112" i="32"/>
  <c r="AG111" i="32"/>
  <c r="L111" i="32"/>
  <c r="AG110" i="32"/>
  <c r="L110" i="32"/>
  <c r="AG108" i="32"/>
  <c r="L108" i="32"/>
  <c r="AG107" i="32"/>
  <c r="L107" i="32"/>
  <c r="AG106" i="32"/>
  <c r="L106" i="32"/>
  <c r="AG105" i="32"/>
  <c r="L105" i="32"/>
  <c r="AG103" i="32"/>
  <c r="L103" i="32"/>
  <c r="AG102" i="32"/>
  <c r="L102" i="32"/>
  <c r="AG101" i="32"/>
  <c r="L101" i="32"/>
  <c r="AG100" i="32"/>
  <c r="L100" i="32"/>
  <c r="AG98" i="32"/>
  <c r="L98" i="32"/>
  <c r="AG97" i="32"/>
  <c r="L97" i="32"/>
  <c r="AG96" i="32"/>
  <c r="L96" i="32"/>
  <c r="AG95" i="32"/>
  <c r="L95" i="32"/>
  <c r="AG94" i="32"/>
  <c r="L94" i="32"/>
  <c r="AG93" i="32"/>
  <c r="L93" i="32"/>
  <c r="AG92" i="32"/>
  <c r="L92" i="32"/>
  <c r="AG91" i="32"/>
  <c r="L91" i="32"/>
  <c r="AG89" i="32"/>
  <c r="L89" i="32"/>
  <c r="AG88" i="32"/>
  <c r="L88" i="32"/>
  <c r="AG87" i="32"/>
  <c r="L87" i="32"/>
  <c r="AG86" i="32"/>
  <c r="L86" i="32"/>
  <c r="AG85" i="32"/>
  <c r="L85" i="32"/>
  <c r="AG84" i="32"/>
  <c r="L84" i="32"/>
  <c r="AG83" i="32"/>
  <c r="L83" i="32"/>
  <c r="AG82" i="32"/>
  <c r="L82" i="32"/>
  <c r="AG80" i="32"/>
  <c r="L80" i="32"/>
  <c r="M79" i="32" s="1"/>
  <c r="AG78" i="32"/>
  <c r="L78" i="32"/>
  <c r="AG77" i="32"/>
  <c r="L77" i="32"/>
  <c r="AG76" i="32"/>
  <c r="L76" i="32"/>
  <c r="AG75" i="32"/>
  <c r="L75" i="32"/>
  <c r="AG74" i="32"/>
  <c r="L74" i="32"/>
  <c r="AG73" i="32"/>
  <c r="L73" i="32"/>
  <c r="AG72" i="32"/>
  <c r="L72" i="32"/>
  <c r="AG70" i="32"/>
  <c r="L70" i="32"/>
  <c r="AG69" i="32"/>
  <c r="L69" i="32"/>
  <c r="AG68" i="32"/>
  <c r="L68" i="32"/>
  <c r="AG67" i="32"/>
  <c r="L67" i="32"/>
  <c r="AG66" i="32"/>
  <c r="L66" i="32"/>
  <c r="AG65" i="32"/>
  <c r="L65" i="32"/>
  <c r="AG64" i="32"/>
  <c r="L64" i="32"/>
  <c r="AG63" i="32"/>
  <c r="L63" i="32"/>
  <c r="AG55" i="32"/>
  <c r="L55" i="32"/>
  <c r="AG54" i="32"/>
  <c r="L54" i="32"/>
  <c r="AG52" i="32"/>
  <c r="L52" i="32"/>
  <c r="AG51" i="32"/>
  <c r="L51" i="32"/>
  <c r="AG50" i="32"/>
  <c r="L50" i="32"/>
  <c r="AG49" i="32"/>
  <c r="L49" i="32"/>
  <c r="AG48" i="32"/>
  <c r="L48" i="32"/>
  <c r="AG47" i="32"/>
  <c r="L47" i="32"/>
  <c r="AG46" i="32"/>
  <c r="L46" i="32"/>
  <c r="AG45" i="32"/>
  <c r="L45" i="32"/>
  <c r="AG44" i="32"/>
  <c r="L44" i="32"/>
  <c r="AG43" i="32"/>
  <c r="L43" i="32"/>
  <c r="AG41" i="32"/>
  <c r="L41" i="32"/>
  <c r="AG40" i="32"/>
  <c r="L40" i="32"/>
  <c r="AG39" i="32"/>
  <c r="L39" i="32"/>
  <c r="AG38" i="32"/>
  <c r="L38" i="32"/>
  <c r="AG37" i="32"/>
  <c r="L37" i="32"/>
  <c r="AG36" i="32"/>
  <c r="L36" i="32"/>
  <c r="AG35" i="32"/>
  <c r="L35" i="32"/>
  <c r="AG34" i="32"/>
  <c r="L34" i="32"/>
  <c r="AG33" i="32"/>
  <c r="L33" i="32"/>
  <c r="AG32" i="32"/>
  <c r="L32" i="32"/>
  <c r="AG31" i="32"/>
  <c r="L31" i="32"/>
  <c r="AG30" i="32"/>
  <c r="L30" i="32"/>
  <c r="AG29" i="32"/>
  <c r="L29" i="32"/>
  <c r="AG28" i="32"/>
  <c r="L28" i="32"/>
  <c r="AG27" i="32"/>
  <c r="L27" i="32"/>
  <c r="AG26" i="32"/>
  <c r="L26" i="32"/>
  <c r="AG25" i="32"/>
  <c r="L25" i="32"/>
  <c r="AG23" i="32"/>
  <c r="L23" i="32"/>
  <c r="AG22" i="32"/>
  <c r="L22" i="32"/>
  <c r="AG21" i="32"/>
  <c r="L21" i="32"/>
  <c r="AG19" i="32"/>
  <c r="L19" i="32"/>
  <c r="AG18" i="32"/>
  <c r="L18" i="32"/>
  <c r="AG17" i="32"/>
  <c r="L17" i="32"/>
  <c r="AG16" i="32"/>
  <c r="L16" i="32"/>
  <c r="AG15" i="32"/>
  <c r="L15" i="32"/>
  <c r="AG14" i="32"/>
  <c r="L14" i="32"/>
  <c r="AG13" i="32"/>
  <c r="L13" i="32"/>
  <c r="AG12" i="32"/>
  <c r="L12" i="32"/>
  <c r="AG11" i="32"/>
  <c r="L11" i="32"/>
  <c r="AG10" i="32"/>
  <c r="L10" i="32"/>
  <c r="O19" i="33" l="1"/>
  <c r="O24" i="33"/>
  <c r="Q24" i="33" s="1"/>
  <c r="AD22" i="1"/>
  <c r="AD23" i="1"/>
  <c r="AD31" i="1"/>
  <c r="AD30" i="1"/>
  <c r="AD25" i="1"/>
  <c r="AD24" i="1"/>
  <c r="AD27" i="1"/>
  <c r="AD26" i="1"/>
  <c r="AD29" i="1"/>
  <c r="AD28" i="1"/>
  <c r="AD33" i="1"/>
  <c r="AD32" i="1"/>
  <c r="L236" i="33"/>
  <c r="M21" i="34"/>
  <c r="U21" i="34" s="1"/>
  <c r="V21" i="34" s="1"/>
  <c r="P22" i="33" s="1"/>
  <c r="Q208" i="34"/>
  <c r="K12" i="34"/>
  <c r="H13" i="33" s="1"/>
  <c r="I13" i="33" s="1"/>
  <c r="Q64" i="34"/>
  <c r="O45" i="34"/>
  <c r="K214" i="33"/>
  <c r="N111" i="34"/>
  <c r="F182" i="34"/>
  <c r="H182" i="34" s="1"/>
  <c r="F205" i="33" s="1"/>
  <c r="G205" i="33" s="1"/>
  <c r="S194" i="34"/>
  <c r="T193" i="34" s="1"/>
  <c r="N80" i="34"/>
  <c r="O20" i="34"/>
  <c r="M85" i="34"/>
  <c r="U85" i="34" s="1"/>
  <c r="V85" i="34" s="1"/>
  <c r="N98" i="34"/>
  <c r="R111" i="34"/>
  <c r="O112" i="34"/>
  <c r="H124" i="34"/>
  <c r="R131" i="34"/>
  <c r="M203" i="34"/>
  <c r="U203" i="34" s="1"/>
  <c r="L234" i="33"/>
  <c r="M224" i="34"/>
  <c r="U224" i="34" s="1"/>
  <c r="V224" i="34" s="1"/>
  <c r="M209" i="32"/>
  <c r="R44" i="34"/>
  <c r="K80" i="34"/>
  <c r="H103" i="33" s="1"/>
  <c r="I103" i="33" s="1"/>
  <c r="M86" i="34"/>
  <c r="U86" i="34" s="1"/>
  <c r="V86" i="34" s="1"/>
  <c r="Q111" i="34"/>
  <c r="P113" i="34"/>
  <c r="K114" i="34"/>
  <c r="H137" i="33" s="1"/>
  <c r="I137" i="33" s="1"/>
  <c r="M126" i="34"/>
  <c r="U126" i="34" s="1"/>
  <c r="V126" i="34" s="1"/>
  <c r="W125" i="34" s="1"/>
  <c r="N146" i="32" s="1"/>
  <c r="P139" i="34"/>
  <c r="M226" i="34"/>
  <c r="U226" i="34" s="1"/>
  <c r="V226" i="34" s="1"/>
  <c r="F44" i="33"/>
  <c r="G44" i="33" s="1"/>
  <c r="M106" i="34"/>
  <c r="U106" i="34" s="1"/>
  <c r="V106" i="34" s="1"/>
  <c r="L216" i="33"/>
  <c r="M194" i="34"/>
  <c r="U194" i="34" s="1"/>
  <c r="V194" i="34" s="1"/>
  <c r="W193" i="34" s="1"/>
  <c r="N215" i="32" s="1"/>
  <c r="N210" i="34"/>
  <c r="K243" i="34"/>
  <c r="M243" i="34" s="1"/>
  <c r="U243" i="34" s="1"/>
  <c r="V243" i="34" s="1"/>
  <c r="L140" i="33"/>
  <c r="L144" i="33"/>
  <c r="M54" i="34"/>
  <c r="U54" i="34" s="1"/>
  <c r="V54" i="34" s="1"/>
  <c r="P55" i="33" s="1"/>
  <c r="M84" i="34"/>
  <c r="U84" i="34" s="1"/>
  <c r="V84" i="34" s="1"/>
  <c r="L156" i="33"/>
  <c r="M225" i="34"/>
  <c r="U225" i="34" s="1"/>
  <c r="V225" i="34" s="1"/>
  <c r="F45" i="33"/>
  <c r="G45" i="33" s="1"/>
  <c r="L97" i="33"/>
  <c r="F50" i="33"/>
  <c r="G50" i="33" s="1"/>
  <c r="M236" i="32"/>
  <c r="L19" i="33"/>
  <c r="X17" i="21" s="1"/>
  <c r="AB17" i="21" s="1"/>
  <c r="M38" i="34"/>
  <c r="U38" i="34" s="1"/>
  <c r="V38" i="34" s="1"/>
  <c r="P39" i="33" s="1"/>
  <c r="H45" i="34"/>
  <c r="F68" i="33" s="1"/>
  <c r="G68" i="33" s="1"/>
  <c r="H48" i="34"/>
  <c r="F71" i="33" s="1"/>
  <c r="G71" i="33" s="1"/>
  <c r="F51" i="33"/>
  <c r="G51" i="33" s="1"/>
  <c r="L141" i="33"/>
  <c r="L145" i="33"/>
  <c r="S86" i="34"/>
  <c r="H112" i="34"/>
  <c r="F135" i="33" s="1"/>
  <c r="G135" i="33" s="1"/>
  <c r="H123" i="34"/>
  <c r="M9" i="34"/>
  <c r="M11" i="34"/>
  <c r="U11" i="34" s="1"/>
  <c r="V11" i="34" s="1"/>
  <c r="P12" i="33" s="1"/>
  <c r="Q48" i="34"/>
  <c r="Q81" i="34"/>
  <c r="N146" i="34"/>
  <c r="F184" i="34"/>
  <c r="H184" i="34" s="1"/>
  <c r="F207" i="33" s="1"/>
  <c r="G207" i="33" s="1"/>
  <c r="R197" i="34"/>
  <c r="L142" i="33"/>
  <c r="L146" i="33"/>
  <c r="R140" i="34"/>
  <c r="S9" i="34"/>
  <c r="Q40" i="34"/>
  <c r="Q99" i="34"/>
  <c r="S224" i="34"/>
  <c r="P244" i="34"/>
  <c r="P250" i="34" s="1"/>
  <c r="M217" i="32"/>
  <c r="Q56" i="34"/>
  <c r="P192" i="34"/>
  <c r="S192" i="34" s="1"/>
  <c r="L139" i="33"/>
  <c r="L143" i="33"/>
  <c r="L147" i="33"/>
  <c r="P158" i="34"/>
  <c r="S226" i="34"/>
  <c r="M57" i="34"/>
  <c r="U57" i="34" s="1"/>
  <c r="V57" i="34" s="1"/>
  <c r="N29" i="34"/>
  <c r="R51" i="34"/>
  <c r="R55" i="34"/>
  <c r="K59" i="34"/>
  <c r="H82" i="33" s="1"/>
  <c r="I82" i="33" s="1"/>
  <c r="I81" i="33" s="1"/>
  <c r="M62" i="34"/>
  <c r="U62" i="34" s="1"/>
  <c r="V62" i="34" s="1"/>
  <c r="M63" i="34"/>
  <c r="U63" i="34" s="1"/>
  <c r="V63" i="34" s="1"/>
  <c r="L93" i="33"/>
  <c r="R73" i="34"/>
  <c r="H77" i="34"/>
  <c r="F100" i="33" s="1"/>
  <c r="G100" i="33" s="1"/>
  <c r="M87" i="34"/>
  <c r="U87" i="34" s="1"/>
  <c r="V87" i="34" s="1"/>
  <c r="Q92" i="34"/>
  <c r="H95" i="34"/>
  <c r="F118" i="33" s="1"/>
  <c r="G118" i="33" s="1"/>
  <c r="O101" i="34"/>
  <c r="P109" i="34"/>
  <c r="O113" i="34"/>
  <c r="N138" i="34"/>
  <c r="O140" i="34"/>
  <c r="O158" i="34"/>
  <c r="L208" i="33"/>
  <c r="P63" i="34"/>
  <c r="Q29" i="34"/>
  <c r="R45" i="34"/>
  <c r="P73" i="34"/>
  <c r="N91" i="34"/>
  <c r="O95" i="34"/>
  <c r="N104" i="34"/>
  <c r="Q113" i="34"/>
  <c r="K182" i="34"/>
  <c r="H205" i="33" s="1"/>
  <c r="I205" i="33" s="1"/>
  <c r="P214" i="34"/>
  <c r="N222" i="34"/>
  <c r="N130" i="34"/>
  <c r="Q138" i="34"/>
  <c r="N55" i="34"/>
  <c r="L24" i="33"/>
  <c r="Q25" i="34"/>
  <c r="K40" i="34"/>
  <c r="H42" i="33" s="1"/>
  <c r="I42" i="33" s="1"/>
  <c r="H59" i="34"/>
  <c r="F82" i="33" s="1"/>
  <c r="G82" i="33" s="1"/>
  <c r="G81" i="33" s="1"/>
  <c r="N63" i="34"/>
  <c r="R68" i="34"/>
  <c r="R75" i="34"/>
  <c r="K77" i="34"/>
  <c r="H100" i="33" s="1"/>
  <c r="I100" i="33" s="1"/>
  <c r="P82" i="34"/>
  <c r="L114" i="33"/>
  <c r="R93" i="34"/>
  <c r="P95" i="34"/>
  <c r="N97" i="34"/>
  <c r="O103" i="34"/>
  <c r="R138" i="34"/>
  <c r="P155" i="34"/>
  <c r="L185" i="33"/>
  <c r="O203" i="34"/>
  <c r="K208" i="34"/>
  <c r="H232" i="33" s="1"/>
  <c r="I232" i="33" s="1"/>
  <c r="P210" i="34"/>
  <c r="R26" i="30"/>
  <c r="Y32" i="1" s="1"/>
  <c r="Z32" i="1" s="1"/>
  <c r="G217" i="33"/>
  <c r="M217" i="33" s="1"/>
  <c r="L218" i="33"/>
  <c r="L217" i="33" s="1"/>
  <c r="Q24" i="34"/>
  <c r="P27" i="34"/>
  <c r="N141" i="34"/>
  <c r="L152" i="34"/>
  <c r="J175" i="33" s="1"/>
  <c r="K175" i="33" s="1"/>
  <c r="L175" i="33" s="1"/>
  <c r="N191" i="34"/>
  <c r="K196" i="34"/>
  <c r="H220" i="33" s="1"/>
  <c r="I220" i="33" s="1"/>
  <c r="L220" i="33" s="1"/>
  <c r="H51" i="33"/>
  <c r="I51" i="33" s="1"/>
  <c r="F239" i="33"/>
  <c r="G239" i="33" s="1"/>
  <c r="M185" i="32"/>
  <c r="P67" i="34"/>
  <c r="N42" i="34"/>
  <c r="R94" i="34"/>
  <c r="K214" i="34"/>
  <c r="H56" i="33" s="1"/>
  <c r="I56" i="33" s="1"/>
  <c r="L56" i="33" s="1"/>
  <c r="N244" i="34"/>
  <c r="H247" i="34"/>
  <c r="O53" i="34"/>
  <c r="K109" i="34"/>
  <c r="H132" i="33" s="1"/>
  <c r="I132" i="33" s="1"/>
  <c r="O27" i="34"/>
  <c r="P30" i="34"/>
  <c r="Q73" i="34"/>
  <c r="R109" i="34"/>
  <c r="M220" i="32"/>
  <c r="N25" i="34"/>
  <c r="N39" i="34"/>
  <c r="R42" i="34"/>
  <c r="Q51" i="34"/>
  <c r="P65" i="34"/>
  <c r="Q71" i="34"/>
  <c r="H80" i="34"/>
  <c r="F103" i="33" s="1"/>
  <c r="G103" i="33" s="1"/>
  <c r="O82" i="34"/>
  <c r="R100" i="34"/>
  <c r="Q109" i="34"/>
  <c r="P133" i="34"/>
  <c r="P136" i="34"/>
  <c r="N139" i="34"/>
  <c r="P144" i="34"/>
  <c r="Q156" i="34"/>
  <c r="K159" i="34"/>
  <c r="H182" i="33" s="1"/>
  <c r="I182" i="33" s="1"/>
  <c r="P184" i="34"/>
  <c r="P188" i="34"/>
  <c r="P191" i="34"/>
  <c r="O250" i="34"/>
  <c r="F240" i="33"/>
  <c r="G240" i="33" s="1"/>
  <c r="Q42" i="34"/>
  <c r="O100" i="34"/>
  <c r="H233" i="33"/>
  <c r="I233" i="33" s="1"/>
  <c r="M99" i="32"/>
  <c r="R53" i="34"/>
  <c r="K139" i="34"/>
  <c r="H162" i="33" s="1"/>
  <c r="I162" i="33" s="1"/>
  <c r="G209" i="33"/>
  <c r="H200" i="34"/>
  <c r="F224" i="33" s="1"/>
  <c r="G224" i="33" s="1"/>
  <c r="M228" i="34"/>
  <c r="U228" i="34" s="1"/>
  <c r="V228" i="34" s="1"/>
  <c r="F107" i="33"/>
  <c r="G107" i="33" s="1"/>
  <c r="L107" i="33" s="1"/>
  <c r="K15" i="34"/>
  <c r="H16" i="33" s="1"/>
  <c r="I16" i="33" s="1"/>
  <c r="R39" i="34"/>
  <c r="P28" i="34"/>
  <c r="N40" i="34"/>
  <c r="N66" i="34"/>
  <c r="P110" i="34"/>
  <c r="H145" i="34"/>
  <c r="F168" i="33" s="1"/>
  <c r="G168" i="33" s="1"/>
  <c r="J150" i="34"/>
  <c r="J151" i="34" s="1"/>
  <c r="Q151" i="34" s="1"/>
  <c r="P157" i="34"/>
  <c r="P215" i="34"/>
  <c r="O157" i="34"/>
  <c r="K186" i="34"/>
  <c r="H210" i="33" s="1"/>
  <c r="I210" i="33" s="1"/>
  <c r="I209" i="33" s="1"/>
  <c r="O207" i="34"/>
  <c r="N215" i="34"/>
  <c r="S245" i="34"/>
  <c r="H248" i="34"/>
  <c r="L248" i="34" s="1"/>
  <c r="R248" i="34" s="1"/>
  <c r="F10" i="33"/>
  <c r="G10" i="33" s="1"/>
  <c r="L10" i="33" s="1"/>
  <c r="F46" i="33"/>
  <c r="G46" i="33" s="1"/>
  <c r="R71" i="34"/>
  <c r="S52" i="34"/>
  <c r="P85" i="34"/>
  <c r="S85" i="34" s="1"/>
  <c r="N87" i="34"/>
  <c r="O90" i="34"/>
  <c r="Q43" i="34"/>
  <c r="P45" i="34"/>
  <c r="O48" i="34"/>
  <c r="O54" i="34"/>
  <c r="R72" i="34"/>
  <c r="O75" i="34"/>
  <c r="Q93" i="34"/>
  <c r="O104" i="34"/>
  <c r="R110" i="34"/>
  <c r="R134" i="34"/>
  <c r="R137" i="34"/>
  <c r="Q157" i="34"/>
  <c r="H160" i="34"/>
  <c r="F183" i="33" s="1"/>
  <c r="G183" i="33" s="1"/>
  <c r="P162" i="34"/>
  <c r="S162" i="34" s="1"/>
  <c r="N186" i="34"/>
  <c r="P197" i="34"/>
  <c r="M204" i="34"/>
  <c r="U204" i="34" s="1"/>
  <c r="N212" i="34"/>
  <c r="S225" i="34"/>
  <c r="P25" i="34"/>
  <c r="N28" i="34"/>
  <c r="O66" i="34"/>
  <c r="P12" i="34"/>
  <c r="K17" i="34"/>
  <c r="H18" i="33" s="1"/>
  <c r="I18" i="33" s="1"/>
  <c r="N20" i="34"/>
  <c r="P32" i="34"/>
  <c r="Q44" i="34"/>
  <c r="P48" i="34"/>
  <c r="Q66" i="34"/>
  <c r="Q75" i="34"/>
  <c r="Q97" i="34"/>
  <c r="O99" i="34"/>
  <c r="O105" i="34"/>
  <c r="R108" i="34"/>
  <c r="P140" i="34"/>
  <c r="N197" i="34"/>
  <c r="H212" i="34"/>
  <c r="K235" i="32" s="1"/>
  <c r="L235" i="32" s="1"/>
  <c r="R239" i="32" s="1"/>
  <c r="M227" i="34"/>
  <c r="U227" i="34" s="1"/>
  <c r="V227" i="34" s="1"/>
  <c r="F23" i="33"/>
  <c r="G23" i="33" s="1"/>
  <c r="L23" i="33" s="1"/>
  <c r="H108" i="33"/>
  <c r="I108" i="33" s="1"/>
  <c r="L108" i="33" s="1"/>
  <c r="M73" i="34"/>
  <c r="U73" i="34" s="1"/>
  <c r="V73" i="34" s="1"/>
  <c r="S84" i="34"/>
  <c r="Q250" i="34"/>
  <c r="H67" i="34"/>
  <c r="F90" i="33" s="1"/>
  <c r="G90" i="33" s="1"/>
  <c r="N109" i="34"/>
  <c r="T115" i="34"/>
  <c r="H199" i="34"/>
  <c r="F223" i="33" s="1"/>
  <c r="G223" i="33" s="1"/>
  <c r="M210" i="34"/>
  <c r="U210" i="34" s="1"/>
  <c r="S227" i="34"/>
  <c r="F80" i="33"/>
  <c r="G80" i="33" s="1"/>
  <c r="L80" i="33" s="1"/>
  <c r="F109" i="33"/>
  <c r="G109" i="33" s="1"/>
  <c r="L109" i="33" s="1"/>
  <c r="K55" i="33"/>
  <c r="K138" i="33"/>
  <c r="G214" i="33"/>
  <c r="K238" i="33"/>
  <c r="G211" i="33"/>
  <c r="P51" i="34"/>
  <c r="K51" i="34"/>
  <c r="H74" i="33" s="1"/>
  <c r="I74" i="33" s="1"/>
  <c r="M43" i="34"/>
  <c r="U43" i="34" s="1"/>
  <c r="V43" i="34" s="1"/>
  <c r="P44" i="33" s="1"/>
  <c r="F66" i="33"/>
  <c r="G66" i="33" s="1"/>
  <c r="L66" i="33" s="1"/>
  <c r="L33" i="34"/>
  <c r="M33" i="34" s="1"/>
  <c r="U33" i="34" s="1"/>
  <c r="V33" i="34" s="1"/>
  <c r="P34" i="33" s="1"/>
  <c r="F35" i="33"/>
  <c r="G35" i="33" s="1"/>
  <c r="L26" i="34"/>
  <c r="M26" i="34" s="1"/>
  <c r="U26" i="34" s="1"/>
  <c r="V26" i="34" s="1"/>
  <c r="P27" i="33" s="1"/>
  <c r="F28" i="33"/>
  <c r="G28" i="33" s="1"/>
  <c r="H215" i="33"/>
  <c r="I215" i="33" s="1"/>
  <c r="L215" i="33" s="1"/>
  <c r="M191" i="34"/>
  <c r="U191" i="34" s="1"/>
  <c r="V191" i="34" s="1"/>
  <c r="S37" i="34"/>
  <c r="J76" i="33"/>
  <c r="K76" i="33" s="1"/>
  <c r="J95" i="33"/>
  <c r="K95" i="33" s="1"/>
  <c r="J104" i="33"/>
  <c r="K104" i="33" s="1"/>
  <c r="J123" i="33"/>
  <c r="K123" i="33" s="1"/>
  <c r="O70" i="34"/>
  <c r="S11" i="34"/>
  <c r="H15" i="34"/>
  <c r="F16" i="33" s="1"/>
  <c r="G16" i="33" s="1"/>
  <c r="L16" i="33" s="1"/>
  <c r="S17" i="34"/>
  <c r="P18" i="34"/>
  <c r="S18" i="34" s="1"/>
  <c r="K27" i="34"/>
  <c r="H29" i="33" s="1"/>
  <c r="I29" i="33" s="1"/>
  <c r="Q32" i="34"/>
  <c r="N35" i="34"/>
  <c r="M37" i="34"/>
  <c r="U37" i="34" s="1"/>
  <c r="V37" i="34" s="1"/>
  <c r="P38" i="33" s="1"/>
  <c r="M39" i="34"/>
  <c r="U39" i="34" s="1"/>
  <c r="V39" i="34" s="1"/>
  <c r="P40" i="33" s="1"/>
  <c r="R43" i="34"/>
  <c r="R47" i="34"/>
  <c r="Q54" i="34"/>
  <c r="O61" i="34"/>
  <c r="Q65" i="34"/>
  <c r="H75" i="34"/>
  <c r="Q80" i="34"/>
  <c r="K82" i="34"/>
  <c r="H105" i="33" s="1"/>
  <c r="I105" i="33" s="1"/>
  <c r="R89" i="34"/>
  <c r="R91" i="34"/>
  <c r="O98" i="34"/>
  <c r="R99" i="34"/>
  <c r="R101" i="34"/>
  <c r="R104" i="34"/>
  <c r="H109" i="34"/>
  <c r="K124" i="34"/>
  <c r="R130" i="34"/>
  <c r="K136" i="34"/>
  <c r="H159" i="33" s="1"/>
  <c r="I159" i="33" s="1"/>
  <c r="K140" i="34"/>
  <c r="H163" i="33" s="1"/>
  <c r="I163" i="33" s="1"/>
  <c r="K197" i="34"/>
  <c r="H221" i="33" s="1"/>
  <c r="I221" i="33" s="1"/>
  <c r="K200" i="34"/>
  <c r="H224" i="33" s="1"/>
  <c r="I224" i="33" s="1"/>
  <c r="O210" i="34"/>
  <c r="R215" i="34"/>
  <c r="M223" i="34"/>
  <c r="U223" i="34" s="1"/>
  <c r="V223" i="34" s="1"/>
  <c r="F77" i="33"/>
  <c r="G77" i="33" s="1"/>
  <c r="L77" i="33" s="1"/>
  <c r="F96" i="33"/>
  <c r="G96" i="33" s="1"/>
  <c r="F110" i="33"/>
  <c r="G110" i="33" s="1"/>
  <c r="L110" i="33" s="1"/>
  <c r="F129" i="33"/>
  <c r="G129" i="33" s="1"/>
  <c r="L129" i="33" s="1"/>
  <c r="S57" i="34"/>
  <c r="Q61" i="34"/>
  <c r="P208" i="34"/>
  <c r="P223" i="34"/>
  <c r="H44" i="33"/>
  <c r="I44" i="33" s="1"/>
  <c r="O44" i="33" s="1"/>
  <c r="J70" i="33"/>
  <c r="K70" i="33" s="1"/>
  <c r="O73" i="34"/>
  <c r="M90" i="34"/>
  <c r="U90" i="34" s="1"/>
  <c r="V90" i="34" s="1"/>
  <c r="M100" i="34"/>
  <c r="U100" i="34" s="1"/>
  <c r="V100" i="34" s="1"/>
  <c r="R128" i="34"/>
  <c r="J91" i="33"/>
  <c r="K91" i="33" s="1"/>
  <c r="J96" i="33"/>
  <c r="K96" i="33" s="1"/>
  <c r="J124" i="33"/>
  <c r="K124" i="33" s="1"/>
  <c r="L124" i="33" s="1"/>
  <c r="J134" i="33"/>
  <c r="K134" i="33" s="1"/>
  <c r="J154" i="33"/>
  <c r="K154" i="33" s="1"/>
  <c r="J163" i="33"/>
  <c r="K163" i="33" s="1"/>
  <c r="H53" i="33"/>
  <c r="I53" i="33" s="1"/>
  <c r="L53" i="33" s="1"/>
  <c r="P35" i="34"/>
  <c r="M55" i="34"/>
  <c r="U55" i="34" s="1"/>
  <c r="V55" i="34" s="1"/>
  <c r="P56" i="33" s="1"/>
  <c r="P77" i="34"/>
  <c r="Q98" i="34"/>
  <c r="H10" i="34"/>
  <c r="F11" i="33" s="1"/>
  <c r="G11" i="33" s="1"/>
  <c r="K13" i="34"/>
  <c r="H14" i="33" s="1"/>
  <c r="I14" i="33" s="1"/>
  <c r="K30" i="34"/>
  <c r="H32" i="33" s="1"/>
  <c r="I32" i="33" s="1"/>
  <c r="S36" i="34"/>
  <c r="Q45" i="34"/>
  <c r="Q53" i="34"/>
  <c r="R61" i="34"/>
  <c r="Q68" i="34"/>
  <c r="O81" i="34"/>
  <c r="O92" i="34"/>
  <c r="M94" i="34"/>
  <c r="U94" i="34" s="1"/>
  <c r="V94" i="34" s="1"/>
  <c r="K98" i="34"/>
  <c r="M98" i="34" s="1"/>
  <c r="U98" i="34" s="1"/>
  <c r="V98" i="34" s="1"/>
  <c r="M108" i="34"/>
  <c r="U108" i="34" s="1"/>
  <c r="V108" i="34" s="1"/>
  <c r="K113" i="34"/>
  <c r="H136" i="33" s="1"/>
  <c r="I136" i="33" s="1"/>
  <c r="N137" i="34"/>
  <c r="H139" i="34"/>
  <c r="K143" i="34"/>
  <c r="H166" i="33" s="1"/>
  <c r="I166" i="33" s="1"/>
  <c r="H150" i="34"/>
  <c r="F173" i="33" s="1"/>
  <c r="G173" i="33" s="1"/>
  <c r="N152" i="34"/>
  <c r="Q197" i="34"/>
  <c r="H211" i="34"/>
  <c r="N214" i="34"/>
  <c r="Q223" i="34"/>
  <c r="H41" i="33"/>
  <c r="I41" i="33" s="1"/>
  <c r="L41" i="33" s="1"/>
  <c r="H45" i="33"/>
  <c r="I45" i="33" s="1"/>
  <c r="O45" i="33" s="1"/>
  <c r="F78" i="33"/>
  <c r="G78" i="33" s="1"/>
  <c r="F131" i="33"/>
  <c r="G131" i="33" s="1"/>
  <c r="K66" i="34"/>
  <c r="H89" i="33" s="1"/>
  <c r="I89" i="33" s="1"/>
  <c r="R98" i="34"/>
  <c r="Q104" i="34"/>
  <c r="O152" i="34"/>
  <c r="H207" i="34"/>
  <c r="O214" i="34"/>
  <c r="J67" i="33"/>
  <c r="K67" i="33" s="1"/>
  <c r="L67" i="33" s="1"/>
  <c r="H168" i="33"/>
  <c r="I168" i="33" s="1"/>
  <c r="H40" i="34"/>
  <c r="F42" i="33" s="1"/>
  <c r="G42" i="33" s="1"/>
  <c r="M129" i="34"/>
  <c r="U129" i="34" s="1"/>
  <c r="V129" i="34" s="1"/>
  <c r="H52" i="33"/>
  <c r="I52" i="33" s="1"/>
  <c r="J74" i="33"/>
  <c r="K74" i="33" s="1"/>
  <c r="J78" i="33"/>
  <c r="K78" i="33" s="1"/>
  <c r="J131" i="33"/>
  <c r="K131" i="33" s="1"/>
  <c r="J151" i="33"/>
  <c r="K151" i="33" s="1"/>
  <c r="J160" i="33"/>
  <c r="K160" i="33" s="1"/>
  <c r="H12" i="33"/>
  <c r="I12" i="33" s="1"/>
  <c r="L12" i="33" s="1"/>
  <c r="K14" i="34"/>
  <c r="H15" i="33" s="1"/>
  <c r="I15" i="33" s="1"/>
  <c r="P20" i="34"/>
  <c r="O22" i="34"/>
  <c r="P31" i="34"/>
  <c r="O46" i="34"/>
  <c r="H52" i="34"/>
  <c r="F75" i="33" s="1"/>
  <c r="G75" i="33" s="1"/>
  <c r="P53" i="34"/>
  <c r="K64" i="34"/>
  <c r="H87" i="33" s="1"/>
  <c r="I87" i="33" s="1"/>
  <c r="L87" i="33" s="1"/>
  <c r="M70" i="34"/>
  <c r="U70" i="34" s="1"/>
  <c r="V70" i="34" s="1"/>
  <c r="O72" i="34"/>
  <c r="M74" i="34"/>
  <c r="U74" i="34" s="1"/>
  <c r="V74" i="34" s="1"/>
  <c r="K81" i="34"/>
  <c r="P90" i="34"/>
  <c r="K92" i="34"/>
  <c r="H115" i="33" s="1"/>
  <c r="I115" i="33" s="1"/>
  <c r="L115" i="33" s="1"/>
  <c r="O94" i="34"/>
  <c r="H97" i="34"/>
  <c r="F120" i="33" s="1"/>
  <c r="G120" i="33" s="1"/>
  <c r="P100" i="34"/>
  <c r="O108" i="34"/>
  <c r="P114" i="34"/>
  <c r="O137" i="34"/>
  <c r="P145" i="34"/>
  <c r="O156" i="34"/>
  <c r="K158" i="34"/>
  <c r="H181" i="33" s="1"/>
  <c r="I181" i="33" s="1"/>
  <c r="P207" i="34"/>
  <c r="R230" i="34"/>
  <c r="H245" i="34"/>
  <c r="M245" i="34" s="1"/>
  <c r="U245" i="34" s="1"/>
  <c r="V245" i="34" s="1"/>
  <c r="K247" i="34"/>
  <c r="F85" i="33"/>
  <c r="G85" i="33" s="1"/>
  <c r="F113" i="33"/>
  <c r="G113" i="33" s="1"/>
  <c r="L113" i="33" s="1"/>
  <c r="F117" i="33"/>
  <c r="G117" i="33" s="1"/>
  <c r="F136" i="33"/>
  <c r="G136" i="33" s="1"/>
  <c r="F152" i="33"/>
  <c r="G152" i="33" s="1"/>
  <c r="L152" i="33" s="1"/>
  <c r="F181" i="33"/>
  <c r="G181" i="33" s="1"/>
  <c r="N31" i="34"/>
  <c r="N46" i="34"/>
  <c r="K10" i="34"/>
  <c r="H11" i="33" s="1"/>
  <c r="I11" i="33" s="1"/>
  <c r="H12" i="34"/>
  <c r="F13" i="33" s="1"/>
  <c r="G13" i="33" s="1"/>
  <c r="M18" i="34"/>
  <c r="U18" i="34" s="1"/>
  <c r="V18" i="34" s="1"/>
  <c r="P19" i="33" s="1"/>
  <c r="Q20" i="34"/>
  <c r="P34" i="34"/>
  <c r="O56" i="34"/>
  <c r="R62" i="34"/>
  <c r="R64" i="34"/>
  <c r="Q70" i="34"/>
  <c r="Q72" i="34"/>
  <c r="R81" i="34"/>
  <c r="Q90" i="34"/>
  <c r="R92" i="34"/>
  <c r="P94" i="34"/>
  <c r="K97" i="34"/>
  <c r="H120" i="33" s="1"/>
  <c r="I120" i="33" s="1"/>
  <c r="Q100" i="34"/>
  <c r="Q103" i="34"/>
  <c r="P108" i="34"/>
  <c r="N110" i="34"/>
  <c r="K123" i="34"/>
  <c r="N133" i="34"/>
  <c r="R141" i="34"/>
  <c r="H144" i="34"/>
  <c r="F167" i="33" s="1"/>
  <c r="G167" i="33" s="1"/>
  <c r="P156" i="34"/>
  <c r="P201" i="34"/>
  <c r="S201" i="34" s="1"/>
  <c r="K207" i="34"/>
  <c r="M222" i="34"/>
  <c r="U222" i="34" s="1"/>
  <c r="V222" i="34" s="1"/>
  <c r="S243" i="34"/>
  <c r="J68" i="33"/>
  <c r="K68" i="33" s="1"/>
  <c r="H227" i="33"/>
  <c r="I227" i="33" s="1"/>
  <c r="L227" i="33" s="1"/>
  <c r="N34" i="34"/>
  <c r="N38" i="34"/>
  <c r="R46" i="34"/>
  <c r="O62" i="34"/>
  <c r="R74" i="34"/>
  <c r="N81" i="34"/>
  <c r="R90" i="34"/>
  <c r="P92" i="34"/>
  <c r="Q94" i="34"/>
  <c r="R105" i="34"/>
  <c r="R139" i="34"/>
  <c r="O141" i="34"/>
  <c r="M192" i="34"/>
  <c r="U192" i="34" s="1"/>
  <c r="V192" i="34" s="1"/>
  <c r="S196" i="34"/>
  <c r="J39" i="33"/>
  <c r="K39" i="33" s="1"/>
  <c r="J75" i="33"/>
  <c r="K75" i="33" s="1"/>
  <c r="J85" i="33"/>
  <c r="K85" i="33" s="1"/>
  <c r="J94" i="33"/>
  <c r="K94" i="33" s="1"/>
  <c r="J98" i="33"/>
  <c r="K98" i="33" s="1"/>
  <c r="J117" i="33"/>
  <c r="K117" i="33" s="1"/>
  <c r="J127" i="33"/>
  <c r="K127" i="33" s="1"/>
  <c r="K125" i="33" s="1"/>
  <c r="J132" i="33"/>
  <c r="K132" i="33" s="1"/>
  <c r="J161" i="33"/>
  <c r="K161" i="33" s="1"/>
  <c r="N27" i="34"/>
  <c r="N32" i="34"/>
  <c r="O34" i="34"/>
  <c r="R38" i="34"/>
  <c r="O43" i="34"/>
  <c r="Q62" i="34"/>
  <c r="R70" i="34"/>
  <c r="N74" i="34"/>
  <c r="Q82" i="34"/>
  <c r="O89" i="34"/>
  <c r="Q101" i="34"/>
  <c r="K110" i="34"/>
  <c r="H133" i="33" s="1"/>
  <c r="I133" i="33" s="1"/>
  <c r="M133" i="34"/>
  <c r="U133" i="34" s="1"/>
  <c r="V133" i="34" s="1"/>
  <c r="H138" i="34"/>
  <c r="N151" i="34"/>
  <c r="K215" i="34"/>
  <c r="F40" i="33"/>
  <c r="G40" i="33" s="1"/>
  <c r="L40" i="33" s="1"/>
  <c r="F86" i="33"/>
  <c r="G86" i="33" s="1"/>
  <c r="L86" i="33" s="1"/>
  <c r="F104" i="33"/>
  <c r="G104" i="33" s="1"/>
  <c r="F123" i="33"/>
  <c r="G123" i="33" s="1"/>
  <c r="M22" i="34"/>
  <c r="U22" i="34" s="1"/>
  <c r="V22" i="34" s="1"/>
  <c r="P23" i="33" s="1"/>
  <c r="P14" i="34"/>
  <c r="S14" i="34" s="1"/>
  <c r="S21" i="34"/>
  <c r="H27" i="34"/>
  <c r="F29" i="33" s="1"/>
  <c r="G29" i="33" s="1"/>
  <c r="O42" i="34"/>
  <c r="P43" i="34"/>
  <c r="R56" i="34"/>
  <c r="O65" i="34"/>
  <c r="O67" i="34"/>
  <c r="N70" i="34"/>
  <c r="O80" i="34"/>
  <c r="N82" i="34"/>
  <c r="Q89" i="34"/>
  <c r="M91" i="34"/>
  <c r="U91" i="34" s="1"/>
  <c r="V91" i="34" s="1"/>
  <c r="O93" i="34"/>
  <c r="O97" i="34"/>
  <c r="K99" i="34"/>
  <c r="H122" i="33" s="1"/>
  <c r="I122" i="33" s="1"/>
  <c r="M101" i="34"/>
  <c r="U101" i="34" s="1"/>
  <c r="V101" i="34" s="1"/>
  <c r="O130" i="34"/>
  <c r="R133" i="34"/>
  <c r="N140" i="34"/>
  <c r="K206" i="34"/>
  <c r="O222" i="34"/>
  <c r="M244" i="34"/>
  <c r="U244" i="34" s="1"/>
  <c r="V244" i="34" s="1"/>
  <c r="F15" i="33"/>
  <c r="G15" i="33" s="1"/>
  <c r="J69" i="33"/>
  <c r="K69" i="33" s="1"/>
  <c r="H228" i="33"/>
  <c r="I228" i="33" s="1"/>
  <c r="L228" i="33" s="1"/>
  <c r="H22" i="33"/>
  <c r="I22" i="33" s="1"/>
  <c r="G138" i="33"/>
  <c r="I138" i="33"/>
  <c r="G219" i="33"/>
  <c r="K106" i="33"/>
  <c r="K219" i="33"/>
  <c r="G55" i="33"/>
  <c r="M44" i="34"/>
  <c r="U44" i="34" s="1"/>
  <c r="V44" i="34" s="1"/>
  <c r="P45" i="33" s="1"/>
  <c r="H24" i="34"/>
  <c r="F26" i="33" s="1"/>
  <c r="G26" i="33" s="1"/>
  <c r="L29" i="34"/>
  <c r="K46" i="34"/>
  <c r="H69" i="33" s="1"/>
  <c r="I69" i="33" s="1"/>
  <c r="P46" i="34"/>
  <c r="H47" i="34"/>
  <c r="F70" i="33" s="1"/>
  <c r="G70" i="33" s="1"/>
  <c r="N47" i="34"/>
  <c r="Q13" i="34"/>
  <c r="H16" i="34"/>
  <c r="F17" i="33" s="1"/>
  <c r="G17" i="33" s="1"/>
  <c r="H20" i="34"/>
  <c r="K24" i="34"/>
  <c r="H26" i="33" s="1"/>
  <c r="I26" i="33" s="1"/>
  <c r="N26" i="34"/>
  <c r="H31" i="34"/>
  <c r="F33" i="33" s="1"/>
  <c r="G33" i="33" s="1"/>
  <c r="N33" i="34"/>
  <c r="K34" i="34"/>
  <c r="Q46" i="34"/>
  <c r="Q95" i="34"/>
  <c r="K95" i="34"/>
  <c r="H118" i="33" s="1"/>
  <c r="I118" i="33" s="1"/>
  <c r="M104" i="34"/>
  <c r="U104" i="34" s="1"/>
  <c r="V104" i="34" s="1"/>
  <c r="O106" i="34"/>
  <c r="N114" i="34"/>
  <c r="R106" i="34"/>
  <c r="Q106" i="34"/>
  <c r="P106" i="34"/>
  <c r="N106" i="34"/>
  <c r="O26" i="34"/>
  <c r="P29" i="34"/>
  <c r="O33" i="34"/>
  <c r="O40" i="34"/>
  <c r="O68" i="34"/>
  <c r="H68" i="34"/>
  <c r="O114" i="34"/>
  <c r="Q135" i="34"/>
  <c r="O135" i="34"/>
  <c r="P189" i="34"/>
  <c r="S189" i="34" s="1"/>
  <c r="K189" i="34"/>
  <c r="U121" i="34"/>
  <c r="V121" i="34" s="1"/>
  <c r="U118" i="34"/>
  <c r="V118" i="34" s="1"/>
  <c r="U122" i="34"/>
  <c r="V122" i="34" s="1"/>
  <c r="U123" i="34"/>
  <c r="V123" i="34" s="1"/>
  <c r="U119" i="34"/>
  <c r="V119" i="34" s="1"/>
  <c r="U124" i="34"/>
  <c r="V124" i="34" s="1"/>
  <c r="U120" i="34"/>
  <c r="V120" i="34" s="1"/>
  <c r="U116" i="34"/>
  <c r="V116" i="34" s="1"/>
  <c r="P26" i="34"/>
  <c r="H28" i="34"/>
  <c r="F30" i="33" s="1"/>
  <c r="G30" i="33" s="1"/>
  <c r="N30" i="34"/>
  <c r="J31" i="34"/>
  <c r="Q31" i="34" s="1"/>
  <c r="P33" i="34"/>
  <c r="P40" i="34"/>
  <c r="H42" i="34"/>
  <c r="F65" i="33" s="1"/>
  <c r="G65" i="33" s="1"/>
  <c r="O44" i="34"/>
  <c r="H13" i="34"/>
  <c r="F14" i="33" s="1"/>
  <c r="G14" i="33" s="1"/>
  <c r="K16" i="34"/>
  <c r="H17" i="33" s="1"/>
  <c r="I17" i="33" s="1"/>
  <c r="K20" i="34"/>
  <c r="N24" i="34"/>
  <c r="O30" i="34"/>
  <c r="K35" i="34"/>
  <c r="H36" i="34"/>
  <c r="P44" i="34"/>
  <c r="H46" i="34"/>
  <c r="P71" i="34"/>
  <c r="K71" i="34"/>
  <c r="K148" i="34"/>
  <c r="H171" i="33" s="1"/>
  <c r="I171" i="33" s="1"/>
  <c r="P148" i="34"/>
  <c r="Q67" i="34"/>
  <c r="K67" i="34"/>
  <c r="H90" i="33" s="1"/>
  <c r="I90" i="33" s="1"/>
  <c r="H17" i="34"/>
  <c r="L20" i="34"/>
  <c r="H25" i="34"/>
  <c r="F27" i="33" s="1"/>
  <c r="G27" i="33" s="1"/>
  <c r="J28" i="34"/>
  <c r="H32" i="34"/>
  <c r="F34" i="33" s="1"/>
  <c r="G34" i="33" s="1"/>
  <c r="K42" i="34"/>
  <c r="H65" i="33" s="1"/>
  <c r="I65" i="33" s="1"/>
  <c r="Q112" i="34"/>
  <c r="K112" i="34"/>
  <c r="H135" i="33" s="1"/>
  <c r="I135" i="33" s="1"/>
  <c r="Q114" i="34"/>
  <c r="P24" i="34"/>
  <c r="N22" i="34"/>
  <c r="U117" i="34"/>
  <c r="V117" i="34" s="1"/>
  <c r="O35" i="34"/>
  <c r="O47" i="34"/>
  <c r="K48" i="34"/>
  <c r="H71" i="33" s="1"/>
  <c r="I71" i="33" s="1"/>
  <c r="N65" i="34"/>
  <c r="H65" i="34"/>
  <c r="P22" i="34"/>
  <c r="O38" i="34"/>
  <c r="O39" i="34"/>
  <c r="Q22" i="34"/>
  <c r="P38" i="34"/>
  <c r="P39" i="34"/>
  <c r="I47" i="34"/>
  <c r="Q47" i="34"/>
  <c r="I105" i="34"/>
  <c r="Q105" i="34"/>
  <c r="N208" i="34"/>
  <c r="H208" i="34"/>
  <c r="O49" i="34"/>
  <c r="H49" i="34"/>
  <c r="F72" i="33" s="1"/>
  <c r="G72" i="33" s="1"/>
  <c r="P54" i="34"/>
  <c r="I56" i="34"/>
  <c r="N59" i="34"/>
  <c r="P62" i="34"/>
  <c r="O63" i="34"/>
  <c r="P66" i="34"/>
  <c r="N77" i="34"/>
  <c r="R103" i="34"/>
  <c r="N108" i="34"/>
  <c r="P111" i="34"/>
  <c r="S126" i="34"/>
  <c r="T125" i="34" s="1"/>
  <c r="Q129" i="34"/>
  <c r="N129" i="34"/>
  <c r="P135" i="34"/>
  <c r="K135" i="34"/>
  <c r="H143" i="34"/>
  <c r="F166" i="33" s="1"/>
  <c r="G166" i="33" s="1"/>
  <c r="N143" i="34"/>
  <c r="P161" i="34"/>
  <c r="K161" i="34"/>
  <c r="H184" i="33" s="1"/>
  <c r="I184" i="33" s="1"/>
  <c r="AB166" i="34"/>
  <c r="AD166" i="34" s="1"/>
  <c r="AB168" i="34"/>
  <c r="AD168" i="34" s="1"/>
  <c r="AB165" i="34"/>
  <c r="AB167" i="34"/>
  <c r="AD167" i="34" s="1"/>
  <c r="R54" i="34"/>
  <c r="O55" i="34"/>
  <c r="P59" i="34"/>
  <c r="H61" i="34"/>
  <c r="F84" i="33" s="1"/>
  <c r="G84" i="33" s="1"/>
  <c r="Q63" i="34"/>
  <c r="N64" i="34"/>
  <c r="N67" i="34"/>
  <c r="K68" i="34"/>
  <c r="H91" i="33" s="1"/>
  <c r="I91" i="33" s="1"/>
  <c r="H72" i="34"/>
  <c r="F95" i="33" s="1"/>
  <c r="G95" i="33" s="1"/>
  <c r="O74" i="34"/>
  <c r="H76" i="34"/>
  <c r="F99" i="33" s="1"/>
  <c r="G99" i="33" s="1"/>
  <c r="H79" i="34"/>
  <c r="F102" i="33" s="1"/>
  <c r="G102" i="33" s="1"/>
  <c r="P87" i="34"/>
  <c r="H89" i="34"/>
  <c r="F112" i="33" s="1"/>
  <c r="G112" i="33" s="1"/>
  <c r="O91" i="34"/>
  <c r="H93" i="34"/>
  <c r="H99" i="34"/>
  <c r="H110" i="34"/>
  <c r="N112" i="34"/>
  <c r="H114" i="34"/>
  <c r="F137" i="33" s="1"/>
  <c r="G137" i="33" s="1"/>
  <c r="O129" i="34"/>
  <c r="R135" i="34"/>
  <c r="P183" i="34"/>
  <c r="K183" i="34"/>
  <c r="K52" i="34"/>
  <c r="H75" i="33" s="1"/>
  <c r="I75" i="33" s="1"/>
  <c r="O64" i="34"/>
  <c r="P80" i="34"/>
  <c r="H82" i="34"/>
  <c r="F105" i="33" s="1"/>
  <c r="G105" i="33" s="1"/>
  <c r="N95" i="34"/>
  <c r="P97" i="34"/>
  <c r="P101" i="34"/>
  <c r="H103" i="34"/>
  <c r="N105" i="34"/>
  <c r="N113" i="34"/>
  <c r="K199" i="34"/>
  <c r="P199" i="34"/>
  <c r="N48" i="34"/>
  <c r="N51" i="34"/>
  <c r="H53" i="34"/>
  <c r="Q55" i="34"/>
  <c r="K61" i="34"/>
  <c r="H84" i="33" s="1"/>
  <c r="I84" i="33" s="1"/>
  <c r="K65" i="34"/>
  <c r="H88" i="33" s="1"/>
  <c r="I88" i="33" s="1"/>
  <c r="K72" i="34"/>
  <c r="H95" i="33" s="1"/>
  <c r="I95" i="33" s="1"/>
  <c r="Q74" i="34"/>
  <c r="N75" i="34"/>
  <c r="K89" i="34"/>
  <c r="H112" i="33" s="1"/>
  <c r="I112" i="33" s="1"/>
  <c r="Q91" i="34"/>
  <c r="K93" i="34"/>
  <c r="H116" i="33" s="1"/>
  <c r="I116" i="33" s="1"/>
  <c r="P112" i="34"/>
  <c r="K153" i="34"/>
  <c r="H176" i="33" s="1"/>
  <c r="I176" i="33" s="1"/>
  <c r="P153" i="34"/>
  <c r="K49" i="34"/>
  <c r="H72" i="33" s="1"/>
  <c r="I72" i="33" s="1"/>
  <c r="O51" i="34"/>
  <c r="H66" i="34"/>
  <c r="N68" i="34"/>
  <c r="O71" i="34"/>
  <c r="K76" i="34"/>
  <c r="H99" i="33" s="1"/>
  <c r="I99" i="33" s="1"/>
  <c r="K79" i="34"/>
  <c r="H102" i="33" s="1"/>
  <c r="I102" i="33" s="1"/>
  <c r="H111" i="34"/>
  <c r="N136" i="34"/>
  <c r="K149" i="34"/>
  <c r="H172" i="33" s="1"/>
  <c r="I172" i="33" s="1"/>
  <c r="M162" i="34"/>
  <c r="U162" i="34" s="1"/>
  <c r="V162" i="34" s="1"/>
  <c r="R129" i="34"/>
  <c r="Q154" i="34"/>
  <c r="O154" i="34"/>
  <c r="N154" i="34"/>
  <c r="N61" i="34"/>
  <c r="N72" i="34"/>
  <c r="N89" i="34"/>
  <c r="N93" i="34"/>
  <c r="N99" i="34"/>
  <c r="P129" i="34"/>
  <c r="K134" i="34"/>
  <c r="H157" i="33" s="1"/>
  <c r="I157" i="33" s="1"/>
  <c r="L157" i="33" s="1"/>
  <c r="P134" i="34"/>
  <c r="P205" i="34"/>
  <c r="K205" i="34"/>
  <c r="M205" i="34" s="1"/>
  <c r="U205" i="34" s="1"/>
  <c r="N103" i="34"/>
  <c r="O110" i="34"/>
  <c r="P128" i="34"/>
  <c r="N128" i="34"/>
  <c r="P154" i="34"/>
  <c r="L188" i="34"/>
  <c r="N206" i="34"/>
  <c r="H206" i="34"/>
  <c r="K142" i="34"/>
  <c r="H165" i="33" s="1"/>
  <c r="I165" i="33" s="1"/>
  <c r="P142" i="34"/>
  <c r="S228" i="34"/>
  <c r="J131" i="34"/>
  <c r="Q128" i="34"/>
  <c r="K128" i="34"/>
  <c r="H151" i="33" s="1"/>
  <c r="I151" i="33" s="1"/>
  <c r="R136" i="34"/>
  <c r="Q130" i="34"/>
  <c r="Q133" i="34"/>
  <c r="N134" i="34"/>
  <c r="P137" i="34"/>
  <c r="P141" i="34"/>
  <c r="N142" i="34"/>
  <c r="P147" i="34"/>
  <c r="N148" i="34"/>
  <c r="P152" i="34"/>
  <c r="N153" i="34"/>
  <c r="L154" i="34"/>
  <c r="P203" i="34"/>
  <c r="N204" i="34"/>
  <c r="Q210" i="34"/>
  <c r="Q214" i="34"/>
  <c r="O215" i="34"/>
  <c r="P222" i="34"/>
  <c r="P230" i="34" s="1"/>
  <c r="N223" i="34"/>
  <c r="O134" i="34"/>
  <c r="G136" i="34"/>
  <c r="O136" i="34" s="1"/>
  <c r="O153" i="34"/>
  <c r="K155" i="34"/>
  <c r="H178" i="33" s="1"/>
  <c r="I178" i="33" s="1"/>
  <c r="Q158" i="34"/>
  <c r="N199" i="34"/>
  <c r="Q203" i="34"/>
  <c r="O204" i="34"/>
  <c r="N207" i="34"/>
  <c r="O211" i="34"/>
  <c r="Q222" i="34"/>
  <c r="O223" i="34"/>
  <c r="H140" i="34"/>
  <c r="H201" i="34"/>
  <c r="R203" i="34"/>
  <c r="P204" i="34"/>
  <c r="N205" i="34"/>
  <c r="N135" i="34"/>
  <c r="P138" i="34"/>
  <c r="I151" i="34"/>
  <c r="P160" i="34"/>
  <c r="N161" i="34"/>
  <c r="Q204" i="34"/>
  <c r="O205" i="34"/>
  <c r="Q211" i="34"/>
  <c r="O128" i="34"/>
  <c r="H130" i="34"/>
  <c r="P149" i="34"/>
  <c r="N155" i="34"/>
  <c r="L156" i="34"/>
  <c r="Q207" i="34"/>
  <c r="O212" i="34"/>
  <c r="H137" i="34"/>
  <c r="O139" i="34"/>
  <c r="H141" i="34"/>
  <c r="K146" i="34"/>
  <c r="H147" i="34"/>
  <c r="F170" i="33" s="1"/>
  <c r="G170" i="33" s="1"/>
  <c r="O155" i="34"/>
  <c r="K157" i="34"/>
  <c r="Q205" i="34"/>
  <c r="P212" i="34"/>
  <c r="G131" i="34"/>
  <c r="L209" i="34"/>
  <c r="Q212" i="34"/>
  <c r="O208" i="34"/>
  <c r="L249" i="34"/>
  <c r="R249" i="34" s="1"/>
  <c r="S249" i="34" s="1"/>
  <c r="U56" i="32"/>
  <c r="U242" i="32" s="1"/>
  <c r="M53" i="32"/>
  <c r="M136" i="32"/>
  <c r="M24" i="32"/>
  <c r="AB56" i="32"/>
  <c r="AB242" i="32" s="1"/>
  <c r="M90" i="32"/>
  <c r="M71" i="32"/>
  <c r="M117" i="32"/>
  <c r="M153" i="32"/>
  <c r="M194" i="32"/>
  <c r="M190" i="32"/>
  <c r="M148" i="32"/>
  <c r="M202" i="32"/>
  <c r="M20" i="32"/>
  <c r="M81" i="32"/>
  <c r="M123" i="32"/>
  <c r="M128" i="32"/>
  <c r="M42" i="32"/>
  <c r="M104" i="32"/>
  <c r="M212" i="32"/>
  <c r="AF56" i="32"/>
  <c r="AF242" i="32" s="1"/>
  <c r="M109" i="32"/>
  <c r="P56" i="32"/>
  <c r="W56" i="32"/>
  <c r="W242" i="32" s="1"/>
  <c r="X56" i="32"/>
  <c r="X242" i="32" s="1"/>
  <c r="M9" i="32"/>
  <c r="M62" i="32"/>
  <c r="V56" i="32"/>
  <c r="V242" i="32" s="1"/>
  <c r="Y56" i="32"/>
  <c r="Y242" i="32" s="1"/>
  <c r="L56" i="32"/>
  <c r="Z56" i="32"/>
  <c r="Z242" i="32" s="1"/>
  <c r="AA56" i="32"/>
  <c r="AA242" i="32" s="1"/>
  <c r="Q56" i="32"/>
  <c r="Q242" i="32" s="1"/>
  <c r="Q244" i="32" s="1"/>
  <c r="AC56" i="32"/>
  <c r="AC242" i="32" s="1"/>
  <c r="R56" i="32"/>
  <c r="R242" i="32" s="1"/>
  <c r="R244" i="32" s="1"/>
  <c r="AD56" i="32"/>
  <c r="AD242" i="32" s="1"/>
  <c r="S56" i="32"/>
  <c r="S242" i="32" s="1"/>
  <c r="S244" i="32" s="1"/>
  <c r="AE56" i="32"/>
  <c r="AE242" i="32" s="1"/>
  <c r="T56" i="32"/>
  <c r="T242" i="32" s="1"/>
  <c r="Q44" i="33" l="1"/>
  <c r="Q45" i="33"/>
  <c r="U9" i="34"/>
  <c r="Q19" i="33"/>
  <c r="U239" i="32"/>
  <c r="U243" i="32" s="1"/>
  <c r="U244" i="32" s="1"/>
  <c r="T239" i="32"/>
  <c r="AF239" i="32"/>
  <c r="AF243" i="32" s="1"/>
  <c r="AE239" i="32"/>
  <c r="AE243" i="32" s="1"/>
  <c r="W239" i="32"/>
  <c r="W243" i="32" s="1"/>
  <c r="Z239" i="32"/>
  <c r="Z243" i="32" s="1"/>
  <c r="AC239" i="32"/>
  <c r="AC243" i="32" s="1"/>
  <c r="AC244" i="32" s="1"/>
  <c r="Q239" i="32"/>
  <c r="AD239" i="32"/>
  <c r="AD243" i="32" s="1"/>
  <c r="AD244" i="32" s="1"/>
  <c r="Y239" i="32"/>
  <c r="Y243" i="32" s="1"/>
  <c r="Y244" i="32" s="1"/>
  <c r="AD35" i="1"/>
  <c r="M224" i="32"/>
  <c r="M239" i="32" s="1"/>
  <c r="E5" i="10" s="1"/>
  <c r="L239" i="32"/>
  <c r="AA40" i="1" s="1"/>
  <c r="X239" i="32"/>
  <c r="X243" i="32" s="1"/>
  <c r="X244" i="32" s="1"/>
  <c r="V239" i="32"/>
  <c r="V243" i="32" s="1"/>
  <c r="V244" i="32" s="1"/>
  <c r="S239" i="32"/>
  <c r="AB239" i="32"/>
  <c r="AB243" i="32" s="1"/>
  <c r="AB244" i="32" s="1"/>
  <c r="AA239" i="32"/>
  <c r="AA243" i="32" s="1"/>
  <c r="AA244" i="32" s="1"/>
  <c r="O56" i="33"/>
  <c r="Q56" i="33" s="1"/>
  <c r="O15" i="33"/>
  <c r="O51" i="33"/>
  <c r="Q51" i="33" s="1"/>
  <c r="O12" i="33"/>
  <c r="Q12" i="33" s="1"/>
  <c r="O41" i="33"/>
  <c r="O10" i="33"/>
  <c r="L39" i="33"/>
  <c r="O39" i="33"/>
  <c r="Q39" i="33" s="1"/>
  <c r="O53" i="33"/>
  <c r="O40" i="33"/>
  <c r="Q40" i="33" s="1"/>
  <c r="O23" i="33"/>
  <c r="Q23" i="33" s="1"/>
  <c r="L14" i="33"/>
  <c r="Z17" i="21"/>
  <c r="AA17" i="21" s="1"/>
  <c r="L13" i="33"/>
  <c r="L17" i="33"/>
  <c r="L11" i="33"/>
  <c r="L159" i="34"/>
  <c r="L247" i="34"/>
  <c r="R247" i="34" s="1"/>
  <c r="S247" i="34" s="1"/>
  <c r="N182" i="34"/>
  <c r="G238" i="33"/>
  <c r="L59" i="34"/>
  <c r="M59" i="34" s="1"/>
  <c r="U59" i="34" s="1"/>
  <c r="V59" i="34" s="1"/>
  <c r="W58" i="34" s="1"/>
  <c r="N79" i="32" s="1"/>
  <c r="L207" i="34"/>
  <c r="R207" i="34" s="1"/>
  <c r="S207" i="34" s="1"/>
  <c r="N217" i="33"/>
  <c r="L145" i="34"/>
  <c r="M145" i="34" s="1"/>
  <c r="U145" i="34" s="1"/>
  <c r="V145" i="34" s="1"/>
  <c r="M152" i="34"/>
  <c r="U152" i="34" s="1"/>
  <c r="V152" i="34" s="1"/>
  <c r="L144" i="34"/>
  <c r="M144" i="34" s="1"/>
  <c r="U144" i="34" s="1"/>
  <c r="V144" i="34" s="1"/>
  <c r="L186" i="34"/>
  <c r="J210" i="33" s="1"/>
  <c r="K210" i="33" s="1"/>
  <c r="K209" i="33" s="1"/>
  <c r="M209" i="33" s="1"/>
  <c r="L15" i="34"/>
  <c r="R15" i="34" s="1"/>
  <c r="S15" i="34" s="1"/>
  <c r="M45" i="34"/>
  <c r="U45" i="34" s="1"/>
  <c r="V45" i="34" s="1"/>
  <c r="P46" i="33" s="1"/>
  <c r="L68" i="33"/>
  <c r="Q230" i="34"/>
  <c r="N184" i="34"/>
  <c r="X17" i="1"/>
  <c r="Z17" i="1" s="1"/>
  <c r="AB17" i="1" s="1"/>
  <c r="L45" i="33"/>
  <c r="L124" i="34"/>
  <c r="S138" i="34"/>
  <c r="S141" i="34"/>
  <c r="S130" i="34"/>
  <c r="S113" i="34"/>
  <c r="I214" i="33"/>
  <c r="M214" i="33" s="1"/>
  <c r="L44" i="33"/>
  <c r="L80" i="34"/>
  <c r="J103" i="33" s="1"/>
  <c r="K103" i="33" s="1"/>
  <c r="L103" i="33" s="1"/>
  <c r="L135" i="33"/>
  <c r="S81" i="34"/>
  <c r="L78" i="33"/>
  <c r="L77" i="34"/>
  <c r="M77" i="34" s="1"/>
  <c r="U77" i="34" s="1"/>
  <c r="V77" i="34" s="1"/>
  <c r="R152" i="34"/>
  <c r="S152" i="34" s="1"/>
  <c r="S45" i="34"/>
  <c r="S70" i="34"/>
  <c r="L74" i="33"/>
  <c r="K83" i="33"/>
  <c r="L151" i="33"/>
  <c r="Q150" i="34"/>
  <c r="O230" i="34"/>
  <c r="H239" i="33"/>
  <c r="I239" i="33" s="1"/>
  <c r="L239" i="33" s="1"/>
  <c r="L138" i="33"/>
  <c r="L123" i="34"/>
  <c r="L136" i="33"/>
  <c r="M214" i="34"/>
  <c r="U214" i="34" s="1"/>
  <c r="Y214" i="34" s="1"/>
  <c r="S42" i="34"/>
  <c r="S191" i="34"/>
  <c r="T190" i="34" s="1"/>
  <c r="K150" i="34"/>
  <c r="H173" i="33" s="1"/>
  <c r="I173" i="33" s="1"/>
  <c r="S72" i="34"/>
  <c r="S214" i="34"/>
  <c r="S61" i="34"/>
  <c r="L40" i="34"/>
  <c r="M40" i="34" s="1"/>
  <c r="U40" i="34" s="1"/>
  <c r="V40" i="34" s="1"/>
  <c r="P41" i="33" s="1"/>
  <c r="H49" i="33"/>
  <c r="I49" i="33" s="1"/>
  <c r="S111" i="34"/>
  <c r="I219" i="33"/>
  <c r="M219" i="33" s="1"/>
  <c r="L51" i="33"/>
  <c r="S89" i="34"/>
  <c r="S54" i="34"/>
  <c r="L12" i="34"/>
  <c r="R12" i="34" s="1"/>
  <c r="S12" i="34" s="1"/>
  <c r="L106" i="33"/>
  <c r="M51" i="34"/>
  <c r="U51" i="34" s="1"/>
  <c r="V51" i="34" s="1"/>
  <c r="P52" i="33" s="1"/>
  <c r="L97" i="34"/>
  <c r="J120" i="33" s="1"/>
  <c r="K120" i="33" s="1"/>
  <c r="K119" i="33" s="1"/>
  <c r="S73" i="34"/>
  <c r="S135" i="34"/>
  <c r="L95" i="33"/>
  <c r="S43" i="34"/>
  <c r="S90" i="34"/>
  <c r="S210" i="34"/>
  <c r="L148" i="34"/>
  <c r="R148" i="34" s="1"/>
  <c r="S148" i="34" s="1"/>
  <c r="L10" i="34"/>
  <c r="M10" i="34" s="1"/>
  <c r="U10" i="34" s="1"/>
  <c r="V10" i="34" s="1"/>
  <c r="P11" i="33" s="1"/>
  <c r="S244" i="34"/>
  <c r="T242" i="34" s="1"/>
  <c r="L160" i="34"/>
  <c r="R160" i="34" s="1"/>
  <c r="S160" i="34" s="1"/>
  <c r="L30" i="34"/>
  <c r="J32" i="33" s="1"/>
  <c r="K32" i="33" s="1"/>
  <c r="S211" i="34"/>
  <c r="S197" i="34"/>
  <c r="T195" i="34" s="1"/>
  <c r="L127" i="33"/>
  <c r="S98" i="34"/>
  <c r="S212" i="34"/>
  <c r="S137" i="34"/>
  <c r="S68" i="34"/>
  <c r="L112" i="33"/>
  <c r="S55" i="34"/>
  <c r="S65" i="34"/>
  <c r="S22" i="34"/>
  <c r="L15" i="33"/>
  <c r="M197" i="34"/>
  <c r="U197" i="34" s="1"/>
  <c r="V197" i="34" s="1"/>
  <c r="L123" i="33"/>
  <c r="L117" i="33"/>
  <c r="S53" i="34"/>
  <c r="S104" i="34"/>
  <c r="G106" i="33"/>
  <c r="M196" i="34"/>
  <c r="U196" i="34" s="1"/>
  <c r="V196" i="34" s="1"/>
  <c r="K150" i="33"/>
  <c r="L96" i="33"/>
  <c r="S99" i="34"/>
  <c r="S63" i="34"/>
  <c r="L65" i="33"/>
  <c r="I106" i="33"/>
  <c r="S140" i="34"/>
  <c r="L75" i="33"/>
  <c r="N250" i="34"/>
  <c r="L131" i="33"/>
  <c r="L90" i="33"/>
  <c r="S87" i="34"/>
  <c r="T83" i="34" s="1"/>
  <c r="L200" i="34"/>
  <c r="M200" i="34" s="1"/>
  <c r="U200" i="34" s="1"/>
  <c r="V200" i="34" s="1"/>
  <c r="S110" i="34"/>
  <c r="S101" i="34"/>
  <c r="L84" i="33"/>
  <c r="L85" i="33"/>
  <c r="S109" i="34"/>
  <c r="L221" i="33"/>
  <c r="L219" i="33" s="1"/>
  <c r="X14" i="21"/>
  <c r="X14" i="1" s="1"/>
  <c r="H136" i="34"/>
  <c r="M136" i="34" s="1"/>
  <c r="U136" i="34" s="1"/>
  <c r="V136" i="34" s="1"/>
  <c r="R188" i="34"/>
  <c r="S188" i="34" s="1"/>
  <c r="T187" i="34" s="1"/>
  <c r="J212" i="33"/>
  <c r="K212" i="33" s="1"/>
  <c r="S66" i="34"/>
  <c r="M212" i="34"/>
  <c r="U212" i="34" s="1"/>
  <c r="V212" i="34" s="1"/>
  <c r="F237" i="33"/>
  <c r="G237" i="33" s="1"/>
  <c r="F54" i="33"/>
  <c r="G54" i="33" s="1"/>
  <c r="S139" i="34"/>
  <c r="M188" i="34"/>
  <c r="U188" i="34" s="1"/>
  <c r="V188" i="34" s="1"/>
  <c r="S71" i="34"/>
  <c r="S75" i="34"/>
  <c r="L95" i="34"/>
  <c r="J118" i="33" s="1"/>
  <c r="K118" i="33" s="1"/>
  <c r="K111" i="33" s="1"/>
  <c r="S46" i="34"/>
  <c r="M14" i="34"/>
  <c r="U14" i="34" s="1"/>
  <c r="V14" i="34" s="1"/>
  <c r="P15" i="33" s="1"/>
  <c r="S38" i="34"/>
  <c r="S215" i="34"/>
  <c r="M112" i="34"/>
  <c r="U112" i="34" s="1"/>
  <c r="V112" i="34" s="1"/>
  <c r="F48" i="33"/>
  <c r="G48" i="33" s="1"/>
  <c r="F231" i="33"/>
  <c r="G231" i="33" s="1"/>
  <c r="R209" i="34"/>
  <c r="S209" i="34" s="1"/>
  <c r="J233" i="33"/>
  <c r="K233" i="33" s="1"/>
  <c r="L233" i="33" s="1"/>
  <c r="J50" i="33"/>
  <c r="K50" i="33" s="1"/>
  <c r="S134" i="34"/>
  <c r="S133" i="34"/>
  <c r="S92" i="34"/>
  <c r="M249" i="34"/>
  <c r="U249" i="34" s="1"/>
  <c r="V249" i="34" s="1"/>
  <c r="L161" i="34"/>
  <c r="M161" i="34" s="1"/>
  <c r="U161" i="34" s="1"/>
  <c r="V161" i="34" s="1"/>
  <c r="S94" i="34"/>
  <c r="S100" i="34"/>
  <c r="R27" i="30"/>
  <c r="Y33" i="1" s="1"/>
  <c r="Z33" i="1" s="1"/>
  <c r="S93" i="34"/>
  <c r="R19" i="30"/>
  <c r="Y25" i="1" s="1"/>
  <c r="Z25" i="1" s="1"/>
  <c r="H48" i="33"/>
  <c r="I48" i="33" s="1"/>
  <c r="H231" i="33"/>
  <c r="I231" i="33" s="1"/>
  <c r="L214" i="33"/>
  <c r="I20" i="33"/>
  <c r="L27" i="34"/>
  <c r="R27" i="34" s="1"/>
  <c r="S27" i="34" s="1"/>
  <c r="I111" i="33"/>
  <c r="G204" i="33"/>
  <c r="I130" i="33"/>
  <c r="I83" i="33"/>
  <c r="I9" i="33"/>
  <c r="K73" i="33"/>
  <c r="M66" i="34"/>
  <c r="U66" i="34" s="1"/>
  <c r="V66" i="34" s="1"/>
  <c r="F89" i="33"/>
  <c r="G89" i="33" s="1"/>
  <c r="L89" i="33" s="1"/>
  <c r="R159" i="34"/>
  <c r="S159" i="34" s="1"/>
  <c r="J182" i="33"/>
  <c r="K182" i="33" s="1"/>
  <c r="L182" i="33" s="1"/>
  <c r="M68" i="34"/>
  <c r="U68" i="34" s="1"/>
  <c r="V68" i="34" s="1"/>
  <c r="F91" i="33"/>
  <c r="G91" i="33" s="1"/>
  <c r="L91" i="33" s="1"/>
  <c r="M111" i="34"/>
  <c r="U111" i="34" s="1"/>
  <c r="V111" i="34" s="1"/>
  <c r="F134" i="33"/>
  <c r="G134" i="33" s="1"/>
  <c r="L134" i="33" s="1"/>
  <c r="M53" i="34"/>
  <c r="U53" i="34" s="1"/>
  <c r="V53" i="34" s="1"/>
  <c r="P54" i="33" s="1"/>
  <c r="F76" i="33"/>
  <c r="G76" i="33" s="1"/>
  <c r="L76" i="33" s="1"/>
  <c r="S129" i="34"/>
  <c r="M67" i="34"/>
  <c r="U67" i="34" s="1"/>
  <c r="V67" i="34" s="1"/>
  <c r="W83" i="34"/>
  <c r="N104" i="32" s="1"/>
  <c r="M138" i="34"/>
  <c r="U138" i="34" s="1"/>
  <c r="V138" i="34" s="1"/>
  <c r="F161" i="33"/>
  <c r="G161" i="33" s="1"/>
  <c r="L161" i="33" s="1"/>
  <c r="H104" i="33"/>
  <c r="I104" i="33" s="1"/>
  <c r="I101" i="33" s="1"/>
  <c r="H121" i="33"/>
  <c r="I121" i="33" s="1"/>
  <c r="L121" i="33" s="1"/>
  <c r="L199" i="34"/>
  <c r="M199" i="34" s="1"/>
  <c r="U199" i="34" s="1"/>
  <c r="V199" i="34" s="1"/>
  <c r="H223" i="33"/>
  <c r="I223" i="33" s="1"/>
  <c r="I222" i="33" s="1"/>
  <c r="F47" i="33"/>
  <c r="G47" i="33" s="1"/>
  <c r="F230" i="33"/>
  <c r="G230" i="33" s="1"/>
  <c r="M137" i="34"/>
  <c r="U137" i="34" s="1"/>
  <c r="V137" i="34" s="1"/>
  <c r="F160" i="33"/>
  <c r="G160" i="33" s="1"/>
  <c r="L160" i="33" s="1"/>
  <c r="S51" i="34"/>
  <c r="S112" i="34"/>
  <c r="S67" i="34"/>
  <c r="M64" i="34"/>
  <c r="U64" i="34" s="1"/>
  <c r="V64" i="34" s="1"/>
  <c r="R33" i="34"/>
  <c r="S33" i="34" s="1"/>
  <c r="J35" i="33"/>
  <c r="K35" i="33" s="1"/>
  <c r="M110" i="34"/>
  <c r="U110" i="34" s="1"/>
  <c r="V110" i="34" s="1"/>
  <c r="F133" i="33"/>
  <c r="G133" i="33" s="1"/>
  <c r="L133" i="33" s="1"/>
  <c r="S64" i="34"/>
  <c r="S39" i="34"/>
  <c r="H36" i="33"/>
  <c r="I36" i="33" s="1"/>
  <c r="M99" i="34"/>
  <c r="U99" i="34" s="1"/>
  <c r="V99" i="34" s="1"/>
  <c r="F122" i="33"/>
  <c r="G122" i="33" s="1"/>
  <c r="L122" i="33" s="1"/>
  <c r="M71" i="34"/>
  <c r="U71" i="34" s="1"/>
  <c r="V71" i="34" s="1"/>
  <c r="H94" i="33"/>
  <c r="I94" i="33" s="1"/>
  <c r="L94" i="33" s="1"/>
  <c r="H47" i="33"/>
  <c r="I47" i="33" s="1"/>
  <c r="H230" i="33"/>
  <c r="I230" i="33" s="1"/>
  <c r="R156" i="34"/>
  <c r="S156" i="34" s="1"/>
  <c r="J179" i="33"/>
  <c r="K179" i="33" s="1"/>
  <c r="L179" i="33" s="1"/>
  <c r="M139" i="34"/>
  <c r="U139" i="34" s="1"/>
  <c r="V139" i="34" s="1"/>
  <c r="F162" i="33"/>
  <c r="G162" i="33" s="1"/>
  <c r="L162" i="33" s="1"/>
  <c r="M93" i="34"/>
  <c r="U93" i="34" s="1"/>
  <c r="V93" i="34" s="1"/>
  <c r="F116" i="33"/>
  <c r="G116" i="33" s="1"/>
  <c r="L116" i="33" s="1"/>
  <c r="M159" i="34"/>
  <c r="U159" i="34" s="1"/>
  <c r="V159" i="34" s="1"/>
  <c r="S108" i="34"/>
  <c r="M65" i="34"/>
  <c r="U65" i="34" s="1"/>
  <c r="V65" i="34" s="1"/>
  <c r="F88" i="33"/>
  <c r="G88" i="33" s="1"/>
  <c r="L88" i="33" s="1"/>
  <c r="R20" i="34"/>
  <c r="S20" i="34" s="1"/>
  <c r="J21" i="33"/>
  <c r="K21" i="33" s="1"/>
  <c r="M189" i="34"/>
  <c r="U189" i="34" s="1"/>
  <c r="V189" i="34" s="1"/>
  <c r="H213" i="33"/>
  <c r="I213" i="33" s="1"/>
  <c r="L213" i="33" s="1"/>
  <c r="R29" i="34"/>
  <c r="S29" i="34" s="1"/>
  <c r="J31" i="33"/>
  <c r="K31" i="33" s="1"/>
  <c r="M75" i="34"/>
  <c r="U75" i="34" s="1"/>
  <c r="V75" i="34" s="1"/>
  <c r="F98" i="33"/>
  <c r="G98" i="33" s="1"/>
  <c r="L98" i="33" s="1"/>
  <c r="L157" i="34"/>
  <c r="M157" i="34" s="1"/>
  <c r="U157" i="34" s="1"/>
  <c r="V157" i="34" s="1"/>
  <c r="H180" i="33"/>
  <c r="I180" i="33" s="1"/>
  <c r="M130" i="34"/>
  <c r="U130" i="34" s="1"/>
  <c r="V130" i="34" s="1"/>
  <c r="F153" i="33"/>
  <c r="G153" i="33" s="1"/>
  <c r="L153" i="33" s="1"/>
  <c r="R154" i="34"/>
  <c r="S154" i="34" s="1"/>
  <c r="J177" i="33"/>
  <c r="K177" i="33" s="1"/>
  <c r="L177" i="33" s="1"/>
  <c r="M156" i="34"/>
  <c r="U156" i="34" s="1"/>
  <c r="V156" i="34" s="1"/>
  <c r="F49" i="33"/>
  <c r="G49" i="33" s="1"/>
  <c r="F232" i="33"/>
  <c r="G232" i="33" s="1"/>
  <c r="M17" i="34"/>
  <c r="U17" i="34" s="1"/>
  <c r="V17" i="34" s="1"/>
  <c r="P18" i="33" s="1"/>
  <c r="F18" i="33"/>
  <c r="G18" i="33" s="1"/>
  <c r="L18" i="33" s="1"/>
  <c r="M46" i="34"/>
  <c r="U46" i="34" s="1"/>
  <c r="V46" i="34" s="1"/>
  <c r="P47" i="33" s="1"/>
  <c r="F69" i="33"/>
  <c r="G69" i="33" s="1"/>
  <c r="F22" i="33"/>
  <c r="G22" i="33" s="1"/>
  <c r="L22" i="33" s="1"/>
  <c r="F21" i="33"/>
  <c r="G21" i="33" s="1"/>
  <c r="L21" i="33" s="1"/>
  <c r="M29" i="34"/>
  <c r="U29" i="34" s="1"/>
  <c r="V29" i="34" s="1"/>
  <c r="P30" i="33" s="1"/>
  <c r="H46" i="33"/>
  <c r="I46" i="33" s="1"/>
  <c r="H229" i="33"/>
  <c r="I229" i="33" s="1"/>
  <c r="L229" i="33" s="1"/>
  <c r="S91" i="34"/>
  <c r="G101" i="33"/>
  <c r="M215" i="34"/>
  <c r="U215" i="34" s="1"/>
  <c r="Y215" i="34" s="1"/>
  <c r="H240" i="33"/>
  <c r="I240" i="33" s="1"/>
  <c r="H57" i="33"/>
  <c r="I57" i="33" s="1"/>
  <c r="M109" i="34"/>
  <c r="U109" i="34" s="1"/>
  <c r="V109" i="34" s="1"/>
  <c r="F132" i="33"/>
  <c r="G132" i="33" s="1"/>
  <c r="L132" i="33" s="1"/>
  <c r="L158" i="34"/>
  <c r="M134" i="34"/>
  <c r="U134" i="34" s="1"/>
  <c r="V134" i="34" s="1"/>
  <c r="M36" i="34"/>
  <c r="U36" i="34" s="1"/>
  <c r="V36" i="34" s="1"/>
  <c r="P37" i="33" s="1"/>
  <c r="F38" i="33"/>
  <c r="G38" i="33" s="1"/>
  <c r="M211" i="34"/>
  <c r="U211" i="34" s="1"/>
  <c r="Y211" i="34" s="1"/>
  <c r="F235" i="33"/>
  <c r="G235" i="33" s="1"/>
  <c r="L235" i="33" s="1"/>
  <c r="F52" i="33"/>
  <c r="G52" i="33" s="1"/>
  <c r="L52" i="33" s="1"/>
  <c r="L146" i="34"/>
  <c r="J169" i="33" s="1"/>
  <c r="K169" i="33" s="1"/>
  <c r="H169" i="33"/>
  <c r="I169" i="33" s="1"/>
  <c r="M140" i="34"/>
  <c r="U140" i="34" s="1"/>
  <c r="V140" i="34" s="1"/>
  <c r="F163" i="33"/>
  <c r="G163" i="33" s="1"/>
  <c r="L163" i="33" s="1"/>
  <c r="L142" i="34"/>
  <c r="S74" i="34"/>
  <c r="R186" i="34"/>
  <c r="S186" i="34" s="1"/>
  <c r="T185" i="34" s="1"/>
  <c r="M135" i="34"/>
  <c r="U135" i="34" s="1"/>
  <c r="V135" i="34" s="1"/>
  <c r="H158" i="33"/>
  <c r="I158" i="33" s="1"/>
  <c r="L158" i="33" s="1"/>
  <c r="R97" i="34"/>
  <c r="S97" i="34" s="1"/>
  <c r="L35" i="34"/>
  <c r="M35" i="34" s="1"/>
  <c r="U35" i="34" s="1"/>
  <c r="V35" i="34" s="1"/>
  <c r="P36" i="33" s="1"/>
  <c r="H37" i="33"/>
  <c r="I37" i="33" s="1"/>
  <c r="S44" i="34"/>
  <c r="M92" i="34"/>
  <c r="U92" i="34" s="1"/>
  <c r="V92" i="34" s="1"/>
  <c r="M113" i="34"/>
  <c r="U113" i="34" s="1"/>
  <c r="V113" i="34" s="1"/>
  <c r="S203" i="34"/>
  <c r="M201" i="34"/>
  <c r="U201" i="34" s="1"/>
  <c r="V201" i="34" s="1"/>
  <c r="F225" i="33"/>
  <c r="G225" i="33" s="1"/>
  <c r="L225" i="33" s="1"/>
  <c r="L183" i="34"/>
  <c r="J206" i="33" s="1"/>
  <c r="K206" i="33" s="1"/>
  <c r="H206" i="33"/>
  <c r="I206" i="33" s="1"/>
  <c r="M141" i="34"/>
  <c r="U141" i="34" s="1"/>
  <c r="V141" i="34" s="1"/>
  <c r="F164" i="33"/>
  <c r="G164" i="33" s="1"/>
  <c r="L164" i="33" s="1"/>
  <c r="M128" i="34"/>
  <c r="U128" i="34" s="1"/>
  <c r="V128" i="34" s="1"/>
  <c r="M103" i="34"/>
  <c r="U103" i="34" s="1"/>
  <c r="V103" i="34" s="1"/>
  <c r="F126" i="33"/>
  <c r="G126" i="33" s="1"/>
  <c r="L126" i="33" s="1"/>
  <c r="S62" i="34"/>
  <c r="M52" i="34"/>
  <c r="U52" i="34" s="1"/>
  <c r="V52" i="34" s="1"/>
  <c r="P53" i="33" s="1"/>
  <c r="L34" i="34"/>
  <c r="M34" i="34" s="1"/>
  <c r="U34" i="34" s="1"/>
  <c r="V34" i="34" s="1"/>
  <c r="P35" i="33" s="1"/>
  <c r="J16" i="33"/>
  <c r="K16" i="33" s="1"/>
  <c r="O16" i="33" s="1"/>
  <c r="Q16" i="33" s="1"/>
  <c r="M81" i="34"/>
  <c r="U81" i="34" s="1"/>
  <c r="V81" i="34" s="1"/>
  <c r="R26" i="34"/>
  <c r="S26" i="34" s="1"/>
  <c r="J28" i="33"/>
  <c r="K28" i="33" s="1"/>
  <c r="M138" i="33"/>
  <c r="N138" i="33" s="1"/>
  <c r="I178" i="34"/>
  <c r="I176" i="34"/>
  <c r="I175" i="34"/>
  <c r="I174" i="34"/>
  <c r="I177" i="34"/>
  <c r="Y58" i="34"/>
  <c r="W190" i="34"/>
  <c r="N212" i="32" s="1"/>
  <c r="AD165" i="34"/>
  <c r="AB169" i="34"/>
  <c r="P56" i="34"/>
  <c r="S56" i="34" s="1"/>
  <c r="K56" i="34"/>
  <c r="P105" i="34"/>
  <c r="S105" i="34" s="1"/>
  <c r="K105" i="34"/>
  <c r="M20" i="34"/>
  <c r="U20" i="34" s="1"/>
  <c r="V20" i="34" s="1"/>
  <c r="L24" i="34"/>
  <c r="L184" i="34"/>
  <c r="M61" i="34"/>
  <c r="U61" i="34" s="1"/>
  <c r="V61" i="34" s="1"/>
  <c r="W242" i="34"/>
  <c r="L16" i="34"/>
  <c r="S223" i="34"/>
  <c r="H131" i="34"/>
  <c r="F154" i="33" s="1"/>
  <c r="G154" i="33" s="1"/>
  <c r="O131" i="34"/>
  <c r="P151" i="34"/>
  <c r="K151" i="34"/>
  <c r="H174" i="33" s="1"/>
  <c r="I174" i="33" s="1"/>
  <c r="I171" i="34"/>
  <c r="I180" i="34"/>
  <c r="I170" i="34"/>
  <c r="I172" i="34"/>
  <c r="S248" i="34"/>
  <c r="K31" i="34"/>
  <c r="H33" i="33" s="1"/>
  <c r="I33" i="33" s="1"/>
  <c r="S106" i="34"/>
  <c r="F229" i="34"/>
  <c r="M89" i="34"/>
  <c r="U89" i="34" s="1"/>
  <c r="V89" i="34" s="1"/>
  <c r="L32" i="34"/>
  <c r="L182" i="34"/>
  <c r="Q28" i="34"/>
  <c r="AA23" i="34" s="1"/>
  <c r="AA24" i="34" s="1"/>
  <c r="AC24" i="34" s="1"/>
  <c r="AD24" i="34" s="1"/>
  <c r="K28" i="34"/>
  <c r="H30" i="33" s="1"/>
  <c r="I30" i="33" s="1"/>
  <c r="S205" i="34"/>
  <c r="Q131" i="34"/>
  <c r="I131" i="34"/>
  <c r="M154" i="34"/>
  <c r="U154" i="34" s="1"/>
  <c r="V154" i="34" s="1"/>
  <c r="M209" i="34"/>
  <c r="U209" i="34" s="1"/>
  <c r="V214" i="34"/>
  <c r="L82" i="34"/>
  <c r="L79" i="34"/>
  <c r="L49" i="34"/>
  <c r="M49" i="34" s="1"/>
  <c r="U49" i="34" s="1"/>
  <c r="V49" i="34" s="1"/>
  <c r="P50" i="33" s="1"/>
  <c r="L25" i="34"/>
  <c r="L76" i="34"/>
  <c r="S204" i="34"/>
  <c r="S128" i="34"/>
  <c r="M248" i="34"/>
  <c r="U248" i="34" s="1"/>
  <c r="V248" i="34" s="1"/>
  <c r="L206" i="34"/>
  <c r="S136" i="34"/>
  <c r="Y204" i="34"/>
  <c r="V204" i="34"/>
  <c r="L13" i="34"/>
  <c r="W115" i="34"/>
  <c r="N136" i="32" s="1"/>
  <c r="Y203" i="34"/>
  <c r="V203" i="34"/>
  <c r="Y193" i="34"/>
  <c r="K47" i="34"/>
  <c r="H70" i="33" s="1"/>
  <c r="I70" i="33" s="1"/>
  <c r="I64" i="33" s="1"/>
  <c r="P47" i="34"/>
  <c r="S47" i="34" s="1"/>
  <c r="L149" i="34"/>
  <c r="M72" i="34"/>
  <c r="U72" i="34" s="1"/>
  <c r="V72" i="34" s="1"/>
  <c r="L143" i="34"/>
  <c r="L155" i="34"/>
  <c r="L208" i="34"/>
  <c r="L48" i="34"/>
  <c r="Y125" i="34"/>
  <c r="M15" i="34"/>
  <c r="U15" i="34" s="1"/>
  <c r="V15" i="34" s="1"/>
  <c r="P16" i="33" s="1"/>
  <c r="Y205" i="34"/>
  <c r="V205" i="34"/>
  <c r="Y210" i="34"/>
  <c r="V210" i="34"/>
  <c r="L147" i="34"/>
  <c r="S222" i="34"/>
  <c r="S103" i="34"/>
  <c r="L153" i="34"/>
  <c r="L114" i="34"/>
  <c r="M114" i="34" s="1"/>
  <c r="U114" i="34" s="1"/>
  <c r="V114" i="34" s="1"/>
  <c r="M42" i="34"/>
  <c r="U42" i="34" s="1"/>
  <c r="V42" i="34" s="1"/>
  <c r="P43" i="33" s="1"/>
  <c r="W244" i="32"/>
  <c r="AF244" i="32"/>
  <c r="M56" i="32"/>
  <c r="AE244" i="32"/>
  <c r="Z244" i="32"/>
  <c r="M80" i="34" l="1"/>
  <c r="U80" i="34" s="1"/>
  <c r="V80" i="34" s="1"/>
  <c r="Q41" i="33"/>
  <c r="Q53" i="33"/>
  <c r="W19" i="34"/>
  <c r="N20" i="32" s="1"/>
  <c r="P21" i="33"/>
  <c r="Q15" i="33"/>
  <c r="V9" i="34"/>
  <c r="P10" i="33" s="1"/>
  <c r="Q10" i="33" s="1"/>
  <c r="AA7" i="1"/>
  <c r="AA39" i="1"/>
  <c r="E4" i="10"/>
  <c r="X7" i="21" s="1"/>
  <c r="X8" i="21" s="1"/>
  <c r="AA34" i="1"/>
  <c r="AD34" i="1" s="1"/>
  <c r="K20" i="33"/>
  <c r="O21" i="33"/>
  <c r="Q21" i="33" s="1"/>
  <c r="L54" i="33"/>
  <c r="O54" i="33"/>
  <c r="Q54" i="33" s="1"/>
  <c r="O22" i="33"/>
  <c r="Q22" i="33" s="1"/>
  <c r="L38" i="33"/>
  <c r="O38" i="33"/>
  <c r="Q38" i="33" s="1"/>
  <c r="L50" i="33"/>
  <c r="O50" i="33"/>
  <c r="Q50" i="33" s="1"/>
  <c r="L28" i="33"/>
  <c r="O28" i="33"/>
  <c r="L32" i="33"/>
  <c r="O32" i="33"/>
  <c r="O18" i="33"/>
  <c r="Q18" i="33" s="1"/>
  <c r="L31" i="33"/>
  <c r="O31" i="33"/>
  <c r="L46" i="33"/>
  <c r="X13" i="21" s="1"/>
  <c r="X13" i="1" s="1"/>
  <c r="O46" i="33"/>
  <c r="Q46" i="33" s="1"/>
  <c r="L57" i="33"/>
  <c r="O57" i="33"/>
  <c r="L35" i="33"/>
  <c r="O35" i="33"/>
  <c r="Q35" i="33" s="1"/>
  <c r="O52" i="33"/>
  <c r="Q52" i="33" s="1"/>
  <c r="R7" i="30"/>
  <c r="R8" i="30" s="1"/>
  <c r="C241" i="10"/>
  <c r="G61" i="33"/>
  <c r="R77" i="34"/>
  <c r="S77" i="34" s="1"/>
  <c r="J231" i="33"/>
  <c r="K231" i="33" s="1"/>
  <c r="L231" i="33" s="1"/>
  <c r="G60" i="33"/>
  <c r="R80" i="34"/>
  <c r="S80" i="34" s="1"/>
  <c r="J48" i="33"/>
  <c r="K48" i="33" s="1"/>
  <c r="O48" i="33" s="1"/>
  <c r="R24" i="30"/>
  <c r="M186" i="34"/>
  <c r="U186" i="34" s="1"/>
  <c r="V186" i="34" s="1"/>
  <c r="W185" i="34" s="1"/>
  <c r="N207" i="32" s="1"/>
  <c r="R144" i="34"/>
  <c r="S144" i="34" s="1"/>
  <c r="J100" i="33"/>
  <c r="K100" i="33" s="1"/>
  <c r="L100" i="33" s="1"/>
  <c r="R250" i="34"/>
  <c r="M207" i="34"/>
  <c r="U207" i="34" s="1"/>
  <c r="J167" i="33"/>
  <c r="K167" i="33" s="1"/>
  <c r="L167" i="33" s="1"/>
  <c r="W187" i="34"/>
  <c r="N209" i="32" s="1"/>
  <c r="M247" i="34"/>
  <c r="U247" i="34" s="1"/>
  <c r="V247" i="34" s="1"/>
  <c r="V250" i="34" s="1"/>
  <c r="M27" i="34"/>
  <c r="U27" i="34" s="1"/>
  <c r="V27" i="34" s="1"/>
  <c r="P28" i="33" s="1"/>
  <c r="M95" i="34"/>
  <c r="U95" i="34" s="1"/>
  <c r="V95" i="34" s="1"/>
  <c r="W88" i="34" s="1"/>
  <c r="N109" i="32" s="1"/>
  <c r="R59" i="34"/>
  <c r="S59" i="34" s="1"/>
  <c r="T58" i="34" s="1"/>
  <c r="J224" i="33"/>
  <c r="K224" i="33" s="1"/>
  <c r="L224" i="33" s="1"/>
  <c r="J82" i="33"/>
  <c r="K82" i="33" s="1"/>
  <c r="K81" i="33" s="1"/>
  <c r="M81" i="33" s="1"/>
  <c r="R95" i="34"/>
  <c r="S95" i="34" s="1"/>
  <c r="T88" i="34" s="1"/>
  <c r="AC17" i="1"/>
  <c r="AD17" i="1"/>
  <c r="C225" i="10"/>
  <c r="C218" i="10"/>
  <c r="C211" i="10" s="1"/>
  <c r="C204" i="10" s="1"/>
  <c r="C197" i="10" s="1"/>
  <c r="C189" i="10" s="1"/>
  <c r="C180" i="10" s="1"/>
  <c r="J168" i="33"/>
  <c r="K168" i="33" s="1"/>
  <c r="L168" i="33" s="1"/>
  <c r="Y83" i="34"/>
  <c r="R145" i="34"/>
  <c r="S145" i="34" s="1"/>
  <c r="J183" i="33"/>
  <c r="K183" i="33" s="1"/>
  <c r="L183" i="33" s="1"/>
  <c r="M160" i="34"/>
  <c r="U160" i="34" s="1"/>
  <c r="V160" i="34" s="1"/>
  <c r="L150" i="34"/>
  <c r="R150" i="34" s="1"/>
  <c r="S150" i="34" s="1"/>
  <c r="M148" i="34"/>
  <c r="U148" i="34" s="1"/>
  <c r="V148" i="34" s="1"/>
  <c r="T19" i="34"/>
  <c r="J171" i="33"/>
  <c r="K171" i="33" s="1"/>
  <c r="L171" i="33" s="1"/>
  <c r="M30" i="34"/>
  <c r="U30" i="34" s="1"/>
  <c r="V30" i="34" s="1"/>
  <c r="P31" i="33" s="1"/>
  <c r="R30" i="34"/>
  <c r="S30" i="34" s="1"/>
  <c r="N214" i="33"/>
  <c r="T213" i="34"/>
  <c r="M97" i="34"/>
  <c r="U97" i="34" s="1"/>
  <c r="V97" i="34" s="1"/>
  <c r="W96" i="34" s="1"/>
  <c r="N117" i="32" s="1"/>
  <c r="I238" i="33"/>
  <c r="M238" i="33" s="1"/>
  <c r="X23" i="21"/>
  <c r="L31" i="34"/>
  <c r="M31" i="34" s="1"/>
  <c r="U31" i="34" s="1"/>
  <c r="V31" i="34" s="1"/>
  <c r="P32" i="33" s="1"/>
  <c r="R200" i="34"/>
  <c r="S200" i="34" s="1"/>
  <c r="J11" i="33"/>
  <c r="K11" i="33" s="1"/>
  <c r="V215" i="34"/>
  <c r="W213" i="34" s="1"/>
  <c r="W198" i="34"/>
  <c r="N220" i="32" s="1"/>
  <c r="M12" i="34"/>
  <c r="U12" i="34" s="1"/>
  <c r="V12" i="34" s="1"/>
  <c r="P13" i="33" s="1"/>
  <c r="F159" i="33"/>
  <c r="G159" i="33" s="1"/>
  <c r="L159" i="33" s="1"/>
  <c r="J13" i="33"/>
  <c r="K13" i="33" s="1"/>
  <c r="O13" i="33" s="1"/>
  <c r="Q13" i="33" s="1"/>
  <c r="J42" i="33"/>
  <c r="K42" i="33" s="1"/>
  <c r="J184" i="33"/>
  <c r="K184" i="33" s="1"/>
  <c r="L184" i="33" s="1"/>
  <c r="R10" i="34"/>
  <c r="S10" i="34" s="1"/>
  <c r="M106" i="33"/>
  <c r="N106" i="33" s="1"/>
  <c r="W195" i="34"/>
  <c r="N217" i="32" s="1"/>
  <c r="T60" i="34"/>
  <c r="R40" i="34"/>
  <c r="S40" i="34" s="1"/>
  <c r="Y212" i="34"/>
  <c r="M146" i="34"/>
  <c r="U146" i="34" s="1"/>
  <c r="V146" i="34" s="1"/>
  <c r="J29" i="33"/>
  <c r="K29" i="33" s="1"/>
  <c r="L210" i="33"/>
  <c r="L209" i="33" s="1"/>
  <c r="L20" i="33"/>
  <c r="J173" i="33"/>
  <c r="K173" i="33" s="1"/>
  <c r="L173" i="33" s="1"/>
  <c r="T50" i="34"/>
  <c r="V211" i="34"/>
  <c r="R146" i="34"/>
  <c r="S146" i="34" s="1"/>
  <c r="L82" i="33"/>
  <c r="L81" i="33" s="1"/>
  <c r="W107" i="34"/>
  <c r="N128" i="32" s="1"/>
  <c r="W60" i="34"/>
  <c r="N81" i="32" s="1"/>
  <c r="R183" i="34"/>
  <c r="S183" i="34" s="1"/>
  <c r="T96" i="34"/>
  <c r="K211" i="33"/>
  <c r="L212" i="33"/>
  <c r="L211" i="33" s="1"/>
  <c r="L118" i="33"/>
  <c r="L111" i="33" s="1"/>
  <c r="L120" i="33"/>
  <c r="L119" i="33" s="1"/>
  <c r="L70" i="33"/>
  <c r="L206" i="33"/>
  <c r="L169" i="33"/>
  <c r="R16" i="30"/>
  <c r="Y22" i="1" s="1"/>
  <c r="L69" i="33"/>
  <c r="N219" i="33"/>
  <c r="L237" i="33"/>
  <c r="L104" i="33"/>
  <c r="L240" i="33"/>
  <c r="R15" i="30" s="1"/>
  <c r="Y15" i="1" s="1"/>
  <c r="G125" i="33"/>
  <c r="G73" i="33"/>
  <c r="L28" i="34"/>
  <c r="R28" i="34" s="1"/>
  <c r="S28" i="34" s="1"/>
  <c r="G222" i="33"/>
  <c r="N209" i="33"/>
  <c r="G25" i="33"/>
  <c r="G9" i="33"/>
  <c r="X22" i="21"/>
  <c r="G92" i="33"/>
  <c r="G111" i="33"/>
  <c r="M111" i="33" s="1"/>
  <c r="I92" i="33"/>
  <c r="R161" i="34"/>
  <c r="S161" i="34" s="1"/>
  <c r="I119" i="33"/>
  <c r="M242" i="32"/>
  <c r="M243" i="32"/>
  <c r="G130" i="33"/>
  <c r="G83" i="33"/>
  <c r="M83" i="33" s="1"/>
  <c r="L83" i="33"/>
  <c r="M47" i="34"/>
  <c r="U47" i="34" s="1"/>
  <c r="V47" i="34" s="1"/>
  <c r="P48" i="33" s="1"/>
  <c r="I204" i="33"/>
  <c r="I211" i="33"/>
  <c r="G119" i="33"/>
  <c r="R13" i="30"/>
  <c r="Y13" i="1" s="1"/>
  <c r="G64" i="33"/>
  <c r="I55" i="33"/>
  <c r="R18" i="30"/>
  <c r="Y24" i="1" s="1"/>
  <c r="Z24" i="1" s="1"/>
  <c r="X21" i="21"/>
  <c r="R21" i="30"/>
  <c r="Y27" i="1" s="1"/>
  <c r="Z27" i="1" s="1"/>
  <c r="M183" i="34"/>
  <c r="U183" i="34" s="1"/>
  <c r="V183" i="34" s="1"/>
  <c r="X20" i="21"/>
  <c r="X20" i="1" s="1"/>
  <c r="Z20" i="1" s="1"/>
  <c r="AD20" i="1" s="1"/>
  <c r="R14" i="30"/>
  <c r="Y14" i="1" s="1"/>
  <c r="Z14" i="1" s="1"/>
  <c r="I226" i="33"/>
  <c r="G20" i="33"/>
  <c r="M20" i="33" s="1"/>
  <c r="G150" i="33"/>
  <c r="I155" i="33"/>
  <c r="I43" i="33"/>
  <c r="R155" i="34"/>
  <c r="S155" i="34" s="1"/>
  <c r="J178" i="33"/>
  <c r="K178" i="33" s="1"/>
  <c r="L178" i="33" s="1"/>
  <c r="I25" i="33"/>
  <c r="R206" i="34"/>
  <c r="S206" i="34" s="1"/>
  <c r="J230" i="33"/>
  <c r="K230" i="33" s="1"/>
  <c r="L230" i="33" s="1"/>
  <c r="J47" i="33"/>
  <c r="K47" i="33" s="1"/>
  <c r="O47" i="33" s="1"/>
  <c r="Q47" i="33" s="1"/>
  <c r="R149" i="34"/>
  <c r="S149" i="34" s="1"/>
  <c r="J172" i="33"/>
  <c r="K172" i="33" s="1"/>
  <c r="L172" i="33" s="1"/>
  <c r="R153" i="34"/>
  <c r="S153" i="34" s="1"/>
  <c r="J176" i="33"/>
  <c r="K176" i="33" s="1"/>
  <c r="L176" i="33" s="1"/>
  <c r="R157" i="34"/>
  <c r="S157" i="34" s="1"/>
  <c r="J180" i="33"/>
  <c r="K180" i="33" s="1"/>
  <c r="L180" i="33" s="1"/>
  <c r="R79" i="34"/>
  <c r="S79" i="34" s="1"/>
  <c r="J102" i="33"/>
  <c r="K102" i="33" s="1"/>
  <c r="L102" i="33" s="1"/>
  <c r="R182" i="34"/>
  <c r="S182" i="34" s="1"/>
  <c r="J205" i="33"/>
  <c r="K205" i="33" s="1"/>
  <c r="L205" i="33" s="1"/>
  <c r="R184" i="34"/>
  <c r="S184" i="34" s="1"/>
  <c r="J207" i="33"/>
  <c r="K207" i="33" s="1"/>
  <c r="L207" i="33" s="1"/>
  <c r="R76" i="34"/>
  <c r="S76" i="34" s="1"/>
  <c r="T69" i="34" s="1"/>
  <c r="J99" i="33"/>
  <c r="K99" i="33" s="1"/>
  <c r="R48" i="34"/>
  <c r="S48" i="34" s="1"/>
  <c r="J71" i="33"/>
  <c r="K71" i="33" s="1"/>
  <c r="L71" i="33" s="1"/>
  <c r="R82" i="34"/>
  <c r="S82" i="34" s="1"/>
  <c r="J105" i="33"/>
  <c r="K105" i="33" s="1"/>
  <c r="L105" i="33" s="1"/>
  <c r="R147" i="34"/>
  <c r="S147" i="34" s="1"/>
  <c r="J170" i="33"/>
  <c r="K170" i="33" s="1"/>
  <c r="L170" i="33" s="1"/>
  <c r="R208" i="34"/>
  <c r="S208" i="34" s="1"/>
  <c r="J49" i="33"/>
  <c r="K49" i="33" s="1"/>
  <c r="J232" i="33"/>
  <c r="K232" i="33" s="1"/>
  <c r="L232" i="33" s="1"/>
  <c r="R142" i="34"/>
  <c r="S142" i="34" s="1"/>
  <c r="J165" i="33"/>
  <c r="K165" i="33" s="1"/>
  <c r="L165" i="33" s="1"/>
  <c r="M142" i="34"/>
  <c r="U142" i="34" s="1"/>
  <c r="V142" i="34" s="1"/>
  <c r="J181" i="33"/>
  <c r="K181" i="33" s="1"/>
  <c r="L181" i="33" s="1"/>
  <c r="R158" i="34"/>
  <c r="S158" i="34" s="1"/>
  <c r="M158" i="34"/>
  <c r="U158" i="34" s="1"/>
  <c r="V158" i="34" s="1"/>
  <c r="G226" i="33"/>
  <c r="R16" i="34"/>
  <c r="S16" i="34" s="1"/>
  <c r="J17" i="33"/>
  <c r="K17" i="33" s="1"/>
  <c r="O17" i="33" s="1"/>
  <c r="M105" i="34"/>
  <c r="U105" i="34" s="1"/>
  <c r="V105" i="34" s="1"/>
  <c r="W102" i="34" s="1"/>
  <c r="N123" i="32" s="1"/>
  <c r="H128" i="33"/>
  <c r="I128" i="33" s="1"/>
  <c r="G43" i="33"/>
  <c r="R13" i="34"/>
  <c r="S13" i="34" s="1"/>
  <c r="J14" i="33"/>
  <c r="K14" i="33" s="1"/>
  <c r="O14" i="33" s="1"/>
  <c r="M76" i="34"/>
  <c r="U76" i="34" s="1"/>
  <c r="V76" i="34" s="1"/>
  <c r="W69" i="34" s="1"/>
  <c r="N90" i="32" s="1"/>
  <c r="R32" i="34"/>
  <c r="S32" i="34" s="1"/>
  <c r="J34" i="33"/>
  <c r="K34" i="33" s="1"/>
  <c r="M48" i="34"/>
  <c r="U48" i="34" s="1"/>
  <c r="V48" i="34" s="1"/>
  <c r="P49" i="33" s="1"/>
  <c r="R35" i="34"/>
  <c r="S35" i="34" s="1"/>
  <c r="J37" i="33"/>
  <c r="K37" i="33" s="1"/>
  <c r="R25" i="34"/>
  <c r="S25" i="34" s="1"/>
  <c r="J27" i="33"/>
  <c r="K27" i="33" s="1"/>
  <c r="M56" i="34"/>
  <c r="U56" i="34" s="1"/>
  <c r="V56" i="34" s="1"/>
  <c r="H79" i="33"/>
  <c r="I79" i="33" s="1"/>
  <c r="R34" i="34"/>
  <c r="S34" i="34" s="1"/>
  <c r="J36" i="33"/>
  <c r="K36" i="33" s="1"/>
  <c r="R24" i="34"/>
  <c r="S24" i="34" s="1"/>
  <c r="J26" i="33"/>
  <c r="K26" i="33" s="1"/>
  <c r="R143" i="34"/>
  <c r="S143" i="34" s="1"/>
  <c r="J166" i="33"/>
  <c r="K166" i="33" s="1"/>
  <c r="L166" i="33" s="1"/>
  <c r="R114" i="34"/>
  <c r="S114" i="34" s="1"/>
  <c r="T107" i="34" s="1"/>
  <c r="J137" i="33"/>
  <c r="K137" i="33" s="1"/>
  <c r="R49" i="34"/>
  <c r="S49" i="34" s="1"/>
  <c r="J72" i="33"/>
  <c r="K72" i="33" s="1"/>
  <c r="L72" i="33" s="1"/>
  <c r="R199" i="34"/>
  <c r="S199" i="34" s="1"/>
  <c r="J223" i="33"/>
  <c r="K223" i="33" s="1"/>
  <c r="M79" i="34"/>
  <c r="U79" i="34" s="1"/>
  <c r="V79" i="34" s="1"/>
  <c r="M32" i="34"/>
  <c r="U32" i="34" s="1"/>
  <c r="V32" i="34" s="1"/>
  <c r="P33" i="33" s="1"/>
  <c r="L151" i="34"/>
  <c r="M24" i="34"/>
  <c r="U24" i="34" s="1"/>
  <c r="V24" i="34" s="1"/>
  <c r="P25" i="33" s="1"/>
  <c r="Y19" i="34"/>
  <c r="Q216" i="34"/>
  <c r="K131" i="34"/>
  <c r="H154" i="33" s="1"/>
  <c r="I154" i="33" s="1"/>
  <c r="I150" i="33" s="1"/>
  <c r="P131" i="34"/>
  <c r="S131" i="34" s="1"/>
  <c r="T127" i="34" s="1"/>
  <c r="M13" i="34"/>
  <c r="U13" i="34" s="1"/>
  <c r="V13" i="34" s="1"/>
  <c r="P14" i="33" s="1"/>
  <c r="M82" i="34"/>
  <c r="U82" i="34" s="1"/>
  <c r="V82" i="34" s="1"/>
  <c r="M147" i="34"/>
  <c r="U147" i="34" s="1"/>
  <c r="V147" i="34" s="1"/>
  <c r="T246" i="34"/>
  <c r="T250" i="34" s="1"/>
  <c r="S250" i="34"/>
  <c r="K177" i="34"/>
  <c r="H200" i="33" s="1"/>
  <c r="I200" i="33" s="1"/>
  <c r="F177" i="34"/>
  <c r="P177" i="34"/>
  <c r="T102" i="34"/>
  <c r="Y185" i="34"/>
  <c r="M208" i="34"/>
  <c r="U208" i="34" s="1"/>
  <c r="M25" i="34"/>
  <c r="U25" i="34" s="1"/>
  <c r="V25" i="34" s="1"/>
  <c r="P26" i="33" s="1"/>
  <c r="M182" i="34"/>
  <c r="U182" i="34" s="1"/>
  <c r="V182" i="34" s="1"/>
  <c r="P170" i="34"/>
  <c r="K170" i="34"/>
  <c r="H193" i="33" s="1"/>
  <c r="I193" i="33" s="1"/>
  <c r="F170" i="34"/>
  <c r="K174" i="34"/>
  <c r="H197" i="33" s="1"/>
  <c r="I197" i="33" s="1"/>
  <c r="F174" i="34"/>
  <c r="P174" i="34"/>
  <c r="M149" i="34"/>
  <c r="U149" i="34" s="1"/>
  <c r="V149" i="34" s="1"/>
  <c r="K172" i="34"/>
  <c r="H195" i="33" s="1"/>
  <c r="I195" i="33" s="1"/>
  <c r="F172" i="34"/>
  <c r="P172" i="34"/>
  <c r="Y207" i="34"/>
  <c r="V207" i="34"/>
  <c r="Y209" i="34"/>
  <c r="V209" i="34"/>
  <c r="P180" i="34"/>
  <c r="K180" i="34"/>
  <c r="H203" i="33" s="1"/>
  <c r="I203" i="33" s="1"/>
  <c r="I202" i="33" s="1"/>
  <c r="F180" i="34"/>
  <c r="P175" i="34"/>
  <c r="K175" i="34"/>
  <c r="H198" i="33" s="1"/>
  <c r="I198" i="33" s="1"/>
  <c r="F175" i="34"/>
  <c r="N229" i="34"/>
  <c r="H229" i="34"/>
  <c r="M229" i="34" s="1"/>
  <c r="U229" i="34" s="1"/>
  <c r="V229" i="34" s="1"/>
  <c r="K171" i="34"/>
  <c r="H194" i="33" s="1"/>
  <c r="I194" i="33" s="1"/>
  <c r="F171" i="34"/>
  <c r="P171" i="34"/>
  <c r="I166" i="34"/>
  <c r="I168" i="34"/>
  <c r="I165" i="34"/>
  <c r="I167" i="34"/>
  <c r="AD169" i="34"/>
  <c r="K176" i="34"/>
  <c r="H199" i="33" s="1"/>
  <c r="I199" i="33" s="1"/>
  <c r="F176" i="34"/>
  <c r="P176" i="34"/>
  <c r="O216" i="34"/>
  <c r="M153" i="34"/>
  <c r="U153" i="34" s="1"/>
  <c r="V153" i="34" s="1"/>
  <c r="M143" i="34"/>
  <c r="U143" i="34" s="1"/>
  <c r="V143" i="34" s="1"/>
  <c r="M206" i="34"/>
  <c r="U206" i="34" s="1"/>
  <c r="M16" i="34"/>
  <c r="U16" i="34" s="1"/>
  <c r="V16" i="34" s="1"/>
  <c r="P17" i="33" s="1"/>
  <c r="M184" i="34"/>
  <c r="U184" i="34" s="1"/>
  <c r="V184" i="34" s="1"/>
  <c r="Y190" i="34"/>
  <c r="P178" i="34"/>
  <c r="F178" i="34"/>
  <c r="K178" i="34"/>
  <c r="H201" i="33" s="1"/>
  <c r="I201" i="33" s="1"/>
  <c r="M155" i="34"/>
  <c r="U155" i="34" s="1"/>
  <c r="V155" i="34" s="1"/>
  <c r="Q48" i="33" l="1"/>
  <c r="Q28" i="33"/>
  <c r="Y187" i="34"/>
  <c r="Q31" i="33"/>
  <c r="Q14" i="33"/>
  <c r="Q32" i="33"/>
  <c r="Q17" i="33"/>
  <c r="W50" i="34"/>
  <c r="P57" i="33"/>
  <c r="Q57" i="33" s="1"/>
  <c r="L36" i="33"/>
  <c r="O36" i="33"/>
  <c r="Q36" i="33" s="1"/>
  <c r="X23" i="1"/>
  <c r="R29" i="30"/>
  <c r="Y35" i="1" s="1"/>
  <c r="M236" i="33"/>
  <c r="X18" i="21"/>
  <c r="X18" i="1" s="1"/>
  <c r="Z18" i="1" s="1"/>
  <c r="AD18" i="1" s="1"/>
  <c r="O11" i="33"/>
  <c r="Q11" i="33" s="1"/>
  <c r="L26" i="33"/>
  <c r="O26" i="33"/>
  <c r="Q26" i="33" s="1"/>
  <c r="L37" i="33"/>
  <c r="O37" i="33"/>
  <c r="Q37" i="33" s="1"/>
  <c r="M55" i="33"/>
  <c r="O55" i="33"/>
  <c r="Q55" i="33" s="1"/>
  <c r="L48" i="33"/>
  <c r="L29" i="33"/>
  <c r="O29" i="33"/>
  <c r="M237" i="33"/>
  <c r="L27" i="33"/>
  <c r="O27" i="33"/>
  <c r="Q27" i="33" s="1"/>
  <c r="X21" i="1"/>
  <c r="Z21" i="1" s="1"/>
  <c r="L34" i="33"/>
  <c r="O34" i="33"/>
  <c r="Q34" i="33" s="1"/>
  <c r="L49" i="33"/>
  <c r="O49" i="33"/>
  <c r="Q49" i="33" s="1"/>
  <c r="X22" i="1"/>
  <c r="Z22" i="1" s="1"/>
  <c r="L42" i="33"/>
  <c r="O42" i="33"/>
  <c r="Q42" i="33" s="1"/>
  <c r="Y7" i="1"/>
  <c r="Y8" i="1" s="1"/>
  <c r="E242" i="10"/>
  <c r="E243" i="10" s="1"/>
  <c r="C163" i="10"/>
  <c r="L128" i="33"/>
  <c r="L125" i="33" s="1"/>
  <c r="R25" i="30"/>
  <c r="Y30" i="1"/>
  <c r="Z30" i="1" s="1"/>
  <c r="AB30" i="1" s="1"/>
  <c r="AC30" i="1" s="1"/>
  <c r="T24" i="30"/>
  <c r="U24" i="30" s="1"/>
  <c r="W246" i="34"/>
  <c r="W250" i="34" s="1"/>
  <c r="W252" i="34" s="1"/>
  <c r="X19" i="21"/>
  <c r="X19" i="1" s="1"/>
  <c r="Z19" i="1" s="1"/>
  <c r="N81" i="33"/>
  <c r="M211" i="33"/>
  <c r="N211" i="33" s="1"/>
  <c r="Z13" i="1"/>
  <c r="M28" i="34"/>
  <c r="U28" i="34" s="1"/>
  <c r="V28" i="34" s="1"/>
  <c r="N20" i="33"/>
  <c r="M150" i="34"/>
  <c r="U150" i="34" s="1"/>
  <c r="V150" i="34" s="1"/>
  <c r="Y107" i="34"/>
  <c r="N55" i="33"/>
  <c r="N83" i="33"/>
  <c r="T198" i="34"/>
  <c r="Y96" i="34"/>
  <c r="J33" i="33"/>
  <c r="K33" i="33" s="1"/>
  <c r="R31" i="34"/>
  <c r="S31" i="34" s="1"/>
  <c r="T23" i="34" s="1"/>
  <c r="Y198" i="34"/>
  <c r="M150" i="33"/>
  <c r="N150" i="33" s="1"/>
  <c r="M244" i="32"/>
  <c r="S246" i="32" s="1"/>
  <c r="X16" i="21"/>
  <c r="T202" i="34"/>
  <c r="Y60" i="34"/>
  <c r="R20" i="30"/>
  <c r="Y26" i="1" s="1"/>
  <c r="Z26" i="1" s="1"/>
  <c r="G155" i="33"/>
  <c r="T78" i="34"/>
  <c r="Y195" i="34"/>
  <c r="N238" i="33"/>
  <c r="M119" i="33"/>
  <c r="N119" i="33" s="1"/>
  <c r="L64" i="33"/>
  <c r="K43" i="33"/>
  <c r="L226" i="33"/>
  <c r="T8" i="34"/>
  <c r="L204" i="33"/>
  <c r="W41" i="34"/>
  <c r="N62" i="32" s="1"/>
  <c r="L101" i="33"/>
  <c r="L154" i="33"/>
  <c r="L150" i="33" s="1"/>
  <c r="L47" i="33"/>
  <c r="J30" i="33"/>
  <c r="K30" i="33" s="1"/>
  <c r="R17" i="30"/>
  <c r="Y23" i="1" s="1"/>
  <c r="Z23" i="1" s="1"/>
  <c r="L79" i="33"/>
  <c r="L73" i="33" s="1"/>
  <c r="K222" i="33"/>
  <c r="M222" i="33" s="1"/>
  <c r="L223" i="33"/>
  <c r="L222" i="33" s="1"/>
  <c r="K130" i="33"/>
  <c r="M130" i="33" s="1"/>
  <c r="N130" i="33" s="1"/>
  <c r="L137" i="33"/>
  <c r="L130" i="33" s="1"/>
  <c r="K92" i="33"/>
  <c r="M92" i="33" s="1"/>
  <c r="N92" i="33" s="1"/>
  <c r="L99" i="33"/>
  <c r="L92" i="33" s="1"/>
  <c r="I58" i="33"/>
  <c r="I196" i="33"/>
  <c r="N236" i="32"/>
  <c r="N53" i="32"/>
  <c r="Y102" i="34"/>
  <c r="L238" i="33"/>
  <c r="X15" i="21"/>
  <c r="X15" i="1" s="1"/>
  <c r="Z15" i="1" s="1"/>
  <c r="L55" i="33"/>
  <c r="M4" i="10"/>
  <c r="X7" i="1"/>
  <c r="X8" i="1" s="1"/>
  <c r="M131" i="34"/>
  <c r="U131" i="34" s="1"/>
  <c r="V131" i="34" s="1"/>
  <c r="W127" i="34" s="1"/>
  <c r="N148" i="32" s="1"/>
  <c r="Y69" i="34"/>
  <c r="P242" i="32"/>
  <c r="I192" i="33"/>
  <c r="T41" i="34"/>
  <c r="I73" i="33"/>
  <c r="Y50" i="34"/>
  <c r="N71" i="32"/>
  <c r="N111" i="33"/>
  <c r="I125" i="33"/>
  <c r="M125" i="33" s="1"/>
  <c r="N125" i="33" s="1"/>
  <c r="X25" i="21"/>
  <c r="L9" i="33"/>
  <c r="G58" i="33"/>
  <c r="T243" i="32"/>
  <c r="K101" i="33"/>
  <c r="M101" i="33" s="1"/>
  <c r="K204" i="33"/>
  <c r="M204" i="33" s="1"/>
  <c r="K9" i="33"/>
  <c r="R151" i="34"/>
  <c r="S151" i="34" s="1"/>
  <c r="T132" i="34" s="1"/>
  <c r="J174" i="33"/>
  <c r="K174" i="33" s="1"/>
  <c r="K226" i="33"/>
  <c r="M226" i="33" s="1"/>
  <c r="T181" i="34"/>
  <c r="W8" i="34"/>
  <c r="N9" i="32" s="1"/>
  <c r="W181" i="34"/>
  <c r="N202" i="32" s="1"/>
  <c r="K64" i="33"/>
  <c r="N176" i="34"/>
  <c r="H176" i="34"/>
  <c r="F199" i="33" s="1"/>
  <c r="G199" i="33" s="1"/>
  <c r="V230" i="34"/>
  <c r="W221" i="34"/>
  <c r="W230" i="34" s="1"/>
  <c r="S229" i="34"/>
  <c r="N230" i="34"/>
  <c r="H177" i="34"/>
  <c r="F200" i="33" s="1"/>
  <c r="G200" i="33" s="1"/>
  <c r="N177" i="34"/>
  <c r="K165" i="34"/>
  <c r="H188" i="33" s="1"/>
  <c r="I188" i="33" s="1"/>
  <c r="F165" i="34"/>
  <c r="P165" i="34"/>
  <c r="H172" i="34"/>
  <c r="F195" i="33" s="1"/>
  <c r="G195" i="33" s="1"/>
  <c r="N172" i="34"/>
  <c r="H175" i="34"/>
  <c r="F198" i="33" s="1"/>
  <c r="G198" i="33" s="1"/>
  <c r="N175" i="34"/>
  <c r="K168" i="34"/>
  <c r="H191" i="33" s="1"/>
  <c r="I191" i="33" s="1"/>
  <c r="F168" i="34"/>
  <c r="P168" i="34"/>
  <c r="T254" i="34"/>
  <c r="S254" i="34" s="1"/>
  <c r="S252" i="34"/>
  <c r="M151" i="34"/>
  <c r="U151" i="34" s="1"/>
  <c r="V151" i="34" s="1"/>
  <c r="K167" i="34"/>
  <c r="H190" i="33" s="1"/>
  <c r="I190" i="33" s="1"/>
  <c r="F167" i="34"/>
  <c r="P167" i="34"/>
  <c r="P166" i="34"/>
  <c r="K166" i="34"/>
  <c r="H189" i="33" s="1"/>
  <c r="I189" i="33" s="1"/>
  <c r="F166" i="34"/>
  <c r="N174" i="34"/>
  <c r="H174" i="34"/>
  <c r="F197" i="33" s="1"/>
  <c r="G197" i="33" s="1"/>
  <c r="Y88" i="34"/>
  <c r="Y208" i="34"/>
  <c r="V208" i="34"/>
  <c r="H180" i="34"/>
  <c r="F203" i="33" s="1"/>
  <c r="G203" i="33" s="1"/>
  <c r="N180" i="34"/>
  <c r="Y206" i="34"/>
  <c r="V206" i="34"/>
  <c r="W78" i="34"/>
  <c r="N99" i="32" s="1"/>
  <c r="H178" i="34"/>
  <c r="F201" i="33" s="1"/>
  <c r="G201" i="33" s="1"/>
  <c r="N178" i="34"/>
  <c r="N171" i="34"/>
  <c r="H171" i="34"/>
  <c r="F194" i="33" s="1"/>
  <c r="G194" i="33" s="1"/>
  <c r="H170" i="34"/>
  <c r="F193" i="33" s="1"/>
  <c r="G193" i="33" s="1"/>
  <c r="N170" i="34"/>
  <c r="W23" i="34" l="1"/>
  <c r="N24" i="32" s="1"/>
  <c r="P29" i="33"/>
  <c r="Q29" i="33" s="1"/>
  <c r="L43" i="33"/>
  <c r="L30" i="33"/>
  <c r="O30" i="33"/>
  <c r="Q30" i="33" s="1"/>
  <c r="M43" i="33"/>
  <c r="N43" i="33" s="1"/>
  <c r="O43" i="33"/>
  <c r="Q43" i="33" s="1"/>
  <c r="X35" i="1"/>
  <c r="Z35" i="1" s="1"/>
  <c r="AB25" i="21"/>
  <c r="X16" i="1"/>
  <c r="Z16" i="1" s="1"/>
  <c r="L33" i="33"/>
  <c r="O33" i="33"/>
  <c r="Q33" i="33" s="1"/>
  <c r="G242" i="10"/>
  <c r="F242" i="10"/>
  <c r="E244" i="10"/>
  <c r="H242" i="10" s="1"/>
  <c r="F243" i="10"/>
  <c r="G243" i="10"/>
  <c r="Q246" i="32"/>
  <c r="AB246" i="32"/>
  <c r="Z7" i="1"/>
  <c r="Z8" i="1" s="1"/>
  <c r="Y31" i="1"/>
  <c r="Z31" i="1" s="1"/>
  <c r="AB31" i="1" s="1"/>
  <c r="AC31" i="1" s="1"/>
  <c r="T25" i="30"/>
  <c r="U25" i="30" s="1"/>
  <c r="N222" i="33"/>
  <c r="AD246" i="32"/>
  <c r="AF246" i="32"/>
  <c r="X246" i="32"/>
  <c r="W246" i="32"/>
  <c r="U246" i="32"/>
  <c r="AA246" i="32"/>
  <c r="R246" i="32"/>
  <c r="AE246" i="32"/>
  <c r="AC246" i="32"/>
  <c r="Z246" i="32"/>
  <c r="N242" i="32"/>
  <c r="X29" i="21" s="1"/>
  <c r="X39" i="1" s="1"/>
  <c r="N243" i="32"/>
  <c r="R33" i="30" s="1"/>
  <c r="Y41" i="34"/>
  <c r="Y246" i="32"/>
  <c r="V246" i="32"/>
  <c r="N101" i="33"/>
  <c r="K25" i="33"/>
  <c r="Z58" i="33" s="1"/>
  <c r="Z244" i="33" s="1"/>
  <c r="Y127" i="34"/>
  <c r="Y181" i="34"/>
  <c r="W254" i="34"/>
  <c r="V254" i="34" s="1"/>
  <c r="Y8" i="34"/>
  <c r="K155" i="33"/>
  <c r="M155" i="33" s="1"/>
  <c r="N155" i="33" s="1"/>
  <c r="L174" i="33"/>
  <c r="L155" i="33" s="1"/>
  <c r="AH242" i="32"/>
  <c r="P244" i="32"/>
  <c r="G192" i="33"/>
  <c r="G196" i="33"/>
  <c r="AH243" i="32"/>
  <c r="T244" i="32"/>
  <c r="T246" i="32" s="1"/>
  <c r="M73" i="33"/>
  <c r="N73" i="33" s="1"/>
  <c r="R23" i="30"/>
  <c r="Y29" i="1" s="1"/>
  <c r="Z29" i="1" s="1"/>
  <c r="I187" i="33"/>
  <c r="I241" i="33" s="1"/>
  <c r="P216" i="34"/>
  <c r="F226" i="10"/>
  <c r="G226" i="10"/>
  <c r="E227" i="10"/>
  <c r="X24" i="21"/>
  <c r="X34" i="1" s="1"/>
  <c r="G202" i="33"/>
  <c r="N204" i="33"/>
  <c r="M9" i="33"/>
  <c r="M64" i="33"/>
  <c r="W132" i="34"/>
  <c r="N153" i="32" s="1"/>
  <c r="L176" i="34"/>
  <c r="L170" i="34"/>
  <c r="N165" i="34"/>
  <c r="H165" i="34"/>
  <c r="F188" i="33" s="1"/>
  <c r="G188" i="33" s="1"/>
  <c r="L172" i="34"/>
  <c r="M172" i="34" s="1"/>
  <c r="U172" i="34" s="1"/>
  <c r="V172" i="34" s="1"/>
  <c r="S230" i="34"/>
  <c r="T221" i="34"/>
  <c r="T230" i="34" s="1"/>
  <c r="L178" i="34"/>
  <c r="L177" i="34"/>
  <c r="M177" i="34" s="1"/>
  <c r="U177" i="34" s="1"/>
  <c r="V177" i="34" s="1"/>
  <c r="Y23" i="34"/>
  <c r="H166" i="34"/>
  <c r="F189" i="33" s="1"/>
  <c r="G189" i="33" s="1"/>
  <c r="N166" i="34"/>
  <c r="Y78" i="34"/>
  <c r="N168" i="34"/>
  <c r="H168" i="34"/>
  <c r="F191" i="33" s="1"/>
  <c r="G191" i="33" s="1"/>
  <c r="W202" i="34"/>
  <c r="L175" i="34"/>
  <c r="N167" i="34"/>
  <c r="H167" i="34"/>
  <c r="F190" i="33" s="1"/>
  <c r="G190" i="33" s="1"/>
  <c r="L180" i="34"/>
  <c r="L171" i="34"/>
  <c r="L174" i="34"/>
  <c r="N226" i="33" l="1"/>
  <c r="X30" i="21"/>
  <c r="X40" i="1" s="1"/>
  <c r="M25" i="33"/>
  <c r="N25" i="33" s="1"/>
  <c r="O25" i="33"/>
  <c r="Q25" i="33" s="1"/>
  <c r="L25" i="33"/>
  <c r="F244" i="10"/>
  <c r="F248" i="10" s="1"/>
  <c r="G244" i="10"/>
  <c r="G248" i="10" s="1"/>
  <c r="H243" i="10"/>
  <c r="U58" i="33"/>
  <c r="U244" i="33" s="1"/>
  <c r="U246" i="33" s="1"/>
  <c r="V58" i="33"/>
  <c r="V244" i="33" s="1"/>
  <c r="X58" i="33"/>
  <c r="X244" i="33" s="1"/>
  <c r="AA58" i="33"/>
  <c r="AA244" i="33" s="1"/>
  <c r="AG58" i="33"/>
  <c r="AG244" i="33" s="1"/>
  <c r="AD58" i="33"/>
  <c r="AD244" i="33" s="1"/>
  <c r="AC58" i="33"/>
  <c r="AC244" i="33" s="1"/>
  <c r="R58" i="33"/>
  <c r="AF58" i="33"/>
  <c r="AF244" i="33" s="1"/>
  <c r="S58" i="33"/>
  <c r="S244" i="33" s="1"/>
  <c r="S246" i="33" s="1"/>
  <c r="AE58" i="33"/>
  <c r="AE244" i="33" s="1"/>
  <c r="AB58" i="33"/>
  <c r="AB244" i="33" s="1"/>
  <c r="T58" i="33"/>
  <c r="T244" i="33" s="1"/>
  <c r="T246" i="33" s="1"/>
  <c r="Y58" i="33"/>
  <c r="Y244" i="33" s="1"/>
  <c r="W58" i="33"/>
  <c r="W244" i="33" s="1"/>
  <c r="AH58" i="33"/>
  <c r="AH244" i="33" s="1"/>
  <c r="R34" i="30"/>
  <c r="R35" i="30" s="1"/>
  <c r="K58" i="33"/>
  <c r="G227" i="10"/>
  <c r="G228" i="10" s="1"/>
  <c r="F227" i="10"/>
  <c r="F228" i="10" s="1"/>
  <c r="H227" i="10" s="1"/>
  <c r="E228" i="10"/>
  <c r="S28" i="10" s="1"/>
  <c r="S31" i="10" s="1"/>
  <c r="S39" i="10" s="1"/>
  <c r="X31" i="21"/>
  <c r="R178" i="34"/>
  <c r="S178" i="34" s="1"/>
  <c r="J201" i="33"/>
  <c r="K201" i="33" s="1"/>
  <c r="L201" i="33" s="1"/>
  <c r="R175" i="34"/>
  <c r="S175" i="34" s="1"/>
  <c r="J198" i="33"/>
  <c r="K198" i="33" s="1"/>
  <c r="L198" i="33" s="1"/>
  <c r="R22" i="30"/>
  <c r="Y28" i="1" s="1"/>
  <c r="Z28" i="1" s="1"/>
  <c r="G187" i="33"/>
  <c r="R174" i="34"/>
  <c r="S174" i="34" s="1"/>
  <c r="J197" i="33"/>
  <c r="K197" i="33" s="1"/>
  <c r="L197" i="33" s="1"/>
  <c r="R170" i="34"/>
  <c r="S170" i="34" s="1"/>
  <c r="J193" i="33"/>
  <c r="K193" i="33" s="1"/>
  <c r="L193" i="33" s="1"/>
  <c r="R171" i="34"/>
  <c r="S171" i="34" s="1"/>
  <c r="J194" i="33"/>
  <c r="K194" i="33" s="1"/>
  <c r="L194" i="33" s="1"/>
  <c r="R180" i="34"/>
  <c r="S180" i="34" s="1"/>
  <c r="T179" i="34" s="1"/>
  <c r="J203" i="33"/>
  <c r="K203" i="33" s="1"/>
  <c r="R177" i="34"/>
  <c r="S177" i="34" s="1"/>
  <c r="J200" i="33"/>
  <c r="K200" i="33" s="1"/>
  <c r="L200" i="33" s="1"/>
  <c r="R176" i="34"/>
  <c r="S176" i="34" s="1"/>
  <c r="J199" i="33"/>
  <c r="K199" i="33" s="1"/>
  <c r="L199" i="33" s="1"/>
  <c r="N224" i="32"/>
  <c r="N42" i="32"/>
  <c r="N9" i="33"/>
  <c r="M58" i="33"/>
  <c r="M244" i="33" s="1"/>
  <c r="R244" i="33" s="1"/>
  <c r="R246" i="33" s="1"/>
  <c r="R247" i="33" s="1"/>
  <c r="P245" i="32"/>
  <c r="Q245" i="32" s="1"/>
  <c r="R245" i="32" s="1"/>
  <c r="S245" i="32" s="1"/>
  <c r="T245" i="32" s="1"/>
  <c r="U245" i="32" s="1"/>
  <c r="V245" i="32" s="1"/>
  <c r="W245" i="32" s="1"/>
  <c r="X245" i="32" s="1"/>
  <c r="Y245" i="32" s="1"/>
  <c r="Z245" i="32" s="1"/>
  <c r="AA245" i="32" s="1"/>
  <c r="AB245" i="32" s="1"/>
  <c r="AC245" i="32" s="1"/>
  <c r="AD245" i="32" s="1"/>
  <c r="AE245" i="32" s="1"/>
  <c r="AF245" i="32" s="1"/>
  <c r="AH244" i="32"/>
  <c r="P246" i="32"/>
  <c r="P247" i="32" s="1"/>
  <c r="Q247" i="32" s="1"/>
  <c r="R247" i="32" s="1"/>
  <c r="S247" i="32" s="1"/>
  <c r="T247" i="32" s="1"/>
  <c r="U247" i="32" s="1"/>
  <c r="V247" i="32" s="1"/>
  <c r="W247" i="32" s="1"/>
  <c r="X247" i="32" s="1"/>
  <c r="Y247" i="32" s="1"/>
  <c r="Z247" i="32" s="1"/>
  <c r="AA247" i="32" s="1"/>
  <c r="AB247" i="32" s="1"/>
  <c r="AC247" i="32" s="1"/>
  <c r="AD247" i="32" s="1"/>
  <c r="AE247" i="32" s="1"/>
  <c r="AF247" i="32" s="1"/>
  <c r="R172" i="34"/>
  <c r="S172" i="34" s="1"/>
  <c r="J195" i="33"/>
  <c r="K195" i="33" s="1"/>
  <c r="L195" i="33" s="1"/>
  <c r="AL243" i="32"/>
  <c r="AM243" i="32"/>
  <c r="AL242" i="32"/>
  <c r="AM242" i="32"/>
  <c r="N64" i="33"/>
  <c r="N216" i="34"/>
  <c r="L168" i="34"/>
  <c r="M174" i="34"/>
  <c r="U174" i="34" s="1"/>
  <c r="V174" i="34" s="1"/>
  <c r="M178" i="34"/>
  <c r="U178" i="34" s="1"/>
  <c r="V178" i="34" s="1"/>
  <c r="M175" i="34"/>
  <c r="U175" i="34" s="1"/>
  <c r="V175" i="34" s="1"/>
  <c r="S232" i="34"/>
  <c r="M176" i="34"/>
  <c r="U176" i="34" s="1"/>
  <c r="V176" i="34" s="1"/>
  <c r="M180" i="34"/>
  <c r="U180" i="34" s="1"/>
  <c r="V180" i="34" s="1"/>
  <c r="Y132" i="34"/>
  <c r="M171" i="34"/>
  <c r="U171" i="34" s="1"/>
  <c r="V171" i="34" s="1"/>
  <c r="L167" i="34"/>
  <c r="M170" i="34"/>
  <c r="U170" i="34" s="1"/>
  <c r="V170" i="34" s="1"/>
  <c r="L166" i="34"/>
  <c r="L165" i="34"/>
  <c r="F247" i="10" l="1"/>
  <c r="F249" i="10"/>
  <c r="G249" i="10"/>
  <c r="G247" i="10"/>
  <c r="S247" i="33"/>
  <c r="T247" i="33" s="1"/>
  <c r="U247" i="33" s="1"/>
  <c r="W169" i="34"/>
  <c r="N190" i="32" s="1"/>
  <c r="T173" i="34"/>
  <c r="K202" i="33"/>
  <c r="M202" i="33" s="1"/>
  <c r="N202" i="33" s="1"/>
  <c r="L203" i="33"/>
  <c r="L202" i="33" s="1"/>
  <c r="L196" i="33"/>
  <c r="L192" i="33"/>
  <c r="AN242" i="32"/>
  <c r="R165" i="34"/>
  <c r="S165" i="34" s="1"/>
  <c r="J188" i="33"/>
  <c r="K188" i="33" s="1"/>
  <c r="L188" i="33" s="1"/>
  <c r="R166" i="34"/>
  <c r="S166" i="34" s="1"/>
  <c r="J189" i="33"/>
  <c r="K189" i="33" s="1"/>
  <c r="L189" i="33" s="1"/>
  <c r="AN243" i="32"/>
  <c r="M166" i="34"/>
  <c r="U166" i="34" s="1"/>
  <c r="V166" i="34" s="1"/>
  <c r="R168" i="34"/>
  <c r="S168" i="34" s="1"/>
  <c r="J191" i="33"/>
  <c r="K191" i="33" s="1"/>
  <c r="L191" i="33" s="1"/>
  <c r="K192" i="33"/>
  <c r="M192" i="33" s="1"/>
  <c r="AJ244" i="33"/>
  <c r="AN244" i="33" s="1"/>
  <c r="R167" i="34"/>
  <c r="S167" i="34" s="1"/>
  <c r="J190" i="33"/>
  <c r="K190" i="33" s="1"/>
  <c r="L190" i="33" s="1"/>
  <c r="T169" i="34"/>
  <c r="K196" i="33"/>
  <c r="M196" i="33" s="1"/>
  <c r="G241" i="33"/>
  <c r="M167" i="34"/>
  <c r="U167" i="34" s="1"/>
  <c r="V167" i="34" s="1"/>
  <c r="M168" i="34"/>
  <c r="U168" i="34" s="1"/>
  <c r="V168" i="34" s="1"/>
  <c r="Y169" i="34"/>
  <c r="W173" i="34"/>
  <c r="N194" i="32" s="1"/>
  <c r="W179" i="34"/>
  <c r="N200" i="32" s="1"/>
  <c r="M165" i="34"/>
  <c r="U165" i="34" l="1"/>
  <c r="M216" i="34"/>
  <c r="N164" i="10"/>
  <c r="O174" i="10" s="1"/>
  <c r="N196" i="33"/>
  <c r="R216" i="34"/>
  <c r="S216" i="34"/>
  <c r="N192" i="33"/>
  <c r="T164" i="34"/>
  <c r="T216" i="34" s="1"/>
  <c r="T234" i="34" s="1"/>
  <c r="S234" i="34" s="1"/>
  <c r="L187" i="33"/>
  <c r="AO244" i="33"/>
  <c r="AP244" i="33" s="1"/>
  <c r="AN244" i="32"/>
  <c r="K187" i="33"/>
  <c r="Y173" i="34"/>
  <c r="Y179" i="34"/>
  <c r="V165" i="34" l="1"/>
  <c r="U216" i="34"/>
  <c r="M217" i="34" s="1"/>
  <c r="M218" i="34" s="1"/>
  <c r="N165" i="10"/>
  <c r="N166" i="10" s="1"/>
  <c r="N185" i="10" s="1"/>
  <c r="S219" i="34"/>
  <c r="W241" i="33"/>
  <c r="W245" i="33" s="1"/>
  <c r="W246" i="33" s="1"/>
  <c r="AH241" i="33"/>
  <c r="AH245" i="33" s="1"/>
  <c r="AH246" i="33" s="1"/>
  <c r="AG241" i="33"/>
  <c r="AG245" i="33" s="1"/>
  <c r="AG246" i="33" s="1"/>
  <c r="AC241" i="33"/>
  <c r="AC245" i="33" s="1"/>
  <c r="AC246" i="33" s="1"/>
  <c r="AA241" i="33"/>
  <c r="AA245" i="33" s="1"/>
  <c r="AA246" i="33" s="1"/>
  <c r="S241" i="33"/>
  <c r="X241" i="33"/>
  <c r="X245" i="33" s="1"/>
  <c r="X246" i="33" s="1"/>
  <c r="R28" i="30"/>
  <c r="Y34" i="1" s="1"/>
  <c r="Z34" i="1" s="1"/>
  <c r="AB34" i="1" s="1"/>
  <c r="AC34" i="1" s="1"/>
  <c r="AF241" i="33"/>
  <c r="AF245" i="33" s="1"/>
  <c r="AF246" i="33" s="1"/>
  <c r="J241" i="33"/>
  <c r="AD241" i="33"/>
  <c r="AD245" i="33" s="1"/>
  <c r="AD246" i="33" s="1"/>
  <c r="AB241" i="33"/>
  <c r="AB245" i="33" s="1"/>
  <c r="AB246" i="33" s="1"/>
  <c r="Z241" i="33"/>
  <c r="Z245" i="33" s="1"/>
  <c r="Z246" i="33" s="1"/>
  <c r="T241" i="33"/>
  <c r="U241" i="33"/>
  <c r="Y241" i="33"/>
  <c r="Y245" i="33" s="1"/>
  <c r="Y246" i="33" s="1"/>
  <c r="AE241" i="33"/>
  <c r="AE245" i="33" s="1"/>
  <c r="AE246" i="33" s="1"/>
  <c r="V241" i="33"/>
  <c r="M187" i="33"/>
  <c r="V216" i="34" l="1"/>
  <c r="W164" i="34"/>
  <c r="N170" i="10"/>
  <c r="N169" i="10"/>
  <c r="N176" i="10"/>
  <c r="N168" i="10"/>
  <c r="N187" i="33"/>
  <c r="M241" i="33"/>
  <c r="M245" i="33" s="1"/>
  <c r="N185" i="32" l="1"/>
  <c r="Y164" i="34"/>
  <c r="Y216" i="34" s="1"/>
  <c r="W216" i="34"/>
  <c r="V245" i="33"/>
  <c r="M246" i="33"/>
  <c r="M250" i="33" s="1"/>
  <c r="X195" i="34" l="1"/>
  <c r="X185" i="34"/>
  <c r="X187" i="34"/>
  <c r="X41" i="34"/>
  <c r="X127" i="34"/>
  <c r="X125" i="34"/>
  <c r="X8" i="34"/>
  <c r="X181" i="34"/>
  <c r="X88" i="34"/>
  <c r="X96" i="34"/>
  <c r="X213" i="34"/>
  <c r="W219" i="34"/>
  <c r="V219" i="34" s="1"/>
  <c r="X164" i="34"/>
  <c r="X58" i="34"/>
  <c r="X83" i="34"/>
  <c r="AC225" i="34"/>
  <c r="X107" i="34"/>
  <c r="Z216" i="34"/>
  <c r="X202" i="34"/>
  <c r="X19" i="34"/>
  <c r="X179" i="34"/>
  <c r="Z221" i="34"/>
  <c r="X193" i="34"/>
  <c r="X190" i="34"/>
  <c r="X60" i="34"/>
  <c r="X23" i="34"/>
  <c r="AC224" i="34"/>
  <c r="X132" i="34"/>
  <c r="X69" i="34"/>
  <c r="W232" i="34"/>
  <c r="X216" i="34"/>
  <c r="X173" i="34"/>
  <c r="W217" i="34"/>
  <c r="W218" i="34" s="1"/>
  <c r="X78" i="34"/>
  <c r="X169" i="34"/>
  <c r="X198" i="34"/>
  <c r="X50" i="34"/>
  <c r="X115" i="34"/>
  <c r="X102" i="34"/>
  <c r="AD248" i="33"/>
  <c r="R248" i="33"/>
  <c r="R249" i="33" s="1"/>
  <c r="S248" i="33"/>
  <c r="T248" i="33"/>
  <c r="U248" i="33"/>
  <c r="AF248" i="33"/>
  <c r="AB248" i="33"/>
  <c r="W248" i="33"/>
  <c r="X248" i="33"/>
  <c r="AE248" i="33"/>
  <c r="AG248" i="33"/>
  <c r="Y248" i="33"/>
  <c r="AA248" i="33"/>
  <c r="Z248" i="33"/>
  <c r="AC248" i="33"/>
  <c r="AH248" i="33"/>
  <c r="AJ245" i="33"/>
  <c r="V246" i="33"/>
  <c r="W234" i="34" l="1"/>
  <c r="V234" i="34" s="1"/>
  <c r="Z232" i="34"/>
  <c r="Y229" i="34"/>
  <c r="AB216" i="34"/>
  <c r="AC216" i="34" s="1"/>
  <c r="AD216" i="34" s="1"/>
  <c r="AF213" i="34"/>
  <c r="S249" i="33"/>
  <c r="T249" i="33" s="1"/>
  <c r="U249" i="33" s="1"/>
  <c r="AN245" i="33"/>
  <c r="AO245" i="33"/>
  <c r="V248" i="33"/>
  <c r="AJ246" i="33"/>
  <c r="V247" i="33"/>
  <c r="W247" i="33" s="1"/>
  <c r="X247" i="33" s="1"/>
  <c r="Y247" i="33" s="1"/>
  <c r="Z247" i="33" s="1"/>
  <c r="AA247" i="33" s="1"/>
  <c r="AB247" i="33" s="1"/>
  <c r="AC247" i="33" s="1"/>
  <c r="AD247" i="33" s="1"/>
  <c r="AE247" i="33" s="1"/>
  <c r="AF247" i="33" s="1"/>
  <c r="AG247" i="33" s="1"/>
  <c r="AH247" i="33" s="1"/>
  <c r="D10" i="4"/>
  <c r="E10" i="4"/>
  <c r="D11" i="4"/>
  <c r="E11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5" i="4"/>
  <c r="E45" i="4"/>
  <c r="D46" i="4"/>
  <c r="E46" i="4"/>
  <c r="AH219" i="34" l="1"/>
  <c r="AH220" i="34"/>
  <c r="AP245" i="33"/>
  <c r="AP246" i="33" s="1"/>
  <c r="E47" i="4"/>
  <c r="V249" i="33"/>
  <c r="W249" i="33" s="1"/>
  <c r="X249" i="33" s="1"/>
  <c r="Y249" i="33" s="1"/>
  <c r="Z249" i="33" s="1"/>
  <c r="AA249" i="33" s="1"/>
  <c r="AB249" i="33" s="1"/>
  <c r="AC249" i="33" s="1"/>
  <c r="AD249" i="33" s="1"/>
  <c r="AE249" i="33" s="1"/>
  <c r="AF249" i="33" s="1"/>
  <c r="AG249" i="33" s="1"/>
  <c r="AH249" i="33" s="1"/>
  <c r="E12" i="4"/>
  <c r="D12" i="4"/>
  <c r="D47" i="4"/>
  <c r="D42" i="4"/>
  <c r="E42" i="4"/>
  <c r="E49" i="4" l="1"/>
  <c r="E51" i="4" s="1"/>
  <c r="D49" i="4"/>
  <c r="D51" i="4" s="1"/>
  <c r="D52" i="4" s="1"/>
  <c r="P9" i="30"/>
  <c r="X1" i="30"/>
  <c r="P10" i="30" l="1"/>
  <c r="P7" i="30"/>
  <c r="E52" i="4"/>
  <c r="F41" i="1"/>
  <c r="AB26" i="1" l="1"/>
  <c r="AC26" i="1" s="1"/>
  <c r="AB35" i="1"/>
  <c r="AC35" i="1" s="1"/>
  <c r="AB24" i="1"/>
  <c r="AC24" i="1" s="1"/>
  <c r="AB27" i="1"/>
  <c r="AC27" i="1" s="1"/>
  <c r="AB32" i="1"/>
  <c r="AC32" i="1" s="1"/>
  <c r="AB28" i="1"/>
  <c r="AC28" i="1" s="1"/>
  <c r="AB33" i="1"/>
  <c r="AC33" i="1" s="1"/>
  <c r="AB25" i="1"/>
  <c r="AC25" i="1" s="1"/>
  <c r="T20" i="30"/>
  <c r="U20" i="30" s="1"/>
  <c r="P8" i="30"/>
  <c r="T8" i="30" s="1"/>
  <c r="E38" i="30"/>
  <c r="F38" i="30" s="1"/>
  <c r="G38" i="30" s="1"/>
  <c r="H38" i="30" s="1"/>
  <c r="I38" i="30" s="1"/>
  <c r="J38" i="30" s="1"/>
  <c r="K38" i="30" s="1"/>
  <c r="L38" i="30" s="1"/>
  <c r="M38" i="30" s="1"/>
  <c r="N38" i="30" s="1"/>
  <c r="T7" i="30"/>
  <c r="AB29" i="1"/>
  <c r="AC29" i="1" s="1"/>
  <c r="U7" i="30" l="1"/>
  <c r="U8" i="30"/>
  <c r="E13" i="21"/>
  <c r="V13" i="21" s="1" a="1"/>
  <c r="V13" i="21" s="1"/>
  <c r="E14" i="21"/>
  <c r="V14" i="21" s="1" a="1"/>
  <c r="V14" i="21" s="1"/>
  <c r="E15" i="21"/>
  <c r="V15" i="21" s="1" a="1"/>
  <c r="V15" i="21" s="1"/>
  <c r="E18" i="21"/>
  <c r="V18" i="21" s="1" a="1"/>
  <c r="V18" i="21" s="1"/>
  <c r="E20" i="21"/>
  <c r="V20" i="21" s="1" a="1"/>
  <c r="V20" i="21" s="1"/>
  <c r="E21" i="21"/>
  <c r="E22" i="21"/>
  <c r="V22" i="21" s="1" a="1"/>
  <c r="V22" i="21" s="1"/>
  <c r="D9" i="21"/>
  <c r="D9" i="1" s="1"/>
  <c r="D34" i="5"/>
  <c r="E29" i="21" s="1"/>
  <c r="D39" i="5"/>
  <c r="E30" i="21" s="1"/>
  <c r="V9" i="21" l="1"/>
  <c r="D10" i="21"/>
  <c r="E41" i="1"/>
  <c r="V9" i="1"/>
  <c r="V10" i="21" l="1"/>
  <c r="K10" i="1"/>
  <c r="V10" i="1"/>
  <c r="D10" i="1"/>
  <c r="V7" i="21"/>
  <c r="K8" i="1" l="1"/>
  <c r="V8" i="21"/>
  <c r="Z7" i="21"/>
  <c r="AD1" i="21"/>
  <c r="D23" i="21"/>
  <c r="D22" i="21"/>
  <c r="D21" i="21"/>
  <c r="D20" i="21"/>
  <c r="D19" i="21"/>
  <c r="D18" i="21"/>
  <c r="D16" i="21"/>
  <c r="D15" i="21"/>
  <c r="D14" i="21"/>
  <c r="D13" i="21"/>
  <c r="C18" i="5"/>
  <c r="C34" i="5"/>
  <c r="D29" i="21" s="1"/>
  <c r="C39" i="5"/>
  <c r="D30" i="21" s="1"/>
  <c r="AB22" i="21" l="1"/>
  <c r="AB20" i="21"/>
  <c r="AB15" i="21"/>
  <c r="AB13" i="21"/>
  <c r="AB18" i="21"/>
  <c r="AB14" i="21"/>
  <c r="D8" i="1"/>
  <c r="V7" i="1"/>
  <c r="V8" i="1" s="1"/>
  <c r="K41" i="1"/>
  <c r="Z18" i="21"/>
  <c r="AA18" i="21" s="1"/>
  <c r="Z8" i="21"/>
  <c r="AA8" i="21" s="1"/>
  <c r="AA7" i="21"/>
  <c r="E31" i="21"/>
  <c r="D26" i="21"/>
  <c r="AB22" i="1" l="1"/>
  <c r="AC22" i="1" s="1"/>
  <c r="AB14" i="1"/>
  <c r="AC14" i="1" s="1"/>
  <c r="AB20" i="1"/>
  <c r="AC20" i="1" s="1"/>
  <c r="AB18" i="1"/>
  <c r="AC18" i="1" s="1"/>
  <c r="AB13" i="1"/>
  <c r="AC13" i="1" s="1"/>
  <c r="AD8" i="1"/>
  <c r="AB15" i="1"/>
  <c r="AC15" i="1" s="1"/>
  <c r="D36" i="1"/>
  <c r="D41" i="1"/>
  <c r="D31" i="21"/>
  <c r="D33" i="21" s="1"/>
  <c r="AB7" i="1" l="1"/>
  <c r="AB8" i="1" s="1"/>
  <c r="AD7" i="1"/>
  <c r="D34" i="21"/>
  <c r="D43" i="1"/>
  <c r="D45" i="1" s="1"/>
  <c r="D48" i="1" s="1"/>
  <c r="D49" i="1" s="1"/>
  <c r="AC8" i="1" l="1"/>
  <c r="AC7" i="1"/>
  <c r="T28" i="30"/>
  <c r="U28" i="30" s="1"/>
  <c r="Z30" i="21"/>
  <c r="AA30" i="21" s="1"/>
  <c r="Z29" i="21"/>
  <c r="Z13" i="21"/>
  <c r="Z15" i="21"/>
  <c r="AA15" i="21" s="1"/>
  <c r="Z25" i="21"/>
  <c r="AA25" i="21" s="1"/>
  <c r="Z22" i="21"/>
  <c r="AA22" i="21" s="1"/>
  <c r="Z20" i="21"/>
  <c r="AA20" i="21" s="1"/>
  <c r="Z24" i="21"/>
  <c r="AA24" i="21" s="1"/>
  <c r="Z14" i="21"/>
  <c r="AA14" i="21" s="1"/>
  <c r="T17" i="30"/>
  <c r="U17" i="30" s="1"/>
  <c r="T21" i="30"/>
  <c r="U21" i="30" s="1"/>
  <c r="T27" i="30"/>
  <c r="U27" i="30" s="1"/>
  <c r="T15" i="30"/>
  <c r="U15" i="30" s="1"/>
  <c r="T22" i="30"/>
  <c r="U22" i="30" s="1"/>
  <c r="T16" i="30"/>
  <c r="U16" i="30" s="1"/>
  <c r="T19" i="30"/>
  <c r="U19" i="30" s="1"/>
  <c r="T29" i="30"/>
  <c r="U29" i="30" s="1"/>
  <c r="T13" i="30"/>
  <c r="U13" i="30" s="1"/>
  <c r="T33" i="30"/>
  <c r="U33" i="30" s="1"/>
  <c r="T18" i="30"/>
  <c r="U18" i="30" s="1"/>
  <c r="T26" i="30"/>
  <c r="U26" i="30" s="1"/>
  <c r="T23" i="30"/>
  <c r="U23" i="30" s="1"/>
  <c r="T14" i="30"/>
  <c r="U14" i="30" s="1"/>
  <c r="T34" i="30"/>
  <c r="U34" i="30" s="1"/>
  <c r="Y40" i="1" l="1"/>
  <c r="Z40" i="1" s="1"/>
  <c r="Y39" i="1"/>
  <c r="Z39" i="1" s="1"/>
  <c r="AA13" i="21"/>
  <c r="AA29" i="21"/>
  <c r="P35" i="30"/>
  <c r="T35" i="30" s="1"/>
  <c r="U35" i="30" s="1"/>
  <c r="AC10" i="1"/>
  <c r="V31" i="21"/>
  <c r="Z31" i="21" s="1"/>
  <c r="AA31" i="21" s="1"/>
  <c r="Y36" i="1"/>
  <c r="D46" i="1"/>
  <c r="P30" i="30"/>
  <c r="P37" i="30" l="1"/>
  <c r="Y41" i="1"/>
  <c r="Y43" i="1" s="1"/>
  <c r="AD40" i="1"/>
  <c r="AB40" i="1"/>
  <c r="AC40" i="1" s="1"/>
  <c r="AD39" i="1"/>
  <c r="AB39" i="1"/>
  <c r="X41" i="1"/>
  <c r="AB41" i="1" l="1"/>
  <c r="AD41" i="1"/>
  <c r="AC39" i="1"/>
  <c r="Z41" i="1"/>
  <c r="H16" i="10"/>
  <c r="AC41" i="1" l="1"/>
  <c r="G21" i="4"/>
  <c r="G10" i="4" l="1"/>
  <c r="E71" i="10" l="1"/>
  <c r="F7" i="10"/>
  <c r="G7" i="10" s="1"/>
  <c r="E78" i="10" l="1"/>
  <c r="F78" i="10" s="1"/>
  <c r="G11" i="4"/>
  <c r="G12" i="4" s="1"/>
  <c r="U10" i="30" l="1"/>
  <c r="E8" i="10" l="1"/>
  <c r="E69" i="10"/>
  <c r="E72" i="10" s="1"/>
  <c r="G17" i="10" l="1"/>
  <c r="H17" i="10" s="1"/>
  <c r="H19" i="10"/>
  <c r="K26" i="2" l="1"/>
  <c r="G41" i="4" l="1"/>
  <c r="L26" i="2"/>
  <c r="M26" i="2" s="1"/>
  <c r="G30" i="4" l="1"/>
  <c r="G33" i="4"/>
  <c r="G25" i="4"/>
  <c r="G34" i="4"/>
  <c r="G27" i="4"/>
  <c r="G32" i="4"/>
  <c r="G38" i="4"/>
  <c r="G31" i="4"/>
  <c r="G35" i="4"/>
  <c r="G36" i="4"/>
  <c r="E13" i="3" l="1"/>
  <c r="H11" i="10"/>
  <c r="F13" i="3" l="1"/>
  <c r="G23" i="4"/>
  <c r="E65" i="10"/>
  <c r="F70" i="10" s="1"/>
  <c r="E77" i="10"/>
  <c r="E82" i="10" s="1"/>
  <c r="U23" i="2"/>
  <c r="U22" i="2"/>
  <c r="U24" i="2"/>
  <c r="U25" i="2"/>
  <c r="L25" i="2"/>
  <c r="M25" i="2" s="1"/>
  <c r="F13" i="5" s="1"/>
  <c r="G21" i="1" s="1"/>
  <c r="L24" i="2"/>
  <c r="M24" i="2" s="1"/>
  <c r="L22" i="2"/>
  <c r="D11" i="5" s="1"/>
  <c r="E19" i="1" s="1"/>
  <c r="V19" i="1" s="1" a="1"/>
  <c r="V19" i="1" s="1"/>
  <c r="L23" i="2"/>
  <c r="AD19" i="1" l="1"/>
  <c r="E13" i="5"/>
  <c r="F21" i="1" s="1"/>
  <c r="V21" i="1" s="1" a="1"/>
  <c r="V21" i="1" s="1"/>
  <c r="E9" i="5"/>
  <c r="F16" i="1" s="1"/>
  <c r="V16" i="1" s="1" a="1"/>
  <c r="V16" i="1" s="1"/>
  <c r="E19" i="21"/>
  <c r="V19" i="21" s="1" a="1"/>
  <c r="V19" i="21" s="1"/>
  <c r="G21" i="21"/>
  <c r="F18" i="5"/>
  <c r="E16" i="21"/>
  <c r="M23" i="2"/>
  <c r="M22" i="2"/>
  <c r="G45" i="4"/>
  <c r="G16" i="4"/>
  <c r="G37" i="4"/>
  <c r="G19" i="4"/>
  <c r="G28" i="4"/>
  <c r="G40" i="4"/>
  <c r="G39" i="4"/>
  <c r="G18" i="4"/>
  <c r="G65" i="10"/>
  <c r="L54" i="2"/>
  <c r="AD16" i="1" l="1"/>
  <c r="AD21" i="1"/>
  <c r="AB19" i="21"/>
  <c r="M57" i="2"/>
  <c r="M59" i="2" s="1"/>
  <c r="M54" i="2"/>
  <c r="Z19" i="21"/>
  <c r="AA19" i="21" s="1"/>
  <c r="G36" i="1"/>
  <c r="G43" i="1" s="1"/>
  <c r="G45" i="1" s="1"/>
  <c r="G48" i="1" s="1"/>
  <c r="G26" i="21"/>
  <c r="G33" i="21" s="1"/>
  <c r="F21" i="21"/>
  <c r="V21" i="21" s="1" a="1"/>
  <c r="V21" i="21" s="1"/>
  <c r="F16" i="21"/>
  <c r="V16" i="21" s="1" a="1"/>
  <c r="V16" i="21" s="1"/>
  <c r="E18" i="5"/>
  <c r="D18" i="5"/>
  <c r="E23" i="21"/>
  <c r="V23" i="21" s="1" a="1"/>
  <c r="V23" i="21" s="1"/>
  <c r="G20" i="4"/>
  <c r="G22" i="4"/>
  <c r="G17" i="4"/>
  <c r="G46" i="4"/>
  <c r="G47" i="4" s="1"/>
  <c r="AD36" i="1" l="1"/>
  <c r="AB23" i="21"/>
  <c r="AB21" i="21"/>
  <c r="AB16" i="21"/>
  <c r="AB19" i="1"/>
  <c r="AC19" i="1" s="1"/>
  <c r="Z21" i="21"/>
  <c r="AA21" i="21" s="1"/>
  <c r="F26" i="21"/>
  <c r="F33" i="21" s="1"/>
  <c r="E26" i="21"/>
  <c r="E33" i="21" s="1"/>
  <c r="G24" i="4"/>
  <c r="G26" i="4"/>
  <c r="AB26" i="21" l="1"/>
  <c r="AB23" i="1"/>
  <c r="AC23" i="1" s="1"/>
  <c r="K36" i="1"/>
  <c r="K43" i="1" s="1"/>
  <c r="K45" i="1" s="1"/>
  <c r="K48" i="1" s="1"/>
  <c r="AB16" i="1"/>
  <c r="AC16" i="1" s="1"/>
  <c r="Z16" i="21"/>
  <c r="Z23" i="21"/>
  <c r="AA23" i="21" s="1"/>
  <c r="E34" i="21"/>
  <c r="F34" i="21" s="1"/>
  <c r="G34" i="21" s="1"/>
  <c r="H34" i="21" s="1"/>
  <c r="I34" i="21" s="1"/>
  <c r="J34" i="21" s="1"/>
  <c r="K34" i="21" s="1"/>
  <c r="L34" i="21" s="1"/>
  <c r="M34" i="21" s="1"/>
  <c r="N34" i="21" s="1"/>
  <c r="O34" i="21" s="1"/>
  <c r="P34" i="21" s="1"/>
  <c r="Q34" i="21" s="1"/>
  <c r="R34" i="21" s="1"/>
  <c r="S34" i="21" s="1"/>
  <c r="T34" i="21" s="1"/>
  <c r="F36" i="1"/>
  <c r="F43" i="1" s="1"/>
  <c r="F45" i="1" s="1"/>
  <c r="F48" i="1" s="1"/>
  <c r="E36" i="1"/>
  <c r="E43" i="1" s="1"/>
  <c r="G29" i="4"/>
  <c r="G42" i="4" s="1"/>
  <c r="F4" i="10"/>
  <c r="F77" i="10"/>
  <c r="F5" i="10"/>
  <c r="AA16" i="21" l="1"/>
  <c r="AB21" i="1"/>
  <c r="AC21" i="1" s="1"/>
  <c r="E45" i="1"/>
  <c r="G4" i="10"/>
  <c r="F8" i="10"/>
  <c r="G49" i="4"/>
  <c r="G51" i="4" s="1"/>
  <c r="G52" i="4" s="1"/>
  <c r="F82" i="10"/>
  <c r="G5" i="10"/>
  <c r="E46" i="1" l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E48" i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V36" i="1"/>
  <c r="V43" i="1" s="1"/>
  <c r="V45" i="1" s="1"/>
  <c r="AB36" i="1"/>
  <c r="G8" i="10"/>
  <c r="AA10" i="21" l="1"/>
  <c r="V26" i="21" l="1"/>
  <c r="V33" i="21" l="1"/>
  <c r="R30" i="30"/>
  <c r="R37" i="30" l="1"/>
  <c r="T30" i="30"/>
  <c r="U30" i="30" s="1"/>
  <c r="X26" i="21"/>
  <c r="Z26" i="21" s="1"/>
  <c r="X27" i="21" l="1"/>
  <c r="X33" i="21"/>
  <c r="AA26" i="21"/>
  <c r="X36" i="1"/>
  <c r="X43" i="1" s="1"/>
  <c r="Z36" i="1" l="1"/>
  <c r="AC36" i="1" l="1"/>
  <c r="Z43" i="1"/>
  <c r="S66" i="10" l="1"/>
  <c r="S83" i="10" l="1"/>
  <c r="H65" i="10"/>
  <c r="F65" i="10"/>
  <c r="N65" i="10" l="1"/>
  <c r="N68" i="10" s="1"/>
  <c r="S172" i="10"/>
  <c r="F8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tc={55DADAF3-A165-40EE-A4C3-16AB9160DA41}</author>
    <author>Rebeca</author>
  </authors>
  <commentList>
    <comment ref="G45" authorId="0" shapeId="0" xr:uid="{55DADAF3-A165-40EE-A4C3-16AB9160DA4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Estimo a la mitad de la pared a realizar de nuevo</t>
      </text>
    </comment>
    <comment ref="C181" authorId="1" shapeId="0" xr:uid="{523EBD98-4149-4FD7-A5B5-EFB1B8E8CD6D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Consultar si corresponden los números registrados al final de hoja (item calefacción) - Para el costo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Rebeca</author>
  </authors>
  <commentList>
    <comment ref="B17" authorId="0" shapeId="0" xr:uid="{06C4F5DC-7F1D-4126-A5EA-4789E95EF6F8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Amortización Herramientas</t>
        </r>
      </text>
    </comment>
    <comment ref="B33" authorId="0" shapeId="0" xr:uid="{8D542CC9-B2E1-4EDB-A609-954BABCF1FCA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Amortización Rodados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tc={8378F999-4DEB-4CE6-8446-E8AE18C28C02}</author>
  </authors>
  <commentList>
    <comment ref="H45" authorId="0" shapeId="0" xr:uid="{8378F999-4DEB-4CE6-8446-E8AE18C28C0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Estimo a la mitad de la pared a realizar de nuevo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<sst xmlns="http://schemas.openxmlformats.org/spreadsheetml/2006/main" count="4856" uniqueCount="1058">
  <si>
    <t>Facturacion</t>
  </si>
  <si>
    <t>Fecha de Inicio :</t>
  </si>
  <si>
    <t>Duracion de Obra:</t>
  </si>
  <si>
    <t>Presupuesto Aprobado :</t>
  </si>
  <si>
    <t>Fecha de Aprobacion:</t>
  </si>
  <si>
    <t>Orden de Compra CL :</t>
  </si>
  <si>
    <t>Nota de Pedido ARQ:</t>
  </si>
  <si>
    <t>Anticipo :</t>
  </si>
  <si>
    <t>Condiciones de Pago:</t>
  </si>
  <si>
    <t>Certifiaciones :</t>
  </si>
  <si>
    <t>Forma de Pago:</t>
  </si>
  <si>
    <t>Actualización CAC:</t>
  </si>
  <si>
    <t>Seguros :</t>
  </si>
  <si>
    <t>Caucion Anticipo</t>
  </si>
  <si>
    <t>Caucion Ejecucion</t>
  </si>
  <si>
    <t>Resp. Civil</t>
  </si>
  <si>
    <t>Programa S&amp;H :</t>
  </si>
  <si>
    <t>Aviso de Obra :</t>
  </si>
  <si>
    <t>Descripcion de Tareas</t>
  </si>
  <si>
    <t>Contactos del cliente:</t>
  </si>
  <si>
    <t>Nombre</t>
  </si>
  <si>
    <t>TEL</t>
  </si>
  <si>
    <t>Rubro</t>
  </si>
  <si>
    <t>Mail de contacto</t>
  </si>
  <si>
    <t>Subcontratistas</t>
  </si>
  <si>
    <t>Inicio</t>
  </si>
  <si>
    <t>Presupuesto Aprobado</t>
  </si>
  <si>
    <t>Cerrado / Estimado</t>
  </si>
  <si>
    <t>Cuadrilla de Obra</t>
  </si>
  <si>
    <t>Categoría</t>
  </si>
  <si>
    <t>Observación</t>
  </si>
  <si>
    <t>Observaciones Particulares</t>
  </si>
  <si>
    <t>RESUMEN DE OBRA</t>
  </si>
  <si>
    <t>Ingresos de Obra</t>
  </si>
  <si>
    <t>Actualización por CAC</t>
  </si>
  <si>
    <t>Total Ingresos de Obra</t>
  </si>
  <si>
    <t>Costos de Obra</t>
  </si>
  <si>
    <t xml:space="preserve">    </t>
  </si>
  <si>
    <t>MAT</t>
  </si>
  <si>
    <t>MO</t>
  </si>
  <si>
    <t>Total Egresos de Obra</t>
  </si>
  <si>
    <t>Gastos Directos</t>
  </si>
  <si>
    <t>Gastos Indirectos</t>
  </si>
  <si>
    <t>Total Gastos Generales</t>
  </si>
  <si>
    <t>Total Egresos</t>
  </si>
  <si>
    <t>Resultado Operativo</t>
  </si>
  <si>
    <t>Resultado Acumulado</t>
  </si>
  <si>
    <t>Obra: Mansilla 2920</t>
  </si>
  <si>
    <t>O.C.</t>
  </si>
  <si>
    <t>Descripcion</t>
  </si>
  <si>
    <t>Importe</t>
  </si>
  <si>
    <t>IVA</t>
  </si>
  <si>
    <t>Total</t>
  </si>
  <si>
    <t>Totales</t>
  </si>
  <si>
    <t>Según Banco</t>
  </si>
  <si>
    <t>Según financiero</t>
  </si>
  <si>
    <t>Fecha</t>
  </si>
  <si>
    <t>Factura</t>
  </si>
  <si>
    <t>CAC</t>
  </si>
  <si>
    <t>Por Cobrar</t>
  </si>
  <si>
    <t>Total Presupuestado</t>
  </si>
  <si>
    <t>Total Facturado</t>
  </si>
  <si>
    <t>Pendiente de Facturar</t>
  </si>
  <si>
    <t>Facturación Según O. C. Aprobadas</t>
  </si>
  <si>
    <t>Facturado</t>
  </si>
  <si>
    <t>Pendiente</t>
  </si>
  <si>
    <t>ARQUINERING S.R.L.</t>
  </si>
  <si>
    <t>Cash Flow</t>
  </si>
  <si>
    <t>Ingresos</t>
  </si>
  <si>
    <t>Total Ingresos Netos</t>
  </si>
  <si>
    <t>Egresos</t>
  </si>
  <si>
    <t>Egresos de Obra</t>
  </si>
  <si>
    <t>Gastos Generales</t>
  </si>
  <si>
    <t>Saldo de Caja</t>
  </si>
  <si>
    <t>Saldo de Caja Acumulado</t>
  </si>
  <si>
    <t>OK</t>
  </si>
  <si>
    <t>Listo</t>
  </si>
  <si>
    <t>DÓLAR BNA</t>
  </si>
  <si>
    <t>DÓLAR MEP</t>
  </si>
  <si>
    <t>IN</t>
  </si>
  <si>
    <t xml:space="preserve">Estimado </t>
  </si>
  <si>
    <t>C</t>
  </si>
  <si>
    <t>Chekear (Inventado)</t>
  </si>
  <si>
    <t>R</t>
  </si>
  <si>
    <t>Sin hacer/revisar</t>
  </si>
  <si>
    <t>MATERIAL</t>
  </si>
  <si>
    <t>M. DE OBRA</t>
  </si>
  <si>
    <t>PRESUPUESTO OBRA CIVIL</t>
  </si>
  <si>
    <t xml:space="preserve"> </t>
  </si>
  <si>
    <t>E</t>
  </si>
  <si>
    <t>Descripción</t>
  </si>
  <si>
    <t>U</t>
  </si>
  <si>
    <t>Cant</t>
  </si>
  <si>
    <t>Otro</t>
  </si>
  <si>
    <t>Corralón</t>
  </si>
  <si>
    <t>Albañil</t>
  </si>
  <si>
    <t>EQUIPOS</t>
  </si>
  <si>
    <t>P.Unit</t>
  </si>
  <si>
    <t>Subtotal</t>
  </si>
  <si>
    <t xml:space="preserve">P unit </t>
  </si>
  <si>
    <t>Supervisión de Obra</t>
  </si>
  <si>
    <t>mes</t>
  </si>
  <si>
    <t>Movilidad y viaticos</t>
  </si>
  <si>
    <t>Gastos Generales Obra</t>
  </si>
  <si>
    <t>un</t>
  </si>
  <si>
    <t>TAREAS PRELIMINARES</t>
  </si>
  <si>
    <t>Preliminares</t>
  </si>
  <si>
    <t>gl</t>
  </si>
  <si>
    <t>m3</t>
  </si>
  <si>
    <t>m2</t>
  </si>
  <si>
    <t>Hormigón</t>
  </si>
  <si>
    <t>u</t>
  </si>
  <si>
    <t>Sistema de apuntalamiento y reapuntalamiento</t>
  </si>
  <si>
    <t>Albañilería</t>
  </si>
  <si>
    <t xml:space="preserve">Limpieza periodica </t>
  </si>
  <si>
    <t>Fletes</t>
  </si>
  <si>
    <t>Volquetes</t>
  </si>
  <si>
    <t>SUB TOTAL OBRA GRIS</t>
  </si>
  <si>
    <t>VALOR x m2 (sin IVA)</t>
  </si>
  <si>
    <t>usd/m2</t>
  </si>
  <si>
    <t>CONTRAPISOS Y CARPETAS</t>
  </si>
  <si>
    <t>AISLACIONES</t>
  </si>
  <si>
    <t>REVOQUES</t>
  </si>
  <si>
    <t>Revoque Grueso Impermeable Interior b/ revestimiento</t>
  </si>
  <si>
    <t>ml</t>
  </si>
  <si>
    <t>ALBAÑILERIA</t>
  </si>
  <si>
    <t>CIELORRASOS</t>
  </si>
  <si>
    <t>Durlock</t>
  </si>
  <si>
    <t>Revestimiento</t>
  </si>
  <si>
    <t>INSTALACION ELECTRICA</t>
  </si>
  <si>
    <t>Eléctrico</t>
  </si>
  <si>
    <t>Sanitaria</t>
  </si>
  <si>
    <t>Termomecánica</t>
  </si>
  <si>
    <t>PINTURA</t>
  </si>
  <si>
    <t>Pintura</t>
  </si>
  <si>
    <t>Sereno</t>
  </si>
  <si>
    <t>Artefactos Sanitarios</t>
  </si>
  <si>
    <t>MANO DE OBRA</t>
  </si>
  <si>
    <t>T</t>
  </si>
  <si>
    <t>Trabajado</t>
  </si>
  <si>
    <t>Costo Real</t>
  </si>
  <si>
    <t>P</t>
  </si>
  <si>
    <t>Presupuesto</t>
  </si>
  <si>
    <t>Días x Quincena</t>
  </si>
  <si>
    <t>Capataz</t>
  </si>
  <si>
    <t>Oficial</t>
  </si>
  <si>
    <t>1/2 Oficial</t>
  </si>
  <si>
    <t>Ayudante</t>
  </si>
  <si>
    <t>Personal por día</t>
  </si>
  <si>
    <t>CPZ</t>
  </si>
  <si>
    <t>OF</t>
  </si>
  <si>
    <t>1/2 Of</t>
  </si>
  <si>
    <t>Ayu</t>
  </si>
  <si>
    <t>Días</t>
  </si>
  <si>
    <t>Tot</t>
  </si>
  <si>
    <t>Total T</t>
  </si>
  <si>
    <t>Total P</t>
  </si>
  <si>
    <t>CONTRATISTAS</t>
  </si>
  <si>
    <t>Observacion</t>
  </si>
  <si>
    <t>Pagos</t>
  </si>
  <si>
    <t>Cuenta</t>
  </si>
  <si>
    <t>Excavación y Mov. de Suelos</t>
  </si>
  <si>
    <t>HormigónMAT</t>
  </si>
  <si>
    <t>HormigónMO</t>
  </si>
  <si>
    <t>AlbañileríaMAT</t>
  </si>
  <si>
    <t>AlbañileríaMO</t>
  </si>
  <si>
    <t>DurlockMAT</t>
  </si>
  <si>
    <t>DurlockMO</t>
  </si>
  <si>
    <t>Aberturas</t>
  </si>
  <si>
    <t>PinturaMAT</t>
  </si>
  <si>
    <t>PinturaMO</t>
  </si>
  <si>
    <t>EléctricoMAT</t>
  </si>
  <si>
    <t>EléctricoMO</t>
  </si>
  <si>
    <t>SanitariaMAT</t>
  </si>
  <si>
    <t>SanitariaMO</t>
  </si>
  <si>
    <t>TermomecánicaMAT</t>
  </si>
  <si>
    <t>TermomecánicaMO</t>
  </si>
  <si>
    <t>Equipos</t>
  </si>
  <si>
    <t>Consumibles y Ferretería</t>
  </si>
  <si>
    <t>Oficina en obra (6x3 c/AA)</t>
  </si>
  <si>
    <t>Obrador 6x3 s/AA</t>
  </si>
  <si>
    <t>Pañol (6x3)</t>
  </si>
  <si>
    <t>Baños</t>
  </si>
  <si>
    <t>HyS permanente</t>
  </si>
  <si>
    <t>Energía de obra</t>
  </si>
  <si>
    <t>Agua de obra</t>
  </si>
  <si>
    <t>Proyecto (50%)</t>
  </si>
  <si>
    <t>Coordinacion de obra</t>
  </si>
  <si>
    <t>Sobrestante</t>
  </si>
  <si>
    <t>Logistica</t>
  </si>
  <si>
    <t>Vehiculo obra</t>
  </si>
  <si>
    <t xml:space="preserve">Payroll - Socios </t>
  </si>
  <si>
    <t>Payroll - Administración</t>
  </si>
  <si>
    <t>OBRA</t>
  </si>
  <si>
    <t>Act</t>
  </si>
  <si>
    <t>Materiales</t>
  </si>
  <si>
    <t>MOVIMIENTO DE TIERRA, COMPACTACION Y RELLENO</t>
  </si>
  <si>
    <t>ESTRUCTURA RESISTENTE</t>
  </si>
  <si>
    <t xml:space="preserve">Ensayos de Hormigon por etapas de hormigonado </t>
  </si>
  <si>
    <t>Barrera de vapor</t>
  </si>
  <si>
    <t>CUBIERTAS</t>
  </si>
  <si>
    <t>Babeta de chapa galvanizada en medianeras</t>
  </si>
  <si>
    <t>Revoque Grueso Interior + fino</t>
  </si>
  <si>
    <t>Yeso interior</t>
  </si>
  <si>
    <t xml:space="preserve">Contrapiso - Carpeta monolitico e: 7 cm </t>
  </si>
  <si>
    <t>ESCALERAS</t>
  </si>
  <si>
    <t>VENTILACIONES</t>
  </si>
  <si>
    <t>PISOS - PROVISION A CARGO DEL COMITENTE</t>
  </si>
  <si>
    <t xml:space="preserve">Cielorraso junta tomada placa STD </t>
  </si>
  <si>
    <t>Buña perimetral / Cantoneras</t>
  </si>
  <si>
    <t>INSTALACION SANITARIA, GRIFERIA Y SANITARIOS</t>
  </si>
  <si>
    <t>TRABAJOS COMPLEMENTARIOS</t>
  </si>
  <si>
    <t>AYUDA DE GREMIOS</t>
  </si>
  <si>
    <t>Higiene y seguridad Res 51</t>
  </si>
  <si>
    <t>Protecciones y defensas</t>
  </si>
  <si>
    <t>JEFATURA DE OBRA</t>
  </si>
  <si>
    <t>Agrimensura</t>
  </si>
  <si>
    <t>Gastos en Personal</t>
  </si>
  <si>
    <t>Movilidad</t>
  </si>
  <si>
    <t>Instalación Incendio</t>
  </si>
  <si>
    <t>VitroBlock</t>
  </si>
  <si>
    <t>Seguridad e Higiene</t>
  </si>
  <si>
    <t>Retenciones</t>
  </si>
  <si>
    <t>Total Sin Facturar</t>
  </si>
  <si>
    <t>Movimiento de Suelos</t>
  </si>
  <si>
    <t>Ingresos por Certificados</t>
  </si>
  <si>
    <t>Actualizado</t>
  </si>
  <si>
    <t>Escala de tiempo</t>
  </si>
  <si>
    <t>Valores</t>
  </si>
  <si>
    <t>Indice</t>
  </si>
  <si>
    <t>Pto 1</t>
  </si>
  <si>
    <t>Pto 2</t>
  </si>
  <si>
    <t>Ingresos por certificados</t>
  </si>
  <si>
    <t>Previsto Etapa Hormigón</t>
  </si>
  <si>
    <t xml:space="preserve">Cliente / Comitente: </t>
  </si>
  <si>
    <t xml:space="preserve">Dirección / Jefe de la Obra: </t>
  </si>
  <si>
    <t>18 meses</t>
  </si>
  <si>
    <t>OBRA: Edificio El Salvador 4140</t>
  </si>
  <si>
    <t>OBRA: SVD 4140</t>
  </si>
  <si>
    <t>SVD 4140</t>
  </si>
  <si>
    <t>CUADRO DE GESTIÓN CONSOLIDADO - Pto. #2</t>
  </si>
  <si>
    <t>CUADRO DE GESTIÓN CONSOLIDADO - Pto. #1</t>
  </si>
  <si>
    <t>Presupuesto 1 Preliminares Y Etapa Hormigon</t>
  </si>
  <si>
    <t>Presupuesto 2 - Etapa Albañilería, Instalaciones y Terminaciones</t>
  </si>
  <si>
    <t>cotiz oct24</t>
  </si>
  <si>
    <t>OBRA: EDIFICIO EL SALVADOR 4140</t>
  </si>
  <si>
    <t>CERTIFICACION ESTIMADA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</si>
  <si>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</si>
  <si>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</si>
  <si>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</si>
  <si>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</si>
  <si>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</si>
  <si>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</si>
  <si>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</si>
  <si>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</si>
  <si>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</si>
  <si>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</si>
  <si>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</si>
  <si>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</si>
  <si>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</si>
  <si>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</si>
  <si>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</si>
  <si>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</si>
  <si>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</si>
  <si>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%</t>
  </si>
  <si>
    <t>PRESUPUESTO 01 - PRELIMINARES + MOV SUELO + HORMIGON</t>
  </si>
  <si>
    <r>
      <t xml:space="preserve">Limpieza y preparación del terreno </t>
    </r>
    <r>
      <rPr>
        <i/>
        <sz val="10"/>
        <color rgb="FFFF0000"/>
        <rFont val="Calibri"/>
        <family val="2"/>
      </rPr>
      <t>- No cotiza</t>
    </r>
  </si>
  <si>
    <t>Topógrafo - Visita de obra replanteo</t>
  </si>
  <si>
    <r>
      <t xml:space="preserve">Cartel de Obra </t>
    </r>
    <r>
      <rPr>
        <i/>
        <sz val="10"/>
        <color rgb="FFFF0000"/>
        <rFont val="Calibri"/>
        <family val="2"/>
      </rPr>
      <t>- No cotiza</t>
    </r>
  </si>
  <si>
    <r>
      <t>Cerco de obra perimetral</t>
    </r>
    <r>
      <rPr>
        <i/>
        <sz val="10"/>
        <color rgb="FFFF0000"/>
        <rFont val="Calibri"/>
        <family val="2"/>
      </rPr>
      <t xml:space="preserve"> - En chapa C25 + Concertina + Porton corredizo </t>
    </r>
  </si>
  <si>
    <t>Obrador colgante, pañol y ducha</t>
  </si>
  <si>
    <t>Alquiler de baños quimicos y duchas portatiles</t>
  </si>
  <si>
    <t>Conexión pilar y luz de obra + Tablero de obra</t>
  </si>
  <si>
    <t>Conexión agua de obra, tanque + bomba</t>
  </si>
  <si>
    <t>Tramite luz de obra, certificado luz de obra (2) y medición PAT</t>
  </si>
  <si>
    <t>Sistema de depresión de napas</t>
  </si>
  <si>
    <t>Excavación a maquina para submuración y subsuelo</t>
  </si>
  <si>
    <r>
      <t xml:space="preserve">Demolición y retiro de fundaciones existentes </t>
    </r>
    <r>
      <rPr>
        <i/>
        <sz val="10"/>
        <color rgb="FFFF0000"/>
        <rFont val="Calibri"/>
        <family val="2"/>
      </rPr>
      <t>- No cotiza</t>
    </r>
  </si>
  <si>
    <t>Excavación manual para pozo de achique y bombeo</t>
  </si>
  <si>
    <t>ESTRUCTURA RESISTENTE - sin provision de hierro y hormigon (incluye corte y doblado en obra)</t>
  </si>
  <si>
    <t>Hormigón de limpieza - e: 10 cm</t>
  </si>
  <si>
    <t>Tabique submuración - H30 hidrófugo (95 kg/m3 de hierro)</t>
  </si>
  <si>
    <t>Zapata corrida tabique - H30 hidrófugo (120 kg/m3)</t>
  </si>
  <si>
    <t>Platea - H30 hidrófugo (95 kg/m3 de hierro)</t>
  </si>
  <si>
    <t>Rampa - H30 (120 kg/m3 de hierro)</t>
  </si>
  <si>
    <t>Losa maciza - H30 (110 kg/m3 de hierro)</t>
  </si>
  <si>
    <t>Vigas - H30 (140 kg/m3 de hierro)</t>
  </si>
  <si>
    <t>Vigas de H° visto - H30 (140 kg/m3 de hierro)</t>
  </si>
  <si>
    <t>Tabiques - H30 (120 kg/m3 de hierro)</t>
  </si>
  <si>
    <t>Columna - H30 (240 Kg/m3 de hierro)</t>
  </si>
  <si>
    <t>Escaleras - H30 (105 kg/m3 de hierro)</t>
  </si>
  <si>
    <t>Tabiques tanques de H° - H30 (120 kg/m3 de hierro)</t>
  </si>
  <si>
    <r>
      <t>Junta de impermeabilización de PVC -</t>
    </r>
    <r>
      <rPr>
        <i/>
        <sz val="10"/>
        <color rgb="FFFF0000"/>
        <rFont val="Calibri"/>
        <family val="2"/>
      </rPr>
      <t xml:space="preserve"> Sika Waterbars v15 x 15mts o similar</t>
    </r>
  </si>
  <si>
    <t>Permiso de estacionamiento de bomba de hormigón a contramano</t>
  </si>
  <si>
    <r>
      <t xml:space="preserve">Picado de medianeras para columnas y vigas </t>
    </r>
    <r>
      <rPr>
        <i/>
        <sz val="10"/>
        <color rgb="FFFF0000"/>
        <rFont val="Calibri"/>
        <family val="2"/>
      </rPr>
      <t xml:space="preserve">- Cotizado solo para PB y 1P, </t>
    </r>
    <r>
      <rPr>
        <b/>
        <i/>
        <sz val="10"/>
        <color rgb="FFFF0000"/>
        <rFont val="Calibri"/>
        <family val="2"/>
      </rPr>
      <t>No</t>
    </r>
    <r>
      <rPr>
        <i/>
        <sz val="10"/>
        <color rgb="FFFF0000"/>
        <rFont val="Calibri"/>
        <family val="2"/>
      </rPr>
      <t xml:space="preserve"> contempla picado en SS</t>
    </r>
  </si>
  <si>
    <t>Tecnico de seguridad &amp; higiene permanente en Obra</t>
  </si>
  <si>
    <t>Ayuda de gremios</t>
  </si>
  <si>
    <t>Limpieza final de Obra</t>
  </si>
  <si>
    <t>Alquiler de equipos - Montacargas, tubos de descarga y balancin</t>
  </si>
  <si>
    <t>Supervisión profesional de Obra</t>
  </si>
  <si>
    <t>SUBTOTAL PRESUPUESTO 01 (SIN IVA)</t>
  </si>
  <si>
    <t>PRESUPUESTO 02 - ALBANILERIA + INSTALACIONES + TERMINACIONES</t>
  </si>
  <si>
    <t>Muro tipo 1 (interiores, divisorio de locales) e: 10 cm - Ladrillo hueco 08 x 18 x 33</t>
  </si>
  <si>
    <t xml:space="preserve">Muro tipo 2 y 3 (medianera, caja de escaleras y ascensor) e: 15 cm - Ladrillo hueco portante 12 x 19 x 33 </t>
  </si>
  <si>
    <t>Muro tipo 4 (divisorio de unidades y fachas) e: 15 cm -  Ladrillo hueco 12 x 18 x 33</t>
  </si>
  <si>
    <t xml:space="preserve">Mamposteria cribada de ladrillo visto en balcones </t>
  </si>
  <si>
    <t xml:space="preserve">Bloque de H° con masillado de hormigon </t>
  </si>
  <si>
    <t>Cordón de hormigón en umbrales carpinterías</t>
  </si>
  <si>
    <t>Pozo de bombeo pluvial y cloacal</t>
  </si>
  <si>
    <t xml:space="preserve">Aislación térmica en terrazas, eps e:2,00 cm </t>
  </si>
  <si>
    <t>Impermeabilización de subsuelo</t>
  </si>
  <si>
    <t>Revoque Grueso Impermeable Exterior proyectable</t>
  </si>
  <si>
    <t>Buña en revoque</t>
  </si>
  <si>
    <t xml:space="preserve">Arista en yeso </t>
  </si>
  <si>
    <t xml:space="preserve">Provisión y colocación de guardacanto yesero </t>
  </si>
  <si>
    <t>Contrapiso de cascotes en SS e: 15 cm</t>
  </si>
  <si>
    <t>Contrapiso de cascote s/terreno natural e: 20 cm - Incluye film de polietileno</t>
  </si>
  <si>
    <t>Contrapiso de cascotes en azoteas c/pendiente e: 15 cm</t>
  </si>
  <si>
    <t xml:space="preserve">Carpeta en PB y balcones, baños y azoteas e: 3,00 cm </t>
  </si>
  <si>
    <t>Carpeta sobre membrana</t>
  </si>
  <si>
    <t>Banquinas para cocinas</t>
  </si>
  <si>
    <t>Banquinas para bombas y tanques en SB</t>
  </si>
  <si>
    <t>Cemento alisado arrodillado en escaleras</t>
  </si>
  <si>
    <t xml:space="preserve">Provisión nariz escalera, hierro angulo 5/8 x 1/8" </t>
  </si>
  <si>
    <t xml:space="preserve">Zócalo de concreto </t>
  </si>
  <si>
    <t>Provisión y colocación de Rodapie/ Zócalo rampante en placa cementicia</t>
  </si>
  <si>
    <t>Sombreretes en chapa prepintada C25</t>
  </si>
  <si>
    <t xml:space="preserve">Provisión y ejecución de alisado de cemento rodillado </t>
  </si>
  <si>
    <t>Provisión y ejecución de pavimento e: 18 cm, incluye malla Q188</t>
  </si>
  <si>
    <t>ZOCALOS Y SOLIAS - PROVISION A CARGO DEL COMITENTE</t>
  </si>
  <si>
    <t>Provisión y colocación de zocalos de Madera (MDF) h: 7 cm</t>
  </si>
  <si>
    <t>REVESTIMIENTOS - PROVISION A CARGO DEL COMITENTE</t>
  </si>
  <si>
    <t>Provisión y colocación de perfileria de aluminio tipo ATRIM L anod. Natural</t>
  </si>
  <si>
    <t>Cielorraso junta tomada placa RH</t>
  </si>
  <si>
    <t>Cajon en junta tomada placa STD</t>
  </si>
  <si>
    <t>Aplicado de yeso interior</t>
  </si>
  <si>
    <t xml:space="preserve">Buña en yeso </t>
  </si>
  <si>
    <t>H° Visto - Maquillaje para recibir pintura</t>
  </si>
  <si>
    <t>Látex interior para paredes Bco. mate (enduido parcial)</t>
  </si>
  <si>
    <t>Látex interior para paredes Bco. mate (s/enduido)</t>
  </si>
  <si>
    <t>Látex para cielorraso Bco. mate (enduido parcial)</t>
  </si>
  <si>
    <t>Látex para cielorraso Bco. mate (enduido completo)</t>
  </si>
  <si>
    <t>Latex interior cielorraso sobre H°</t>
  </si>
  <si>
    <t>Revestimiento plastico tipo Quimtex en exteriores y PB</t>
  </si>
  <si>
    <t>Revestimiento plastico tipo Quimtex en exteriores a mas de 3m de altura, incluye medianeras</t>
  </si>
  <si>
    <t>Esmalte sintético en puertas placa, chapa y de ascensor</t>
  </si>
  <si>
    <t>MARMOLES Y GRANITOS - PROVISION Y COLOCACION A CARGO DEL COMITENTE</t>
  </si>
  <si>
    <t>CARPINTERIA - PROVISION A CARGO DEL COMITENTE</t>
  </si>
  <si>
    <t>Tendido y cableado boca Iluminación</t>
  </si>
  <si>
    <t>Tendido y cableado boca Iluminación - Caja mignon para Led</t>
  </si>
  <si>
    <t>Tendido y cableado boca tomacorriente</t>
  </si>
  <si>
    <t>Tendido y cableado boca tomacorriente especial (AA.CC)</t>
  </si>
  <si>
    <t>Tendido y cableado boca MBT Timbre</t>
  </si>
  <si>
    <t xml:space="preserve">Boca de TV - Cañería c/cable testigo </t>
  </si>
  <si>
    <t xml:space="preserve">Boca de PE - Cañería c/cable testigo </t>
  </si>
  <si>
    <t xml:space="preserve">Boca de CCTV - Cañería c/cable testigo </t>
  </si>
  <si>
    <t>Tablero Servicios generales - TSG</t>
  </si>
  <si>
    <t>Tablero Bombas impulsión - TS BI</t>
  </si>
  <si>
    <t>Tablero Seccional ascensor - TS.ASC.</t>
  </si>
  <si>
    <t>Tablero de Bomba presurizadora - TS BR</t>
  </si>
  <si>
    <t xml:space="preserve">Tablero TS Local </t>
  </si>
  <si>
    <t>Tablero de UF (monoambiente)</t>
  </si>
  <si>
    <t>Tablero de UF (2 y 3 ambientes)</t>
  </si>
  <si>
    <t>Montante eléctrica</t>
  </si>
  <si>
    <t xml:space="preserve">Montante TV + Tablero TV - Cañería c/cable testigo </t>
  </si>
  <si>
    <t>Montante PE + Tablero PE- Cañería c/cable testigo</t>
  </si>
  <si>
    <t xml:space="preserve">Acometida y gabiente de medidores </t>
  </si>
  <si>
    <t>Puesta a tierra, jabalinas y cableados</t>
  </si>
  <si>
    <t>Certificado DCI para servicios generales</t>
  </si>
  <si>
    <t>INSTALACION CLOACAL</t>
  </si>
  <si>
    <t>Tendido caño cloacal en planta baja y ss</t>
  </si>
  <si>
    <t>Armado de pozo de bombeo cloacal</t>
  </si>
  <si>
    <t>Por armar CDV en planta tipo</t>
  </si>
  <si>
    <t>Montantes, remate y ventilación a los 4 vientos</t>
  </si>
  <si>
    <t>INSTALACION PLUVIAL</t>
  </si>
  <si>
    <t>Tendido caño pluvial en planta baja y ss</t>
  </si>
  <si>
    <t>Tendido caño pluvial por pisos</t>
  </si>
  <si>
    <t>Instalación tanque de recupero y bombeo pluvial</t>
  </si>
  <si>
    <t>INSTALACION AGUA FRIA Y CALIENTE</t>
  </si>
  <si>
    <t>Tendido caño de agua en SS hasta TB. Colocación de TB, armado de colector y cuadro de bombas</t>
  </si>
  <si>
    <t>Colocación TR, armado de colector, subida y bajadas de AF</t>
  </si>
  <si>
    <t>Colocación de bomba presurizadora, armado de colector y montantes presurizadas (ultimo piso 4°) AF</t>
  </si>
  <si>
    <t>Distribución agua fria y caliente en planta tipo</t>
  </si>
  <si>
    <t>INSTALACION DESCARGA SPLIT</t>
  </si>
  <si>
    <t>INSTALACION CALEFACCION</t>
  </si>
  <si>
    <t>Tendido de cañerías de mando y retorno para calefacción</t>
  </si>
  <si>
    <t>INSTALACION DE INCENDIO</t>
  </si>
  <si>
    <t>INSTALACION DE GAS</t>
  </si>
  <si>
    <t>Provisión y tendido de cañerías de gas a cada UF</t>
  </si>
  <si>
    <t>Tramites gas - Prefactibilidad, inspección parcial, final</t>
  </si>
  <si>
    <t>AIRE ACONDICIONADO - PROVISION A CARGO DEL COMITENTE</t>
  </si>
  <si>
    <t xml:space="preserve">Preinstalación para AA.CC </t>
  </si>
  <si>
    <t>ASCENSOR  - PROVISION A CARGO DEL COMITENTE</t>
  </si>
  <si>
    <t>EQUIPAMIENTO - PROVISION A CARGO DEL COMITENTE</t>
  </si>
  <si>
    <t>Albañilería parrila completa</t>
  </si>
  <si>
    <t>Provisión y amure de tapas para pleno electricos y gas en palieres</t>
  </si>
  <si>
    <t>SUBTOTAL PRESUPUESTO 02 (SIN IVA)</t>
  </si>
  <si>
    <t>CASHFLOW</t>
  </si>
  <si>
    <t>Anticipo</t>
  </si>
  <si>
    <t>Saldo</t>
  </si>
  <si>
    <t>SUB TOTAL OBRA GRIS (sin IVA)</t>
  </si>
  <si>
    <t>Presupuesto base sep24</t>
  </si>
  <si>
    <r>
      <t xml:space="preserve">Limpieza y preparación del terreno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</si>
  <si>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Cartel de Obra </t>
    </r>
    <r>
      <rPr>
        <i/>
        <sz val="10"/>
        <color rgb="FFFF0000"/>
        <rFont val="Calibri"/>
        <family val="2"/>
        <scheme val="minor"/>
      </rPr>
      <t>- No cotiza</t>
    </r>
  </si>
  <si>
    <r>
      <t>Cerco de obra perimetral</t>
    </r>
    <r>
      <rPr>
        <i/>
        <sz val="10"/>
        <color rgb="FFFF0000"/>
        <rFont val="Calibri"/>
        <family val="2"/>
        <scheme val="minor"/>
      </rPr>
      <t xml:space="preserve"> - En chapa C25 + Concertina + Porton corredizo </t>
    </r>
  </si>
  <si>
    <r>
      <t xml:space="preserve">Demolición y retiro de fundaciones existentes </t>
    </r>
    <r>
      <rPr>
        <i/>
        <sz val="10"/>
        <color rgb="FFFF0000"/>
        <rFont val="Calibri"/>
        <family val="2"/>
        <scheme val="minor"/>
      </rPr>
      <t>- No cotiza</t>
    </r>
  </si>
  <si>
    <t>EL SALVADOR 4041</t>
  </si>
  <si>
    <t>MNS 2920</t>
  </si>
  <si>
    <r>
      <t>Junta de impermeabilización de PVC -</t>
    </r>
    <r>
      <rPr>
        <i/>
        <sz val="10"/>
        <color rgb="FFFF0000"/>
        <rFont val="Calibri"/>
        <family val="2"/>
        <scheme val="minor"/>
      </rPr>
      <t xml:space="preserve"> Sika Waterbars v15 x 15mts o similar</t>
    </r>
  </si>
  <si>
    <r>
      <t xml:space="preserve">Picado de medianeras para columnas y vigas </t>
    </r>
    <r>
      <rPr>
        <i/>
        <sz val="10"/>
        <color rgb="FFFF0000"/>
        <rFont val="Calibri"/>
        <family val="2"/>
        <scheme val="minor"/>
      </rPr>
      <t xml:space="preserve">- Cotizado solo para PB y 1P, </t>
    </r>
    <r>
      <rPr>
        <b/>
        <i/>
        <sz val="10"/>
        <color rgb="FFFF0000"/>
        <rFont val="Calibri"/>
        <family val="2"/>
        <scheme val="minor"/>
      </rPr>
      <t>No</t>
    </r>
    <r>
      <rPr>
        <i/>
        <sz val="10"/>
        <color rgb="FFFF0000"/>
        <rFont val="Calibri"/>
        <family val="2"/>
        <scheme val="minor"/>
      </rPr>
      <t xml:space="preserve"> contempla picado en SS</t>
    </r>
  </si>
  <si>
    <r>
      <t xml:space="preserve">Enchape medianeras existentes </t>
    </r>
    <r>
      <rPr>
        <sz val="10"/>
        <color rgb="FFFF0000"/>
        <rFont val="Calibri"/>
        <family val="2"/>
        <scheme val="minor"/>
      </rPr>
      <t>- Contemplamos picado zonas sueltas y enchape con ladrillo comun para PB</t>
    </r>
  </si>
  <si>
    <r>
      <t xml:space="preserve">Aislación hidrófuga horizontal (baños) - </t>
    </r>
    <r>
      <rPr>
        <i/>
        <sz val="10"/>
        <color rgb="FFFF0000"/>
        <rFont val="Calibri"/>
        <family val="2"/>
        <scheme val="minor"/>
      </rPr>
      <t>Inc. membrana geotextil</t>
    </r>
    <r>
      <rPr>
        <sz val="10"/>
        <color rgb="FFFF0000"/>
        <rFont val="Calibri"/>
        <family val="2"/>
        <scheme val="minor"/>
      </rPr>
      <t xml:space="preserve"> y 35% en concepto de babetas</t>
    </r>
  </si>
  <si>
    <r>
      <t xml:space="preserve">Azotado hidrofugo - </t>
    </r>
    <r>
      <rPr>
        <i/>
        <sz val="10"/>
        <color rgb="FFFF0000"/>
        <rFont val="Calibri"/>
        <family val="2"/>
        <scheme val="minor"/>
      </rPr>
      <t>Sobre medianeras existentes</t>
    </r>
  </si>
  <si>
    <r>
      <t xml:space="preserve">Azotado hidrofugo - </t>
    </r>
    <r>
      <rPr>
        <i/>
        <sz val="10"/>
        <color rgb="FFFF0000"/>
        <rFont val="Calibri"/>
        <family val="2"/>
        <scheme val="minor"/>
      </rPr>
      <t xml:space="preserve">Contrapiso de vereda </t>
    </r>
  </si>
  <si>
    <r>
      <t xml:space="preserve">Membrana asfaltica geotextil 4mm </t>
    </r>
    <r>
      <rPr>
        <i/>
        <sz val="10"/>
        <color rgb="FFFF0000"/>
        <rFont val="Calibri"/>
        <family val="2"/>
        <scheme val="minor"/>
      </rPr>
      <t>- Balcones y azotea - Inc. 20% en concepto de babetas</t>
    </r>
  </si>
  <si>
    <r>
      <t xml:space="preserve">Revoque Grueso Impermeable Exterior a mas de 3m proyectable </t>
    </r>
    <r>
      <rPr>
        <i/>
        <sz val="10"/>
        <color rgb="FFFF0000"/>
        <rFont val="Calibri"/>
        <family val="2"/>
        <scheme val="minor"/>
      </rPr>
      <t>- Medianero y fachadas</t>
    </r>
  </si>
  <si>
    <r>
      <t xml:space="preserve">Ventilación Conducto Humos. Incluye toma de aire en PB </t>
    </r>
    <r>
      <rPr>
        <i/>
        <sz val="10"/>
        <color rgb="FFFF0000"/>
        <rFont val="Calibri"/>
        <family val="2"/>
        <scheme val="minor"/>
      </rPr>
      <t>- No aplica s/proyecto</t>
    </r>
  </si>
  <si>
    <r>
      <t xml:space="preserve">Ventilación Baños </t>
    </r>
    <r>
      <rPr>
        <i/>
        <sz val="10"/>
        <color rgb="FFFF0000"/>
        <rFont val="Calibri"/>
        <family val="2"/>
        <scheme val="minor"/>
      </rPr>
      <t xml:space="preserve">- En caño Ø 110 </t>
    </r>
  </si>
  <si>
    <r>
      <t>Colocación de rejillas de inyección y extracción</t>
    </r>
    <r>
      <rPr>
        <i/>
        <sz val="10"/>
        <color rgb="FFFF0000"/>
        <rFont val="Calibri"/>
        <family val="2"/>
        <scheme val="minor"/>
      </rPr>
      <t xml:space="preserve"> - No aplica s/proyecto</t>
    </r>
  </si>
  <si>
    <r>
      <t xml:space="preserve">Colocación de travertino en hall PB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</si>
  <si>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paliers, terraza y espacios comunes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</si>
  <si>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UF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</si>
  <si>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baños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</si>
  <si>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Colocación de baldoson de vereda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</si>
  <si>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zocalo de porcelanico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</si>
  <si>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palieres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</si>
  <si>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terraza y espacios comunes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</si>
  <si>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Revestimiento en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</si>
  <si>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>Revestimiento en cocinas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</si>
  <si>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Revestimiento tejuela exterior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</si>
  <si>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Convertidor y esmalte sintentico en barandas </t>
    </r>
    <r>
      <rPr>
        <i/>
        <sz val="10"/>
        <color rgb="FFFF0000"/>
        <rFont val="Calibri"/>
        <family val="2"/>
        <scheme val="minor"/>
      </rPr>
      <t>- Escalera, balcones, porton, medidores y SDM</t>
    </r>
  </si>
  <si>
    <r>
      <t xml:space="preserve">Amure de puertas placa </t>
    </r>
    <r>
      <rPr>
        <i/>
        <sz val="10"/>
        <color rgb="FFFF0000"/>
        <rFont val="Calibri"/>
        <family val="2"/>
        <scheme val="minor"/>
      </rPr>
      <t xml:space="preserve"> Provisión a cargo del comitente</t>
    </r>
  </si>
  <si>
    <r>
      <t xml:space="preserve">Amure de puertas de chapa e ingresos depto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</si>
  <si>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Amure de premarcos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</si>
  <si>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Amure Puertas de Ascensor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</si>
  <si>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Tendido y cableado boca de temostato </t>
    </r>
    <r>
      <rPr>
        <i/>
        <sz val="10"/>
        <color rgb="FFFF0000"/>
        <rFont val="Calibri"/>
        <family val="2"/>
        <scheme val="minor"/>
      </rPr>
      <t>- Sin instalación de termostato</t>
    </r>
  </si>
  <si>
    <r>
      <t xml:space="preserve">Colocación de sensor de movimiento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</si>
  <si>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Colocación de teclas simples y/o combinadas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</si>
  <si>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pulsadores, circulación + timbres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</si>
  <si>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tomacorriente simple y doble 10 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</si>
  <si>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luz de emergencia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</si>
  <si>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zumbador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</si>
  <si>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artefactos en espacios comunes y balcones </t>
    </r>
    <r>
      <rPr>
        <i/>
        <sz val="10"/>
        <color rgb="FFFF0000"/>
        <rFont val="Calibri"/>
        <family val="2"/>
        <scheme val="minor"/>
      </rPr>
      <t>- Provisión a cargo del comitente. NO incluye provisión, ni colocación de artefactos en interior de UF</t>
    </r>
  </si>
  <si>
    <r>
      <t xml:space="preserve">Colocación de fotocelula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</si>
  <si>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Vera</t>
  </si>
  <si>
    <t>Incidencia</t>
  </si>
  <si>
    <t>Cloaca</t>
  </si>
  <si>
    <t>Pluvial + SPLIT</t>
  </si>
  <si>
    <t>AF Y AC</t>
  </si>
  <si>
    <t>Incendio</t>
  </si>
  <si>
    <r>
      <t xml:space="preserve">Colocación de artefactos y griferias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</si>
  <si>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Armado y conexionado de desagües </t>
    </r>
    <r>
      <rPr>
        <sz val="10"/>
        <rFont val="Calibri"/>
        <family val="2"/>
        <scheme val="minor"/>
      </rPr>
      <t>AA.CC</t>
    </r>
  </si>
  <si>
    <r>
      <t xml:space="preserve">Montaje de radiadores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</si>
  <si>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Montaje de caldera y puesta en marcha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</si>
  <si>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Tendido cañeria de incendio </t>
    </r>
    <r>
      <rPr>
        <i/>
        <sz val="10"/>
        <color rgb="FFFF0000"/>
        <rFont val="Calibri"/>
        <family val="2"/>
        <scheme val="minor"/>
      </rPr>
      <t xml:space="preserve">- Gabinetes, mangueras, lanzas y valvulas cotizadas en provisiones </t>
    </r>
  </si>
  <si>
    <r>
      <t>Montaje, colocación y puesta en marcha de equipos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</si>
  <si>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Ascensores </t>
    </r>
    <r>
      <rPr>
        <i/>
        <sz val="10"/>
        <color rgb="FFFF0000"/>
        <rFont val="Calibri"/>
        <family val="2"/>
        <scheme val="minor"/>
      </rPr>
      <t>- Provisión y colocación a cargo del comitente</t>
    </r>
  </si>
  <si>
    <r>
      <t>Artefactos de cocina, instalacion anafes y hornos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</si>
  <si>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>Instalacion de extractores de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</si>
  <si>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ladrillos de vidrio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</si>
  <si>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3 ambientes</t>
  </si>
  <si>
    <t>1 ambienta</t>
  </si>
  <si>
    <t>COMPRA DIRECTA COMITENTE</t>
  </si>
  <si>
    <t>Hierro c/ corte y doblado</t>
  </si>
  <si>
    <t>kg</t>
  </si>
  <si>
    <t>H° - inc hidrofugo, bombeo, piedra 6/12</t>
  </si>
  <si>
    <r>
      <t xml:space="preserve">Tanques y bombas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</si>
  <si>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Matafuego ABC x 5 kg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</si>
  <si>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Matafuego CO2 x 3,5 kg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</si>
  <si>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Boca de incencio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</si>
  <si>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Boca de impulsión </t>
    </r>
    <r>
      <rPr>
        <i/>
        <sz val="10"/>
        <color rgb="FFFF0000"/>
        <rFont val="Calibri"/>
        <family val="2"/>
        <scheme val="minor"/>
      </rPr>
      <t>- No cotiza</t>
    </r>
  </si>
  <si>
    <t>Gestión de compras</t>
  </si>
  <si>
    <t>Los valores no contemplan IVA</t>
  </si>
  <si>
    <t>Presupuesto base sep 24</t>
  </si>
  <si>
    <t>VARIOS</t>
  </si>
  <si>
    <t xml:space="preserve">Colocación de artefactos a gas - Anafe/Horno </t>
  </si>
  <si>
    <t xml:space="preserve">Provisión y colicación de campanas de parrilla y ventilaciones individuales. Tramo a los 4 vientos en chapa prep. Negra </t>
  </si>
  <si>
    <r>
      <t>Provisión de teclas, tomacorrientes, pulsadores marca Cambre Linea SXXI</t>
    </r>
    <r>
      <rPr>
        <i/>
        <sz val="10"/>
        <color rgb="FFFF0000"/>
        <rFont val="Calibri"/>
        <family val="2"/>
        <scheme val="minor"/>
      </rPr>
      <t xml:space="preserve"> No incluye mod. Coaxil ni RJ45</t>
    </r>
  </si>
  <si>
    <t>CALEFACCION</t>
  </si>
  <si>
    <t>Tendido de cañería por piso, manta y malla</t>
  </si>
  <si>
    <t>Colectores y gabinetes</t>
  </si>
  <si>
    <t>Flexibles caldera</t>
  </si>
  <si>
    <t>Mano de Obra</t>
  </si>
  <si>
    <t>P. Unit. MO</t>
  </si>
  <si>
    <t>P. Unit. MAT</t>
  </si>
  <si>
    <t>P unit</t>
  </si>
  <si>
    <t>P. Unit. EQ</t>
  </si>
  <si>
    <t>2.01.02</t>
  </si>
  <si>
    <t>2.01.01</t>
  </si>
  <si>
    <t>24.10.01</t>
  </si>
  <si>
    <t>24.10.02</t>
  </si>
  <si>
    <t>MESES</t>
  </si>
  <si>
    <t>Descrip</t>
  </si>
  <si>
    <t>Mes</t>
  </si>
  <si>
    <t>Total Dias</t>
  </si>
  <si>
    <t>GASTOS GENERALES y BENEFICIO</t>
  </si>
  <si>
    <t>Prelim</t>
  </si>
  <si>
    <t>Syh permanente</t>
  </si>
  <si>
    <t>Mov de suelos y excav. + micro</t>
  </si>
  <si>
    <t>Gastos Grales de obra en items</t>
  </si>
  <si>
    <t>Precio Unit</t>
  </si>
  <si>
    <t>Fundac</t>
  </si>
  <si>
    <t>Losa sobre PB</t>
  </si>
  <si>
    <t>Losa sobre 1</t>
  </si>
  <si>
    <t>Losa sobre 2</t>
  </si>
  <si>
    <t>Losa sobre 3</t>
  </si>
  <si>
    <t>Inicio mamposteria</t>
  </si>
  <si>
    <t>Losa sobre 4</t>
  </si>
  <si>
    <t xml:space="preserve">Meses H° </t>
  </si>
  <si>
    <t>Estacionamiento en contramano</t>
  </si>
  <si>
    <t>Techo escalera y sobrerecorrido</t>
  </si>
  <si>
    <t>HyS</t>
  </si>
  <si>
    <t>Mampostería</t>
  </si>
  <si>
    <t>Revoques, contrap y carp</t>
  </si>
  <si>
    <t xml:space="preserve">Amures </t>
  </si>
  <si>
    <t>Alquiler cerco de obra chapa</t>
  </si>
  <si>
    <t>Colocación</t>
  </si>
  <si>
    <t>Proyecto Ejecutivo</t>
  </si>
  <si>
    <t>Terminaciones</t>
  </si>
  <si>
    <t>Jefe de obra</t>
  </si>
  <si>
    <t>Administrativo en obra</t>
  </si>
  <si>
    <t>Mov y viaticos</t>
  </si>
  <si>
    <t>UOCRA</t>
  </si>
  <si>
    <t>Pañolero/Sereno</t>
  </si>
  <si>
    <t>Bobcat</t>
  </si>
  <si>
    <t>Camion limpieza</t>
  </si>
  <si>
    <t>Tijera electrica 12</t>
  </si>
  <si>
    <t>JLG</t>
  </si>
  <si>
    <t>Grua 20ton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</si>
  <si>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</si>
  <si>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</si>
  <si>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</si>
  <si>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</si>
  <si>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</si>
  <si>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</si>
  <si>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Total de Gastos Generales</t>
  </si>
  <si>
    <t>Corralon</t>
  </si>
  <si>
    <t>Subcontratos</t>
  </si>
  <si>
    <t>Mano de obra</t>
  </si>
  <si>
    <t>A</t>
  </si>
  <si>
    <t>GG</t>
  </si>
  <si>
    <t>Imprevistos + Negciacion</t>
  </si>
  <si>
    <t>Beneficio</t>
  </si>
  <si>
    <t>B</t>
  </si>
  <si>
    <t>K</t>
  </si>
  <si>
    <t>A+B</t>
  </si>
  <si>
    <t xml:space="preserve"> Ayuda de Gremios</t>
  </si>
  <si>
    <t>General</t>
  </si>
  <si>
    <t>Obra: SVD 4140</t>
  </si>
  <si>
    <t>Gtos Directos</t>
  </si>
  <si>
    <t>Gtos Indirectos</t>
  </si>
  <si>
    <t>NN</t>
  </si>
  <si>
    <t>Presupuesto 1</t>
  </si>
  <si>
    <t>Anticipo 20%</t>
  </si>
  <si>
    <t>Total Anticipo</t>
  </si>
  <si>
    <t>Pago Semana 1 - 21-02-2025</t>
  </si>
  <si>
    <t>Pago Semana 2 - 28-02-2025</t>
  </si>
  <si>
    <t>Pago Semana 3 - 07-03-2025</t>
  </si>
  <si>
    <t>0003-00000612</t>
  </si>
  <si>
    <t>Presupuesto 1 - Anticipo</t>
  </si>
  <si>
    <t>SF</t>
  </si>
  <si>
    <t>Fact. 0003-00000612 - SDV House</t>
  </si>
  <si>
    <t xml:space="preserve">20-02-2025 Pago Efectivo </t>
  </si>
  <si>
    <t>28-02-2025 Pago Efectivo</t>
  </si>
  <si>
    <t>Saldo Pendiente</t>
  </si>
  <si>
    <t>10-03-2025 Pago Efectivo</t>
  </si>
  <si>
    <t>Retenc</t>
  </si>
  <si>
    <t>A pagar</t>
  </si>
  <si>
    <t>Bco.</t>
  </si>
  <si>
    <t>Saldo pagar</t>
  </si>
  <si>
    <t>FACTURA</t>
  </si>
  <si>
    <t>0003-00000625</t>
  </si>
  <si>
    <t>Presupuesto #1 Act.</t>
  </si>
  <si>
    <t>Presupuesto #2 Act.</t>
  </si>
  <si>
    <t>Depresion de napas</t>
  </si>
  <si>
    <t>2Q</t>
  </si>
  <si>
    <t>1Q</t>
  </si>
  <si>
    <t>CAC - Anticipo (09-2024 a 12-2024)</t>
  </si>
  <si>
    <t>Presupuesto 1 - Certificado #1</t>
  </si>
  <si>
    <t>CELSI VIAL S.A.</t>
  </si>
  <si>
    <t xml:space="preserve">Certificado # 1 </t>
  </si>
  <si>
    <t>Fact. 612</t>
  </si>
  <si>
    <t>Bruto</t>
  </si>
  <si>
    <t>Fact. 625</t>
  </si>
  <si>
    <r>
      <t xml:space="preserve">CAC - Certif. 1 </t>
    </r>
    <r>
      <rPr>
        <b/>
        <i/>
        <sz val="11"/>
        <color theme="1"/>
        <rFont val="Calibri"/>
        <family val="2"/>
        <scheme val="minor"/>
      </rPr>
      <t>(09-2024 a 02-2025)</t>
    </r>
  </si>
  <si>
    <r>
      <t xml:space="preserve">CAC - Anticipo </t>
    </r>
    <r>
      <rPr>
        <b/>
        <i/>
        <sz val="11"/>
        <color theme="1"/>
        <rFont val="Calibri"/>
        <family val="2"/>
        <scheme val="minor"/>
      </rPr>
      <t>(09-2024 a 12-2024)</t>
    </r>
  </si>
  <si>
    <t>Total Certif. #1</t>
  </si>
  <si>
    <t>Presupuesto 1 - Certificado #2</t>
  </si>
  <si>
    <t>Total Certif. #2</t>
  </si>
  <si>
    <r>
      <t xml:space="preserve">CAC - Certif. 2 </t>
    </r>
    <r>
      <rPr>
        <b/>
        <i/>
        <sz val="11"/>
        <color theme="1"/>
        <rFont val="Calibri"/>
        <family val="2"/>
        <scheme val="minor"/>
      </rPr>
      <t>(09-2024 a 03-2025)</t>
    </r>
  </si>
  <si>
    <t>SVD4140-01</t>
  </si>
  <si>
    <t>SVD4140-02</t>
  </si>
  <si>
    <t>0003-00000644</t>
  </si>
  <si>
    <t>Presupuesto 1 - Cert. #1</t>
  </si>
  <si>
    <t>0003-00000654</t>
  </si>
  <si>
    <t>Presupuesto 1 - Cert. #2</t>
  </si>
  <si>
    <t>SERENO DE OBRA</t>
  </si>
  <si>
    <t>ALBAMO</t>
  </si>
  <si>
    <t>Sereno de Obra</t>
  </si>
  <si>
    <t>Sereno de Obra - Flores Penayo</t>
  </si>
  <si>
    <t>Mes Base</t>
  </si>
  <si>
    <t>Acum. Descontado</t>
  </si>
  <si>
    <t>% Cert. Acum.</t>
  </si>
  <si>
    <t>Saldo Disponible</t>
  </si>
  <si>
    <t>Disponible %</t>
  </si>
  <si>
    <t>Rubro Completado</t>
  </si>
  <si>
    <t xml:space="preserve">Certificado </t>
  </si>
  <si>
    <t>Avance</t>
  </si>
  <si>
    <t>Anterior</t>
  </si>
  <si>
    <t>Actual</t>
  </si>
  <si>
    <t>Acumulado</t>
  </si>
  <si>
    <t>Presupuesto base Sep-24</t>
  </si>
  <si>
    <t>Previsto Etapa Albañilería</t>
  </si>
  <si>
    <t>Previsto</t>
  </si>
  <si>
    <t>Diferencia</t>
  </si>
  <si>
    <t>Certif. 1</t>
  </si>
  <si>
    <t>Fact. 644</t>
  </si>
  <si>
    <t>Certif. 2</t>
  </si>
  <si>
    <t>Fact. 654</t>
  </si>
  <si>
    <t>Fact. 660</t>
  </si>
  <si>
    <t>Retencion</t>
  </si>
  <si>
    <t>0003-00000660</t>
  </si>
  <si>
    <t>Presupuesto 1 - Certificado #3</t>
  </si>
  <si>
    <t xml:space="preserve">Certificado # 2 </t>
  </si>
  <si>
    <r>
      <t xml:space="preserve">CAC - Certif. 3 </t>
    </r>
    <r>
      <rPr>
        <b/>
        <i/>
        <sz val="11"/>
        <color theme="1"/>
        <rFont val="Calibri"/>
        <family val="2"/>
        <scheme val="minor"/>
      </rPr>
      <t>(09-2024 a 04-2025)</t>
    </r>
  </si>
  <si>
    <t>Certif. 3</t>
  </si>
  <si>
    <t>Fact. 662</t>
  </si>
  <si>
    <t>Efectivo</t>
  </si>
  <si>
    <t>0003-00000662</t>
  </si>
  <si>
    <t>Presupuesto 1 - Cert. #3</t>
  </si>
  <si>
    <t>Presupuesto 1 - Certificado #4</t>
  </si>
  <si>
    <r>
      <t xml:space="preserve">CAC - Certif. 4 </t>
    </r>
    <r>
      <rPr>
        <b/>
        <i/>
        <sz val="11"/>
        <color theme="1"/>
        <rFont val="Calibri"/>
        <family val="2"/>
        <scheme val="minor"/>
      </rPr>
      <t>(09-2024 a 05-2025)</t>
    </r>
  </si>
  <si>
    <t>Total Certif. #4</t>
  </si>
  <si>
    <t>Total Ingresos por CAC</t>
  </si>
  <si>
    <t>Material</t>
  </si>
  <si>
    <t>No agregado</t>
  </si>
  <si>
    <t>Agregado</t>
  </si>
  <si>
    <t>No contempla</t>
  </si>
  <si>
    <t>EN EL PROYECT</t>
  </si>
  <si>
    <t>0003-000000684</t>
  </si>
  <si>
    <t>Presupuesto 1 - Cert. #4</t>
  </si>
  <si>
    <t>0003-000000693</t>
  </si>
  <si>
    <t>TRF Banco</t>
  </si>
  <si>
    <t>Certif. 4</t>
  </si>
  <si>
    <t>Fact. 684</t>
  </si>
  <si>
    <t>Fact. 693</t>
  </si>
  <si>
    <t>Certificado # 3</t>
  </si>
  <si>
    <t>Pago Efectivo</t>
  </si>
  <si>
    <t>Presupuesto 1 - Certificado #5</t>
  </si>
  <si>
    <r>
      <t xml:space="preserve">CAC - Certif. 5 </t>
    </r>
    <r>
      <rPr>
        <b/>
        <i/>
        <sz val="11"/>
        <color theme="1"/>
        <rFont val="Calibri"/>
        <family val="2"/>
        <scheme val="minor"/>
      </rPr>
      <t>(09-2024 a 06-2025)</t>
    </r>
  </si>
  <si>
    <t>Total Certif. #5</t>
  </si>
  <si>
    <t>Certif. 5</t>
  </si>
  <si>
    <t>Fact. 712</t>
  </si>
  <si>
    <t>0003-00000712</t>
  </si>
  <si>
    <t>Presupuesto 1 - Cert. #5</t>
  </si>
  <si>
    <t>Presupuesto 1 - Certificado #6</t>
  </si>
  <si>
    <r>
      <t xml:space="preserve">CAC - Certif. 6 </t>
    </r>
    <r>
      <rPr>
        <b/>
        <i/>
        <sz val="11"/>
        <color theme="1"/>
        <rFont val="Calibri"/>
        <family val="2"/>
        <scheme val="minor"/>
      </rPr>
      <t>(09-2024 a 07-2025)</t>
    </r>
  </si>
  <si>
    <t>Total Certif. #6</t>
  </si>
  <si>
    <t>Adicionales 31-07-2025</t>
  </si>
  <si>
    <t>Presupuesto 2</t>
  </si>
  <si>
    <r>
      <t xml:space="preserve">CAC - Anticipo </t>
    </r>
    <r>
      <rPr>
        <b/>
        <i/>
        <sz val="11"/>
        <color theme="1"/>
        <rFont val="Calibri"/>
        <family val="2"/>
        <scheme val="minor"/>
      </rPr>
      <t>(09-2024 a 07-2025)</t>
    </r>
  </si>
  <si>
    <t>Cuota 01 - 09-2025</t>
  </si>
  <si>
    <t>Cuota 02 - 10-2025</t>
  </si>
  <si>
    <t>Cuota 03 - 11-2025</t>
  </si>
  <si>
    <t>+ Act. CAC 08-2025</t>
  </si>
  <si>
    <t>+ Act. CAC 09-2025</t>
  </si>
  <si>
    <t>+ Act. CAC 10-2025</t>
  </si>
  <si>
    <t>Anticipo 40%</t>
  </si>
  <si>
    <t>RevestimientoMAT</t>
  </si>
  <si>
    <t>RevestimientoMO</t>
  </si>
  <si>
    <t>0003-00000727</t>
  </si>
  <si>
    <t>Presupuesto 1 - Cert. #6</t>
  </si>
  <si>
    <t>SILVIO AGUIRRE</t>
  </si>
  <si>
    <t>ELECMO</t>
  </si>
  <si>
    <t>Certif. #1</t>
  </si>
  <si>
    <t>Certificado # 4</t>
  </si>
  <si>
    <t>Certificado # 5</t>
  </si>
  <si>
    <t>Cuota 01</t>
  </si>
  <si>
    <t>Act. 08-2025</t>
  </si>
  <si>
    <t>MEP</t>
  </si>
  <si>
    <t>BLUE</t>
  </si>
  <si>
    <t>Certif. 6</t>
  </si>
  <si>
    <t>Saldo a Favor Certif. 5</t>
  </si>
  <si>
    <t>Entregado</t>
  </si>
  <si>
    <t>Pagado</t>
  </si>
  <si>
    <t>usd</t>
  </si>
  <si>
    <t xml:space="preserve">Saldo a favor </t>
  </si>
  <si>
    <t>Presupuesto 1 - Certificado #7</t>
  </si>
  <si>
    <r>
      <t xml:space="preserve">CAC - Certif. 7 </t>
    </r>
    <r>
      <rPr>
        <b/>
        <i/>
        <sz val="11"/>
        <color theme="1"/>
        <rFont val="Calibri"/>
        <family val="2"/>
        <scheme val="minor"/>
      </rPr>
      <t>(09-2024 a 08-2025)</t>
    </r>
  </si>
  <si>
    <t>Total Certif. #7</t>
  </si>
  <si>
    <t>DANIEL</t>
  </si>
  <si>
    <t>0003-00000744</t>
  </si>
  <si>
    <t>Presupuesto 2 - Anticipo</t>
  </si>
  <si>
    <t>0003-00000751</t>
  </si>
  <si>
    <t>Presupuesto 1 - Cert. #7</t>
  </si>
  <si>
    <t>Anticipo Pto. 2</t>
  </si>
  <si>
    <t>Fact. 744</t>
  </si>
  <si>
    <t>Dolares</t>
  </si>
  <si>
    <t>Certif. 7</t>
  </si>
  <si>
    <t>Fact. 751</t>
  </si>
  <si>
    <t>Deposito Galicia</t>
  </si>
  <si>
    <t>Ant. 1</t>
  </si>
  <si>
    <t>Cert.1</t>
  </si>
  <si>
    <t>Cert.2</t>
  </si>
  <si>
    <t>Cert.3</t>
  </si>
  <si>
    <t>Cert.4</t>
  </si>
  <si>
    <t>Cert.5</t>
  </si>
  <si>
    <t>Cert.6</t>
  </si>
  <si>
    <t>Ant.2</t>
  </si>
  <si>
    <t>Cert.7</t>
  </si>
  <si>
    <t>Presupuesto 1 - Certificado #8</t>
  </si>
  <si>
    <r>
      <t xml:space="preserve">CAC - Certif. 8 </t>
    </r>
    <r>
      <rPr>
        <b/>
        <i/>
        <sz val="11"/>
        <color theme="1"/>
        <rFont val="Calibri"/>
        <family val="2"/>
        <scheme val="minor"/>
      </rPr>
      <t>(09-2024 a 09-2025)</t>
    </r>
  </si>
  <si>
    <t>Total Certif. #8</t>
  </si>
  <si>
    <t>Presupuesto 2 - Certificado #1</t>
  </si>
  <si>
    <r>
      <t xml:space="preserve">CAC - Certif. 1 </t>
    </r>
    <r>
      <rPr>
        <b/>
        <i/>
        <sz val="11"/>
        <color theme="1"/>
        <rFont val="Calibri"/>
        <family val="2"/>
        <scheme val="minor"/>
      </rPr>
      <t>(09-2024 a 09-2025)</t>
    </r>
  </si>
  <si>
    <t>Totales Certificado</t>
  </si>
  <si>
    <t>Enchape medianeras existentes - Contemplamos picado zonas sueltas y enchape con ladrillo comun para PB</t>
  </si>
  <si>
    <t>Aislación hidrófuga horizontal (baños) - Inc. membrana geotextil y 35% en concepto de babetas</t>
  </si>
  <si>
    <t>Azotado hidrofugo - Sobre medianeras existentes</t>
  </si>
  <si>
    <t xml:space="preserve">Azotado hidrofugo - Contrapiso de vereda </t>
  </si>
  <si>
    <t>Membrana asfaltica geotextil 4mm - Balcones y azotea - Inc. 20% en concepto de babetas</t>
  </si>
  <si>
    <t>Revoque Grueso Impermeable Exterior a mas de 3m proyectable - Medianero y fachadas</t>
  </si>
  <si>
    <t>Ventilación Conducto Humos. Incluye toma de aire en PB - No aplica s/proyecto</t>
  </si>
  <si>
    <t xml:space="preserve">Ventilación Baños - En caño Ø 110 </t>
  </si>
  <si>
    <t>Colocación de rejillas de inyección y extracción - No aplica s/proyecto</t>
  </si>
  <si>
    <t>Colocación de travertino en hall PB - Provisión a cargo del comitente</t>
  </si>
  <si>
    <t>Colocación de porcelanato en paliers, terraza y espacios comunes - Provisión a cargo del comitente</t>
  </si>
  <si>
    <t>Colocación de porcelanato en UF - Provisión a cargo del comitente</t>
  </si>
  <si>
    <t>Colocación de porcelanato en baños - Provisión a cargo del comitente</t>
  </si>
  <si>
    <t>Colocación de baldoson de vereda - Provisión a cargo del comitente</t>
  </si>
  <si>
    <t>Colocación de zocalo de porcelanico - Provisión a cargo del comitente</t>
  </si>
  <si>
    <t>Colocación de zocalo de porcelanato en palieres - Provisión a cargo del comitente</t>
  </si>
  <si>
    <t>Colocación de zocalo de porcelanato en terraza y espacios comunes - Provisión a cargo del comitente</t>
  </si>
  <si>
    <t>Revestimiento en baños - Provisión a cargo del comitente</t>
  </si>
  <si>
    <t>Revestimiento en cocinas - Provisión a cargo del comitente</t>
  </si>
  <si>
    <t>Revestimiento tejuela exterior - Provisión a cargo del comitente</t>
  </si>
  <si>
    <t>Convertidor y esmalte sintentico en barandas - Escalera, balcones, porton, medidores y SDM</t>
  </si>
  <si>
    <t>Amure de puertas placa  Provisión a cargo del comitente</t>
  </si>
  <si>
    <t>Amure de puertas de chapa e ingresos depto - Provisión a cargo del comitente</t>
  </si>
  <si>
    <t>Amure de premarcos - Provisión a cargo del comitente</t>
  </si>
  <si>
    <t>Amure Puertas de Ascensor - Provisión a cargo del comitente</t>
  </si>
  <si>
    <t>Tendido y cableado boca de temostato - Sin instalación de termostato</t>
  </si>
  <si>
    <t>Colocación de sensor de movimiento - Provisión a cargo del comitente</t>
  </si>
  <si>
    <t>Colocación de teclas simples y/o combinadas - Provisión a cargo del comitente</t>
  </si>
  <si>
    <t>Colocación de pulsadores, circulación + timbres - Provisión a cargo del comitente</t>
  </si>
  <si>
    <t>Colocación de tomacorriente simple y doble 10 A - Provisión a cargo del comitente</t>
  </si>
  <si>
    <t>Colocación de luz de emergencia - Provisión a cargo del comitente</t>
  </si>
  <si>
    <t>Colocación de zumbador - Provisión a cargo del comitente</t>
  </si>
  <si>
    <t>Colocación artefactos en espacios comunes y balcones - Provisión a cargo del comitente. NO incluye provisión, ni colocación de artefactos en interior de UF</t>
  </si>
  <si>
    <t>Colocación de fotocelula - Provisión a cargo del comitente</t>
  </si>
  <si>
    <t>Colocación de artefactos y griferias - Provisión a cargo del comitente</t>
  </si>
  <si>
    <t>Armado y conexionado de desagües AA.CC</t>
  </si>
  <si>
    <t>Montaje de radiadores - Provisión a cargo del comitente</t>
  </si>
  <si>
    <t>Montaje de caldera y puesta en marcha - Provisión a cargo del comitente</t>
  </si>
  <si>
    <t>Diferencia por piso radiante (colectores y gabinetes a cargo del comitente)</t>
  </si>
  <si>
    <t xml:space="preserve">Tendido cañeria de incendio - Gabinetes, mangueras, lanzas y valvulas cotizadas en provisiones </t>
  </si>
  <si>
    <t>Montaje, colocación y puesta en marcha de equipos - Provisión a cargo del comitente</t>
  </si>
  <si>
    <t>Ascensores - Provisión y colocación a cargo del comitente</t>
  </si>
  <si>
    <t>Artefactos de cocina, instalacion anafes y hornos - Provisión a cargo del comitente</t>
  </si>
  <si>
    <t>Instalacion de extractores de baños - Provisión a cargo del comitente</t>
  </si>
  <si>
    <t>Colocación de ladrillos de vidrio - Provisión a cargo del comitente</t>
  </si>
  <si>
    <t>RESUMEN CERTIFICADO</t>
  </si>
  <si>
    <t xml:space="preserve">CERT. N° </t>
  </si>
  <si>
    <t>IMPORTE</t>
  </si>
  <si>
    <t>Presupuesto aprobado</t>
  </si>
  <si>
    <t>Certificado actual</t>
  </si>
  <si>
    <t>D</t>
  </si>
  <si>
    <t xml:space="preserve">Desacopio </t>
  </si>
  <si>
    <t>Subtotal certificacion actual completa (SIN IVA)</t>
  </si>
  <si>
    <t>Actualización por CAC base Sep-24 por fuera de OC</t>
  </si>
  <si>
    <t>Certif. 8 + Certif. 1</t>
  </si>
  <si>
    <t>0003-00000753</t>
  </si>
  <si>
    <t>0003-00000760</t>
  </si>
  <si>
    <t>Presupuesto 1 - Cert. #8</t>
  </si>
  <si>
    <t>Presupuesto 2 - Cert. #1</t>
  </si>
  <si>
    <t>Fact. 760</t>
  </si>
  <si>
    <t>Certif. 8</t>
  </si>
  <si>
    <t>Cert. 8+1</t>
  </si>
  <si>
    <t>T.C. 1.443</t>
  </si>
  <si>
    <t>Pago Efec. u$s</t>
  </si>
  <si>
    <t>Presupuesto 1 - Certificado #9</t>
  </si>
  <si>
    <r>
      <t xml:space="preserve">CAC - Certif. 9 </t>
    </r>
    <r>
      <rPr>
        <b/>
        <i/>
        <sz val="11"/>
        <color theme="1"/>
        <rFont val="Calibri"/>
        <family val="2"/>
        <scheme val="minor"/>
      </rPr>
      <t>(09-2024 a 10-2025)</t>
    </r>
  </si>
  <si>
    <t>Total Certif. #9</t>
  </si>
  <si>
    <t>Presupuesto 2 - Certificado #2</t>
  </si>
  <si>
    <r>
      <t xml:space="preserve">CAC - Certif. 2 </t>
    </r>
    <r>
      <rPr>
        <b/>
        <i/>
        <sz val="11"/>
        <color theme="1"/>
        <rFont val="Calibri"/>
        <family val="2"/>
        <scheme val="minor"/>
      </rPr>
      <t>(09-2024 a 10-2025)</t>
    </r>
  </si>
  <si>
    <t>Certif. 9+ Certif. 2</t>
  </si>
  <si>
    <t>Fact. 783</t>
  </si>
  <si>
    <t>Certif. 9</t>
  </si>
  <si>
    <t>Presupuesto 1 - Certificado #10</t>
  </si>
  <si>
    <r>
      <t xml:space="preserve">CAC - Certif. 10 </t>
    </r>
    <r>
      <rPr>
        <b/>
        <i/>
        <sz val="11"/>
        <color theme="1"/>
        <rFont val="Calibri"/>
        <family val="2"/>
        <scheme val="minor"/>
      </rPr>
      <t>(09-2024 a 11-2025)</t>
    </r>
  </si>
  <si>
    <t>Total Certif. #10</t>
  </si>
  <si>
    <t>Presupuesto 2 - Certificado #3</t>
  </si>
  <si>
    <r>
      <t xml:space="preserve">CAC - Certif. 3 </t>
    </r>
    <r>
      <rPr>
        <b/>
        <i/>
        <sz val="11"/>
        <color theme="1"/>
        <rFont val="Calibri"/>
        <family val="2"/>
        <scheme val="minor"/>
      </rPr>
      <t>(09-2024 a 11-2025)</t>
    </r>
  </si>
  <si>
    <t>Total Certif. #3</t>
  </si>
  <si>
    <t>0003-00000783</t>
  </si>
  <si>
    <t>Presupuesto 1 - Cert. #9</t>
  </si>
  <si>
    <t>Presupuesto 2 - Cert. #2</t>
  </si>
  <si>
    <t>OBRA: EL SALVADOR 4140</t>
  </si>
  <si>
    <t>PRESUPUESTO TRABAJOS COMPLEMENTARIOS BAÑERAS</t>
  </si>
  <si>
    <t>P Unit</t>
  </si>
  <si>
    <t>Amure bañera</t>
  </si>
  <si>
    <t>0003-00000791</t>
  </si>
  <si>
    <t>Presupuesto 1 - Cert. #10</t>
  </si>
  <si>
    <t>Presupuesto 2 - Cert. #3</t>
  </si>
  <si>
    <t>Certif. 10+ Certif. 3</t>
  </si>
  <si>
    <t>Fact. 791</t>
  </si>
  <si>
    <t>Certif. 10</t>
  </si>
  <si>
    <t>Banco</t>
  </si>
  <si>
    <t>Cert. 9+2</t>
  </si>
  <si>
    <t>Cert. 10+3</t>
  </si>
  <si>
    <t>Presupuesto 1 - Certificado #11</t>
  </si>
  <si>
    <t>Presupuesto 2 - Certificado #4</t>
  </si>
  <si>
    <t>Total Certif. #11</t>
  </si>
  <si>
    <t>Trabajos complementarios - Certif. #1</t>
  </si>
  <si>
    <t>Complem. 12-25</t>
  </si>
  <si>
    <r>
      <t xml:space="preserve">CAC - Certif. 11 </t>
    </r>
    <r>
      <rPr>
        <b/>
        <i/>
        <sz val="11"/>
        <rFont val="Calibri"/>
        <family val="2"/>
        <scheme val="minor"/>
      </rPr>
      <t>(09-2024 a 12-2025)</t>
    </r>
  </si>
  <si>
    <r>
      <t xml:space="preserve">CAC - Certif. 4 </t>
    </r>
    <r>
      <rPr>
        <b/>
        <i/>
        <sz val="11"/>
        <rFont val="Calibri"/>
        <family val="2"/>
        <scheme val="minor"/>
      </rPr>
      <t>(09-2024 a 12-2025)</t>
    </r>
  </si>
  <si>
    <r>
      <t xml:space="preserve">CAC - Certif. #1 </t>
    </r>
    <r>
      <rPr>
        <b/>
        <i/>
        <sz val="11"/>
        <rFont val="Calibri"/>
        <family val="2"/>
        <scheme val="minor"/>
      </rPr>
      <t>(10-2025 a 12-2025)</t>
    </r>
  </si>
  <si>
    <t>Cert. #11</t>
  </si>
  <si>
    <t>Cert. #4</t>
  </si>
  <si>
    <t>IVA Fact.</t>
  </si>
  <si>
    <t>Fecha Operación 04/02/2026</t>
  </si>
  <si>
    <t>Certif. 11+ Certif. 4</t>
  </si>
  <si>
    <t>Fact. 809</t>
  </si>
  <si>
    <t>Trab. Compl.</t>
  </si>
  <si>
    <t>TC Prom.</t>
  </si>
  <si>
    <t>0003-00000809</t>
  </si>
  <si>
    <t>Presupuesto 1 - Cert. #11</t>
  </si>
  <si>
    <t>Presupuesto 2 - Cert. #4</t>
  </si>
  <si>
    <t>SVD4140-Adic</t>
  </si>
  <si>
    <t>Presupuesto Trabajos Complementarios 12/2025</t>
  </si>
  <si>
    <t>Presupuesto Trabajos Complementarios - Cert. #1</t>
  </si>
  <si>
    <t>Adic</t>
  </si>
  <si>
    <t>Cert. 11+4</t>
  </si>
  <si>
    <t>Transferencia Bancaria</t>
  </si>
  <si>
    <t>EMANUEL PASQUARIELLO</t>
  </si>
  <si>
    <t>GESTORIA</t>
  </si>
  <si>
    <t>FERNANDO AMARILLA</t>
  </si>
  <si>
    <t>ELVIO CESPEDES</t>
  </si>
  <si>
    <t>Proyectado/Revoque/Yeso/Carp.Monolitico</t>
  </si>
  <si>
    <t>Anticipo - Monolitico y Revoques</t>
  </si>
  <si>
    <t>Certif. #2</t>
  </si>
  <si>
    <t>Certif. #3</t>
  </si>
  <si>
    <t>Certif. #4</t>
  </si>
  <si>
    <t>Certif. #5</t>
  </si>
  <si>
    <t>Certif. #6</t>
  </si>
  <si>
    <t>Certif. #7</t>
  </si>
  <si>
    <t>MARCELO FABIAN SILVA</t>
  </si>
  <si>
    <t>INSTALACION AIRE ACONDICIONADO</t>
  </si>
  <si>
    <t>AACC Silva Marcelo Cert#1 SVD</t>
  </si>
  <si>
    <t>Certif. #1 - Yeso/Revoque</t>
  </si>
  <si>
    <t>Certif. #2 - Yeso/Revoque</t>
  </si>
  <si>
    <t>Yesero-Certif. #3</t>
  </si>
  <si>
    <t>Presupuesto 1 - Certificado #12</t>
  </si>
  <si>
    <r>
      <t xml:space="preserve">CAC - Certif. 12 </t>
    </r>
    <r>
      <rPr>
        <b/>
        <i/>
        <sz val="11"/>
        <rFont val="Calibri"/>
        <family val="2"/>
        <scheme val="minor"/>
      </rPr>
      <t>(09-2024 a 01-2026)</t>
    </r>
  </si>
  <si>
    <t>Presupuesto 2 - Certificado #5</t>
  </si>
  <si>
    <t>Total Certif. #12</t>
  </si>
  <si>
    <r>
      <t xml:space="preserve">CAC - Certif. 5 </t>
    </r>
    <r>
      <rPr>
        <b/>
        <i/>
        <sz val="11"/>
        <rFont val="Calibri"/>
        <family val="2"/>
        <scheme val="minor"/>
      </rPr>
      <t>(09-2024 a 01-2026)</t>
    </r>
  </si>
  <si>
    <r>
      <t xml:space="preserve">CAC - Certif. #1 </t>
    </r>
    <r>
      <rPr>
        <b/>
        <i/>
        <sz val="11"/>
        <rFont val="Calibri"/>
        <family val="2"/>
        <scheme val="minor"/>
      </rPr>
      <t>(10-2025 a 01-2026)</t>
    </r>
  </si>
  <si>
    <t>EZEQUIEL MENDOZA</t>
  </si>
  <si>
    <t xml:space="preserve">Anticipo </t>
  </si>
  <si>
    <t>Punit MO</t>
  </si>
  <si>
    <t>Subt MO</t>
  </si>
  <si>
    <t>P unit nmat</t>
  </si>
  <si>
    <t>Subt mat</t>
  </si>
  <si>
    <t>Subt</t>
  </si>
  <si>
    <t>AACC Silva Marcelo Cert#2 SVD</t>
  </si>
  <si>
    <t>Yesero-Certif. #4</t>
  </si>
  <si>
    <t>Certif. #8</t>
  </si>
  <si>
    <t>Certif. #9</t>
  </si>
  <si>
    <t>Certif. 12+ Certif. 5</t>
  </si>
  <si>
    <t>Certif. 12</t>
  </si>
  <si>
    <t>Certif. 11</t>
  </si>
  <si>
    <t>u$s 4.106 T.C. 1.412</t>
  </si>
  <si>
    <t>u$s 15.000 T.C. 1.416</t>
  </si>
  <si>
    <t>0003-00000831</t>
  </si>
  <si>
    <t>Presupuesto 1 - Cert. #12</t>
  </si>
  <si>
    <t>Presupuesto 2 - Cert. #5</t>
  </si>
  <si>
    <t>No lo pago</t>
  </si>
  <si>
    <t>Cert. 12+5</t>
  </si>
  <si>
    <t>Presupuesto 2 - Certificado #6</t>
  </si>
  <si>
    <r>
      <t xml:space="preserve">CAC - Certif. 6 </t>
    </r>
    <r>
      <rPr>
        <b/>
        <i/>
        <sz val="11"/>
        <rFont val="Calibri"/>
        <family val="2"/>
        <scheme val="minor"/>
      </rPr>
      <t>(09-2024 a 02-2026)</t>
    </r>
  </si>
  <si>
    <r>
      <t xml:space="preserve">CAC - Certif. #1 </t>
    </r>
    <r>
      <rPr>
        <b/>
        <i/>
        <sz val="11"/>
        <rFont val="Calibri"/>
        <family val="2"/>
        <scheme val="minor"/>
      </rPr>
      <t>(10-2025 a 02-2026)</t>
    </r>
  </si>
  <si>
    <t>MARCELO SCHULZE</t>
  </si>
  <si>
    <t>1Q 04/26</t>
  </si>
  <si>
    <t>AACC Silva Marcelo Cert#3 SVD</t>
  </si>
  <si>
    <t>Certif. #10</t>
  </si>
  <si>
    <t>.</t>
  </si>
  <si>
    <t>..</t>
  </si>
  <si>
    <t>DEDUCTIVOS</t>
  </si>
  <si>
    <r>
      <t>Revoque Grueso Impermeable Exterior a mas de 3m proyectable -</t>
    </r>
    <r>
      <rPr>
        <i/>
        <sz val="10"/>
        <color rgb="FFFF0000"/>
        <rFont val="Calibri"/>
        <family val="2"/>
      </rPr>
      <t xml:space="preserve"> Medianero y fachadas</t>
    </r>
  </si>
  <si>
    <r>
      <t xml:space="preserve">Revestimiento tejuela exterior </t>
    </r>
    <r>
      <rPr>
        <sz val="10"/>
        <color rgb="FFFF0000"/>
        <rFont val="Calibri"/>
        <family val="2"/>
      </rPr>
      <t>- Provisión a cargo del comitente</t>
    </r>
  </si>
  <si>
    <t>Tablero UF - Circuitos independientes</t>
  </si>
  <si>
    <t>2Q 04/26</t>
  </si>
  <si>
    <t>HORMIGON ALISADO - Revestimiento</t>
  </si>
  <si>
    <t>AACC Silva Marcelo Cert#4 SVD</t>
  </si>
  <si>
    <t>Resultado Operativo USD</t>
  </si>
  <si>
    <t>Resultado Acumulado USD</t>
  </si>
  <si>
    <t>Cotización Dólar MEP
Histórico</t>
  </si>
  <si>
    <t>Referencia</t>
  </si>
  <si>
    <t>1.299,32</t>
  </si>
  <si>
    <t>1.286,38</t>
  </si>
  <si>
    <t>1.287,59</t>
  </si>
  <si>
    <t>Trabajos complement - Medianera Vecino - Completo</t>
  </si>
  <si>
    <t>Medianera</t>
  </si>
  <si>
    <t>u$s 25.000</t>
  </si>
  <si>
    <t>Cheques</t>
  </si>
  <si>
    <t>Presupuesto 2 - Certificado #7</t>
  </si>
  <si>
    <r>
      <t xml:space="preserve">CAC - Certif. 7 </t>
    </r>
    <r>
      <rPr>
        <b/>
        <i/>
        <sz val="11"/>
        <rFont val="Calibri"/>
        <family val="2"/>
        <scheme val="minor"/>
      </rPr>
      <t>(09-2024 a 03-2026)</t>
    </r>
  </si>
  <si>
    <t>Complem. 02</t>
  </si>
  <si>
    <t>Trabajos complementarios - Certif. #2</t>
  </si>
  <si>
    <r>
      <t xml:space="preserve">CAC - Certif. #2 </t>
    </r>
    <r>
      <rPr>
        <b/>
        <i/>
        <sz val="11"/>
        <rFont val="Calibri"/>
        <family val="2"/>
        <scheme val="minor"/>
      </rPr>
      <t>(10-2025 a 03-2026)</t>
    </r>
  </si>
  <si>
    <t>0003-00000846</t>
  </si>
  <si>
    <t>Presupuesto 2 - Cert. #6</t>
  </si>
  <si>
    <t>SVD4140-MED</t>
  </si>
  <si>
    <t>Trabajos Complementarios Medianera</t>
  </si>
  <si>
    <t>MED</t>
  </si>
  <si>
    <t>Certif. #11</t>
  </si>
  <si>
    <t xml:space="preserve">Yesero - Certif. 5 </t>
  </si>
  <si>
    <t>Revoque - Certif. 6</t>
  </si>
  <si>
    <t>Yeso - Certif. 6</t>
  </si>
  <si>
    <t>Revoque - Certif. 7</t>
  </si>
  <si>
    <t>Yeso - Certif. 7</t>
  </si>
  <si>
    <t>Revoque - Certif. 8</t>
  </si>
  <si>
    <t>Yeso - Certif. 8</t>
  </si>
  <si>
    <t>Revoque - Certif. 9</t>
  </si>
  <si>
    <t>Yeso - Certif. 9</t>
  </si>
  <si>
    <t>Complementario</t>
  </si>
  <si>
    <t>Complementario - Certif. 9</t>
  </si>
  <si>
    <t>Adelanto - Cert #1</t>
  </si>
  <si>
    <t>1Q 05/26</t>
  </si>
  <si>
    <t>Revoque - Certif. 10</t>
  </si>
  <si>
    <t>Yeso - Certif. 10</t>
  </si>
  <si>
    <t>0003-00000865</t>
  </si>
  <si>
    <t>Presupuesto 2 - Cert. #7</t>
  </si>
  <si>
    <t>Presupuesto Trabajos Complementarios - Cert. #2</t>
  </si>
  <si>
    <t>865</t>
  </si>
  <si>
    <t>Complem. C#2</t>
  </si>
  <si>
    <t>u$s 40.000</t>
  </si>
  <si>
    <t>Certif. #12</t>
  </si>
  <si>
    <t>Revoque - Certif. 11</t>
  </si>
  <si>
    <t>Presupuesto 2 - Certificado #8</t>
  </si>
  <si>
    <r>
      <t xml:space="preserve">CAC - Certif. 8 </t>
    </r>
    <r>
      <rPr>
        <b/>
        <i/>
        <sz val="11"/>
        <rFont val="Calibri"/>
        <family val="2"/>
        <scheme val="minor"/>
      </rPr>
      <t>(09-2024 a 04-2026)</t>
    </r>
  </si>
  <si>
    <t>Trabajos complementarios - Certif. #3</t>
  </si>
  <si>
    <r>
      <t xml:space="preserve">CAC - Certif. #3 </t>
    </r>
    <r>
      <rPr>
        <b/>
        <i/>
        <sz val="11"/>
        <rFont val="Calibri"/>
        <family val="2"/>
        <scheme val="minor"/>
      </rPr>
      <t>(10-2025 a 04-2026)</t>
    </r>
  </si>
  <si>
    <t>Revoque - Certif. 12</t>
  </si>
  <si>
    <t>2Q 05/26</t>
  </si>
  <si>
    <t>Yeso - Certif. 12</t>
  </si>
  <si>
    <t>MANSILLA DERQUI</t>
  </si>
  <si>
    <t>CALEFACCION PISO RADIANTE</t>
  </si>
  <si>
    <t>Anticipo - Fact. 6-6667</t>
  </si>
  <si>
    <r>
      <t xml:space="preserve">Limpieza y preparación del terreno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</si>
  <si>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Cartel de Obra </t>
    </r>
    <r>
      <rPr>
        <i/>
        <sz val="8"/>
        <color rgb="FFFF0000"/>
        <rFont val="Calibri"/>
        <family val="2"/>
        <scheme val="minor"/>
      </rPr>
      <t>- No cotiza</t>
    </r>
  </si>
  <si>
    <r>
      <t>Cerco de obra perimetral</t>
    </r>
    <r>
      <rPr>
        <i/>
        <sz val="8"/>
        <color rgb="FFFF0000"/>
        <rFont val="Calibri"/>
        <family val="2"/>
        <scheme val="minor"/>
      </rPr>
      <t xml:space="preserve"> - En chapa C25 + Concertina + Porton corredizo </t>
    </r>
  </si>
  <si>
    <r>
      <t xml:space="preserve">Demolición y retiro de fundaciones existentes </t>
    </r>
    <r>
      <rPr>
        <i/>
        <sz val="8"/>
        <color rgb="FFFF0000"/>
        <rFont val="Calibri"/>
        <family val="2"/>
        <scheme val="minor"/>
      </rPr>
      <t>- No cotiza</t>
    </r>
  </si>
  <si>
    <r>
      <t>Junta de impermeabilización de PVC -</t>
    </r>
    <r>
      <rPr>
        <i/>
        <sz val="8"/>
        <color rgb="FFFF0000"/>
        <rFont val="Calibri"/>
        <family val="2"/>
        <scheme val="minor"/>
      </rPr>
      <t xml:space="preserve"> Sika Waterbars v15 x 15mts o similar</t>
    </r>
  </si>
  <si>
    <r>
      <t xml:space="preserve">Picado de medianeras para columnas y vigas </t>
    </r>
    <r>
      <rPr>
        <i/>
        <sz val="8"/>
        <color rgb="FFFF0000"/>
        <rFont val="Calibri"/>
        <family val="2"/>
        <scheme val="minor"/>
      </rPr>
      <t xml:space="preserve">- Cotizado solo para PB y 1P, </t>
    </r>
    <r>
      <rPr>
        <b/>
        <i/>
        <sz val="8"/>
        <color rgb="FFFF0000"/>
        <rFont val="Calibri"/>
        <family val="2"/>
        <scheme val="minor"/>
      </rPr>
      <t>No</t>
    </r>
    <r>
      <rPr>
        <i/>
        <sz val="8"/>
        <color rgb="FFFF0000"/>
        <rFont val="Calibri"/>
        <family val="2"/>
        <scheme val="minor"/>
      </rPr>
      <t xml:space="preserve"> contempla picado en SS</t>
    </r>
  </si>
  <si>
    <r>
      <t xml:space="preserve">Enchape medianeras existentes </t>
    </r>
    <r>
      <rPr>
        <sz val="8"/>
        <color rgb="FFFF0000"/>
        <rFont val="Calibri"/>
        <family val="2"/>
        <scheme val="minor"/>
      </rPr>
      <t>- Contemplamos picado zonas sueltas y enchape con ladrillo comun para PB</t>
    </r>
  </si>
  <si>
    <r>
      <t xml:space="preserve">Aislación hidrófuga horizontal (baños) - </t>
    </r>
    <r>
      <rPr>
        <i/>
        <sz val="8"/>
        <color rgb="FFFF0000"/>
        <rFont val="Calibri"/>
        <family val="2"/>
        <scheme val="minor"/>
      </rPr>
      <t>Inc. membrana geotextil</t>
    </r>
    <r>
      <rPr>
        <sz val="8"/>
        <color rgb="FFFF0000"/>
        <rFont val="Calibri"/>
        <family val="2"/>
        <scheme val="minor"/>
      </rPr>
      <t xml:space="preserve"> y 35% en concepto de babetas</t>
    </r>
  </si>
  <si>
    <r>
      <t xml:space="preserve">Azotado hidrofugo - </t>
    </r>
    <r>
      <rPr>
        <i/>
        <sz val="8"/>
        <color rgb="FFFF0000"/>
        <rFont val="Calibri"/>
        <family val="2"/>
        <scheme val="minor"/>
      </rPr>
      <t>Sobre medianeras existentes</t>
    </r>
  </si>
  <si>
    <r>
      <t xml:space="preserve">Azotado hidrofugo - </t>
    </r>
    <r>
      <rPr>
        <i/>
        <sz val="8"/>
        <color rgb="FFFF0000"/>
        <rFont val="Calibri"/>
        <family val="2"/>
        <scheme val="minor"/>
      </rPr>
      <t xml:space="preserve">Contrapiso de vereda </t>
    </r>
  </si>
  <si>
    <r>
      <t xml:space="preserve">Membrana asfaltica geotextil 4mm </t>
    </r>
    <r>
      <rPr>
        <i/>
        <sz val="8"/>
        <color rgb="FFFF0000"/>
        <rFont val="Calibri"/>
        <family val="2"/>
        <scheme val="minor"/>
      </rPr>
      <t>- Balcones y azotea - Inc. 20% en concepto de babetas</t>
    </r>
  </si>
  <si>
    <r>
      <t xml:space="preserve">Revoque Grueso Impermeable Exterior a mas de 3m proyectable </t>
    </r>
    <r>
      <rPr>
        <i/>
        <sz val="8"/>
        <color rgb="FFFF0000"/>
        <rFont val="Calibri"/>
        <family val="2"/>
        <scheme val="minor"/>
      </rPr>
      <t>- Medianero y fachadas</t>
    </r>
  </si>
  <si>
    <r>
      <t xml:space="preserve">Ventilación Conducto Humos. Incluye toma de aire en PB </t>
    </r>
    <r>
      <rPr>
        <i/>
        <sz val="8"/>
        <color rgb="FFFF0000"/>
        <rFont val="Calibri"/>
        <family val="2"/>
        <scheme val="minor"/>
      </rPr>
      <t>- No aplica s/proyecto</t>
    </r>
  </si>
  <si>
    <r>
      <t xml:space="preserve">Ventilación Baños </t>
    </r>
    <r>
      <rPr>
        <i/>
        <sz val="8"/>
        <color rgb="FFFF0000"/>
        <rFont val="Calibri"/>
        <family val="2"/>
        <scheme val="minor"/>
      </rPr>
      <t xml:space="preserve">- En caño Ø 110 </t>
    </r>
  </si>
  <si>
    <r>
      <t>Colocación de rejillas de inyección y extracción</t>
    </r>
    <r>
      <rPr>
        <i/>
        <sz val="8"/>
        <color rgb="FFFF0000"/>
        <rFont val="Calibri"/>
        <family val="2"/>
        <scheme val="minor"/>
      </rPr>
      <t xml:space="preserve"> - No aplica s/proyecto</t>
    </r>
  </si>
  <si>
    <r>
      <t xml:space="preserve">Colocación de travertino en hall PB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</si>
  <si>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porcelanato en paliers, terraza y espacios comunes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</si>
  <si>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porcelanato en UF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</si>
  <si>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porcelanato en baños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</si>
  <si>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Colocación de baldoson de vereda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</si>
  <si>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zocalo de porcelanico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</si>
  <si>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palieres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</si>
  <si>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terraza y espacios comunes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</si>
  <si>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Revestimiento en baños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</si>
  <si>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>Revestimiento en cocinas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</si>
  <si>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Revestimiento tejuela exterior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</si>
  <si>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Convertidor y esmalte sintentico en barandas </t>
    </r>
    <r>
      <rPr>
        <i/>
        <sz val="8"/>
        <color rgb="FFFF0000"/>
        <rFont val="Calibri"/>
        <family val="2"/>
        <scheme val="minor"/>
      </rPr>
      <t>- Escalera, balcones, porton, medidores y SDM</t>
    </r>
  </si>
  <si>
    <r>
      <t xml:space="preserve">Amure de puertas placa </t>
    </r>
    <r>
      <rPr>
        <i/>
        <sz val="8"/>
        <color rgb="FFFF0000"/>
        <rFont val="Calibri"/>
        <family val="2"/>
        <scheme val="minor"/>
      </rPr>
      <t xml:space="preserve"> Provisión a cargo del comitente</t>
    </r>
  </si>
  <si>
    <r>
      <t xml:space="preserve">Amure de puertas de chapa e ingresos depto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</si>
  <si>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Amure de premarcos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</si>
  <si>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Amure Puertas de Ascensor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</si>
  <si>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Tendido y cableado boca de temostato </t>
    </r>
    <r>
      <rPr>
        <i/>
        <sz val="8"/>
        <color rgb="FFFF0000"/>
        <rFont val="Calibri"/>
        <family val="2"/>
        <scheme val="minor"/>
      </rPr>
      <t>- Sin instalación de termostato</t>
    </r>
  </si>
  <si>
    <r>
      <t xml:space="preserve">Colocación de sensor de movimiento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</si>
  <si>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Colocación de teclas simples y/o combinadas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</si>
  <si>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pulsadores, circulación + timbres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</si>
  <si>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tomacorriente simple y doble 10 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</si>
  <si>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luz de emergencia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</si>
  <si>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zumbador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</si>
  <si>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artefactos en espacios comunes y balcones </t>
    </r>
    <r>
      <rPr>
        <i/>
        <sz val="8"/>
        <color rgb="FFFF0000"/>
        <rFont val="Calibri"/>
        <family val="2"/>
        <scheme val="minor"/>
      </rPr>
      <t>- Provisión a cargo del comitente. NO incluye provisión, ni colocación de artefactos en interior de UF</t>
    </r>
  </si>
  <si>
    <r>
      <t xml:space="preserve">Colocación de fotocelula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</si>
  <si>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artefactos y griferias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</si>
  <si>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Armado y conexionado de desagües </t>
    </r>
    <r>
      <rPr>
        <sz val="8"/>
        <rFont val="Calibri"/>
        <family val="2"/>
        <scheme val="minor"/>
      </rPr>
      <t>AA.CC</t>
    </r>
  </si>
  <si>
    <r>
      <t xml:space="preserve">Montaje de radiadores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</si>
  <si>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Montaje de caldera y puesta en marcha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</si>
  <si>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Tendido cañeria de incendio </t>
    </r>
    <r>
      <rPr>
        <i/>
        <sz val="8"/>
        <color rgb="FFFF0000"/>
        <rFont val="Calibri"/>
        <family val="2"/>
        <scheme val="minor"/>
      </rPr>
      <t xml:space="preserve">- Gabinetes, mangueras, lanzas y valvulas cotizadas en provisiones </t>
    </r>
  </si>
  <si>
    <r>
      <t>Montaje, colocación y puesta en marcha de equipos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</si>
  <si>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Ascensores </t>
    </r>
    <r>
      <rPr>
        <i/>
        <sz val="8"/>
        <color rgb="FFFF0000"/>
        <rFont val="Calibri"/>
        <family val="2"/>
        <scheme val="minor"/>
      </rPr>
      <t>- Provisión y colocación a cargo del comitente</t>
    </r>
  </si>
  <si>
    <r>
      <t>Artefactos de cocina, instalacion anafes y hornos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</si>
  <si>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>Instalacion de extractores de baños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</si>
  <si>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ladrillos de vidrio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</si>
  <si>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Tanques y bombas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</si>
  <si>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Matafuego ABC x 5 kg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</si>
  <si>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Matafuego CO2 x 3,5 kg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</si>
  <si>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Boca de incencio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</si>
  <si>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Boca de impulsión </t>
    </r>
    <r>
      <rPr>
        <i/>
        <sz val="8"/>
        <color rgb="FFFF0000"/>
        <rFont val="Calibri"/>
        <family val="2"/>
        <scheme val="minor"/>
      </rPr>
      <t>- No cotiza</t>
    </r>
  </si>
  <si>
    <r>
      <t>Provisión de teclas, tomacorrientes, pulsadores marca Cambre Linea SXXI</t>
    </r>
    <r>
      <rPr>
        <i/>
        <sz val="8"/>
        <color rgb="FFFF0000"/>
        <rFont val="Calibri"/>
        <family val="2"/>
        <scheme val="minor"/>
      </rPr>
      <t xml:space="preserve"> No incluye mod. Coaxil ni RJ45</t>
    </r>
  </si>
  <si>
    <r>
      <t xml:space="preserve">Limpieza y preparación del terreno </t>
    </r>
    <r>
      <rPr>
        <i/>
        <sz val="8"/>
        <color rgb="FFFF0000"/>
        <rFont val="Calibri"/>
        <family val="2"/>
      </rPr>
      <t>- No cotiza</t>
    </r>
  </si>
  <si>
    <r>
      <t xml:space="preserve">Cartel de Obra </t>
    </r>
    <r>
      <rPr>
        <i/>
        <sz val="8"/>
        <color rgb="FFFF0000"/>
        <rFont val="Calibri"/>
        <family val="2"/>
      </rPr>
      <t>- No cotiza</t>
    </r>
  </si>
  <si>
    <r>
      <t>Cerco de obra perimetral</t>
    </r>
    <r>
      <rPr>
        <i/>
        <sz val="8"/>
        <color rgb="FFFF0000"/>
        <rFont val="Calibri"/>
        <family val="2"/>
      </rPr>
      <t xml:space="preserve"> - En chapa C25 + Concertina + Porton corredizo </t>
    </r>
  </si>
  <si>
    <r>
      <t xml:space="preserve">Demolición y retiro de fundaciones existentes </t>
    </r>
    <r>
      <rPr>
        <i/>
        <sz val="8"/>
        <color rgb="FFFF0000"/>
        <rFont val="Calibri"/>
        <family val="2"/>
      </rPr>
      <t>- No cotiza</t>
    </r>
  </si>
  <si>
    <r>
      <t>Junta de impermeabilización de PVC -</t>
    </r>
    <r>
      <rPr>
        <i/>
        <sz val="8"/>
        <color rgb="FFFF0000"/>
        <rFont val="Calibri"/>
        <family val="2"/>
      </rPr>
      <t xml:space="preserve"> Sika Waterbars v15 x 15mts o similar</t>
    </r>
  </si>
  <si>
    <r>
      <t xml:space="preserve">Picado de medianeras para columnas y vigas </t>
    </r>
    <r>
      <rPr>
        <i/>
        <sz val="8"/>
        <color rgb="FFFF0000"/>
        <rFont val="Calibri"/>
        <family val="2"/>
      </rPr>
      <t xml:space="preserve">- Cotizado solo para PB y 1P, </t>
    </r>
    <r>
      <rPr>
        <b/>
        <i/>
        <sz val="8"/>
        <color rgb="FFFF0000"/>
        <rFont val="Calibri"/>
        <family val="2"/>
      </rPr>
      <t>No</t>
    </r>
    <r>
      <rPr>
        <i/>
        <sz val="8"/>
        <color rgb="FFFF0000"/>
        <rFont val="Calibri"/>
        <family val="2"/>
      </rPr>
      <t xml:space="preserve"> contempla picado en SS</t>
    </r>
  </si>
  <si>
    <r>
      <t xml:space="preserve">Enchape medianeras existentes </t>
    </r>
    <r>
      <rPr>
        <sz val="8"/>
        <color rgb="FFFF0000"/>
        <rFont val="Calibri"/>
        <family val="2"/>
      </rPr>
      <t>- Contemplamos picado zonas sueltas y enchape con ladrillo comun para PB</t>
    </r>
  </si>
  <si>
    <r>
      <t xml:space="preserve">Aislación hidrófuga horizontal (baños) - </t>
    </r>
    <r>
      <rPr>
        <i/>
        <sz val="8"/>
        <color rgb="FFFF0000"/>
        <rFont val="Calibri"/>
        <family val="2"/>
      </rPr>
      <t>Inc. membrana geotextil</t>
    </r>
    <r>
      <rPr>
        <sz val="8"/>
        <color rgb="FFFF0000"/>
        <rFont val="Calibri"/>
        <family val="2"/>
      </rPr>
      <t xml:space="preserve"> y 35% en concepto de babetas</t>
    </r>
  </si>
  <si>
    <r>
      <t xml:space="preserve">Azotado hidrofugo - </t>
    </r>
    <r>
      <rPr>
        <i/>
        <sz val="8"/>
        <color rgb="FFFF0000"/>
        <rFont val="Calibri"/>
        <family val="2"/>
      </rPr>
      <t>Sobre medianeras existentes</t>
    </r>
  </si>
  <si>
    <r>
      <t xml:space="preserve">Azotado hidrofugo - </t>
    </r>
    <r>
      <rPr>
        <i/>
        <sz val="8"/>
        <color rgb="FFFF0000"/>
        <rFont val="Calibri"/>
        <family val="2"/>
      </rPr>
      <t xml:space="preserve">Contrapiso de vereda </t>
    </r>
  </si>
  <si>
    <r>
      <t xml:space="preserve">Membrana asfaltica geotextil 4mm </t>
    </r>
    <r>
      <rPr>
        <i/>
        <sz val="8"/>
        <color rgb="FFFF0000"/>
        <rFont val="Calibri"/>
        <family val="2"/>
      </rPr>
      <t>- Balcones y azotea - Inc. 20% en concepto de babetas</t>
    </r>
  </si>
  <si>
    <r>
      <t xml:space="preserve">Revoque Grueso Impermeable Exterior a mas de 3m proyectable </t>
    </r>
    <r>
      <rPr>
        <i/>
        <sz val="8"/>
        <color rgb="FFFF0000"/>
        <rFont val="Calibri"/>
        <family val="2"/>
      </rPr>
      <t>- Medianero y fachadas</t>
    </r>
  </si>
  <si>
    <r>
      <t xml:space="preserve">Ventilación Conducto Humos. Incluye toma de aire en PB </t>
    </r>
    <r>
      <rPr>
        <i/>
        <sz val="8"/>
        <color rgb="FFFF0000"/>
        <rFont val="Calibri"/>
        <family val="2"/>
      </rPr>
      <t>- No aplica s/proyecto</t>
    </r>
  </si>
  <si>
    <r>
      <t xml:space="preserve">Ventilación Baños </t>
    </r>
    <r>
      <rPr>
        <i/>
        <sz val="8"/>
        <color rgb="FFFF0000"/>
        <rFont val="Calibri"/>
        <family val="2"/>
      </rPr>
      <t xml:space="preserve">- En caño Ø 110 </t>
    </r>
  </si>
  <si>
    <r>
      <t>Colocación de rejillas de inyección y extracción</t>
    </r>
    <r>
      <rPr>
        <i/>
        <sz val="8"/>
        <color rgb="FFFF0000"/>
        <rFont val="Calibri"/>
        <family val="2"/>
      </rPr>
      <t xml:space="preserve"> - No aplica s/proyecto</t>
    </r>
  </si>
  <si>
    <r>
      <t xml:space="preserve">Colocación de travertino en hall PB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</si>
  <si>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porcelanato en paliers, terraza y espacios comunes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</si>
  <si>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porcelanato en UF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</si>
  <si>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porcelanato en baños </t>
    </r>
    <r>
      <rPr>
        <i/>
        <sz val="8"/>
        <color rgb="FFFF0000"/>
        <rFont val="Calibri"/>
        <family val="2"/>
      </rPr>
      <t>- Provisión a cargo del comitente</t>
    </r>
  </si>
  <si>
    <r>
      <t>Colocación de baldoson de vereda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</si>
  <si>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 xml:space="preserve">Colocación de zocalo de porcelanico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</si>
  <si>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zocalo de porcelanato en palieres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</si>
  <si>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zocalo de porcelanato en terraza y espacios comunes </t>
    </r>
    <r>
      <rPr>
        <i/>
        <sz val="8"/>
        <color rgb="FFFF0000"/>
        <rFont val="Calibri"/>
        <family val="2"/>
      </rPr>
      <t>- Provisión a cargo del comitente</t>
    </r>
  </si>
  <si>
    <r>
      <t>Revestimiento en baños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</si>
  <si>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>Revestimiento en cocinas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</si>
  <si>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 xml:space="preserve">Revestimiento tejuela exterior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</si>
  <si>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Convertidor y esmalte sintentico en barandas </t>
    </r>
    <r>
      <rPr>
        <i/>
        <sz val="8"/>
        <color rgb="FFFF0000"/>
        <rFont val="Calibri"/>
        <family val="2"/>
      </rPr>
      <t>- Escalera, balcones, porton, medidores y SDM</t>
    </r>
  </si>
  <si>
    <r>
      <t xml:space="preserve">Amure de puertas placa </t>
    </r>
    <r>
      <rPr>
        <i/>
        <sz val="8"/>
        <color rgb="FFFF0000"/>
        <rFont val="Calibri"/>
        <family val="2"/>
      </rPr>
      <t xml:space="preserve"> Provisión a cargo del comitente</t>
    </r>
  </si>
  <si>
    <r>
      <t xml:space="preserve">Amure de puertas de chapa e ingresos depto </t>
    </r>
    <r>
      <rPr>
        <i/>
        <sz val="8"/>
        <color rgb="FFFF0000"/>
        <rFont val="Calibri"/>
        <family val="2"/>
      </rPr>
      <t>- Provisión a cargo del comitente</t>
    </r>
  </si>
  <si>
    <r>
      <t>Amure de premarcos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</si>
  <si>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 xml:space="preserve">Amure Puertas de Ascensor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</si>
  <si>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Tendido y cableado boca de temostato </t>
    </r>
    <r>
      <rPr>
        <i/>
        <sz val="8"/>
        <color rgb="FFFF0000"/>
        <rFont val="Calibri"/>
        <family val="2"/>
      </rPr>
      <t>- Sin instalación de termostato</t>
    </r>
  </si>
  <si>
    <r>
      <t xml:space="preserve">Colocación de sensor de movimiento </t>
    </r>
    <r>
      <rPr>
        <i/>
        <sz val="8"/>
        <color rgb="FFFF0000"/>
        <rFont val="Calibri"/>
        <family val="2"/>
      </rPr>
      <t>- Provisión a cargo del comitente</t>
    </r>
  </si>
  <si>
    <r>
      <t>Colocación de teclas simples y/o combinadas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</si>
  <si>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 xml:space="preserve">Colocación de pulsadores, circulación + timbres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</si>
  <si>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tomacorriente simple y doble 10 A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</si>
  <si>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luz de emergencia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</si>
  <si>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zumbador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</si>
  <si>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artefactos en espacios comunes y balcones </t>
    </r>
    <r>
      <rPr>
        <i/>
        <sz val="8"/>
        <color rgb="FFFF0000"/>
        <rFont val="Calibri"/>
        <family val="2"/>
      </rPr>
      <t>- Provisión a cargo del comitente. NO incluye provisión, ni colocación de artefactos en interior de UF</t>
    </r>
  </si>
  <si>
    <r>
      <t xml:space="preserve">Colocación de fotocelula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</si>
  <si>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Colocación de artefactos y griferias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</si>
  <si>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Armado y conexionado de desagües </t>
    </r>
    <r>
      <rPr>
        <sz val="8"/>
        <rFont val="Calibri"/>
        <family val="2"/>
      </rPr>
      <t>AA.CC</t>
    </r>
  </si>
  <si>
    <r>
      <t xml:space="preserve">Montaje de radiadores </t>
    </r>
    <r>
      <rPr>
        <i/>
        <sz val="8"/>
        <color rgb="FFFF0000"/>
        <rFont val="Calibri"/>
        <family val="2"/>
      </rPr>
      <t>- Provisión a cargo del comitente</t>
    </r>
  </si>
  <si>
    <r>
      <t xml:space="preserve">Montaje de caldera y puesta en marcha </t>
    </r>
    <r>
      <rPr>
        <i/>
        <sz val="8"/>
        <color rgb="FFFF0000"/>
        <rFont val="Calibri"/>
        <family val="2"/>
      </rPr>
      <t>- Provisión a cargo del comitente</t>
    </r>
  </si>
  <si>
    <r>
      <t>Diferencia por piso radiante</t>
    </r>
    <r>
      <rPr>
        <sz val="8"/>
        <color rgb="FFFF0000"/>
        <rFont val="Calibri"/>
        <family val="2"/>
      </rPr>
      <t xml:space="preserve"> (colectores y gabinetes a cargo del comitente)</t>
    </r>
  </si>
  <si>
    <r>
      <t xml:space="preserve">Tendido cañeria de incendio </t>
    </r>
    <r>
      <rPr>
        <i/>
        <sz val="8"/>
        <color rgb="FFFF0000"/>
        <rFont val="Calibri"/>
        <family val="2"/>
      </rPr>
      <t xml:space="preserve">- Gabinetes, mangueras, lanzas y valvulas cotizadas en provisiones </t>
    </r>
  </si>
  <si>
    <r>
      <t>Montaje, colocación y puesta en marcha de equipos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</si>
  <si>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 xml:space="preserve">Ascensores </t>
    </r>
    <r>
      <rPr>
        <i/>
        <sz val="8"/>
        <color rgb="FFFF0000"/>
        <rFont val="Calibri"/>
        <family val="2"/>
      </rPr>
      <t>- Provisión y colocación a cargo del comitente</t>
    </r>
  </si>
  <si>
    <r>
      <t>Artefactos de cocina, instalacion anafes y hornos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</si>
  <si>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>Instalacion de extractores de baños</t>
    </r>
    <r>
      <rPr>
        <i/>
        <sz val="8"/>
        <color rgb="FFFF0000"/>
        <rFont val="Calibri"/>
        <family val="2"/>
      </rPr>
      <t xml:space="preserve"> - Provisión a cargo del comitente</t>
    </r>
  </si>
  <si>
    <r>
      <t xml:space="preserve">Colocación de ladrillos de vidrio </t>
    </r>
    <r>
      <rPr>
        <i/>
        <sz val="8"/>
        <color rgb="FFFF0000"/>
        <rFont val="Calibri"/>
        <family val="2"/>
      </rPr>
      <t>- Provisión a cargo del comitente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</si>
</sst>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(* #,##0.00_);_(* \(#,##0.00\);_(* &quot;-&quot;??_);_(@_)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* #,##0.00_-;\-* #,##0.00_-;_-* &quot;-&quot;??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* #,##0_ ;_ * \-#,##0_ ;_ * &quot;-&quot;_ ;_ @_ "/>
    <numFmt numFmtId="170" formatCode="_-* #,##0_-;\-* #,##0_-;_-* &quot;-&quot;??_-;_-@_-"/>
    <numFmt numFmtId="171" formatCode="[$$-2C0A]\ #,##0.00"/>
    <numFmt numFmtId="172" formatCode="dd\-mm\-yy;@"/>
    <numFmt numFmtId="173" formatCode="_-* #,##0.00\ _€_-;\-* #,##0.00\ _€_-;_-* &quot;-&quot;??\ _€_-;_-@_-"/>
    <numFmt numFmtId="174" formatCode="_-* #,##0.00\ _$_-;\-* #,##0.00\ _$_-;_-* &quot;-&quot;??\ _$_-;_-@_-"/>
    <numFmt numFmtId="175" formatCode="0\ &quot;Dias&quot;"/>
    <numFmt numFmtId="176" formatCode="_(* #,##0_);_(* \(#,##0\);_(* &quot;-&quot;??_);_(@_)"/>
    <numFmt numFmtId="177" formatCode="_-* #,##0.00\ _p_t_a_-;\-* #,##0.00\ _p_t_a_-;_-* &quot;-&quot;??\ _p_t_a_-;_-@_-"/>
    <numFmt numFmtId="178" formatCode="_(* #,##0.0000_);_(* \(#,##0.0000\);_(* &quot;-&quot;??_);_(@_)"/>
    <numFmt numFmtId="179" formatCode="0.000"/>
    <numFmt numFmtId="180" formatCode="0.0%"/>
    <numFmt numFmtId="181" formatCode="_ * #,##0.0_ ;_ * \-#,##0.0_ ;_ * &quot;-&quot;??_ ;_ @_ "/>
    <numFmt numFmtId="182" formatCode="_-* #,##0.000_-;\-* #,##0.000_-;_-* &quot;-&quot;??_-;_-@_-"/>
    <numFmt numFmtId="183" formatCode="_-* #,##0.0_-;\-* #,##0.0_-;_-* &quot;-&quot;??_-;_-@_-"/>
    <numFmt numFmtId="184" formatCode="_(* #,##0.000_);_(* \(#,##0.000\);_(* &quot;-&quot;??_);_(@_)"/>
    <numFmt numFmtId="185" formatCode="_-* #,##0.00000000_-;\-* #,##0.00000000_-;_-* &quot;-&quot;???_-;_-@_-"/>
    <numFmt numFmtId="186" formatCode="0.0000"/>
    <numFmt numFmtId="187" formatCode="_-* #,##0.000000_-;\-* #,##0.000000_-;_-* &quot;-&quot;??_-;_-@_-"/>
    <numFmt numFmtId="188" formatCode="_(* #,##0.0000000_);_(* \(#,##0.0000000\);_(* &quot;-&quot;??_);_(@_)"/>
  </numFmts>
  <fonts count="10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i/>
      <sz val="10"/>
      <color rgb="FFFF0000"/>
      <name val="Calibri"/>
      <family val="2"/>
    </font>
    <font>
      <b/>
      <sz val="10"/>
      <name val="Calibri"/>
      <family val="2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indexed="8"/>
      <name val="MS Sans Serif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name val="MS Sans Serif"/>
    </font>
    <font>
      <sz val="8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7"/>
      <name val="Calibri"/>
      <family val="2"/>
      <scheme val="minor"/>
    </font>
    <font>
      <sz val="10"/>
      <color theme="7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i/>
      <sz val="10"/>
      <color rgb="FFFF0000"/>
      <name val="Calibri"/>
      <family val="2"/>
    </font>
    <font>
      <sz val="10"/>
      <color rgb="FFFF0000"/>
      <name val="Calibri"/>
      <family val="2"/>
    </font>
    <font>
      <sz val="5"/>
      <color theme="1"/>
      <name val="Calibri"/>
      <family val="2"/>
    </font>
    <font>
      <sz val="5"/>
      <name val="Calibri"/>
      <family val="2"/>
    </font>
    <font>
      <b/>
      <sz val="5"/>
      <name val="Calibri"/>
      <family val="2"/>
    </font>
    <font>
      <b/>
      <sz val="10"/>
      <color rgb="FFC0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9"/>
      <name val="Calibri"/>
      <family val="2"/>
      <scheme val="minor"/>
    </font>
    <font>
      <sz val="8"/>
      <color theme="1"/>
      <name val="Calibri"/>
      <family val="2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i/>
      <sz val="11"/>
      <name val="Calibri"/>
      <family val="2"/>
      <scheme val="minor"/>
    </font>
    <font>
      <b/>
      <sz val="10"/>
      <color theme="2" tint="-0.749992370372631"/>
      <name val="Calibri Light"/>
      <family val="2"/>
      <scheme val="major"/>
    </font>
    <font>
      <sz val="11"/>
      <color theme="2" tint="-0.749992370372631"/>
      <name val="Calibri Light"/>
      <family val="2"/>
      <scheme val="major"/>
    </font>
    <font>
      <b/>
      <sz val="10"/>
      <color theme="1"/>
      <name val="Segoe UI"/>
      <family val="2"/>
    </font>
    <font>
      <sz val="10"/>
      <color theme="2" tint="-0.749992370372631"/>
      <name val="Calibri Light"/>
      <family val="2"/>
      <scheme val="major"/>
    </font>
    <font>
      <b/>
      <sz val="8"/>
      <color rgb="FF7030A0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7"/>
      <name val="Calibri"/>
      <family val="2"/>
      <scheme val="minor"/>
    </font>
    <font>
      <sz val="8"/>
      <color theme="7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name val="Calibri"/>
      <family val="2"/>
    </font>
    <font>
      <b/>
      <sz val="8"/>
      <name val="Calibri"/>
      <family val="2"/>
    </font>
    <font>
      <b/>
      <sz val="8"/>
      <color theme="1"/>
      <name val="Calibri"/>
      <family val="2"/>
    </font>
    <font>
      <i/>
      <sz val="8"/>
      <color rgb="FFFF0000"/>
      <name val="Calibri"/>
      <family val="2"/>
    </font>
    <font>
      <b/>
      <i/>
      <sz val="8"/>
      <color rgb="FFFF0000"/>
      <name val="Calibri"/>
      <family val="2"/>
    </font>
    <font>
      <sz val="8"/>
      <color rgb="FFFF0000"/>
      <name val="Calibri"/>
      <family val="2"/>
    </font>
    <font>
      <sz val="8"/>
      <color theme="0" tint="-0.499984740745262"/>
      <name val="Calibri"/>
      <family val="2"/>
    </font>
    <font>
      <b/>
      <sz val="8"/>
      <color theme="0" tint="-0.499984740745262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Down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59DAC"/>
        <bgColor indexed="64"/>
      </patternFill>
    </fill>
    <fill>
      <patternFill patternType="solid">
        <fgColor rgb="FFF3C3E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</fills>
  <borders count="8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ck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16">
    <xf numFmtId="0" fontId="0" fillId="0" borderId="0"/>
    <xf numFmtId="166" fontId="1" fillId="0" borderId="0" applyFont="0" applyFill="0" applyBorder="0" applyAlignment="0" applyProtection="0"/>
    <xf numFmtId="0" fontId="4" fillId="0" borderId="0"/>
    <xf numFmtId="0" fontId="1" fillId="0" borderId="0"/>
    <xf numFmtId="167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17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9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166" fontId="22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20" fillId="0" borderId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48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1" fillId="0" borderId="48"/>
    <xf numFmtId="0" fontId="1" fillId="0" borderId="0"/>
    <xf numFmtId="177" fontId="4" fillId="0" borderId="0" applyFont="0" applyFill="0" applyBorder="0" applyAlignment="0" applyProtection="0"/>
    <xf numFmtId="166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4" fillId="0" borderId="48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9" borderId="0" applyNumberFormat="0" applyBorder="0" applyAlignment="0" applyProtection="0"/>
    <xf numFmtId="0" fontId="77" fillId="0" borderId="48"/>
    <xf numFmtId="0" fontId="79" fillId="0" borderId="48"/>
    <xf numFmtId="166" fontId="53" fillId="0" borderId="0" applyFont="0" applyFill="0" applyBorder="0" applyAlignment="0" applyProtection="0"/>
    <xf numFmtId="0" fontId="1" fillId="0" borderId="0"/>
    <xf numFmtId="9" fontId="79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1931">
    <xf numFmtId="0" fontId="0" fillId="0" borderId="0" xfId="0"/>
    <xf numFmtId="0" fontId="3" fillId="2" borderId="0" xfId="0" applyFont="1" applyFill="1"/>
    <xf numFmtId="0" fontId="5" fillId="2" borderId="0" xfId="2" applyFont="1" applyFill="1"/>
    <xf numFmtId="166" fontId="1" fillId="2" borderId="0" xfId="1" applyFill="1" applyBorder="1" applyAlignment="1">
      <alignment vertical="center"/>
    </xf>
    <xf numFmtId="0" fontId="0" fillId="2" borderId="0" xfId="0" applyFill="1"/>
    <xf numFmtId="0" fontId="7" fillId="2" borderId="0" xfId="3" applyFont="1" applyFill="1" applyAlignment="1">
      <alignment vertical="center"/>
    </xf>
    <xf numFmtId="166" fontId="8" fillId="2" borderId="0" xfId="2" applyNumberFormat="1" applyFont="1" applyFill="1" applyAlignment="1">
      <alignment horizontal="center" wrapText="1"/>
    </xf>
    <xf numFmtId="0" fontId="2" fillId="0" borderId="0" xfId="0" applyFon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/>
    <xf numFmtId="0" fontId="0" fillId="5" borderId="11" xfId="0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0" fillId="5" borderId="11" xfId="0" applyFill="1" applyBorder="1"/>
    <xf numFmtId="0" fontId="2" fillId="8" borderId="6" xfId="0" applyFont="1" applyFill="1" applyBorder="1" applyAlignment="1">
      <alignment horizontal="center"/>
    </xf>
    <xf numFmtId="17" fontId="2" fillId="0" borderId="13" xfId="0" applyNumberFormat="1" applyFont="1" applyBorder="1" applyAlignment="1">
      <alignment horizontal="center"/>
    </xf>
    <xf numFmtId="169" fontId="0" fillId="0" borderId="13" xfId="0" applyNumberFormat="1" applyBorder="1" applyAlignment="1">
      <alignment horizontal="center" vertical="center"/>
    </xf>
    <xf numFmtId="170" fontId="0" fillId="0" borderId="13" xfId="0" applyNumberFormat="1" applyBorder="1"/>
    <xf numFmtId="170" fontId="0" fillId="0" borderId="14" xfId="0" applyNumberFormat="1" applyBorder="1"/>
    <xf numFmtId="0" fontId="0" fillId="5" borderId="13" xfId="0" applyFill="1" applyBorder="1" applyAlignment="1">
      <alignment horizontal="center"/>
    </xf>
    <xf numFmtId="169" fontId="0" fillId="0" borderId="15" xfId="0" applyNumberFormat="1" applyBorder="1" applyAlignment="1">
      <alignment horizontal="center" vertical="center"/>
    </xf>
    <xf numFmtId="168" fontId="0" fillId="0" borderId="16" xfId="5" applyFont="1" applyFill="1" applyBorder="1" applyAlignment="1">
      <alignment horizontal="center" vertical="center"/>
    </xf>
    <xf numFmtId="17" fontId="2" fillId="0" borderId="16" xfId="0" applyNumberFormat="1" applyFont="1" applyBorder="1" applyAlignment="1">
      <alignment horizontal="center"/>
    </xf>
    <xf numFmtId="169" fontId="0" fillId="0" borderId="16" xfId="0" applyNumberFormat="1" applyBorder="1" applyAlignment="1">
      <alignment horizontal="center" vertical="center"/>
    </xf>
    <xf numFmtId="170" fontId="0" fillId="0" borderId="15" xfId="0" applyNumberFormat="1" applyBorder="1"/>
    <xf numFmtId="170" fontId="0" fillId="0" borderId="17" xfId="0" applyNumberFormat="1" applyBorder="1"/>
    <xf numFmtId="169" fontId="0" fillId="5" borderId="18" xfId="0" applyNumberFormat="1" applyFill="1" applyBorder="1"/>
    <xf numFmtId="0" fontId="0" fillId="5" borderId="16" xfId="0" applyFill="1" applyBorder="1" applyAlignment="1">
      <alignment horizontal="center"/>
    </xf>
    <xf numFmtId="17" fontId="2" fillId="0" borderId="15" xfId="0" applyNumberFormat="1" applyFont="1" applyBorder="1" applyAlignment="1">
      <alignment horizontal="center"/>
    </xf>
    <xf numFmtId="170" fontId="0" fillId="0" borderId="19" xfId="0" applyNumberFormat="1" applyBorder="1"/>
    <xf numFmtId="17" fontId="2" fillId="0" borderId="20" xfId="0" applyNumberFormat="1" applyFont="1" applyBorder="1" applyAlignment="1">
      <alignment horizontal="center"/>
    </xf>
    <xf numFmtId="169" fontId="0" fillId="0" borderId="18" xfId="0" applyNumberFormat="1" applyBorder="1"/>
    <xf numFmtId="0" fontId="0" fillId="0" borderId="21" xfId="0" applyBorder="1"/>
    <xf numFmtId="168" fontId="0" fillId="0" borderId="15" xfId="5" applyFont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169" fontId="0" fillId="0" borderId="3" xfId="0" applyNumberFormat="1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5" borderId="0" xfId="0" applyFill="1"/>
    <xf numFmtId="169" fontId="0" fillId="5" borderId="0" xfId="0" applyNumberFormat="1" applyFill="1"/>
    <xf numFmtId="0" fontId="0" fillId="6" borderId="0" xfId="0" applyFill="1"/>
    <xf numFmtId="169" fontId="0" fillId="6" borderId="0" xfId="0" applyNumberFormat="1" applyFill="1"/>
    <xf numFmtId="169" fontId="2" fillId="0" borderId="0" xfId="0" applyNumberFormat="1" applyFont="1"/>
    <xf numFmtId="14" fontId="0" fillId="0" borderId="0" xfId="0" applyNumberFormat="1" applyAlignment="1">
      <alignment horizontal="center"/>
    </xf>
    <xf numFmtId="14" fontId="0" fillId="0" borderId="27" xfId="0" applyNumberFormat="1" applyBorder="1" applyAlignment="1">
      <alignment horizontal="center"/>
    </xf>
    <xf numFmtId="172" fontId="0" fillId="0" borderId="26" xfId="0" applyNumberFormat="1" applyBorder="1" applyAlignment="1">
      <alignment horizontal="center"/>
    </xf>
    <xf numFmtId="166" fontId="0" fillId="0" borderId="0" xfId="1" applyFont="1" applyFill="1" applyBorder="1" applyAlignment="1">
      <alignment horizontal="right"/>
    </xf>
    <xf numFmtId="0" fontId="0" fillId="0" borderId="27" xfId="0" applyBorder="1" applyAlignment="1">
      <alignment horizontal="center"/>
    </xf>
    <xf numFmtId="171" fontId="0" fillId="0" borderId="0" xfId="0" applyNumberFormat="1" applyAlignment="1">
      <alignment horizontal="right"/>
    </xf>
    <xf numFmtId="0" fontId="0" fillId="0" borderId="27" xfId="0" applyBorder="1"/>
    <xf numFmtId="0" fontId="0" fillId="0" borderId="28" xfId="0" applyBorder="1" applyAlignment="1">
      <alignment horizontal="right"/>
    </xf>
    <xf numFmtId="171" fontId="0" fillId="0" borderId="29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5" fillId="2" borderId="0" xfId="0" applyFont="1" applyFill="1"/>
    <xf numFmtId="0" fontId="16" fillId="2" borderId="0" xfId="0" applyFont="1" applyFill="1"/>
    <xf numFmtId="166" fontId="0" fillId="2" borderId="0" xfId="1" applyFont="1" applyFill="1"/>
    <xf numFmtId="166" fontId="12" fillId="2" borderId="0" xfId="1" applyFont="1" applyFill="1" applyBorder="1" applyAlignment="1" applyProtection="1">
      <alignment horizontal="center"/>
    </xf>
    <xf numFmtId="166" fontId="13" fillId="2" borderId="0" xfId="1" applyFont="1" applyFill="1" applyBorder="1" applyProtection="1">
      <protection locked="0"/>
    </xf>
    <xf numFmtId="49" fontId="2" fillId="0" borderId="0" xfId="0" applyNumberFormat="1" applyFont="1"/>
    <xf numFmtId="49" fontId="0" fillId="0" borderId="0" xfId="0" applyNumberFormat="1"/>
    <xf numFmtId="166" fontId="11" fillId="2" borderId="31" xfId="2" applyNumberFormat="1" applyFont="1" applyFill="1" applyBorder="1" applyAlignment="1">
      <alignment horizontal="left" vertical="center"/>
    </xf>
    <xf numFmtId="49" fontId="30" fillId="0" borderId="0" xfId="0" applyNumberFormat="1" applyFont="1" applyAlignment="1">
      <alignment vertical="center"/>
    </xf>
    <xf numFmtId="171" fontId="0" fillId="0" borderId="0" xfId="0" applyNumberFormat="1" applyAlignment="1">
      <alignment horizontal="left"/>
    </xf>
    <xf numFmtId="0" fontId="2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1" fillId="2" borderId="38" xfId="0" applyFont="1" applyFill="1" applyBorder="1"/>
    <xf numFmtId="0" fontId="31" fillId="2" borderId="10" xfId="0" applyFont="1" applyFill="1" applyBorder="1"/>
    <xf numFmtId="0" fontId="20" fillId="2" borderId="0" xfId="0" applyFont="1" applyFill="1" applyAlignment="1">
      <alignment horizontal="left" vertical="center"/>
    </xf>
    <xf numFmtId="0" fontId="20" fillId="2" borderId="42" xfId="0" applyFont="1" applyFill="1" applyBorder="1" applyAlignment="1">
      <alignment horizontal="left" vertical="center"/>
    </xf>
    <xf numFmtId="0" fontId="31" fillId="2" borderId="35" xfId="0" applyFont="1" applyFill="1" applyBorder="1"/>
    <xf numFmtId="0" fontId="20" fillId="2" borderId="0" xfId="0" applyFont="1" applyFill="1" applyAlignment="1">
      <alignment horizontal="left"/>
    </xf>
    <xf numFmtId="0" fontId="31" fillId="2" borderId="7" xfId="0" applyFont="1" applyFill="1" applyBorder="1"/>
    <xf numFmtId="14" fontId="20" fillId="2" borderId="7" xfId="0" applyNumberFormat="1" applyFont="1" applyFill="1" applyBorder="1" applyAlignment="1">
      <alignment horizontal="center"/>
    </xf>
    <xf numFmtId="175" fontId="20" fillId="2" borderId="7" xfId="0" applyNumberFormat="1" applyFont="1" applyFill="1" applyBorder="1" applyAlignment="1">
      <alignment horizontal="center"/>
    </xf>
    <xf numFmtId="165" fontId="33" fillId="2" borderId="7" xfId="91" applyFont="1" applyFill="1" applyBorder="1" applyAlignment="1">
      <alignment horizontal="center"/>
    </xf>
    <xf numFmtId="49" fontId="20" fillId="2" borderId="7" xfId="1" applyNumberFormat="1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7" xfId="0" applyFont="1" applyFill="1" applyBorder="1"/>
    <xf numFmtId="9" fontId="20" fillId="2" borderId="7" xfId="92" applyFont="1" applyFill="1" applyBorder="1" applyAlignment="1">
      <alignment horizontal="center"/>
    </xf>
    <xf numFmtId="9" fontId="20" fillId="2" borderId="7" xfId="0" applyNumberFormat="1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34" fillId="2" borderId="7" xfId="0" applyFont="1" applyFill="1" applyBorder="1" applyAlignment="1">
      <alignment horizontal="center"/>
    </xf>
    <xf numFmtId="0" fontId="35" fillId="2" borderId="7" xfId="0" applyFont="1" applyFill="1" applyBorder="1"/>
    <xf numFmtId="0" fontId="35" fillId="2" borderId="7" xfId="0" applyFont="1" applyFill="1" applyBorder="1" applyAlignment="1">
      <alignment horizontal="center"/>
    </xf>
    <xf numFmtId="0" fontId="36" fillId="2" borderId="7" xfId="0" applyFont="1" applyFill="1" applyBorder="1" applyAlignment="1">
      <alignment horizontal="center"/>
    </xf>
    <xf numFmtId="0" fontId="20" fillId="2" borderId="10" xfId="0" applyFont="1" applyFill="1" applyBorder="1"/>
    <xf numFmtId="0" fontId="20" fillId="2" borderId="42" xfId="0" applyFont="1" applyFill="1" applyBorder="1"/>
    <xf numFmtId="0" fontId="38" fillId="2" borderId="7" xfId="0" applyFont="1" applyFill="1" applyBorder="1" applyAlignment="1">
      <alignment horizontal="center"/>
    </xf>
    <xf numFmtId="0" fontId="33" fillId="2" borderId="7" xfId="0" applyFont="1" applyFill="1" applyBorder="1"/>
    <xf numFmtId="165" fontId="33" fillId="2" borderId="7" xfId="91" applyFont="1" applyFill="1" applyBorder="1"/>
    <xf numFmtId="0" fontId="33" fillId="2" borderId="0" xfId="0" applyFont="1" applyFill="1"/>
    <xf numFmtId="0" fontId="33" fillId="2" borderId="0" xfId="0" applyFont="1" applyFill="1" applyAlignment="1">
      <alignment horizontal="center"/>
    </xf>
    <xf numFmtId="0" fontId="20" fillId="2" borderId="38" xfId="0" applyFont="1" applyFill="1" applyBorder="1"/>
    <xf numFmtId="0" fontId="20" fillId="2" borderId="39" xfId="0" applyFont="1" applyFill="1" applyBorder="1"/>
    <xf numFmtId="0" fontId="20" fillId="2" borderId="41" xfId="0" applyFont="1" applyFill="1" applyBorder="1"/>
    <xf numFmtId="0" fontId="20" fillId="2" borderId="35" xfId="0" applyFont="1" applyFill="1" applyBorder="1"/>
    <xf numFmtId="0" fontId="20" fillId="2" borderId="34" xfId="0" applyFont="1" applyFill="1" applyBorder="1"/>
    <xf numFmtId="0" fontId="20" fillId="2" borderId="43" xfId="0" applyFont="1" applyFill="1" applyBorder="1"/>
    <xf numFmtId="0" fontId="39" fillId="0" borderId="0" xfId="20" applyFont="1"/>
    <xf numFmtId="0" fontId="1" fillId="0" borderId="0" xfId="20"/>
    <xf numFmtId="0" fontId="16" fillId="0" borderId="0" xfId="20" applyFont="1"/>
    <xf numFmtId="0" fontId="2" fillId="7" borderId="0" xfId="20" applyFont="1" applyFill="1" applyAlignment="1">
      <alignment horizontal="center"/>
    </xf>
    <xf numFmtId="9" fontId="1" fillId="0" borderId="0" xfId="20" applyNumberFormat="1"/>
    <xf numFmtId="166" fontId="1" fillId="0" borderId="0" xfId="1"/>
    <xf numFmtId="0" fontId="0" fillId="0" borderId="45" xfId="20" applyFont="1" applyBorder="1" applyAlignment="1">
      <alignment horizontal="center"/>
    </xf>
    <xf numFmtId="14" fontId="1" fillId="0" borderId="0" xfId="20" applyNumberFormat="1"/>
    <xf numFmtId="0" fontId="0" fillId="0" borderId="0" xfId="20" applyFont="1"/>
    <xf numFmtId="0" fontId="2" fillId="7" borderId="0" xfId="20" applyFont="1" applyFill="1"/>
    <xf numFmtId="0" fontId="2" fillId="0" borderId="0" xfId="20" applyFont="1" applyAlignment="1">
      <alignment horizontal="center"/>
    </xf>
    <xf numFmtId="0" fontId="0" fillId="0" borderId="0" xfId="20" applyFont="1" applyAlignment="1">
      <alignment horizontal="center"/>
    </xf>
    <xf numFmtId="0" fontId="2" fillId="0" borderId="0" xfId="20" applyFont="1"/>
    <xf numFmtId="166" fontId="2" fillId="0" borderId="0" xfId="21" applyFont="1" applyBorder="1"/>
    <xf numFmtId="166" fontId="2" fillId="0" borderId="0" xfId="20" applyNumberFormat="1" applyFont="1"/>
    <xf numFmtId="166" fontId="1" fillId="0" borderId="0" xfId="20" applyNumberFormat="1"/>
    <xf numFmtId="172" fontId="1" fillId="0" borderId="0" xfId="20" applyNumberFormat="1" applyAlignment="1">
      <alignment horizontal="center"/>
    </xf>
    <xf numFmtId="0" fontId="1" fillId="0" borderId="0" xfId="20" applyAlignment="1">
      <alignment horizontal="center"/>
    </xf>
    <xf numFmtId="0" fontId="0" fillId="0" borderId="0" xfId="20" applyFont="1" applyAlignment="1">
      <alignment horizontal="left"/>
    </xf>
    <xf numFmtId="166" fontId="1" fillId="0" borderId="0" xfId="20" applyNumberFormat="1" applyAlignment="1">
      <alignment horizontal="center"/>
    </xf>
    <xf numFmtId="172" fontId="1" fillId="5" borderId="0" xfId="20" applyNumberFormat="1" applyFill="1" applyAlignment="1">
      <alignment horizontal="center"/>
    </xf>
    <xf numFmtId="168" fontId="1" fillId="5" borderId="0" xfId="11" applyFont="1" applyFill="1" applyAlignment="1">
      <alignment horizontal="center"/>
    </xf>
    <xf numFmtId="172" fontId="0" fillId="5" borderId="0" xfId="20" applyNumberFormat="1" applyFont="1" applyFill="1" applyAlignment="1">
      <alignment horizontal="center"/>
    </xf>
    <xf numFmtId="168" fontId="4" fillId="0" borderId="0" xfId="14" applyFont="1" applyBorder="1"/>
    <xf numFmtId="0" fontId="1" fillId="7" borderId="0" xfId="20" applyFill="1"/>
    <xf numFmtId="166" fontId="2" fillId="7" borderId="0" xfId="20" applyNumberFormat="1" applyFont="1" applyFill="1"/>
    <xf numFmtId="168" fontId="2" fillId="7" borderId="0" xfId="20" applyNumberFormat="1" applyFont="1" applyFill="1"/>
    <xf numFmtId="0" fontId="2" fillId="6" borderId="0" xfId="20" applyFont="1" applyFill="1" applyAlignment="1">
      <alignment horizontal="center"/>
    </xf>
    <xf numFmtId="166" fontId="2" fillId="6" borderId="0" xfId="1" applyFont="1" applyFill="1" applyAlignment="1">
      <alignment horizontal="center"/>
    </xf>
    <xf numFmtId="0" fontId="2" fillId="0" borderId="7" xfId="20" applyFont="1" applyBorder="1"/>
    <xf numFmtId="0" fontId="2" fillId="16" borderId="0" xfId="20" applyFont="1" applyFill="1"/>
    <xf numFmtId="0" fontId="2" fillId="7" borderId="9" xfId="20" applyFont="1" applyFill="1" applyBorder="1" applyAlignment="1">
      <alignment horizontal="center"/>
    </xf>
    <xf numFmtId="0" fontId="40" fillId="0" borderId="16" xfId="20" applyFont="1" applyBorder="1" applyAlignment="1">
      <alignment vertical="center"/>
    </xf>
    <xf numFmtId="0" fontId="25" fillId="0" borderId="15" xfId="20" applyFont="1" applyBorder="1" applyAlignment="1">
      <alignment horizontal="center" vertical="center"/>
    </xf>
    <xf numFmtId="0" fontId="25" fillId="0" borderId="37" xfId="20" applyFont="1" applyBorder="1" applyAlignment="1">
      <alignment horizontal="center" vertical="center"/>
    </xf>
    <xf numFmtId="0" fontId="40" fillId="0" borderId="12" xfId="20" applyFont="1" applyBorder="1" applyAlignment="1">
      <alignment vertical="center"/>
    </xf>
    <xf numFmtId="17" fontId="41" fillId="14" borderId="47" xfId="0" applyNumberFormat="1" applyFont="1" applyFill="1" applyBorder="1" applyAlignment="1">
      <alignment horizontal="center" vertical="center"/>
    </xf>
    <xf numFmtId="49" fontId="24" fillId="14" borderId="47" xfId="0" applyNumberFormat="1" applyFont="1" applyFill="1" applyBorder="1"/>
    <xf numFmtId="49" fontId="42" fillId="15" borderId="0" xfId="0" applyNumberFormat="1" applyFont="1" applyFill="1"/>
    <xf numFmtId="49" fontId="43" fillId="2" borderId="0" xfId="0" applyNumberFormat="1" applyFont="1" applyFill="1" applyAlignment="1">
      <alignment horizontal="center" vertical="center"/>
    </xf>
    <xf numFmtId="49" fontId="25" fillId="17" borderId="47" xfId="0" applyNumberFormat="1" applyFont="1" applyFill="1" applyBorder="1" applyAlignment="1">
      <alignment horizontal="center"/>
    </xf>
    <xf numFmtId="170" fontId="12" fillId="2" borderId="1" xfId="1" applyNumberFormat="1" applyFont="1" applyFill="1" applyBorder="1" applyProtection="1">
      <protection locked="0"/>
    </xf>
    <xf numFmtId="170" fontId="0" fillId="2" borderId="0" xfId="1" applyNumberFormat="1" applyFont="1" applyFill="1"/>
    <xf numFmtId="17" fontId="0" fillId="0" borderId="26" xfId="0" applyNumberFormat="1" applyBorder="1" applyAlignment="1">
      <alignment horizontal="center"/>
    </xf>
    <xf numFmtId="166" fontId="0" fillId="0" borderId="0" xfId="1" applyFont="1" applyAlignment="1">
      <alignment horizontal="center"/>
    </xf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 vertical="center"/>
    </xf>
    <xf numFmtId="176" fontId="7" fillId="0" borderId="13" xfId="94" applyNumberFormat="1" applyFont="1" applyFill="1" applyBorder="1" applyAlignment="1">
      <alignment horizontal="center"/>
    </xf>
    <xf numFmtId="176" fontId="7" fillId="0" borderId="15" xfId="94" applyNumberFormat="1" applyFont="1" applyFill="1" applyBorder="1" applyAlignment="1">
      <alignment horizontal="center"/>
    </xf>
    <xf numFmtId="176" fontId="11" fillId="0" borderId="0" xfId="94" applyNumberFormat="1" applyFont="1" applyBorder="1" applyAlignment="1">
      <alignment horizontal="left" vertical="center"/>
    </xf>
    <xf numFmtId="176" fontId="11" fillId="0" borderId="0" xfId="94" applyNumberFormat="1" applyFont="1" applyFill="1" applyBorder="1" applyAlignment="1">
      <alignment horizontal="left" vertical="center"/>
    </xf>
    <xf numFmtId="176" fontId="11" fillId="0" borderId="15" xfId="94" applyNumberFormat="1" applyFont="1" applyFill="1" applyBorder="1" applyAlignment="1">
      <alignment horizontal="center" vertical="center" wrapText="1"/>
    </xf>
    <xf numFmtId="176" fontId="25" fillId="0" borderId="4" xfId="94" applyNumberFormat="1" applyFont="1" applyBorder="1"/>
    <xf numFmtId="9" fontId="7" fillId="0" borderId="0" xfId="78" applyFont="1"/>
    <xf numFmtId="0" fontId="7" fillId="0" borderId="0" xfId="39" applyFont="1"/>
    <xf numFmtId="43" fontId="7" fillId="0" borderId="0" xfId="94" applyFont="1"/>
    <xf numFmtId="176" fontId="7" fillId="0" borderId="0" xfId="39" applyNumberFormat="1" applyFont="1"/>
    <xf numFmtId="176" fontId="11" fillId="0" borderId="13" xfId="94" applyNumberFormat="1" applyFont="1" applyFill="1" applyBorder="1" applyAlignment="1">
      <alignment horizontal="center" vertical="center" wrapText="1"/>
    </xf>
    <xf numFmtId="176" fontId="11" fillId="0" borderId="37" xfId="94" applyNumberFormat="1" applyFont="1" applyFill="1" applyBorder="1" applyAlignment="1">
      <alignment horizontal="center" vertical="center" wrapText="1"/>
    </xf>
    <xf numFmtId="49" fontId="42" fillId="15" borderId="0" xfId="0" applyNumberFormat="1" applyFont="1" applyFill="1" applyAlignment="1">
      <alignment vertical="center"/>
    </xf>
    <xf numFmtId="49" fontId="24" fillId="14" borderId="40" xfId="0" applyNumberFormat="1" applyFont="1" applyFill="1" applyBorder="1" applyAlignment="1">
      <alignment vertical="center"/>
    </xf>
    <xf numFmtId="49" fontId="42" fillId="15" borderId="40" xfId="0" applyNumberFormat="1" applyFont="1" applyFill="1" applyBorder="1" applyAlignment="1">
      <alignment vertical="center"/>
    </xf>
    <xf numFmtId="49" fontId="42" fillId="14" borderId="0" xfId="0" applyNumberFormat="1" applyFont="1" applyFill="1" applyAlignment="1">
      <alignment vertical="center"/>
    </xf>
    <xf numFmtId="49" fontId="25" fillId="17" borderId="47" xfId="0" applyNumberFormat="1" applyFont="1" applyFill="1" applyBorder="1" applyAlignment="1">
      <alignment horizontal="center" vertical="center"/>
    </xf>
    <xf numFmtId="17" fontId="8" fillId="2" borderId="0" xfId="2" applyNumberFormat="1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6" fillId="2" borderId="0" xfId="0" applyFont="1" applyFill="1" applyAlignment="1">
      <alignment vertical="center"/>
    </xf>
    <xf numFmtId="0" fontId="5" fillId="2" borderId="0" xfId="2" applyFont="1" applyFill="1" applyAlignment="1">
      <alignment vertical="center"/>
    </xf>
    <xf numFmtId="166" fontId="9" fillId="2" borderId="0" xfId="2" applyNumberFormat="1" applyFont="1" applyFill="1" applyAlignment="1">
      <alignment horizontal="center" vertical="center"/>
    </xf>
    <xf numFmtId="165" fontId="10" fillId="2" borderId="0" xfId="2" applyNumberFormat="1" applyFont="1" applyFill="1" applyAlignment="1">
      <alignment horizontal="center" vertical="center"/>
    </xf>
    <xf numFmtId="165" fontId="9" fillId="2" borderId="0" xfId="2" applyNumberFormat="1" applyFont="1" applyFill="1" applyAlignment="1">
      <alignment horizontal="center" vertical="center"/>
    </xf>
    <xf numFmtId="165" fontId="12" fillId="2" borderId="0" xfId="4" applyNumberFormat="1" applyFont="1" applyFill="1" applyBorder="1" applyAlignment="1" applyProtection="1">
      <alignment vertical="center"/>
      <protection locked="0"/>
    </xf>
    <xf numFmtId="166" fontId="12" fillId="2" borderId="0" xfId="4" applyNumberFormat="1" applyFont="1" applyFill="1" applyBorder="1" applyAlignment="1" applyProtection="1">
      <alignment vertical="center"/>
      <protection locked="0"/>
    </xf>
    <xf numFmtId="165" fontId="13" fillId="2" borderId="0" xfId="4" applyNumberFormat="1" applyFont="1" applyFill="1" applyBorder="1" applyAlignment="1" applyProtection="1">
      <alignment vertical="center"/>
      <protection locked="0"/>
    </xf>
    <xf numFmtId="165" fontId="12" fillId="2" borderId="0" xfId="4" applyNumberFormat="1" applyFont="1" applyFill="1" applyBorder="1" applyAlignment="1" applyProtection="1">
      <alignment horizontal="center" vertical="center"/>
    </xf>
    <xf numFmtId="166" fontId="8" fillId="2" borderId="0" xfId="2" applyNumberFormat="1" applyFont="1" applyFill="1" applyAlignment="1">
      <alignment horizontal="center" vertical="center" wrapText="1"/>
    </xf>
    <xf numFmtId="165" fontId="0" fillId="2" borderId="0" xfId="0" applyNumberFormat="1" applyFill="1" applyAlignment="1">
      <alignment vertical="center"/>
    </xf>
    <xf numFmtId="0" fontId="0" fillId="7" borderId="39" xfId="20" applyFont="1" applyFill="1" applyBorder="1" applyAlignment="1">
      <alignment horizontal="center"/>
    </xf>
    <xf numFmtId="0" fontId="2" fillId="7" borderId="39" xfId="20" applyFont="1" applyFill="1" applyBorder="1"/>
    <xf numFmtId="17" fontId="8" fillId="4" borderId="1" xfId="2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170" fontId="12" fillId="2" borderId="50" xfId="1" applyNumberFormat="1" applyFont="1" applyFill="1" applyBorder="1" applyProtection="1">
      <protection locked="0"/>
    </xf>
    <xf numFmtId="166" fontId="0" fillId="2" borderId="0" xfId="0" applyNumberFormat="1" applyFill="1" applyAlignment="1">
      <alignment vertical="center"/>
    </xf>
    <xf numFmtId="166" fontId="11" fillId="2" borderId="46" xfId="2" applyNumberFormat="1" applyFont="1" applyFill="1" applyBorder="1" applyAlignment="1">
      <alignment horizontal="center" vertical="center"/>
    </xf>
    <xf numFmtId="172" fontId="44" fillId="2" borderId="33" xfId="0" applyNumberFormat="1" applyFont="1" applyFill="1" applyBorder="1" applyAlignment="1">
      <alignment horizontal="center" vertical="center"/>
    </xf>
    <xf numFmtId="0" fontId="45" fillId="2" borderId="32" xfId="0" applyFont="1" applyFill="1" applyBorder="1" applyAlignment="1">
      <alignment horizontal="center" vertical="center"/>
    </xf>
    <xf numFmtId="169" fontId="0" fillId="7" borderId="7" xfId="6" applyNumberFormat="1" applyFont="1" applyFill="1" applyBorder="1"/>
    <xf numFmtId="166" fontId="8" fillId="4" borderId="51" xfId="2" applyNumberFormat="1" applyFont="1" applyFill="1" applyBorder="1" applyAlignment="1">
      <alignment vertical="center" wrapText="1"/>
    </xf>
    <xf numFmtId="166" fontId="11" fillId="2" borderId="52" xfId="2" applyNumberFormat="1" applyFont="1" applyFill="1" applyBorder="1" applyAlignment="1">
      <alignment horizontal="left" vertical="center"/>
    </xf>
    <xf numFmtId="170" fontId="12" fillId="2" borderId="1" xfId="1" applyNumberFormat="1" applyFont="1" applyFill="1" applyBorder="1" applyAlignment="1" applyProtection="1">
      <alignment vertical="center"/>
      <protection locked="0"/>
    </xf>
    <xf numFmtId="166" fontId="8" fillId="4" borderId="53" xfId="2" applyNumberFormat="1" applyFont="1" applyFill="1" applyBorder="1" applyAlignment="1">
      <alignment horizontal="center" wrapText="1"/>
    </xf>
    <xf numFmtId="170" fontId="8" fillId="4" borderId="54" xfId="1" applyNumberFormat="1" applyFont="1" applyFill="1" applyBorder="1" applyAlignment="1">
      <alignment horizontal="center" vertical="center"/>
    </xf>
    <xf numFmtId="0" fontId="0" fillId="0" borderId="44" xfId="20" applyFont="1" applyBorder="1" applyAlignment="1">
      <alignment horizontal="center"/>
    </xf>
    <xf numFmtId="17" fontId="0" fillId="7" borderId="3" xfId="0" applyNumberFormat="1" applyFill="1" applyBorder="1" applyAlignment="1">
      <alignment horizontal="center"/>
    </xf>
    <xf numFmtId="0" fontId="0" fillId="5" borderId="55" xfId="0" applyFill="1" applyBorder="1"/>
    <xf numFmtId="166" fontId="46" fillId="2" borderId="52" xfId="2" applyNumberFormat="1" applyFont="1" applyFill="1" applyBorder="1" applyAlignment="1">
      <alignment horizontal="left" vertical="center"/>
    </xf>
    <xf numFmtId="0" fontId="20" fillId="2" borderId="39" xfId="0" applyFont="1" applyFill="1" applyBorder="1" applyAlignment="1">
      <alignment vertical="center"/>
    </xf>
    <xf numFmtId="0" fontId="20" fillId="2" borderId="41" xfId="0" applyFont="1" applyFill="1" applyBorder="1" applyAlignment="1">
      <alignment vertical="center"/>
    </xf>
    <xf numFmtId="0" fontId="45" fillId="2" borderId="0" xfId="0" applyFont="1" applyFill="1" applyAlignment="1">
      <alignment horizontal="center" vertical="center"/>
    </xf>
    <xf numFmtId="172" fontId="44" fillId="2" borderId="0" xfId="0" applyNumberFormat="1" applyFont="1" applyFill="1" applyAlignment="1">
      <alignment horizontal="center" vertical="center"/>
    </xf>
    <xf numFmtId="166" fontId="1" fillId="0" borderId="0" xfId="20" applyNumberFormat="1" applyAlignment="1">
      <alignment vertical="center"/>
    </xf>
    <xf numFmtId="0" fontId="11" fillId="0" borderId="0" xfId="9" applyFont="1" applyAlignment="1">
      <alignment vertical="center" wrapText="1"/>
    </xf>
    <xf numFmtId="0" fontId="11" fillId="0" borderId="0" xfId="9" applyFont="1" applyAlignment="1">
      <alignment horizontal="center" vertical="center" wrapText="1"/>
    </xf>
    <xf numFmtId="0" fontId="11" fillId="0" borderId="34" xfId="9" applyFont="1" applyBorder="1" applyAlignment="1">
      <alignment horizontal="center" vertical="center" wrapText="1"/>
    </xf>
    <xf numFmtId="0" fontId="8" fillId="0" borderId="5" xfId="9" applyFont="1" applyBorder="1" applyAlignment="1">
      <alignment horizontal="center" vertical="center" wrapText="1"/>
    </xf>
    <xf numFmtId="0" fontId="11" fillId="0" borderId="4" xfId="9" applyFont="1" applyBorder="1" applyAlignment="1">
      <alignment horizontal="center" vertical="center" wrapText="1"/>
    </xf>
    <xf numFmtId="49" fontId="11" fillId="0" borderId="13" xfId="39" applyNumberFormat="1" applyFont="1" applyBorder="1" applyAlignment="1">
      <alignment horizontal="center" vertical="center"/>
    </xf>
    <xf numFmtId="49" fontId="11" fillId="0" borderId="15" xfId="39" applyNumberFormat="1" applyFont="1" applyBorder="1" applyAlignment="1">
      <alignment horizontal="center" vertical="center"/>
    </xf>
    <xf numFmtId="0" fontId="11" fillId="0" borderId="15" xfId="9" applyFont="1" applyBorder="1" applyAlignment="1">
      <alignment horizontal="center" vertical="center" wrapText="1"/>
    </xf>
    <xf numFmtId="49" fontId="11" fillId="0" borderId="37" xfId="39" applyNumberFormat="1" applyFont="1" applyBorder="1" applyAlignment="1">
      <alignment horizontal="center" vertical="center"/>
    </xf>
    <xf numFmtId="49" fontId="11" fillId="0" borderId="13" xfId="15" applyNumberFormat="1" applyFont="1" applyBorder="1" applyAlignment="1">
      <alignment horizontal="center" vertical="center"/>
    </xf>
    <xf numFmtId="0" fontId="11" fillId="0" borderId="13" xfId="9" applyFont="1" applyBorder="1" applyAlignment="1">
      <alignment horizontal="center" vertical="center" wrapText="1"/>
    </xf>
    <xf numFmtId="166" fontId="7" fillId="0" borderId="0" xfId="39" applyNumberFormat="1" applyFont="1"/>
    <xf numFmtId="0" fontId="11" fillId="0" borderId="0" xfId="39" applyFont="1"/>
    <xf numFmtId="9" fontId="7" fillId="0" borderId="0" xfId="78" applyFont="1" applyBorder="1"/>
    <xf numFmtId="0" fontId="11" fillId="0" borderId="13" xfId="101" applyFont="1" applyBorder="1" applyAlignment="1">
      <alignment horizontal="center" vertical="center"/>
    </xf>
    <xf numFmtId="0" fontId="11" fillId="0" borderId="15" xfId="101" applyFont="1" applyBorder="1" applyAlignment="1">
      <alignment horizontal="center" vertical="center"/>
    </xf>
    <xf numFmtId="0" fontId="11" fillId="0" borderId="37" xfId="101" applyFont="1" applyBorder="1" applyAlignment="1">
      <alignment horizontal="center" vertical="center"/>
    </xf>
    <xf numFmtId="0" fontId="11" fillId="0" borderId="37" xfId="9" applyFont="1" applyBorder="1" applyAlignment="1">
      <alignment horizontal="center" vertical="center" wrapText="1"/>
    </xf>
    <xf numFmtId="0" fontId="7" fillId="0" borderId="15" xfId="39" applyFont="1" applyBorder="1" applyAlignment="1">
      <alignment horizontal="center" vertical="center"/>
    </xf>
    <xf numFmtId="176" fontId="26" fillId="0" borderId="4" xfId="94" applyNumberFormat="1" applyFont="1" applyFill="1" applyBorder="1"/>
    <xf numFmtId="0" fontId="25" fillId="0" borderId="44" xfId="20" applyFont="1" applyBorder="1"/>
    <xf numFmtId="0" fontId="2" fillId="7" borderId="0" xfId="0" applyFont="1" applyFill="1" applyAlignment="1">
      <alignment horizontal="center" vertical="center" wrapText="1"/>
    </xf>
    <xf numFmtId="0" fontId="25" fillId="0" borderId="45" xfId="20" applyFont="1" applyBorder="1"/>
    <xf numFmtId="0" fontId="0" fillId="0" borderId="57" xfId="20" applyFont="1" applyBorder="1" applyAlignment="1">
      <alignment horizontal="center"/>
    </xf>
    <xf numFmtId="0" fontId="2" fillId="0" borderId="57" xfId="20" applyFont="1" applyBorder="1"/>
    <xf numFmtId="0" fontId="1" fillId="0" borderId="0" xfId="20" applyAlignment="1">
      <alignment horizontal="center" vertical="center"/>
    </xf>
    <xf numFmtId="172" fontId="1" fillId="0" borderId="0" xfId="20" applyNumberFormat="1" applyAlignment="1">
      <alignment horizontal="center" vertical="center"/>
    </xf>
    <xf numFmtId="0" fontId="2" fillId="7" borderId="7" xfId="20" applyFont="1" applyFill="1" applyBorder="1" applyAlignment="1">
      <alignment horizontal="center"/>
    </xf>
    <xf numFmtId="0" fontId="0" fillId="0" borderId="13" xfId="20" applyFont="1" applyBorder="1" applyAlignment="1">
      <alignment horizontal="center"/>
    </xf>
    <xf numFmtId="0" fontId="0" fillId="0" borderId="0" xfId="20" applyFont="1" applyAlignment="1">
      <alignment horizontal="center" vertical="center"/>
    </xf>
    <xf numFmtId="17" fontId="1" fillId="0" borderId="0" xfId="20" applyNumberFormat="1"/>
    <xf numFmtId="49" fontId="11" fillId="14" borderId="0" xfId="0" applyNumberFormat="1" applyFont="1" applyFill="1" applyAlignment="1">
      <alignment vertical="center"/>
    </xf>
    <xf numFmtId="172" fontId="29" fillId="2" borderId="33" xfId="0" applyNumberFormat="1" applyFont="1" applyFill="1" applyBorder="1" applyAlignment="1">
      <alignment horizontal="center" vertical="center"/>
    </xf>
    <xf numFmtId="166" fontId="11" fillId="2" borderId="58" xfId="2" applyNumberFormat="1" applyFont="1" applyFill="1" applyBorder="1" applyAlignment="1">
      <alignment horizontal="left" vertical="center"/>
    </xf>
    <xf numFmtId="166" fontId="11" fillId="2" borderId="59" xfId="2" applyNumberFormat="1" applyFont="1" applyFill="1" applyBorder="1" applyAlignment="1">
      <alignment horizontal="center" vertical="center"/>
    </xf>
    <xf numFmtId="170" fontId="12" fillId="2" borderId="2" xfId="1" applyNumberFormat="1" applyFont="1" applyFill="1" applyBorder="1" applyAlignment="1" applyProtection="1">
      <alignment vertical="center"/>
      <protection locked="0"/>
    </xf>
    <xf numFmtId="170" fontId="12" fillId="2" borderId="0" xfId="4" applyNumberFormat="1" applyFont="1" applyFill="1" applyBorder="1" applyAlignment="1" applyProtection="1">
      <alignment vertical="center"/>
      <protection locked="0"/>
    </xf>
    <xf numFmtId="170" fontId="8" fillId="2" borderId="0" xfId="2" applyNumberFormat="1" applyFont="1" applyFill="1" applyAlignment="1">
      <alignment horizontal="center" vertical="center"/>
    </xf>
    <xf numFmtId="170" fontId="8" fillId="2" borderId="0" xfId="1" applyNumberFormat="1" applyFont="1" applyFill="1" applyAlignment="1">
      <alignment horizontal="center" vertical="center"/>
    </xf>
    <xf numFmtId="170" fontId="13" fillId="2" borderId="0" xfId="4" applyNumberFormat="1" applyFont="1" applyFill="1" applyBorder="1" applyAlignment="1" applyProtection="1">
      <alignment vertical="center"/>
      <protection locked="0"/>
    </xf>
    <xf numFmtId="170" fontId="12" fillId="2" borderId="0" xfId="4" applyNumberFormat="1" applyFont="1" applyFill="1" applyBorder="1" applyAlignment="1" applyProtection="1">
      <alignment horizontal="center" vertical="center"/>
    </xf>
    <xf numFmtId="170" fontId="0" fillId="2" borderId="0" xfId="0" applyNumberFormat="1" applyFill="1" applyAlignment="1">
      <alignment vertical="center"/>
    </xf>
    <xf numFmtId="170" fontId="8" fillId="0" borderId="2" xfId="1" applyNumberFormat="1" applyFont="1" applyBorder="1" applyAlignment="1">
      <alignment horizontal="center" vertical="center"/>
    </xf>
    <xf numFmtId="170" fontId="12" fillId="2" borderId="0" xfId="1" applyNumberFormat="1" applyFont="1" applyFill="1" applyBorder="1" applyAlignment="1" applyProtection="1">
      <alignment vertical="center"/>
      <protection locked="0"/>
    </xf>
    <xf numFmtId="166" fontId="11" fillId="2" borderId="60" xfId="2" applyNumberFormat="1" applyFont="1" applyFill="1" applyBorder="1" applyAlignment="1">
      <alignment horizontal="center" vertical="center"/>
    </xf>
    <xf numFmtId="0" fontId="0" fillId="0" borderId="19" xfId="20" applyFont="1" applyBorder="1" applyAlignment="1">
      <alignment horizontal="center"/>
    </xf>
    <xf numFmtId="0" fontId="25" fillId="0" borderId="15" xfId="20" applyFont="1" applyBorder="1"/>
    <xf numFmtId="0" fontId="0" fillId="5" borderId="15" xfId="0" applyFill="1" applyBorder="1" applyAlignment="1">
      <alignment horizontal="center"/>
    </xf>
    <xf numFmtId="169" fontId="0" fillId="0" borderId="22" xfId="0" applyNumberFormat="1" applyBorder="1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166" fontId="1" fillId="2" borderId="0" xfId="1" applyFill="1" applyBorder="1" applyAlignment="1" applyProtection="1">
      <alignment vertical="center"/>
      <protection locked="0"/>
    </xf>
    <xf numFmtId="170" fontId="12" fillId="2" borderId="1" xfId="1" applyNumberFormat="1" applyFont="1" applyFill="1" applyBorder="1" applyAlignment="1" applyProtection="1">
      <alignment vertical="center"/>
    </xf>
    <xf numFmtId="170" fontId="8" fillId="4" borderId="54" xfId="1" applyNumberFormat="1" applyFont="1" applyFill="1" applyBorder="1" applyAlignment="1" applyProtection="1">
      <alignment horizontal="center" vertical="center"/>
    </xf>
    <xf numFmtId="170" fontId="42" fillId="15" borderId="40" xfId="1" applyNumberFormat="1" applyFont="1" applyFill="1" applyBorder="1" applyAlignment="1" applyProtection="1">
      <alignment vertical="center"/>
    </xf>
    <xf numFmtId="170" fontId="42" fillId="14" borderId="0" xfId="1" applyNumberFormat="1" applyFont="1" applyFill="1" applyAlignment="1" applyProtection="1">
      <alignment vertical="center"/>
    </xf>
    <xf numFmtId="170" fontId="42" fillId="15" borderId="0" xfId="1" applyNumberFormat="1" applyFont="1" applyFill="1" applyAlignment="1" applyProtection="1">
      <alignment vertical="center"/>
    </xf>
    <xf numFmtId="170" fontId="11" fillId="15" borderId="0" xfId="1" applyNumberFormat="1" applyFont="1" applyFill="1" applyAlignment="1" applyProtection="1">
      <alignment vertical="center"/>
    </xf>
    <xf numFmtId="170" fontId="11" fillId="14" borderId="0" xfId="1" applyNumberFormat="1" applyFont="1" applyFill="1" applyAlignment="1" applyProtection="1">
      <alignment vertical="center"/>
    </xf>
    <xf numFmtId="170" fontId="11" fillId="14" borderId="0" xfId="1" applyNumberFormat="1" applyFont="1" applyFill="1" applyBorder="1" applyAlignment="1" applyProtection="1">
      <alignment vertical="center"/>
    </xf>
    <xf numFmtId="170" fontId="25" fillId="17" borderId="47" xfId="0" applyNumberFormat="1" applyFont="1" applyFill="1" applyBorder="1" applyAlignment="1">
      <alignment vertical="center"/>
    </xf>
    <xf numFmtId="0" fontId="44" fillId="20" borderId="26" xfId="0" applyFont="1" applyFill="1" applyBorder="1" applyAlignment="1">
      <alignment horizontal="center"/>
    </xf>
    <xf numFmtId="171" fontId="44" fillId="20" borderId="0" xfId="0" applyNumberFormat="1" applyFont="1" applyFill="1" applyAlignment="1">
      <alignment horizontal="center"/>
    </xf>
    <xf numFmtId="14" fontId="44" fillId="20" borderId="0" xfId="0" applyNumberFormat="1" applyFont="1" applyFill="1" applyAlignment="1">
      <alignment horizontal="center"/>
    </xf>
    <xf numFmtId="14" fontId="0" fillId="20" borderId="27" xfId="0" applyNumberFormat="1" applyFill="1" applyBorder="1" applyAlignment="1">
      <alignment horizontal="center"/>
    </xf>
    <xf numFmtId="171" fontId="25" fillId="3" borderId="29" xfId="0" applyNumberFormat="1" applyFont="1" applyFill="1" applyBorder="1" applyAlignment="1">
      <alignment horizontal="right"/>
    </xf>
    <xf numFmtId="171" fontId="50" fillId="3" borderId="30" xfId="0" applyNumberFormat="1" applyFont="1" applyFill="1" applyBorder="1"/>
    <xf numFmtId="17" fontId="8" fillId="14" borderId="0" xfId="2" applyNumberFormat="1" applyFont="1" applyFill="1" applyAlignment="1">
      <alignment horizontal="center" vertical="center"/>
    </xf>
    <xf numFmtId="0" fontId="8" fillId="14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6" fontId="9" fillId="7" borderId="0" xfId="2" applyNumberFormat="1" applyFont="1" applyFill="1" applyAlignment="1">
      <alignment horizontal="center" vertical="center"/>
    </xf>
    <xf numFmtId="166" fontId="8" fillId="7" borderId="49" xfId="2" applyNumberFormat="1" applyFont="1" applyFill="1" applyBorder="1" applyAlignment="1">
      <alignment horizontal="center" vertical="center" wrapText="1"/>
    </xf>
    <xf numFmtId="166" fontId="8" fillId="7" borderId="46" xfId="2" applyNumberFormat="1" applyFont="1" applyFill="1" applyBorder="1" applyAlignment="1">
      <alignment horizontal="center" vertical="center" wrapText="1"/>
    </xf>
    <xf numFmtId="170" fontId="8" fillId="7" borderId="2" xfId="2" applyNumberFormat="1" applyFont="1" applyFill="1" applyBorder="1" applyAlignment="1">
      <alignment horizontal="center" vertical="center"/>
    </xf>
    <xf numFmtId="170" fontId="8" fillId="7" borderId="2" xfId="1" applyNumberFormat="1" applyFont="1" applyFill="1" applyBorder="1" applyAlignment="1">
      <alignment horizontal="center" vertical="center"/>
    </xf>
    <xf numFmtId="166" fontId="8" fillId="14" borderId="0" xfId="2" applyNumberFormat="1" applyFont="1" applyFill="1" applyAlignment="1">
      <alignment horizontal="center" vertical="center" wrapText="1"/>
    </xf>
    <xf numFmtId="170" fontId="8" fillId="14" borderId="2" xfId="1" applyNumberFormat="1" applyFont="1" applyFill="1" applyBorder="1" applyAlignment="1">
      <alignment horizontal="center" vertical="center"/>
    </xf>
    <xf numFmtId="166" fontId="8" fillId="14" borderId="61" xfId="2" applyNumberFormat="1" applyFont="1" applyFill="1" applyBorder="1" applyAlignment="1">
      <alignment horizontal="center" vertical="center" wrapText="1"/>
    </xf>
    <xf numFmtId="166" fontId="8" fillId="14" borderId="62" xfId="2" applyNumberFormat="1" applyFont="1" applyFill="1" applyBorder="1" applyAlignment="1">
      <alignment horizontal="center" vertical="center" wrapText="1"/>
    </xf>
    <xf numFmtId="166" fontId="8" fillId="7" borderId="49" xfId="2" applyNumberFormat="1" applyFont="1" applyFill="1" applyBorder="1" applyAlignment="1">
      <alignment horizontal="center" vertical="center"/>
    </xf>
    <xf numFmtId="166" fontId="8" fillId="7" borderId="46" xfId="2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7" fontId="57" fillId="0" borderId="0" xfId="0" applyNumberFormat="1" applyFont="1"/>
    <xf numFmtId="166" fontId="57" fillId="0" borderId="0" xfId="1" applyFont="1"/>
    <xf numFmtId="17" fontId="58" fillId="0" borderId="0" xfId="0" applyNumberFormat="1" applyFont="1"/>
    <xf numFmtId="166" fontId="58" fillId="0" borderId="0" xfId="1" applyFont="1"/>
    <xf numFmtId="170" fontId="8" fillId="4" borderId="63" xfId="1" applyNumberFormat="1" applyFont="1" applyFill="1" applyBorder="1" applyAlignment="1" applyProtection="1">
      <alignment horizontal="center" vertical="center"/>
    </xf>
    <xf numFmtId="170" fontId="8" fillId="4" borderId="64" xfId="1" applyNumberFormat="1" applyFont="1" applyFill="1" applyBorder="1" applyAlignment="1" applyProtection="1">
      <alignment horizontal="center" vertical="center"/>
    </xf>
    <xf numFmtId="170" fontId="8" fillId="4" borderId="64" xfId="1" applyNumberFormat="1" applyFont="1" applyFill="1" applyBorder="1" applyAlignment="1">
      <alignment horizontal="center" vertical="center"/>
    </xf>
    <xf numFmtId="166" fontId="8" fillId="4" borderId="66" xfId="2" applyNumberFormat="1" applyFont="1" applyFill="1" applyBorder="1" applyAlignment="1">
      <alignment horizontal="center" wrapText="1"/>
    </xf>
    <xf numFmtId="166" fontId="8" fillId="4" borderId="67" xfId="2" applyNumberFormat="1" applyFont="1" applyFill="1" applyBorder="1" applyAlignment="1">
      <alignment horizontal="center" wrapText="1"/>
    </xf>
    <xf numFmtId="170" fontId="8" fillId="4" borderId="1" xfId="1" applyNumberFormat="1" applyFont="1" applyFill="1" applyBorder="1" applyAlignment="1">
      <alignment horizontal="center" vertical="center"/>
    </xf>
    <xf numFmtId="170" fontId="8" fillId="2" borderId="0" xfId="1" applyNumberFormat="1" applyFont="1" applyFill="1" applyBorder="1" applyAlignment="1">
      <alignment horizontal="center" vertical="center"/>
    </xf>
    <xf numFmtId="170" fontId="8" fillId="2" borderId="0" xfId="1" applyNumberFormat="1" applyFont="1" applyFill="1" applyBorder="1" applyAlignment="1" applyProtection="1">
      <alignment horizontal="center" vertical="center"/>
    </xf>
    <xf numFmtId="170" fontId="8" fillId="4" borderId="1" xfId="1" applyNumberFormat="1" applyFont="1" applyFill="1" applyBorder="1" applyAlignment="1" applyProtection="1">
      <alignment horizontal="center" vertical="center"/>
    </xf>
    <xf numFmtId="176" fontId="8" fillId="4" borderId="63" xfId="1" applyNumberFormat="1" applyFont="1" applyFill="1" applyBorder="1" applyAlignment="1">
      <alignment horizontal="center" vertical="center"/>
    </xf>
    <xf numFmtId="176" fontId="8" fillId="4" borderId="68" xfId="1" applyNumberFormat="1" applyFont="1" applyFill="1" applyBorder="1" applyAlignment="1">
      <alignment horizontal="center" vertical="center"/>
    </xf>
    <xf numFmtId="176" fontId="8" fillId="4" borderId="1" xfId="1" applyNumberFormat="1" applyFont="1" applyFill="1" applyBorder="1" applyAlignment="1">
      <alignment horizontal="center" vertical="center"/>
    </xf>
    <xf numFmtId="176" fontId="8" fillId="4" borderId="69" xfId="1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9" fontId="12" fillId="2" borderId="56" xfId="92" applyFont="1" applyFill="1" applyBorder="1" applyAlignment="1" applyProtection="1">
      <alignment vertical="center"/>
    </xf>
    <xf numFmtId="166" fontId="8" fillId="4" borderId="53" xfId="2" applyNumberFormat="1" applyFont="1" applyFill="1" applyBorder="1" applyAlignment="1">
      <alignment horizontal="center" vertical="center" wrapText="1"/>
    </xf>
    <xf numFmtId="170" fontId="12" fillId="2" borderId="50" xfId="1" applyNumberFormat="1" applyFont="1" applyFill="1" applyBorder="1" applyAlignment="1" applyProtection="1">
      <alignment vertical="center"/>
    </xf>
    <xf numFmtId="170" fontId="0" fillId="2" borderId="0" xfId="1" applyNumberFormat="1" applyFont="1" applyFill="1" applyAlignment="1" applyProtection="1">
      <alignment vertical="center"/>
    </xf>
    <xf numFmtId="166" fontId="0" fillId="2" borderId="0" xfId="1" applyFont="1" applyFill="1" applyAlignment="1" applyProtection="1">
      <alignment vertical="center"/>
      <protection locked="0"/>
    </xf>
    <xf numFmtId="170" fontId="12" fillId="2" borderId="65" xfId="1" applyNumberFormat="1" applyFont="1" applyFill="1" applyBorder="1" applyAlignment="1" applyProtection="1">
      <alignment vertical="center"/>
    </xf>
    <xf numFmtId="166" fontId="13" fillId="2" borderId="0" xfId="1" applyFont="1" applyFill="1" applyBorder="1" applyAlignment="1" applyProtection="1">
      <alignment vertical="center"/>
    </xf>
    <xf numFmtId="166" fontId="12" fillId="2" borderId="0" xfId="1" applyFont="1" applyFill="1" applyBorder="1" applyAlignment="1" applyProtection="1">
      <alignment horizontal="center" vertical="center"/>
    </xf>
    <xf numFmtId="166" fontId="0" fillId="2" borderId="0" xfId="1" applyFont="1" applyFill="1" applyAlignment="1" applyProtection="1">
      <alignment vertical="center"/>
    </xf>
    <xf numFmtId="0" fontId="29" fillId="4" borderId="1" xfId="2" applyFont="1" applyFill="1" applyBorder="1" applyAlignment="1">
      <alignment horizontal="center" vertical="center" wrapText="1"/>
    </xf>
    <xf numFmtId="176" fontId="12" fillId="2" borderId="1" xfId="1" applyNumberFormat="1" applyFont="1" applyFill="1" applyBorder="1" applyAlignment="1" applyProtection="1">
      <alignment vertical="center"/>
      <protection locked="0"/>
    </xf>
    <xf numFmtId="170" fontId="25" fillId="17" borderId="47" xfId="0" applyNumberFormat="1" applyFont="1" applyFill="1" applyBorder="1"/>
    <xf numFmtId="176" fontId="12" fillId="2" borderId="1" xfId="1" applyNumberFormat="1" applyFont="1" applyFill="1" applyBorder="1" applyAlignment="1" applyProtection="1">
      <alignment vertical="center"/>
    </xf>
    <xf numFmtId="0" fontId="59" fillId="0" borderId="0" xfId="20" applyFont="1" applyAlignment="1">
      <alignment horizontal="center"/>
    </xf>
    <xf numFmtId="0" fontId="52" fillId="0" borderId="0" xfId="20" applyFont="1" applyAlignment="1">
      <alignment horizontal="center"/>
    </xf>
    <xf numFmtId="0" fontId="57" fillId="0" borderId="0" xfId="20" applyFont="1"/>
    <xf numFmtId="43" fontId="60" fillId="0" borderId="0" xfId="94" applyFont="1" applyFill="1" applyAlignment="1">
      <alignment horizontal="center" vertical="center"/>
    </xf>
    <xf numFmtId="0" fontId="60" fillId="0" borderId="0" xfId="94" applyNumberFormat="1" applyFont="1"/>
    <xf numFmtId="0" fontId="60" fillId="0" borderId="0" xfId="39" applyFont="1" applyAlignment="1">
      <alignment horizontal="center" vertical="center"/>
    </xf>
    <xf numFmtId="176" fontId="12" fillId="0" borderId="0" xfId="94" applyNumberFormat="1" applyFont="1" applyBorder="1" applyAlignment="1">
      <alignment horizontal="center" vertical="center"/>
    </xf>
    <xf numFmtId="176" fontId="60" fillId="0" borderId="0" xfId="94" applyNumberFormat="1" applyFont="1" applyAlignment="1">
      <alignment horizontal="center" vertical="center"/>
    </xf>
    <xf numFmtId="176" fontId="14" fillId="0" borderId="7" xfId="94" applyNumberFormat="1" applyFont="1" applyBorder="1" applyAlignment="1">
      <alignment horizontal="center" vertical="center" wrapText="1"/>
    </xf>
    <xf numFmtId="0" fontId="60" fillId="0" borderId="0" xfId="39" applyFont="1"/>
    <xf numFmtId="0" fontId="14" fillId="0" borderId="0" xfId="94" applyNumberFormat="1" applyFont="1" applyAlignment="1">
      <alignment horizontal="center" vertical="center"/>
    </xf>
    <xf numFmtId="43" fontId="14" fillId="18" borderId="7" xfId="94" applyFont="1" applyFill="1" applyBorder="1" applyAlignment="1">
      <alignment horizontal="center" vertical="center" wrapText="1"/>
    </xf>
    <xf numFmtId="43" fontId="12" fillId="0" borderId="0" xfId="94" applyFont="1" applyFill="1" applyAlignment="1">
      <alignment horizontal="center" vertical="center" wrapText="1"/>
    </xf>
    <xf numFmtId="0" fontId="12" fillId="0" borderId="0" xfId="94" applyNumberFormat="1" applyFont="1" applyAlignment="1">
      <alignment vertical="center" wrapText="1"/>
    </xf>
    <xf numFmtId="0" fontId="12" fillId="0" borderId="0" xfId="9" applyFont="1" applyAlignment="1">
      <alignment horizontal="center" vertical="center" wrapText="1"/>
    </xf>
    <xf numFmtId="176" fontId="12" fillId="0" borderId="0" xfId="94" applyNumberFormat="1" applyFont="1" applyFill="1" applyBorder="1" applyAlignment="1">
      <alignment horizontal="center" vertical="center" wrapText="1"/>
    </xf>
    <xf numFmtId="176" fontId="14" fillId="0" borderId="0" xfId="94" applyNumberFormat="1" applyFont="1" applyAlignment="1">
      <alignment horizontal="center" vertical="center" wrapText="1"/>
    </xf>
    <xf numFmtId="0" fontId="12" fillId="0" borderId="0" xfId="9" applyFont="1" applyAlignment="1">
      <alignment vertical="center" wrapText="1"/>
    </xf>
    <xf numFmtId="14" fontId="14" fillId="0" borderId="0" xfId="94" applyNumberFormat="1" applyFont="1" applyFill="1" applyBorder="1" applyAlignment="1">
      <alignment horizontal="center" vertical="center" wrapText="1"/>
    </xf>
    <xf numFmtId="0" fontId="14" fillId="0" borderId="0" xfId="94" applyNumberFormat="1" applyFont="1" applyAlignment="1">
      <alignment vertical="center"/>
    </xf>
    <xf numFmtId="176" fontId="12" fillId="0" borderId="0" xfId="94" applyNumberFormat="1" applyFont="1" applyBorder="1" applyAlignment="1">
      <alignment horizontal="center" vertical="center" wrapText="1"/>
    </xf>
    <xf numFmtId="0" fontId="12" fillId="0" borderId="34" xfId="9" applyFont="1" applyBorder="1" applyAlignment="1">
      <alignment horizontal="center" vertical="center" wrapText="1"/>
    </xf>
    <xf numFmtId="176" fontId="12" fillId="0" borderId="34" xfId="94" applyNumberFormat="1" applyFont="1" applyFill="1" applyBorder="1" applyAlignment="1">
      <alignment horizontal="center" vertical="center" wrapText="1"/>
    </xf>
    <xf numFmtId="176" fontId="14" fillId="0" borderId="0" xfId="94" applyNumberFormat="1" applyFont="1" applyBorder="1" applyAlignment="1">
      <alignment horizontal="center" vertical="center" wrapText="1"/>
    </xf>
    <xf numFmtId="43" fontId="14" fillId="0" borderId="3" xfId="94" applyFont="1" applyFill="1" applyBorder="1" applyAlignment="1">
      <alignment horizontal="center" vertical="center" wrapText="1"/>
    </xf>
    <xf numFmtId="0" fontId="14" fillId="0" borderId="5" xfId="94" applyNumberFormat="1" applyFont="1" applyBorder="1" applyAlignment="1">
      <alignment horizontal="center" vertical="center" wrapText="1"/>
    </xf>
    <xf numFmtId="0" fontId="14" fillId="0" borderId="5" xfId="9" applyFont="1" applyBorder="1" applyAlignment="1">
      <alignment horizontal="center" vertical="center" wrapText="1"/>
    </xf>
    <xf numFmtId="176" fontId="14" fillId="0" borderId="7" xfId="94" applyNumberFormat="1" applyFont="1" applyFill="1" applyBorder="1" applyAlignment="1">
      <alignment horizontal="center" vertical="center"/>
    </xf>
    <xf numFmtId="176" fontId="14" fillId="0" borderId="9" xfId="94" applyNumberFormat="1" applyFont="1" applyFill="1" applyBorder="1" applyAlignment="1">
      <alignment horizontal="center" vertical="center"/>
    </xf>
    <xf numFmtId="176" fontId="61" fillId="0" borderId="0" xfId="94" applyNumberFormat="1" applyFont="1" applyAlignment="1">
      <alignment horizontal="center" vertical="center"/>
    </xf>
    <xf numFmtId="43" fontId="14" fillId="0" borderId="3" xfId="94" applyFont="1" applyFill="1" applyBorder="1" applyAlignment="1">
      <alignment horizontal="center" vertical="center"/>
    </xf>
    <xf numFmtId="0" fontId="14" fillId="0" borderId="4" xfId="94" applyNumberFormat="1" applyFont="1" applyBorder="1" applyAlignment="1">
      <alignment vertical="center" wrapText="1"/>
    </xf>
    <xf numFmtId="0" fontId="12" fillId="0" borderId="4" xfId="9" applyFont="1" applyBorder="1" applyAlignment="1">
      <alignment horizontal="center" vertical="center" wrapText="1"/>
    </xf>
    <xf numFmtId="176" fontId="12" fillId="0" borderId="4" xfId="94" applyNumberFormat="1" applyFont="1" applyFill="1" applyBorder="1" applyAlignment="1">
      <alignment horizontal="center" vertical="center" wrapText="1"/>
    </xf>
    <xf numFmtId="176" fontId="14" fillId="0" borderId="5" xfId="94" applyNumberFormat="1" applyFont="1" applyFill="1" applyBorder="1" applyAlignment="1">
      <alignment horizontal="center" vertical="center" wrapText="1"/>
    </xf>
    <xf numFmtId="9" fontId="60" fillId="0" borderId="0" xfId="78" applyFont="1"/>
    <xf numFmtId="43" fontId="60" fillId="0" borderId="13" xfId="94" applyFont="1" applyFill="1" applyBorder="1" applyAlignment="1">
      <alignment horizontal="center" vertical="center"/>
    </xf>
    <xf numFmtId="0" fontId="12" fillId="0" borderId="13" xfId="94" applyNumberFormat="1" applyFont="1" applyBorder="1" applyAlignment="1">
      <alignment vertical="top" wrapText="1"/>
    </xf>
    <xf numFmtId="49" fontId="12" fillId="0" borderId="13" xfId="39" applyNumberFormat="1" applyFont="1" applyBorder="1" applyAlignment="1">
      <alignment horizontal="center" vertical="center"/>
    </xf>
    <xf numFmtId="176" fontId="60" fillId="0" borderId="13" xfId="94" applyNumberFormat="1" applyFont="1" applyFill="1" applyBorder="1" applyAlignment="1">
      <alignment horizontal="center" vertical="center"/>
    </xf>
    <xf numFmtId="176" fontId="60" fillId="0" borderId="13" xfId="94" applyNumberFormat="1" applyFont="1" applyBorder="1" applyAlignment="1">
      <alignment horizontal="center" vertical="center"/>
    </xf>
    <xf numFmtId="43" fontId="60" fillId="0" borderId="15" xfId="94" applyFont="1" applyFill="1" applyBorder="1" applyAlignment="1">
      <alignment horizontal="center" vertical="center"/>
    </xf>
    <xf numFmtId="0" fontId="12" fillId="0" borderId="15" xfId="94" applyNumberFormat="1" applyFont="1" applyBorder="1" applyAlignment="1">
      <alignment vertical="top" wrapText="1"/>
    </xf>
    <xf numFmtId="49" fontId="12" fillId="0" borderId="15" xfId="39" applyNumberFormat="1" applyFont="1" applyBorder="1" applyAlignment="1">
      <alignment horizontal="center" vertical="center"/>
    </xf>
    <xf numFmtId="176" fontId="60" fillId="0" borderId="15" xfId="94" applyNumberFormat="1" applyFont="1" applyFill="1" applyBorder="1" applyAlignment="1">
      <alignment horizontal="center" vertical="center"/>
    </xf>
    <xf numFmtId="176" fontId="60" fillId="0" borderId="15" xfId="94" applyNumberFormat="1" applyFont="1" applyBorder="1" applyAlignment="1">
      <alignment horizontal="center" vertical="center"/>
    </xf>
    <xf numFmtId="0" fontId="12" fillId="0" borderId="15" xfId="9" applyFont="1" applyBorder="1" applyAlignment="1">
      <alignment horizontal="center" vertical="center" wrapText="1"/>
    </xf>
    <xf numFmtId="176" fontId="12" fillId="0" borderId="15" xfId="94" applyNumberFormat="1" applyFont="1" applyFill="1" applyBorder="1" applyAlignment="1">
      <alignment horizontal="center" vertical="center" wrapText="1"/>
    </xf>
    <xf numFmtId="43" fontId="60" fillId="0" borderId="37" xfId="94" applyFont="1" applyFill="1" applyBorder="1" applyAlignment="1">
      <alignment horizontal="center" vertical="center"/>
    </xf>
    <xf numFmtId="0" fontId="12" fillId="0" borderId="37" xfId="94" applyNumberFormat="1" applyFont="1" applyBorder="1" applyAlignment="1">
      <alignment vertical="top" wrapText="1"/>
    </xf>
    <xf numFmtId="49" fontId="12" fillId="0" borderId="37" xfId="39" applyNumberFormat="1" applyFont="1" applyBorder="1" applyAlignment="1">
      <alignment horizontal="center" vertical="center"/>
    </xf>
    <xf numFmtId="176" fontId="60" fillId="0" borderId="37" xfId="94" applyNumberFormat="1" applyFont="1" applyFill="1" applyBorder="1" applyAlignment="1">
      <alignment horizontal="center" vertical="center"/>
    </xf>
    <xf numFmtId="0" fontId="12" fillId="0" borderId="19" xfId="94" applyNumberFormat="1" applyFont="1" applyBorder="1" applyAlignment="1">
      <alignment horizontal="left"/>
    </xf>
    <xf numFmtId="49" fontId="12" fillId="0" borderId="15" xfId="15" applyNumberFormat="1" applyFont="1" applyBorder="1" applyAlignment="1">
      <alignment horizontal="center" vertical="center"/>
    </xf>
    <xf numFmtId="176" fontId="12" fillId="0" borderId="15" xfId="94" applyNumberFormat="1" applyFont="1" applyFill="1" applyBorder="1" applyAlignment="1">
      <alignment horizontal="center" vertical="center"/>
    </xf>
    <xf numFmtId="0" fontId="12" fillId="0" borderId="19" xfId="94" applyNumberFormat="1" applyFont="1" applyBorder="1" applyAlignment="1">
      <alignment vertical="top" wrapText="1"/>
    </xf>
    <xf numFmtId="0" fontId="8" fillId="0" borderId="4" xfId="94" applyNumberFormat="1" applyFont="1" applyBorder="1" applyAlignment="1">
      <alignment vertical="center" wrapText="1"/>
    </xf>
    <xf numFmtId="0" fontId="60" fillId="0" borderId="15" xfId="94" applyNumberFormat="1" applyFont="1" applyBorder="1" applyAlignment="1">
      <alignment vertical="center" wrapText="1"/>
    </xf>
    <xf numFmtId="176" fontId="7" fillId="0" borderId="15" xfId="94" applyNumberFormat="1" applyFont="1" applyBorder="1" applyAlignment="1">
      <alignment horizontal="center" vertical="center"/>
    </xf>
    <xf numFmtId="0" fontId="12" fillId="0" borderId="15" xfId="94" applyNumberFormat="1" applyFont="1" applyBorder="1" applyAlignment="1">
      <alignment horizontal="left"/>
    </xf>
    <xf numFmtId="0" fontId="12" fillId="0" borderId="20" xfId="94" applyNumberFormat="1" applyFont="1" applyBorder="1" applyAlignment="1">
      <alignment horizontal="left"/>
    </xf>
    <xf numFmtId="49" fontId="12" fillId="0" borderId="20" xfId="15" applyNumberFormat="1" applyFont="1" applyBorder="1" applyAlignment="1">
      <alignment horizontal="center" vertical="center"/>
    </xf>
    <xf numFmtId="176" fontId="12" fillId="0" borderId="20" xfId="94" applyNumberFormat="1" applyFont="1" applyFill="1" applyBorder="1" applyAlignment="1">
      <alignment horizontal="center" vertical="center"/>
    </xf>
    <xf numFmtId="176" fontId="12" fillId="0" borderId="37" xfId="94" applyNumberFormat="1" applyFont="1" applyFill="1" applyBorder="1" applyAlignment="1">
      <alignment horizontal="center" vertical="center"/>
    </xf>
    <xf numFmtId="0" fontId="12" fillId="0" borderId="13" xfId="94" applyNumberFormat="1" applyFont="1" applyFill="1" applyBorder="1" applyAlignment="1">
      <alignment horizontal="left" vertical="center"/>
    </xf>
    <xf numFmtId="43" fontId="60" fillId="0" borderId="16" xfId="94" applyFont="1" applyFill="1" applyBorder="1" applyAlignment="1">
      <alignment horizontal="center" vertical="center"/>
    </xf>
    <xf numFmtId="0" fontId="12" fillId="0" borderId="16" xfId="94" applyNumberFormat="1" applyFont="1" applyFill="1" applyBorder="1" applyAlignment="1">
      <alignment horizontal="left" vertical="center"/>
    </xf>
    <xf numFmtId="49" fontId="12" fillId="0" borderId="16" xfId="39" applyNumberFormat="1" applyFont="1" applyBorder="1" applyAlignment="1">
      <alignment horizontal="center" vertical="center"/>
    </xf>
    <xf numFmtId="176" fontId="60" fillId="0" borderId="16" xfId="94" applyNumberFormat="1" applyFont="1" applyFill="1" applyBorder="1" applyAlignment="1">
      <alignment horizontal="center" vertical="center"/>
    </xf>
    <xf numFmtId="0" fontId="12" fillId="0" borderId="15" xfId="94" applyNumberFormat="1" applyFont="1" applyBorder="1" applyAlignment="1">
      <alignment horizontal="left" vertical="center"/>
    </xf>
    <xf numFmtId="176" fontId="61" fillId="0" borderId="0" xfId="94" applyNumberFormat="1" applyFont="1" applyFill="1" applyAlignment="1">
      <alignment horizontal="center" vertical="center"/>
    </xf>
    <xf numFmtId="0" fontId="12" fillId="0" borderId="37" xfId="94" applyNumberFormat="1" applyFont="1" applyBorder="1" applyAlignment="1">
      <alignment horizontal="left" vertical="center"/>
    </xf>
    <xf numFmtId="176" fontId="60" fillId="0" borderId="37" xfId="94" applyNumberFormat="1" applyFont="1" applyBorder="1" applyAlignment="1">
      <alignment horizontal="center" vertical="center"/>
    </xf>
    <xf numFmtId="49" fontId="12" fillId="0" borderId="13" xfId="15" applyNumberFormat="1" applyFont="1" applyBorder="1" applyAlignment="1">
      <alignment horizontal="center" vertical="center"/>
    </xf>
    <xf numFmtId="176" fontId="12" fillId="0" borderId="13" xfId="94" applyNumberFormat="1" applyFont="1" applyFill="1" applyBorder="1" applyAlignment="1">
      <alignment horizontal="center" vertical="center"/>
    </xf>
    <xf numFmtId="176" fontId="60" fillId="0" borderId="36" xfId="94" applyNumberFormat="1" applyFont="1" applyBorder="1" applyAlignment="1">
      <alignment horizontal="center" vertical="center"/>
    </xf>
    <xf numFmtId="176" fontId="60" fillId="0" borderId="16" xfId="94" applyNumberFormat="1" applyFont="1" applyBorder="1" applyAlignment="1">
      <alignment horizontal="center" vertical="center"/>
    </xf>
    <xf numFmtId="176" fontId="14" fillId="0" borderId="38" xfId="94" applyNumberFormat="1" applyFont="1" applyFill="1" applyBorder="1" applyAlignment="1">
      <alignment horizontal="center" vertical="center" wrapText="1"/>
    </xf>
    <xf numFmtId="0" fontId="12" fillId="0" borderId="0" xfId="39" applyFont="1"/>
    <xf numFmtId="49" fontId="12" fillId="0" borderId="37" xfId="15" applyNumberFormat="1" applyFont="1" applyBorder="1" applyAlignment="1">
      <alignment horizontal="center" vertical="center"/>
    </xf>
    <xf numFmtId="176" fontId="14" fillId="0" borderId="10" xfId="94" applyNumberFormat="1" applyFont="1" applyFill="1" applyBorder="1" applyAlignment="1">
      <alignment horizontal="center" vertical="center" wrapText="1"/>
    </xf>
    <xf numFmtId="0" fontId="12" fillId="0" borderId="15" xfId="94" applyNumberFormat="1" applyFont="1" applyBorder="1" applyAlignment="1">
      <alignment vertical="center" wrapText="1"/>
    </xf>
    <xf numFmtId="43" fontId="12" fillId="0" borderId="15" xfId="94" applyFont="1" applyFill="1" applyBorder="1" applyAlignment="1">
      <alignment horizontal="center" vertical="center"/>
    </xf>
    <xf numFmtId="43" fontId="12" fillId="0" borderId="15" xfId="94" applyFont="1" applyFill="1" applyBorder="1" applyAlignment="1">
      <alignment horizontal="center" vertical="center" wrapText="1"/>
    </xf>
    <xf numFmtId="43" fontId="12" fillId="0" borderId="37" xfId="94" applyFont="1" applyFill="1" applyBorder="1" applyAlignment="1">
      <alignment horizontal="center" vertical="center" wrapText="1"/>
    </xf>
    <xf numFmtId="0" fontId="12" fillId="0" borderId="15" xfId="94" applyNumberFormat="1" applyFont="1" applyBorder="1" applyAlignment="1">
      <alignment vertical="top"/>
    </xf>
    <xf numFmtId="43" fontId="12" fillId="0" borderId="37" xfId="94" applyFont="1" applyFill="1" applyBorder="1" applyAlignment="1">
      <alignment horizontal="center" vertical="center"/>
    </xf>
    <xf numFmtId="0" fontId="12" fillId="0" borderId="37" xfId="94" applyNumberFormat="1" applyFont="1" applyBorder="1" applyAlignment="1">
      <alignment vertical="center" wrapText="1"/>
    </xf>
    <xf numFmtId="0" fontId="12" fillId="0" borderId="37" xfId="9" applyFont="1" applyBorder="1" applyAlignment="1">
      <alignment horizontal="center" vertical="center" wrapText="1"/>
    </xf>
    <xf numFmtId="176" fontId="12" fillId="0" borderId="37" xfId="94" applyNumberFormat="1" applyFont="1" applyFill="1" applyBorder="1" applyAlignment="1">
      <alignment horizontal="center" vertical="center" wrapText="1"/>
    </xf>
    <xf numFmtId="0" fontId="60" fillId="0" borderId="15" xfId="39" applyFont="1" applyBorder="1" applyAlignment="1">
      <alignment horizontal="center" vertical="center"/>
    </xf>
    <xf numFmtId="176" fontId="14" fillId="0" borderId="4" xfId="94" applyNumberFormat="1" applyFont="1" applyFill="1" applyBorder="1" applyAlignment="1">
      <alignment horizontal="center" vertical="center" wrapText="1"/>
    </xf>
    <xf numFmtId="0" fontId="60" fillId="0" borderId="5" xfId="39" applyFont="1" applyBorder="1"/>
    <xf numFmtId="176" fontId="12" fillId="0" borderId="13" xfId="94" applyNumberFormat="1" applyFont="1" applyFill="1" applyBorder="1" applyAlignment="1">
      <alignment horizontal="center" vertical="center" wrapText="1"/>
    </xf>
    <xf numFmtId="0" fontId="60" fillId="0" borderId="37" xfId="94" applyNumberFormat="1" applyFont="1" applyBorder="1" applyAlignment="1">
      <alignment vertical="center" wrapText="1"/>
    </xf>
    <xf numFmtId="43" fontId="12" fillId="0" borderId="13" xfId="94" applyFont="1" applyFill="1" applyBorder="1" applyAlignment="1">
      <alignment horizontal="center" vertical="center" wrapText="1"/>
    </xf>
    <xf numFmtId="43" fontId="14" fillId="0" borderId="39" xfId="94" applyFont="1" applyFill="1" applyBorder="1" applyAlignment="1">
      <alignment horizontal="center" vertical="center" wrapText="1"/>
    </xf>
    <xf numFmtId="176" fontId="12" fillId="0" borderId="39" xfId="94" applyNumberFormat="1" applyFont="1" applyFill="1" applyBorder="1" applyAlignment="1">
      <alignment horizontal="center" vertical="center" wrapText="1"/>
    </xf>
    <xf numFmtId="176" fontId="60" fillId="0" borderId="39" xfId="94" applyNumberFormat="1" applyFont="1" applyBorder="1" applyAlignment="1">
      <alignment horizontal="center" vertical="center"/>
    </xf>
    <xf numFmtId="9" fontId="62" fillId="0" borderId="0" xfId="107" applyFont="1" applyFill="1"/>
    <xf numFmtId="43" fontId="61" fillId="0" borderId="4" xfId="94" applyFont="1" applyBorder="1"/>
    <xf numFmtId="43" fontId="60" fillId="0" borderId="0" xfId="108" applyFont="1" applyFill="1"/>
    <xf numFmtId="166" fontId="60" fillId="0" borderId="0" xfId="39" applyNumberFormat="1" applyFont="1"/>
    <xf numFmtId="170" fontId="2" fillId="0" borderId="44" xfId="21" applyNumberFormat="1" applyFont="1" applyFill="1" applyBorder="1"/>
    <xf numFmtId="170" fontId="2" fillId="0" borderId="44" xfId="20" applyNumberFormat="1" applyFont="1" applyBorder="1"/>
    <xf numFmtId="170" fontId="6" fillId="0" borderId="45" xfId="20" applyNumberFormat="1" applyFont="1" applyBorder="1"/>
    <xf numFmtId="170" fontId="6" fillId="0" borderId="45" xfId="21" applyNumberFormat="1" applyFont="1" applyFill="1" applyBorder="1"/>
    <xf numFmtId="170" fontId="2" fillId="0" borderId="57" xfId="21" applyNumberFormat="1" applyFont="1" applyBorder="1"/>
    <xf numFmtId="170" fontId="6" fillId="0" borderId="57" xfId="20" applyNumberFormat="1" applyFont="1" applyBorder="1"/>
    <xf numFmtId="170" fontId="2" fillId="0" borderId="57" xfId="20" applyNumberFormat="1" applyFont="1" applyBorder="1"/>
    <xf numFmtId="170" fontId="2" fillId="7" borderId="39" xfId="21" applyNumberFormat="1" applyFont="1" applyFill="1" applyBorder="1"/>
    <xf numFmtId="170" fontId="2" fillId="0" borderId="7" xfId="20" applyNumberFormat="1" applyFont="1" applyBorder="1"/>
    <xf numFmtId="170" fontId="2" fillId="16" borderId="0" xfId="20" applyNumberFormat="1" applyFont="1" applyFill="1"/>
    <xf numFmtId="170" fontId="1" fillId="0" borderId="16" xfId="21" applyNumberFormat="1" applyFont="1" applyBorder="1"/>
    <xf numFmtId="170" fontId="1" fillId="0" borderId="16" xfId="21" applyNumberFormat="1" applyFont="1" applyFill="1" applyBorder="1"/>
    <xf numFmtId="170" fontId="1" fillId="0" borderId="37" xfId="21" applyNumberFormat="1" applyFont="1" applyBorder="1"/>
    <xf numFmtId="43" fontId="67" fillId="0" borderId="3" xfId="94" applyFont="1" applyFill="1" applyBorder="1" applyAlignment="1">
      <alignment horizontal="center" vertical="center"/>
    </xf>
    <xf numFmtId="43" fontId="65" fillId="0" borderId="13" xfId="94" applyFont="1" applyFill="1" applyBorder="1" applyAlignment="1">
      <alignment horizontal="center" vertical="center"/>
    </xf>
    <xf numFmtId="43" fontId="65" fillId="0" borderId="15" xfId="94" applyFont="1" applyFill="1" applyBorder="1" applyAlignment="1">
      <alignment horizontal="center" vertical="center"/>
    </xf>
    <xf numFmtId="43" fontId="65" fillId="0" borderId="37" xfId="94" applyFont="1" applyFill="1" applyBorder="1" applyAlignment="1">
      <alignment horizontal="center" vertical="center"/>
    </xf>
    <xf numFmtId="43" fontId="65" fillId="0" borderId="16" xfId="94" applyFont="1" applyFill="1" applyBorder="1" applyAlignment="1">
      <alignment horizontal="center" vertical="center"/>
    </xf>
    <xf numFmtId="43" fontId="66" fillId="0" borderId="15" xfId="94" applyFont="1" applyFill="1" applyBorder="1" applyAlignment="1">
      <alignment horizontal="center" vertical="center"/>
    </xf>
    <xf numFmtId="43" fontId="66" fillId="0" borderId="15" xfId="94" applyFont="1" applyFill="1" applyBorder="1" applyAlignment="1">
      <alignment horizontal="center" vertical="center" wrapText="1"/>
    </xf>
    <xf numFmtId="43" fontId="66" fillId="0" borderId="37" xfId="94" applyFont="1" applyFill="1" applyBorder="1" applyAlignment="1">
      <alignment horizontal="center" vertical="center" wrapText="1"/>
    </xf>
    <xf numFmtId="43" fontId="65" fillId="0" borderId="35" xfId="94" applyFont="1" applyFill="1" applyBorder="1" applyAlignment="1">
      <alignment horizontal="center" vertical="center"/>
    </xf>
    <xf numFmtId="43" fontId="66" fillId="0" borderId="13" xfId="94" applyFont="1" applyFill="1" applyBorder="1" applyAlignment="1">
      <alignment horizontal="center" vertical="center" wrapText="1"/>
    </xf>
    <xf numFmtId="2" fontId="65" fillId="0" borderId="15" xfId="94" applyNumberFormat="1" applyFont="1" applyFill="1" applyBorder="1" applyAlignment="1">
      <alignment horizontal="center" vertical="center"/>
    </xf>
    <xf numFmtId="2" fontId="66" fillId="0" borderId="15" xfId="94" applyNumberFormat="1" applyFont="1" applyFill="1" applyBorder="1" applyAlignment="1">
      <alignment horizontal="center" vertical="center" wrapText="1"/>
    </xf>
    <xf numFmtId="43" fontId="66" fillId="0" borderId="7" xfId="94" applyFont="1" applyFill="1" applyBorder="1" applyAlignment="1">
      <alignment horizontal="center" vertical="center"/>
    </xf>
    <xf numFmtId="43" fontId="66" fillId="0" borderId="13" xfId="94" applyFont="1" applyFill="1" applyBorder="1" applyAlignment="1">
      <alignment horizontal="center" vertical="center"/>
    </xf>
    <xf numFmtId="43" fontId="7" fillId="0" borderId="0" xfId="94" applyFont="1" applyFill="1" applyAlignment="1">
      <alignment horizontal="center" vertical="center"/>
    </xf>
    <xf numFmtId="0" fontId="7" fillId="0" borderId="0" xfId="94" applyNumberFormat="1" applyFont="1"/>
    <xf numFmtId="0" fontId="7" fillId="0" borderId="0" xfId="39" applyFont="1" applyAlignment="1">
      <alignment horizontal="center" vertical="center"/>
    </xf>
    <xf numFmtId="176" fontId="11" fillId="0" borderId="0" xfId="94" applyNumberFormat="1" applyFont="1" applyBorder="1" applyAlignment="1">
      <alignment horizontal="center" vertical="center"/>
    </xf>
    <xf numFmtId="176" fontId="7" fillId="0" borderId="0" xfId="94" applyNumberFormat="1" applyFont="1"/>
    <xf numFmtId="176" fontId="11" fillId="0" borderId="0" xfId="94" applyNumberFormat="1" applyFont="1" applyFill="1"/>
    <xf numFmtId="176" fontId="26" fillId="0" borderId="0" xfId="94" applyNumberFormat="1" applyFont="1"/>
    <xf numFmtId="176" fontId="7" fillId="0" borderId="0" xfId="94" applyNumberFormat="1" applyFont="1" applyFill="1"/>
    <xf numFmtId="176" fontId="8" fillId="0" borderId="0" xfId="94" applyNumberFormat="1" applyFont="1" applyFill="1" applyBorder="1" applyAlignment="1">
      <alignment horizontal="center" vertical="center" wrapText="1"/>
    </xf>
    <xf numFmtId="176" fontId="25" fillId="0" borderId="0" xfId="94" applyNumberFormat="1" applyFont="1"/>
    <xf numFmtId="176" fontId="7" fillId="0" borderId="0" xfId="94" applyNumberFormat="1" applyFont="1" applyAlignment="1">
      <alignment horizontal="center" vertical="center"/>
    </xf>
    <xf numFmtId="176" fontId="8" fillId="0" borderId="7" xfId="94" applyNumberFormat="1" applyFont="1" applyBorder="1" applyAlignment="1">
      <alignment horizontal="center" vertical="center" wrapText="1"/>
    </xf>
    <xf numFmtId="43" fontId="8" fillId="18" borderId="7" xfId="94" applyFont="1" applyFill="1" applyBorder="1" applyAlignment="1">
      <alignment horizontal="center" vertical="center" wrapText="1"/>
    </xf>
    <xf numFmtId="43" fontId="11" fillId="0" borderId="0" xfId="94" applyFont="1" applyFill="1" applyAlignment="1">
      <alignment horizontal="center" vertical="center" wrapText="1"/>
    </xf>
    <xf numFmtId="0" fontId="11" fillId="0" borderId="0" xfId="94" applyNumberFormat="1" applyFont="1" applyAlignment="1">
      <alignment vertical="center" wrapText="1"/>
    </xf>
    <xf numFmtId="176" fontId="11" fillId="0" borderId="0" xfId="94" applyNumberFormat="1" applyFont="1" applyFill="1" applyBorder="1" applyAlignment="1">
      <alignment horizontal="center" vertical="center" wrapText="1"/>
    </xf>
    <xf numFmtId="176" fontId="11" fillId="0" borderId="15" xfId="94" applyNumberFormat="1" applyFont="1" applyFill="1" applyBorder="1" applyAlignment="1">
      <alignment horizontal="center"/>
    </xf>
    <xf numFmtId="176" fontId="11" fillId="0" borderId="0" xfId="94" applyNumberFormat="1" applyFont="1" applyBorder="1" applyAlignment="1">
      <alignment horizontal="center" vertical="center" wrapText="1"/>
    </xf>
    <xf numFmtId="176" fontId="26" fillId="0" borderId="0" xfId="94" applyNumberFormat="1" applyFont="1" applyFill="1" applyBorder="1" applyAlignment="1">
      <alignment horizontal="center" vertical="center" wrapText="1"/>
    </xf>
    <xf numFmtId="176" fontId="11" fillId="0" borderId="0" xfId="94" applyNumberFormat="1" applyFont="1" applyFill="1" applyAlignment="1">
      <alignment vertical="center" wrapText="1"/>
    </xf>
    <xf numFmtId="176" fontId="8" fillId="0" borderId="0" xfId="94" applyNumberFormat="1" applyFont="1" applyAlignment="1">
      <alignment vertical="center" wrapText="1"/>
    </xf>
    <xf numFmtId="176" fontId="8" fillId="0" borderId="0" xfId="94" applyNumberFormat="1" applyFont="1" applyAlignment="1">
      <alignment horizontal="center" vertical="center" wrapText="1"/>
    </xf>
    <xf numFmtId="176" fontId="11" fillId="0" borderId="0" xfId="94" applyNumberFormat="1" applyFont="1" applyAlignment="1">
      <alignment vertical="center" wrapText="1"/>
    </xf>
    <xf numFmtId="176" fontId="11" fillId="0" borderId="37" xfId="94" applyNumberFormat="1" applyFont="1" applyFill="1" applyBorder="1" applyAlignment="1">
      <alignment horizontal="center"/>
    </xf>
    <xf numFmtId="176" fontId="11" fillId="0" borderId="0" xfId="94" applyNumberFormat="1" applyFont="1" applyBorder="1" applyAlignment="1">
      <alignment horizontal="center" wrapText="1"/>
    </xf>
    <xf numFmtId="14" fontId="8" fillId="0" borderId="0" xfId="94" applyNumberFormat="1" applyFont="1" applyFill="1" applyBorder="1" applyAlignment="1">
      <alignment horizontal="center" vertical="center" wrapText="1"/>
    </xf>
    <xf numFmtId="0" fontId="8" fillId="0" borderId="0" xfId="94" applyNumberFormat="1" applyFont="1" applyAlignment="1">
      <alignment vertical="center"/>
    </xf>
    <xf numFmtId="176" fontId="8" fillId="0" borderId="3" xfId="94" applyNumberFormat="1" applyFont="1" applyBorder="1" applyAlignment="1">
      <alignment horizontal="center" wrapText="1"/>
    </xf>
    <xf numFmtId="176" fontId="8" fillId="0" borderId="4" xfId="94" applyNumberFormat="1" applyFont="1" applyBorder="1" applyAlignment="1">
      <alignment horizontal="center" wrapText="1"/>
    </xf>
    <xf numFmtId="176" fontId="8" fillId="0" borderId="5" xfId="94" applyNumberFormat="1" applyFont="1" applyBorder="1" applyAlignment="1">
      <alignment horizontal="center" wrapText="1"/>
    </xf>
    <xf numFmtId="176" fontId="26" fillId="0" borderId="0" xfId="94" applyNumberFormat="1" applyFont="1" applyFill="1" applyBorder="1" applyAlignment="1">
      <alignment horizontal="center" wrapText="1"/>
    </xf>
    <xf numFmtId="176" fontId="8" fillId="0" borderId="0" xfId="94" applyNumberFormat="1" applyFont="1" applyBorder="1" applyAlignment="1">
      <alignment horizontal="center" wrapText="1"/>
    </xf>
    <xf numFmtId="43" fontId="7" fillId="5" borderId="0" xfId="94" applyFont="1" applyFill="1"/>
    <xf numFmtId="176" fontId="11" fillId="0" borderId="34" xfId="94" applyNumberFormat="1" applyFont="1" applyFill="1" applyBorder="1" applyAlignment="1">
      <alignment horizontal="center" vertical="center" wrapText="1"/>
    </xf>
    <xf numFmtId="43" fontId="11" fillId="0" borderId="0" xfId="94" applyFont="1" applyAlignment="1">
      <alignment vertical="center" wrapText="1"/>
    </xf>
    <xf numFmtId="176" fontId="8" fillId="0" borderId="0" xfId="94" applyNumberFormat="1" applyFont="1" applyBorder="1" applyAlignment="1">
      <alignment horizontal="center" vertical="center" wrapText="1"/>
    </xf>
    <xf numFmtId="43" fontId="8" fillId="0" borderId="3" xfId="94" applyFont="1" applyFill="1" applyBorder="1" applyAlignment="1">
      <alignment horizontal="center" vertical="center" wrapText="1"/>
    </xf>
    <xf numFmtId="43" fontId="8" fillId="0" borderId="4" xfId="94" applyFont="1" applyFill="1" applyBorder="1" applyAlignment="1">
      <alignment horizontal="center" vertical="center" wrapText="1"/>
    </xf>
    <xf numFmtId="0" fontId="8" fillId="0" borderId="5" xfId="94" applyNumberFormat="1" applyFont="1" applyBorder="1" applyAlignment="1">
      <alignment horizontal="center" vertical="center" wrapText="1"/>
    </xf>
    <xf numFmtId="176" fontId="8" fillId="0" borderId="7" xfId="94" applyNumberFormat="1" applyFont="1" applyFill="1" applyBorder="1" applyAlignment="1">
      <alignment horizontal="center" vertical="center"/>
    </xf>
    <xf numFmtId="176" fontId="8" fillId="0" borderId="5" xfId="94" applyNumberFormat="1" applyFont="1" applyFill="1" applyBorder="1" applyAlignment="1">
      <alignment horizontal="center" vertical="center"/>
    </xf>
    <xf numFmtId="176" fontId="8" fillId="11" borderId="7" xfId="94" applyNumberFormat="1" applyFont="1" applyFill="1" applyBorder="1" applyAlignment="1">
      <alignment horizontal="center" vertical="center"/>
    </xf>
    <xf numFmtId="176" fontId="8" fillId="11" borderId="7" xfId="94" applyNumberFormat="1" applyFont="1" applyFill="1" applyBorder="1" applyAlignment="1">
      <alignment horizontal="center" vertical="center" wrapText="1"/>
    </xf>
    <xf numFmtId="176" fontId="8" fillId="12" borderId="7" xfId="94" applyNumberFormat="1" applyFont="1" applyFill="1" applyBorder="1" applyAlignment="1">
      <alignment horizontal="center" vertical="center"/>
    </xf>
    <xf numFmtId="176" fontId="8" fillId="0" borderId="9" xfId="94" applyNumberFormat="1" applyFont="1" applyFill="1" applyBorder="1" applyAlignment="1">
      <alignment horizontal="center" vertical="center"/>
    </xf>
    <xf numFmtId="176" fontId="25" fillId="0" borderId="0" xfId="94" applyNumberFormat="1" applyFont="1" applyAlignment="1">
      <alignment horizontal="center" vertical="center"/>
    </xf>
    <xf numFmtId="43" fontId="8" fillId="0" borderId="3" xfId="94" applyFont="1" applyFill="1" applyBorder="1" applyAlignment="1">
      <alignment horizontal="center" vertical="center"/>
    </xf>
    <xf numFmtId="43" fontId="8" fillId="0" borderId="4" xfId="94" applyFont="1" applyFill="1" applyBorder="1" applyAlignment="1">
      <alignment horizontal="center" vertical="center"/>
    </xf>
    <xf numFmtId="176" fontId="11" fillId="0" borderId="4" xfId="94" applyNumberFormat="1" applyFont="1" applyFill="1" applyBorder="1" applyAlignment="1">
      <alignment horizontal="center" vertical="center" wrapText="1"/>
    </xf>
    <xf numFmtId="176" fontId="11" fillId="0" borderId="4" xfId="94" applyNumberFormat="1" applyFont="1" applyFill="1" applyBorder="1" applyAlignment="1">
      <alignment vertical="center" wrapText="1"/>
    </xf>
    <xf numFmtId="176" fontId="8" fillId="0" borderId="4" xfId="94" applyNumberFormat="1" applyFont="1" applyFill="1" applyBorder="1" applyAlignment="1">
      <alignment horizontal="center" vertical="center" wrapText="1"/>
    </xf>
    <xf numFmtId="176" fontId="8" fillId="0" borderId="5" xfId="94" applyNumberFormat="1" applyFont="1" applyFill="1" applyBorder="1" applyAlignment="1">
      <alignment horizontal="center" vertical="center" wrapText="1"/>
    </xf>
    <xf numFmtId="43" fontId="7" fillId="0" borderId="13" xfId="94" applyFont="1" applyFill="1" applyBorder="1" applyAlignment="1">
      <alignment horizontal="center" vertical="center"/>
    </xf>
    <xf numFmtId="176" fontId="7" fillId="0" borderId="13" xfId="94" applyNumberFormat="1" applyFont="1" applyFill="1" applyBorder="1" applyAlignment="1">
      <alignment horizontal="center" vertical="center"/>
    </xf>
    <xf numFmtId="0" fontId="11" fillId="0" borderId="13" xfId="94" applyNumberFormat="1" applyFont="1" applyBorder="1" applyAlignment="1">
      <alignment vertical="top" wrapText="1"/>
    </xf>
    <xf numFmtId="176" fontId="11" fillId="11" borderId="13" xfId="94" applyNumberFormat="1" applyFont="1" applyFill="1" applyBorder="1" applyAlignment="1">
      <alignment horizontal="center" vertical="center" wrapText="1"/>
    </xf>
    <xf numFmtId="176" fontId="11" fillId="13" borderId="13" xfId="94" applyNumberFormat="1" applyFont="1" applyFill="1" applyBorder="1" applyAlignment="1">
      <alignment horizontal="center" vertical="center" wrapText="1"/>
    </xf>
    <xf numFmtId="176" fontId="11" fillId="12" borderId="13" xfId="94" applyNumberFormat="1" applyFont="1" applyFill="1" applyBorder="1" applyAlignment="1">
      <alignment horizontal="center" vertical="center" wrapText="1"/>
    </xf>
    <xf numFmtId="176" fontId="8" fillId="0" borderId="9" xfId="94" applyNumberFormat="1" applyFont="1" applyFill="1" applyBorder="1" applyAlignment="1">
      <alignment horizontal="center" vertical="center" wrapText="1"/>
    </xf>
    <xf numFmtId="176" fontId="7" fillId="0" borderId="13" xfId="94" applyNumberFormat="1" applyFont="1" applyBorder="1" applyAlignment="1">
      <alignment horizontal="center" vertical="center"/>
    </xf>
    <xf numFmtId="43" fontId="7" fillId="0" borderId="15" xfId="94" applyFont="1" applyFill="1" applyBorder="1" applyAlignment="1">
      <alignment horizontal="center" vertical="center"/>
    </xf>
    <xf numFmtId="43" fontId="11" fillId="0" borderId="15" xfId="94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vertical="top" wrapText="1"/>
    </xf>
    <xf numFmtId="176" fontId="7" fillId="0" borderId="15" xfId="94" applyNumberFormat="1" applyFont="1" applyFill="1" applyBorder="1" applyAlignment="1">
      <alignment horizontal="center" vertical="center"/>
    </xf>
    <xf numFmtId="176" fontId="27" fillId="0" borderId="15" xfId="94" applyNumberFormat="1" applyFont="1" applyFill="1" applyBorder="1" applyAlignment="1">
      <alignment horizontal="center" vertical="center" wrapText="1"/>
    </xf>
    <xf numFmtId="176" fontId="11" fillId="11" borderId="15" xfId="94" applyNumberFormat="1" applyFont="1" applyFill="1" applyBorder="1" applyAlignment="1">
      <alignment horizontal="center" vertical="center" wrapText="1"/>
    </xf>
    <xf numFmtId="176" fontId="11" fillId="13" borderId="15" xfId="94" applyNumberFormat="1" applyFont="1" applyFill="1" applyBorder="1" applyAlignment="1">
      <alignment horizontal="center" vertical="center" wrapText="1"/>
    </xf>
    <xf numFmtId="176" fontId="11" fillId="12" borderId="15" xfId="94" applyNumberFormat="1" applyFont="1" applyFill="1" applyBorder="1" applyAlignment="1">
      <alignment horizontal="center" vertical="center" wrapText="1"/>
    </xf>
    <xf numFmtId="176" fontId="8" fillId="0" borderId="6" xfId="94" applyNumberFormat="1" applyFont="1" applyFill="1" applyBorder="1" applyAlignment="1">
      <alignment horizontal="center" vertical="center" wrapText="1"/>
    </xf>
    <xf numFmtId="176" fontId="27" fillId="0" borderId="15" xfId="94" applyNumberFormat="1" applyFont="1" applyFill="1" applyBorder="1" applyAlignment="1">
      <alignment vertical="center" wrapText="1"/>
    </xf>
    <xf numFmtId="176" fontId="68" fillId="0" borderId="15" xfId="94" applyNumberFormat="1" applyFont="1" applyFill="1" applyBorder="1" applyAlignment="1">
      <alignment horizontal="center" vertical="center" wrapText="1"/>
    </xf>
    <xf numFmtId="43" fontId="11" fillId="0" borderId="15" xfId="94" applyFont="1" applyFill="1" applyBorder="1" applyAlignment="1">
      <alignment horizontal="center" vertical="center"/>
    </xf>
    <xf numFmtId="43" fontId="7" fillId="0" borderId="37" xfId="94" applyFont="1" applyFill="1" applyBorder="1" applyAlignment="1">
      <alignment horizontal="center" vertical="center"/>
    </xf>
    <xf numFmtId="43" fontId="11" fillId="0" borderId="37" xfId="94" applyFont="1" applyFill="1" applyBorder="1" applyAlignment="1">
      <alignment horizontal="center" vertical="center"/>
    </xf>
    <xf numFmtId="0" fontId="11" fillId="0" borderId="37" xfId="94" applyNumberFormat="1" applyFont="1" applyBorder="1" applyAlignment="1">
      <alignment vertical="top" wrapText="1"/>
    </xf>
    <xf numFmtId="176" fontId="7" fillId="0" borderId="37" xfId="94" applyNumberFormat="1" applyFont="1" applyFill="1" applyBorder="1" applyAlignment="1">
      <alignment horizontal="center" vertical="center"/>
    </xf>
    <xf numFmtId="176" fontId="27" fillId="0" borderId="37" xfId="94" applyNumberFormat="1" applyFont="1" applyFill="1" applyBorder="1" applyAlignment="1">
      <alignment vertical="center" wrapText="1"/>
    </xf>
    <xf numFmtId="176" fontId="11" fillId="11" borderId="37" xfId="94" applyNumberFormat="1" applyFont="1" applyFill="1" applyBorder="1" applyAlignment="1">
      <alignment horizontal="center" vertical="center" wrapText="1"/>
    </xf>
    <xf numFmtId="176" fontId="68" fillId="0" borderId="37" xfId="94" applyNumberFormat="1" applyFont="1" applyFill="1" applyBorder="1" applyAlignment="1">
      <alignment horizontal="center" vertical="center" wrapText="1"/>
    </xf>
    <xf numFmtId="176" fontId="27" fillId="0" borderId="37" xfId="94" applyNumberFormat="1" applyFont="1" applyFill="1" applyBorder="1" applyAlignment="1">
      <alignment horizontal="center" vertical="center" wrapText="1"/>
    </xf>
    <xf numFmtId="176" fontId="11" fillId="13" borderId="37" xfId="94" applyNumberFormat="1" applyFont="1" applyFill="1" applyBorder="1" applyAlignment="1">
      <alignment horizontal="center" vertical="center" wrapText="1"/>
    </xf>
    <xf numFmtId="176" fontId="11" fillId="12" borderId="37" xfId="94" applyNumberFormat="1" applyFont="1" applyFill="1" applyBorder="1" applyAlignment="1">
      <alignment horizontal="center" vertical="center" wrapText="1"/>
    </xf>
    <xf numFmtId="0" fontId="11" fillId="0" borderId="19" xfId="94" applyNumberFormat="1" applyFont="1" applyBorder="1" applyAlignment="1">
      <alignment horizontal="left"/>
    </xf>
    <xf numFmtId="49" fontId="11" fillId="0" borderId="15" xfId="15" applyNumberFormat="1" applyFont="1" applyBorder="1" applyAlignment="1">
      <alignment horizontal="center" vertical="center"/>
    </xf>
    <xf numFmtId="176" fontId="11" fillId="0" borderId="15" xfId="94" applyNumberFormat="1" applyFont="1" applyFill="1" applyBorder="1" applyAlignment="1">
      <alignment horizontal="center" vertical="center"/>
    </xf>
    <xf numFmtId="0" fontId="11" fillId="0" borderId="19" xfId="94" applyNumberFormat="1" applyFont="1" applyBorder="1" applyAlignment="1">
      <alignment vertical="top" wrapText="1"/>
    </xf>
    <xf numFmtId="176" fontId="26" fillId="0" borderId="15" xfId="94" applyNumberFormat="1" applyFont="1" applyFill="1" applyBorder="1" applyAlignment="1">
      <alignment horizontal="center" vertical="center" wrapText="1"/>
    </xf>
    <xf numFmtId="9" fontId="11" fillId="0" borderId="4" xfId="40" applyFont="1" applyFill="1" applyBorder="1" applyAlignment="1">
      <alignment horizontal="center" vertical="center" wrapText="1"/>
    </xf>
    <xf numFmtId="0" fontId="7" fillId="0" borderId="15" xfId="94" applyNumberFormat="1" applyFont="1" applyBorder="1" applyAlignment="1">
      <alignment vertical="center" wrapText="1"/>
    </xf>
    <xf numFmtId="176" fontId="68" fillId="0" borderId="15" xfId="94" applyNumberFormat="1" applyFont="1" applyBorder="1"/>
    <xf numFmtId="0" fontId="7" fillId="0" borderId="0" xfId="39" applyFont="1" applyAlignment="1">
      <alignment horizontal="right" vertical="center"/>
    </xf>
    <xf numFmtId="9" fontId="7" fillId="0" borderId="0" xfId="40" applyFont="1"/>
    <xf numFmtId="176" fontId="68" fillId="5" borderId="15" xfId="94" applyNumberFormat="1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horizontal="left"/>
    </xf>
    <xf numFmtId="176" fontId="7" fillId="0" borderId="19" xfId="94" applyNumberFormat="1" applyFont="1" applyBorder="1"/>
    <xf numFmtId="176" fontId="11" fillId="0" borderId="45" xfId="94" applyNumberFormat="1" applyFont="1" applyBorder="1"/>
    <xf numFmtId="43" fontId="11" fillId="0" borderId="20" xfId="94" applyFont="1" applyFill="1" applyBorder="1" applyAlignment="1">
      <alignment horizontal="center" vertical="center"/>
    </xf>
    <xf numFmtId="0" fontId="11" fillId="0" borderId="20" xfId="94" applyNumberFormat="1" applyFont="1" applyBorder="1" applyAlignment="1">
      <alignment horizontal="left"/>
    </xf>
    <xf numFmtId="49" fontId="11" fillId="0" borderId="20" xfId="15" applyNumberFormat="1" applyFont="1" applyBorder="1" applyAlignment="1">
      <alignment horizontal="center" vertical="center"/>
    </xf>
    <xf numFmtId="176" fontId="11" fillId="0" borderId="20" xfId="94" applyNumberFormat="1" applyFont="1" applyFill="1" applyBorder="1" applyAlignment="1">
      <alignment horizontal="center" vertical="center"/>
    </xf>
    <xf numFmtId="176" fontId="11" fillId="0" borderId="37" xfId="94" applyNumberFormat="1" applyFont="1" applyFill="1" applyBorder="1" applyAlignment="1">
      <alignment horizontal="center" vertical="center"/>
    </xf>
    <xf numFmtId="43" fontId="11" fillId="0" borderId="13" xfId="94" applyFont="1" applyFill="1" applyBorder="1" applyAlignment="1">
      <alignment horizontal="center" vertical="center"/>
    </xf>
    <xf numFmtId="176" fontId="11" fillId="0" borderId="13" xfId="94" applyNumberFormat="1" applyFont="1" applyFill="1" applyBorder="1" applyAlignment="1">
      <alignment horizontal="center" vertical="center"/>
    </xf>
    <xf numFmtId="176" fontId="47" fillId="0" borderId="13" xfId="94" applyNumberFormat="1" applyFont="1" applyFill="1" applyBorder="1" applyAlignment="1">
      <alignment horizontal="center" vertical="center" wrapText="1"/>
    </xf>
    <xf numFmtId="176" fontId="48" fillId="0" borderId="13" xfId="94" applyNumberFormat="1" applyFont="1" applyFill="1" applyBorder="1" applyAlignment="1">
      <alignment horizontal="center" vertical="center" wrapText="1"/>
    </xf>
    <xf numFmtId="176" fontId="8" fillId="0" borderId="0" xfId="94" applyNumberFormat="1" applyFont="1" applyAlignment="1">
      <alignment horizontal="center" vertical="center"/>
    </xf>
    <xf numFmtId="176" fontId="11" fillId="0" borderId="0" xfId="94" applyNumberFormat="1" applyFont="1"/>
    <xf numFmtId="0" fontId="11" fillId="0" borderId="15" xfId="94" applyNumberFormat="1" applyFont="1" applyBorder="1" applyAlignment="1">
      <alignment vertical="center" wrapText="1"/>
    </xf>
    <xf numFmtId="176" fontId="47" fillId="0" borderId="15" xfId="94" applyNumberFormat="1" applyFont="1" applyFill="1" applyBorder="1" applyAlignment="1">
      <alignment horizontal="center" vertical="center" wrapText="1"/>
    </xf>
    <xf numFmtId="176" fontId="48" fillId="0" borderId="15" xfId="94" applyNumberFormat="1" applyFont="1" applyFill="1" applyBorder="1" applyAlignment="1">
      <alignment horizontal="center" vertical="center" wrapText="1"/>
    </xf>
    <xf numFmtId="176" fontId="7" fillId="0" borderId="16" xfId="94" applyNumberFormat="1" applyFont="1" applyBorder="1" applyAlignment="1">
      <alignment horizontal="center" vertical="center"/>
    </xf>
    <xf numFmtId="176" fontId="47" fillId="5" borderId="15" xfId="94" applyNumberFormat="1" applyFont="1" applyFill="1" applyBorder="1" applyAlignment="1">
      <alignment horizontal="center" vertical="center" wrapText="1"/>
    </xf>
    <xf numFmtId="176" fontId="7" fillId="0" borderId="36" xfId="94" applyNumberFormat="1" applyFont="1" applyBorder="1" applyAlignment="1">
      <alignment horizontal="center" vertical="center"/>
    </xf>
    <xf numFmtId="43" fontId="11" fillId="0" borderId="15" xfId="108" applyFont="1" applyFill="1" applyBorder="1" applyAlignment="1">
      <alignment horizontal="center" vertical="center"/>
    </xf>
    <xf numFmtId="176" fontId="8" fillId="0" borderId="10" xfId="94" applyNumberFormat="1" applyFont="1" applyFill="1" applyBorder="1" applyAlignment="1">
      <alignment horizontal="center" vertical="center" wrapText="1"/>
    </xf>
    <xf numFmtId="43" fontId="7" fillId="0" borderId="0" xfId="108" applyFont="1" applyFill="1"/>
    <xf numFmtId="176" fontId="27" fillId="0" borderId="20" xfId="94" applyNumberFormat="1" applyFont="1" applyFill="1" applyBorder="1" applyAlignment="1">
      <alignment horizontal="center" vertical="center" wrapText="1"/>
    </xf>
    <xf numFmtId="176" fontId="50" fillId="5" borderId="20" xfId="94" applyNumberFormat="1" applyFont="1" applyFill="1" applyBorder="1" applyAlignment="1">
      <alignment horizontal="center" vertical="center" wrapText="1"/>
    </xf>
    <xf numFmtId="176" fontId="47" fillId="0" borderId="20" xfId="94" applyNumberFormat="1" applyFont="1" applyFill="1" applyBorder="1" applyAlignment="1">
      <alignment horizontal="center" vertical="center" wrapText="1"/>
    </xf>
    <xf numFmtId="43" fontId="11" fillId="0" borderId="37" xfId="108" applyFont="1" applyFill="1" applyBorder="1" applyAlignment="1">
      <alignment horizontal="center" vertical="center"/>
    </xf>
    <xf numFmtId="176" fontId="47" fillId="0" borderId="37" xfId="94" applyNumberFormat="1" applyFont="1" applyFill="1" applyBorder="1" applyAlignment="1">
      <alignment horizontal="center" vertical="center" wrapText="1"/>
    </xf>
    <xf numFmtId="0" fontId="11" fillId="2" borderId="13" xfId="94" applyNumberFormat="1" applyFont="1" applyFill="1" applyBorder="1" applyAlignment="1">
      <alignment vertical="top" wrapText="1"/>
    </xf>
    <xf numFmtId="176" fontId="8" fillId="0" borderId="38" xfId="94" applyNumberFormat="1" applyFont="1" applyFill="1" applyBorder="1" applyAlignment="1">
      <alignment horizontal="center" vertical="center" wrapText="1"/>
    </xf>
    <xf numFmtId="0" fontId="11" fillId="2" borderId="15" xfId="94" applyNumberFormat="1" applyFont="1" applyFill="1" applyBorder="1" applyAlignment="1">
      <alignment vertical="top"/>
    </xf>
    <xf numFmtId="0" fontId="11" fillId="0" borderId="15" xfId="94" applyNumberFormat="1" applyFont="1" applyBorder="1" applyAlignment="1">
      <alignment horizontal="left" vertical="top" wrapText="1"/>
    </xf>
    <xf numFmtId="43" fontId="11" fillId="0" borderId="37" xfId="94" applyFont="1" applyFill="1" applyBorder="1" applyAlignment="1">
      <alignment horizontal="center" vertical="center" wrapText="1"/>
    </xf>
    <xf numFmtId="49" fontId="11" fillId="0" borderId="37" xfId="15" applyNumberFormat="1" applyFont="1" applyBorder="1" applyAlignment="1">
      <alignment horizontal="center" vertical="center"/>
    </xf>
    <xf numFmtId="176" fontId="48" fillId="0" borderId="37" xfId="94" applyNumberFormat="1" applyFont="1" applyFill="1" applyBorder="1" applyAlignment="1">
      <alignment horizontal="center" vertical="center" wrapText="1"/>
    </xf>
    <xf numFmtId="176" fontId="27" fillId="0" borderId="13" xfId="94" applyNumberFormat="1" applyFont="1" applyFill="1" applyBorder="1" applyAlignment="1">
      <alignment horizontal="center" vertical="center" wrapText="1"/>
    </xf>
    <xf numFmtId="176" fontId="8" fillId="0" borderId="42" xfId="94" applyNumberFormat="1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vertical="top"/>
    </xf>
    <xf numFmtId="176" fontId="50" fillId="0" borderId="15" xfId="94" applyNumberFormat="1" applyFont="1" applyFill="1" applyBorder="1" applyAlignment="1">
      <alignment vertical="center" wrapText="1"/>
    </xf>
    <xf numFmtId="176" fontId="50" fillId="5" borderId="15" xfId="94" applyNumberFormat="1" applyFont="1" applyFill="1" applyBorder="1" applyAlignment="1">
      <alignment horizontal="center" vertical="center" wrapText="1"/>
    </xf>
    <xf numFmtId="0" fontId="11" fillId="0" borderId="13" xfId="39" applyFont="1" applyBorder="1" applyAlignment="1">
      <alignment horizontal="center" vertical="center"/>
    </xf>
    <xf numFmtId="43" fontId="7" fillId="0" borderId="16" xfId="94" applyFont="1" applyFill="1" applyBorder="1" applyAlignment="1">
      <alignment horizontal="center" vertical="center"/>
    </xf>
    <xf numFmtId="43" fontId="11" fillId="0" borderId="16" xfId="94" applyFont="1" applyFill="1" applyBorder="1" applyAlignment="1">
      <alignment horizontal="center" vertical="center"/>
    </xf>
    <xf numFmtId="0" fontId="11" fillId="0" borderId="16" xfId="94" applyNumberFormat="1" applyFont="1" applyBorder="1" applyAlignment="1">
      <alignment vertical="top" wrapText="1"/>
    </xf>
    <xf numFmtId="0" fontId="11" fillId="0" borderId="16" xfId="39" applyFont="1" applyBorder="1" applyAlignment="1">
      <alignment horizontal="center" vertical="center"/>
    </xf>
    <xf numFmtId="176" fontId="11" fillId="0" borderId="16" xfId="94" applyNumberFormat="1" applyFont="1" applyFill="1" applyBorder="1" applyAlignment="1">
      <alignment horizontal="center" vertical="center"/>
    </xf>
    <xf numFmtId="0" fontId="11" fillId="0" borderId="15" xfId="39" applyFont="1" applyBorder="1" applyAlignment="1">
      <alignment horizontal="center" vertical="center"/>
    </xf>
    <xf numFmtId="176" fontId="7" fillId="0" borderId="15" xfId="94" applyNumberFormat="1" applyFont="1" applyBorder="1"/>
    <xf numFmtId="176" fontId="11" fillId="0" borderId="15" xfId="94" applyNumberFormat="1" applyFont="1" applyBorder="1"/>
    <xf numFmtId="0" fontId="11" fillId="0" borderId="37" xfId="94" applyNumberFormat="1" applyFont="1" applyBorder="1" applyAlignment="1">
      <alignment vertical="center" wrapText="1"/>
    </xf>
    <xf numFmtId="43" fontId="11" fillId="0" borderId="13" xfId="94" applyFont="1" applyFill="1" applyBorder="1" applyAlignment="1">
      <alignment horizontal="center" vertical="center" wrapText="1"/>
    </xf>
    <xf numFmtId="0" fontId="7" fillId="0" borderId="13" xfId="39" applyFont="1" applyBorder="1" applyAlignment="1">
      <alignment horizontal="center" vertical="center"/>
    </xf>
    <xf numFmtId="176" fontId="68" fillId="0" borderId="13" xfId="94" applyNumberFormat="1" applyFont="1" applyFill="1" applyBorder="1" applyAlignment="1">
      <alignment horizontal="center" vertical="center" wrapText="1"/>
    </xf>
    <xf numFmtId="176" fontId="26" fillId="0" borderId="13" xfId="94" applyNumberFormat="1" applyFont="1" applyFill="1" applyBorder="1" applyAlignment="1">
      <alignment horizontal="center" vertical="center" wrapText="1"/>
    </xf>
    <xf numFmtId="176" fontId="25" fillId="0" borderId="10" xfId="94" applyNumberFormat="1" applyFont="1" applyBorder="1" applyAlignment="1">
      <alignment horizontal="center" vertical="center"/>
    </xf>
    <xf numFmtId="176" fontId="68" fillId="0" borderId="15" xfId="94" applyNumberFormat="1" applyFont="1" applyFill="1" applyBorder="1" applyAlignment="1">
      <alignment vertical="center" wrapText="1"/>
    </xf>
    <xf numFmtId="0" fontId="11" fillId="0" borderId="37" xfId="39" applyFont="1" applyBorder="1" applyAlignment="1">
      <alignment horizontal="center" vertical="center"/>
    </xf>
    <xf numFmtId="176" fontId="27" fillId="0" borderId="16" xfId="94" applyNumberFormat="1" applyFont="1" applyFill="1" applyBorder="1" applyAlignment="1">
      <alignment horizontal="center" vertical="center" wrapText="1"/>
    </xf>
    <xf numFmtId="0" fontId="11" fillId="0" borderId="16" xfId="94" applyNumberFormat="1" applyFont="1" applyBorder="1" applyAlignment="1">
      <alignment vertical="top"/>
    </xf>
    <xf numFmtId="0" fontId="7" fillId="0" borderId="37" xfId="39" applyFont="1" applyBorder="1" applyAlignment="1">
      <alignment horizontal="center" vertical="center"/>
    </xf>
    <xf numFmtId="176" fontId="7" fillId="0" borderId="37" xfId="94" applyNumberFormat="1" applyFont="1" applyBorder="1" applyAlignment="1">
      <alignment horizontal="center" vertical="center"/>
    </xf>
    <xf numFmtId="176" fontId="50" fillId="0" borderId="15" xfId="94" applyNumberFormat="1" applyFont="1" applyFill="1" applyBorder="1" applyAlignment="1">
      <alignment horizontal="center" vertical="center" wrapText="1"/>
    </xf>
    <xf numFmtId="0" fontId="11" fillId="0" borderId="37" xfId="94" applyNumberFormat="1" applyFont="1" applyBorder="1" applyAlignment="1">
      <alignment vertical="center"/>
    </xf>
    <xf numFmtId="176" fontId="8" fillId="0" borderId="12" xfId="94" applyNumberFormat="1" applyFont="1" applyFill="1" applyBorder="1" applyAlignment="1">
      <alignment horizontal="center" vertical="center" wrapText="1"/>
    </xf>
    <xf numFmtId="0" fontId="8" fillId="0" borderId="4" xfId="94" applyNumberFormat="1" applyFont="1" applyBorder="1" applyAlignment="1">
      <alignment vertical="center"/>
    </xf>
    <xf numFmtId="0" fontId="11" fillId="0" borderId="13" xfId="94" applyNumberFormat="1" applyFont="1" applyBorder="1"/>
    <xf numFmtId="176" fontId="47" fillId="0" borderId="13" xfId="94" applyNumberFormat="1" applyFont="1" applyBorder="1"/>
    <xf numFmtId="0" fontId="11" fillId="0" borderId="15" xfId="94" applyNumberFormat="1" applyFont="1" applyBorder="1"/>
    <xf numFmtId="176" fontId="47" fillId="0" borderId="15" xfId="94" applyNumberFormat="1" applyFont="1" applyBorder="1"/>
    <xf numFmtId="176" fontId="47" fillId="5" borderId="37" xfId="94" applyNumberFormat="1" applyFont="1" applyFill="1" applyBorder="1" applyAlignment="1">
      <alignment horizontal="center" vertical="center" wrapText="1"/>
    </xf>
    <xf numFmtId="43" fontId="11" fillId="0" borderId="13" xfId="94" applyFont="1" applyFill="1" applyBorder="1" applyAlignment="1">
      <alignment vertical="center"/>
    </xf>
    <xf numFmtId="0" fontId="11" fillId="0" borderId="13" xfId="94" applyNumberFormat="1" applyFont="1" applyBorder="1" applyAlignment="1">
      <alignment horizontal="left" vertical="center" wrapText="1"/>
    </xf>
    <xf numFmtId="176" fontId="11" fillId="0" borderId="13" xfId="94" applyNumberFormat="1" applyFont="1" applyBorder="1" applyAlignment="1">
      <alignment horizontal="center" vertical="center"/>
    </xf>
    <xf numFmtId="176" fontId="11" fillId="0" borderId="13" xfId="94" applyNumberFormat="1" applyFont="1" applyFill="1" applyBorder="1" applyAlignment="1">
      <alignment vertical="center" wrapText="1"/>
    </xf>
    <xf numFmtId="176" fontId="68" fillId="0" borderId="15" xfId="94" applyNumberFormat="1" applyFont="1" applyFill="1" applyBorder="1"/>
    <xf numFmtId="43" fontId="11" fillId="0" borderId="15" xfId="94" applyFont="1" applyFill="1" applyBorder="1" applyAlignment="1">
      <alignment vertical="center"/>
    </xf>
    <xf numFmtId="0" fontId="11" fillId="0" borderId="15" xfId="94" applyNumberFormat="1" applyFont="1" applyBorder="1" applyAlignment="1">
      <alignment horizontal="left" vertical="center" wrapText="1"/>
    </xf>
    <xf numFmtId="176" fontId="11" fillId="0" borderId="15" xfId="94" applyNumberFormat="1" applyFont="1" applyBorder="1" applyAlignment="1">
      <alignment horizontal="center" vertical="center"/>
    </xf>
    <xf numFmtId="176" fontId="11" fillId="0" borderId="15" xfId="94" applyNumberFormat="1" applyFont="1" applyFill="1" applyBorder="1" applyAlignment="1">
      <alignment vertical="center" wrapText="1"/>
    </xf>
    <xf numFmtId="43" fontId="11" fillId="0" borderId="15" xfId="94" applyFont="1" applyFill="1" applyBorder="1" applyAlignment="1">
      <alignment vertical="center" wrapText="1"/>
    </xf>
    <xf numFmtId="176" fontId="27" fillId="0" borderId="15" xfId="94" applyNumberFormat="1" applyFont="1" applyFill="1" applyBorder="1"/>
    <xf numFmtId="176" fontId="50" fillId="5" borderId="15" xfId="94" applyNumberFormat="1" applyFont="1" applyFill="1" applyBorder="1"/>
    <xf numFmtId="176" fontId="11" fillId="0" borderId="15" xfId="94" applyNumberFormat="1" applyFont="1" applyFill="1" applyBorder="1"/>
    <xf numFmtId="176" fontId="68" fillId="0" borderId="15" xfId="94" applyNumberFormat="1" applyFont="1" applyFill="1" applyBorder="1" applyAlignment="1">
      <alignment horizontal="center" vertical="center"/>
    </xf>
    <xf numFmtId="0" fontId="11" fillId="0" borderId="37" xfId="94" applyNumberFormat="1" applyFont="1" applyFill="1" applyBorder="1" applyAlignment="1">
      <alignment horizontal="left" vertical="center" wrapText="1"/>
    </xf>
    <xf numFmtId="176" fontId="11" fillId="0" borderId="37" xfId="94" applyNumberFormat="1" applyFont="1" applyBorder="1" applyAlignment="1">
      <alignment horizontal="center" vertical="center"/>
    </xf>
    <xf numFmtId="176" fontId="11" fillId="0" borderId="37" xfId="94" applyNumberFormat="1" applyFont="1" applyFill="1" applyBorder="1"/>
    <xf numFmtId="176" fontId="11" fillId="0" borderId="37" xfId="94" applyNumberFormat="1" applyFont="1" applyFill="1" applyBorder="1" applyAlignment="1">
      <alignment vertical="center" wrapText="1"/>
    </xf>
    <xf numFmtId="176" fontId="7" fillId="0" borderId="4" xfId="94" applyNumberFormat="1" applyFont="1" applyBorder="1"/>
    <xf numFmtId="176" fontId="7" fillId="0" borderId="4" xfId="94" applyNumberFormat="1" applyFont="1" applyBorder="1" applyAlignment="1">
      <alignment horizontal="center" vertical="center"/>
    </xf>
    <xf numFmtId="0" fontId="7" fillId="0" borderId="5" xfId="39" applyFont="1" applyBorder="1"/>
    <xf numFmtId="43" fontId="11" fillId="0" borderId="4" xfId="94" applyFont="1" applyFill="1" applyBorder="1" applyAlignment="1">
      <alignment horizontal="center" vertical="center" wrapText="1"/>
    </xf>
    <xf numFmtId="0" fontId="7" fillId="0" borderId="13" xfId="94" applyNumberFormat="1" applyFont="1" applyBorder="1" applyAlignment="1">
      <alignment vertical="center" wrapText="1"/>
    </xf>
    <xf numFmtId="0" fontId="7" fillId="0" borderId="37" xfId="94" applyNumberFormat="1" applyFont="1" applyBorder="1" applyAlignment="1">
      <alignment vertical="center" wrapText="1"/>
    </xf>
    <xf numFmtId="43" fontId="7" fillId="0" borderId="35" xfId="94" applyFont="1" applyFill="1" applyBorder="1" applyAlignment="1">
      <alignment horizontal="center" vertical="center"/>
    </xf>
    <xf numFmtId="43" fontId="11" fillId="0" borderId="34" xfId="94" applyFont="1" applyFill="1" applyBorder="1" applyAlignment="1">
      <alignment horizontal="center" vertical="center"/>
    </xf>
    <xf numFmtId="0" fontId="25" fillId="0" borderId="34" xfId="94" applyNumberFormat="1" applyFont="1" applyBorder="1" applyAlignment="1">
      <alignment vertical="center" wrapText="1"/>
    </xf>
    <xf numFmtId="176" fontId="26" fillId="0" borderId="34" xfId="94" applyNumberFormat="1" applyFont="1" applyFill="1" applyBorder="1" applyAlignment="1">
      <alignment horizontal="center" vertical="center" wrapText="1"/>
    </xf>
    <xf numFmtId="43" fontId="7" fillId="0" borderId="0" xfId="39" applyNumberFormat="1" applyFont="1"/>
    <xf numFmtId="0" fontId="7" fillId="0" borderId="13" xfId="94" applyNumberFormat="1" applyFont="1" applyBorder="1"/>
    <xf numFmtId="0" fontId="7" fillId="0" borderId="15" xfId="94" applyNumberFormat="1" applyFont="1" applyBorder="1"/>
    <xf numFmtId="0" fontId="7" fillId="0" borderId="15" xfId="94" applyNumberFormat="1" applyFont="1" applyBorder="1" applyAlignment="1"/>
    <xf numFmtId="0" fontId="7" fillId="0" borderId="37" xfId="94" applyNumberFormat="1" applyFont="1" applyBorder="1"/>
    <xf numFmtId="43" fontId="11" fillId="0" borderId="4" xfId="94" applyFont="1" applyFill="1" applyBorder="1" applyAlignment="1">
      <alignment vertical="center" wrapText="1"/>
    </xf>
    <xf numFmtId="2" fontId="7" fillId="0" borderId="15" xfId="94" applyNumberFormat="1" applyFont="1" applyFill="1" applyBorder="1" applyAlignment="1">
      <alignment horizontal="center" vertical="center"/>
    </xf>
    <xf numFmtId="2" fontId="11" fillId="0" borderId="15" xfId="94" applyNumberFormat="1" applyFont="1" applyFill="1" applyBorder="1" applyAlignment="1">
      <alignment horizontal="center" vertical="center" wrapText="1"/>
    </xf>
    <xf numFmtId="176" fontId="50" fillId="5" borderId="37" xfId="94" applyNumberFormat="1" applyFont="1" applyFill="1" applyBorder="1" applyAlignment="1">
      <alignment horizontal="center" vertical="center" wrapText="1"/>
    </xf>
    <xf numFmtId="176" fontId="26" fillId="0" borderId="37" xfId="94" applyNumberFormat="1" applyFont="1" applyFill="1" applyBorder="1" applyAlignment="1">
      <alignment horizontal="center" vertical="center" wrapText="1"/>
    </xf>
    <xf numFmtId="43" fontId="11" fillId="0" borderId="16" xfId="94" applyFont="1" applyFill="1" applyBorder="1" applyAlignment="1">
      <alignment horizontal="center" vertical="center" wrapText="1"/>
    </xf>
    <xf numFmtId="0" fontId="7" fillId="0" borderId="16" xfId="39" applyFont="1" applyBorder="1" applyAlignment="1">
      <alignment horizontal="center" vertical="center"/>
    </xf>
    <xf numFmtId="176" fontId="7" fillId="0" borderId="16" xfId="94" applyNumberFormat="1" applyFont="1" applyFill="1" applyBorder="1" applyAlignment="1">
      <alignment horizontal="center" vertical="center"/>
    </xf>
    <xf numFmtId="176" fontId="68" fillId="0" borderId="16" xfId="94" applyNumberFormat="1" applyFont="1" applyFill="1" applyBorder="1" applyAlignment="1">
      <alignment horizontal="center" vertical="center" wrapText="1"/>
    </xf>
    <xf numFmtId="176" fontId="11" fillId="11" borderId="16" xfId="94" applyNumberFormat="1" applyFont="1" applyFill="1" applyBorder="1" applyAlignment="1">
      <alignment horizontal="center" vertical="center" wrapText="1"/>
    </xf>
    <xf numFmtId="176" fontId="26" fillId="0" borderId="16" xfId="94" applyNumberFormat="1" applyFont="1" applyFill="1" applyBorder="1" applyAlignment="1">
      <alignment horizontal="center" vertical="center" wrapText="1"/>
    </xf>
    <xf numFmtId="176" fontId="11" fillId="13" borderId="16" xfId="94" applyNumberFormat="1" applyFont="1" applyFill="1" applyBorder="1" applyAlignment="1">
      <alignment horizontal="center" vertical="center" wrapText="1"/>
    </xf>
    <xf numFmtId="176" fontId="11" fillId="12" borderId="16" xfId="94" applyNumberFormat="1" applyFont="1" applyFill="1" applyBorder="1" applyAlignment="1">
      <alignment horizontal="center" vertical="center" wrapText="1"/>
    </xf>
    <xf numFmtId="43" fontId="11" fillId="0" borderId="7" xfId="94" applyFont="1" applyFill="1" applyBorder="1" applyAlignment="1">
      <alignment horizontal="center" vertical="center"/>
    </xf>
    <xf numFmtId="0" fontId="11" fillId="0" borderId="7" xfId="94" applyNumberFormat="1" applyFont="1" applyBorder="1" applyAlignment="1">
      <alignment vertical="top" wrapText="1"/>
    </xf>
    <xf numFmtId="49" fontId="11" fillId="0" borderId="7" xfId="15" applyNumberFormat="1" applyFont="1" applyBorder="1" applyAlignment="1">
      <alignment horizontal="center" vertical="center"/>
    </xf>
    <xf numFmtId="176" fontId="11" fillId="0" borderId="7" xfId="94" applyNumberFormat="1" applyFont="1" applyFill="1" applyBorder="1" applyAlignment="1">
      <alignment horizontal="center" vertical="center"/>
    </xf>
    <xf numFmtId="176" fontId="47" fillId="0" borderId="7" xfId="94" applyNumberFormat="1" applyFont="1" applyFill="1" applyBorder="1" applyAlignment="1">
      <alignment horizontal="center" vertical="center" wrapText="1"/>
    </xf>
    <xf numFmtId="176" fontId="11" fillId="11" borderId="7" xfId="94" applyNumberFormat="1" applyFont="1" applyFill="1" applyBorder="1" applyAlignment="1">
      <alignment horizontal="center" vertical="center" wrapText="1"/>
    </xf>
    <xf numFmtId="176" fontId="11" fillId="13" borderId="7" xfId="94" applyNumberFormat="1" applyFont="1" applyFill="1" applyBorder="1" applyAlignment="1">
      <alignment horizontal="center" vertical="center" wrapText="1"/>
    </xf>
    <xf numFmtId="176" fontId="11" fillId="12" borderId="7" xfId="94" applyNumberFormat="1" applyFont="1" applyFill="1" applyBorder="1" applyAlignment="1">
      <alignment horizontal="center" vertical="center" wrapText="1"/>
    </xf>
    <xf numFmtId="176" fontId="11" fillId="0" borderId="13" xfId="94" applyNumberFormat="1" applyFont="1" applyBorder="1"/>
    <xf numFmtId="176" fontId="27" fillId="0" borderId="13" xfId="94" applyNumberFormat="1" applyFont="1" applyFill="1" applyBorder="1" applyAlignment="1">
      <alignment horizontal="center" vertical="center"/>
    </xf>
    <xf numFmtId="176" fontId="50" fillId="0" borderId="15" xfId="94" applyNumberFormat="1" applyFont="1" applyFill="1" applyBorder="1" applyAlignment="1">
      <alignment horizontal="center" vertical="center"/>
    </xf>
    <xf numFmtId="176" fontId="68" fillId="0" borderId="37" xfId="94" applyNumberFormat="1" applyFont="1" applyFill="1" applyBorder="1" applyAlignment="1">
      <alignment vertical="center" wrapText="1"/>
    </xf>
    <xf numFmtId="0" fontId="11" fillId="0" borderId="13" xfId="94" applyNumberFormat="1" applyFont="1" applyFill="1" applyBorder="1" applyAlignment="1">
      <alignment horizontal="left" vertical="center"/>
    </xf>
    <xf numFmtId="176" fontId="68" fillId="5" borderId="13" xfId="94" applyNumberFormat="1" applyFont="1" applyFill="1" applyBorder="1" applyAlignment="1">
      <alignment horizontal="center" vertical="center" wrapText="1"/>
    </xf>
    <xf numFmtId="0" fontId="11" fillId="0" borderId="16" xfId="94" applyNumberFormat="1" applyFont="1" applyFill="1" applyBorder="1" applyAlignment="1">
      <alignment horizontal="left" vertical="center"/>
    </xf>
    <xf numFmtId="49" fontId="11" fillId="0" borderId="16" xfId="39" applyNumberFormat="1" applyFont="1" applyBorder="1" applyAlignment="1">
      <alignment horizontal="center" vertical="center"/>
    </xf>
    <xf numFmtId="176" fontId="11" fillId="0" borderId="16" xfId="94" applyNumberFormat="1" applyFont="1" applyFill="1" applyBorder="1" applyAlignment="1">
      <alignment horizontal="center" vertical="center" wrapText="1"/>
    </xf>
    <xf numFmtId="176" fontId="11" fillId="0" borderId="16" xfId="94" applyNumberFormat="1" applyFont="1" applyBorder="1"/>
    <xf numFmtId="176" fontId="68" fillId="5" borderId="16" xfId="94" applyNumberFormat="1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horizontal="left" vertical="center"/>
    </xf>
    <xf numFmtId="43" fontId="7" fillId="0" borderId="15" xfId="108" applyFont="1" applyFill="1" applyBorder="1" applyAlignment="1">
      <alignment horizontal="center" vertical="center"/>
    </xf>
    <xf numFmtId="176" fontId="25" fillId="0" borderId="0" xfId="94" applyNumberFormat="1" applyFont="1" applyFill="1" applyAlignment="1">
      <alignment horizontal="center" vertical="center"/>
    </xf>
    <xf numFmtId="176" fontId="50" fillId="5" borderId="15" xfId="94" applyNumberFormat="1" applyFont="1" applyFill="1" applyBorder="1" applyAlignment="1">
      <alignment vertical="center" wrapText="1"/>
    </xf>
    <xf numFmtId="43" fontId="7" fillId="0" borderId="0" xfId="108" applyFont="1"/>
    <xf numFmtId="0" fontId="11" fillId="0" borderId="37" xfId="94" applyNumberFormat="1" applyFont="1" applyBorder="1" applyAlignment="1">
      <alignment horizontal="left" vertical="center"/>
    </xf>
    <xf numFmtId="43" fontId="7" fillId="0" borderId="37" xfId="108" applyFont="1" applyFill="1" applyBorder="1" applyAlignment="1">
      <alignment horizontal="center" vertical="center"/>
    </xf>
    <xf numFmtId="43" fontId="8" fillId="0" borderId="39" xfId="94" applyFont="1" applyFill="1" applyBorder="1" applyAlignment="1">
      <alignment horizontal="center" vertical="center" wrapText="1"/>
    </xf>
    <xf numFmtId="0" fontId="7" fillId="0" borderId="39" xfId="94" applyNumberFormat="1" applyFont="1" applyFill="1" applyBorder="1" applyAlignment="1">
      <alignment vertical="center" wrapText="1"/>
    </xf>
    <xf numFmtId="43" fontId="11" fillId="0" borderId="39" xfId="108" applyFont="1" applyFill="1" applyBorder="1" applyAlignment="1">
      <alignment horizontal="center" vertical="center" wrapText="1"/>
    </xf>
    <xf numFmtId="9" fontId="11" fillId="0" borderId="39" xfId="40" applyFont="1" applyFill="1" applyBorder="1" applyAlignment="1">
      <alignment horizontal="center" vertical="center" wrapText="1"/>
    </xf>
    <xf numFmtId="176" fontId="11" fillId="0" borderId="39" xfId="94" applyNumberFormat="1" applyFont="1" applyFill="1" applyBorder="1" applyAlignment="1">
      <alignment horizontal="center" vertical="center" wrapText="1"/>
    </xf>
    <xf numFmtId="176" fontId="26" fillId="0" borderId="39" xfId="94" applyNumberFormat="1" applyFont="1" applyFill="1" applyBorder="1" applyAlignment="1">
      <alignment horizontal="center" vertical="center" wrapText="1"/>
    </xf>
    <xf numFmtId="176" fontId="8" fillId="0" borderId="39" xfId="94" applyNumberFormat="1" applyFont="1" applyFill="1" applyBorder="1" applyAlignment="1">
      <alignment horizontal="center" vertical="center" wrapText="1"/>
    </xf>
    <xf numFmtId="176" fontId="7" fillId="0" borderId="39" xfId="94" applyNumberFormat="1" applyFont="1" applyBorder="1" applyAlignment="1">
      <alignment horizontal="center" vertical="center"/>
    </xf>
    <xf numFmtId="0" fontId="11" fillId="0" borderId="34" xfId="94" applyNumberFormat="1" applyFont="1" applyBorder="1" applyAlignment="1">
      <alignment horizontal="left" vertical="top" wrapText="1"/>
    </xf>
    <xf numFmtId="0" fontId="7" fillId="0" borderId="34" xfId="39" applyFont="1" applyBorder="1" applyAlignment="1">
      <alignment horizontal="center" vertical="center"/>
    </xf>
    <xf numFmtId="176" fontId="7" fillId="0" borderId="34" xfId="94" applyNumberFormat="1" applyFont="1" applyFill="1" applyBorder="1" applyAlignment="1">
      <alignment horizontal="center" vertical="center"/>
    </xf>
    <xf numFmtId="176" fontId="8" fillId="0" borderId="34" xfId="94" applyNumberFormat="1" applyFont="1" applyFill="1" applyBorder="1" applyAlignment="1">
      <alignment horizontal="center" vertical="center" wrapText="1"/>
    </xf>
    <xf numFmtId="176" fontId="25" fillId="0" borderId="34" xfId="94" applyNumberFormat="1" applyFont="1" applyBorder="1" applyAlignment="1">
      <alignment horizontal="center" vertical="center"/>
    </xf>
    <xf numFmtId="43" fontId="25" fillId="0" borderId="0" xfId="94" applyFont="1"/>
    <xf numFmtId="0" fontId="25" fillId="0" borderId="4" xfId="94" applyNumberFormat="1" applyFont="1" applyBorder="1"/>
    <xf numFmtId="0" fontId="7" fillId="0" borderId="4" xfId="39" applyFont="1" applyBorder="1" applyAlignment="1">
      <alignment horizontal="center" vertical="center"/>
    </xf>
    <xf numFmtId="176" fontId="11" fillId="0" borderId="4" xfId="94" applyNumberFormat="1" applyFont="1" applyBorder="1" applyAlignment="1">
      <alignment horizontal="center" vertical="center"/>
    </xf>
    <xf numFmtId="176" fontId="11" fillId="0" borderId="4" xfId="94" applyNumberFormat="1" applyFont="1" applyBorder="1"/>
    <xf numFmtId="176" fontId="28" fillId="9" borderId="4" xfId="94" applyNumberFormat="1" applyFont="1" applyFill="1" applyBorder="1" applyAlignment="1">
      <alignment horizontal="right"/>
    </xf>
    <xf numFmtId="176" fontId="28" fillId="9" borderId="4" xfId="94" applyNumberFormat="1" applyFont="1" applyFill="1" applyBorder="1"/>
    <xf numFmtId="176" fontId="28" fillId="9" borderId="4" xfId="94" applyNumberFormat="1" applyFont="1" applyFill="1" applyBorder="1" applyAlignment="1">
      <alignment horizontal="center" vertical="center"/>
    </xf>
    <xf numFmtId="176" fontId="25" fillId="0" borderId="5" xfId="94" applyNumberFormat="1" applyFont="1" applyBorder="1" applyAlignment="1">
      <alignment horizontal="center" vertical="center"/>
    </xf>
    <xf numFmtId="43" fontId="8" fillId="0" borderId="0" xfId="94" applyFont="1" applyFill="1" applyBorder="1" applyAlignment="1">
      <alignment horizontal="center" vertical="center" wrapText="1"/>
    </xf>
    <xf numFmtId="0" fontId="25" fillId="0" borderId="0" xfId="94" applyNumberFormat="1" applyFont="1" applyBorder="1"/>
    <xf numFmtId="176" fontId="8" fillId="0" borderId="0" xfId="94" applyNumberFormat="1" applyFont="1" applyBorder="1" applyAlignment="1">
      <alignment horizontal="center" vertical="center"/>
    </xf>
    <xf numFmtId="176" fontId="7" fillId="0" borderId="0" xfId="94" applyNumberFormat="1" applyFont="1" applyBorder="1"/>
    <xf numFmtId="176" fontId="11" fillId="0" borderId="0" xfId="94" applyNumberFormat="1" applyFont="1" applyBorder="1"/>
    <xf numFmtId="176" fontId="26" fillId="0" borderId="0" xfId="94" applyNumberFormat="1" applyFont="1" applyFill="1" applyBorder="1"/>
    <xf numFmtId="176" fontId="7" fillId="0" borderId="0" xfId="94" applyNumberFormat="1" applyFont="1" applyFill="1" applyBorder="1"/>
    <xf numFmtId="176" fontId="28" fillId="0" borderId="0" xfId="94" applyNumberFormat="1" applyFont="1" applyFill="1" applyBorder="1" applyAlignment="1">
      <alignment horizontal="right"/>
    </xf>
    <xf numFmtId="176" fontId="28" fillId="0" borderId="0" xfId="94" applyNumberFormat="1" applyFont="1" applyFill="1" applyBorder="1"/>
    <xf numFmtId="176" fontId="25" fillId="0" borderId="0" xfId="94" applyNumberFormat="1" applyFont="1" applyFill="1" applyBorder="1"/>
    <xf numFmtId="176" fontId="28" fillId="0" borderId="0" xfId="94" applyNumberFormat="1" applyFont="1" applyFill="1" applyBorder="1" applyAlignment="1">
      <alignment horizontal="center" vertical="center"/>
    </xf>
    <xf numFmtId="176" fontId="25" fillId="0" borderId="41" xfId="94" applyNumberFormat="1" applyFont="1" applyFill="1" applyBorder="1" applyAlignment="1">
      <alignment horizontal="center" vertical="center"/>
    </xf>
    <xf numFmtId="0" fontId="25" fillId="0" borderId="4" xfId="94" applyNumberFormat="1" applyFont="1" applyFill="1" applyBorder="1"/>
    <xf numFmtId="176" fontId="8" fillId="0" borderId="4" xfId="94" applyNumberFormat="1" applyFont="1" applyFill="1" applyBorder="1" applyAlignment="1">
      <alignment horizontal="center" vertical="center"/>
    </xf>
    <xf numFmtId="176" fontId="7" fillId="0" borderId="4" xfId="94" applyNumberFormat="1" applyFont="1" applyFill="1" applyBorder="1"/>
    <xf numFmtId="176" fontId="11" fillId="0" borderId="4" xfId="94" applyNumberFormat="1" applyFont="1" applyFill="1" applyBorder="1"/>
    <xf numFmtId="176" fontId="28" fillId="0" borderId="4" xfId="94" applyNumberFormat="1" applyFont="1" applyFill="1" applyBorder="1" applyAlignment="1">
      <alignment horizontal="right"/>
    </xf>
    <xf numFmtId="176" fontId="28" fillId="0" borderId="4" xfId="94" applyNumberFormat="1" applyFont="1" applyFill="1" applyBorder="1"/>
    <xf numFmtId="176" fontId="25" fillId="0" borderId="4" xfId="94" applyNumberFormat="1" applyFont="1" applyFill="1" applyBorder="1"/>
    <xf numFmtId="176" fontId="28" fillId="0" borderId="4" xfId="94" applyNumberFormat="1" applyFont="1" applyFill="1" applyBorder="1" applyAlignment="1">
      <alignment horizontal="center" vertical="center"/>
    </xf>
    <xf numFmtId="43" fontId="8" fillId="0" borderId="13" xfId="94" applyFont="1" applyFill="1" applyBorder="1" applyAlignment="1">
      <alignment horizontal="center" vertical="center" wrapText="1"/>
    </xf>
    <xf numFmtId="176" fontId="7" fillId="0" borderId="13" xfId="94" applyNumberFormat="1" applyFont="1" applyBorder="1"/>
    <xf numFmtId="176" fontId="25" fillId="0" borderId="0" xfId="94" applyNumberFormat="1" applyFont="1" applyBorder="1" applyAlignment="1">
      <alignment horizontal="center" vertical="center"/>
    </xf>
    <xf numFmtId="43" fontId="8" fillId="0" borderId="15" xfId="94" applyFont="1" applyFill="1" applyBorder="1" applyAlignment="1">
      <alignment horizontal="center" vertical="center" wrapText="1"/>
    </xf>
    <xf numFmtId="0" fontId="11" fillId="0" borderId="15" xfId="94" applyNumberFormat="1" applyFont="1" applyFill="1" applyBorder="1" applyAlignment="1">
      <alignment horizontal="left" vertical="center"/>
    </xf>
    <xf numFmtId="43" fontId="11" fillId="0" borderId="15" xfId="94" applyFont="1" applyBorder="1" applyAlignment="1">
      <alignment horizontal="center" vertical="center"/>
    </xf>
    <xf numFmtId="43" fontId="8" fillId="0" borderId="37" xfId="94" applyFont="1" applyFill="1" applyBorder="1" applyAlignment="1">
      <alignment horizontal="center" vertical="center" wrapText="1"/>
    </xf>
    <xf numFmtId="43" fontId="11" fillId="0" borderId="37" xfId="94" applyFont="1" applyBorder="1" applyAlignment="1">
      <alignment horizontal="center" vertical="center"/>
    </xf>
    <xf numFmtId="176" fontId="7" fillId="0" borderId="37" xfId="94" applyNumberFormat="1" applyFont="1" applyBorder="1"/>
    <xf numFmtId="180" fontId="7" fillId="0" borderId="0" xfId="40" applyNumberFormat="1" applyFont="1"/>
    <xf numFmtId="43" fontId="8" fillId="0" borderId="0" xfId="94" applyFont="1" applyFill="1" applyBorder="1" applyAlignment="1">
      <alignment horizontal="center" vertical="center"/>
    </xf>
    <xf numFmtId="0" fontId="8" fillId="0" borderId="0" xfId="94" applyNumberFormat="1" applyFont="1" applyBorder="1" applyAlignment="1">
      <alignment vertical="center" wrapText="1"/>
    </xf>
    <xf numFmtId="176" fontId="11" fillId="0" borderId="0" xfId="94" applyNumberFormat="1" applyFont="1" applyFill="1" applyBorder="1" applyAlignment="1">
      <alignment vertical="center" wrapText="1"/>
    </xf>
    <xf numFmtId="0" fontId="7" fillId="0" borderId="4" xfId="39" applyFont="1" applyBorder="1"/>
    <xf numFmtId="176" fontId="8" fillId="0" borderId="4" xfId="94" applyNumberFormat="1" applyFont="1" applyBorder="1" applyAlignment="1">
      <alignment horizontal="center" vertical="center"/>
    </xf>
    <xf numFmtId="178" fontId="7" fillId="0" borderId="0" xfId="94" applyNumberFormat="1" applyFont="1"/>
    <xf numFmtId="176" fontId="8" fillId="0" borderId="0" xfId="94" applyNumberFormat="1" applyFont="1" applyFill="1" applyBorder="1" applyAlignment="1">
      <alignment horizontal="center" vertical="center"/>
    </xf>
    <xf numFmtId="176" fontId="11" fillId="0" borderId="0" xfId="94" applyNumberFormat="1" applyFont="1" applyFill="1" applyBorder="1"/>
    <xf numFmtId="43" fontId="28" fillId="0" borderId="0" xfId="94" applyFont="1" applyFill="1" applyBorder="1" applyAlignment="1">
      <alignment horizontal="center" vertical="center"/>
    </xf>
    <xf numFmtId="176" fontId="25" fillId="0" borderId="0" xfId="94" applyNumberFormat="1" applyFont="1" applyFill="1" applyBorder="1" applyAlignment="1">
      <alignment horizontal="center" vertical="center"/>
    </xf>
    <xf numFmtId="43" fontId="11" fillId="0" borderId="0" xfId="94" applyFont="1" applyFill="1" applyBorder="1" applyAlignment="1">
      <alignment horizontal="center" vertical="center"/>
    </xf>
    <xf numFmtId="0" fontId="11" fillId="0" borderId="0" xfId="94" applyNumberFormat="1" applyFont="1" applyBorder="1" applyAlignment="1">
      <alignment horizontal="left" vertical="top" wrapText="1"/>
    </xf>
    <xf numFmtId="176" fontId="7" fillId="0" borderId="0" xfId="94" applyNumberFormat="1" applyFont="1" applyFill="1" applyBorder="1" applyAlignment="1">
      <alignment horizontal="center" vertical="center"/>
    </xf>
    <xf numFmtId="43" fontId="7" fillId="0" borderId="0" xfId="94" applyFont="1" applyFill="1" applyBorder="1" applyAlignment="1">
      <alignment horizontal="center" vertical="center"/>
    </xf>
    <xf numFmtId="0" fontId="7" fillId="0" borderId="0" xfId="94" applyNumberFormat="1" applyFont="1" applyBorder="1"/>
    <xf numFmtId="0" fontId="7" fillId="0" borderId="0" xfId="94" applyNumberFormat="1" applyFont="1" applyFill="1" applyBorder="1" applyAlignment="1">
      <alignment vertical="center" wrapText="1"/>
    </xf>
    <xf numFmtId="176" fontId="68" fillId="0" borderId="13" xfId="94" applyNumberFormat="1" applyFont="1" applyBorder="1"/>
    <xf numFmtId="176" fontId="68" fillId="0" borderId="37" xfId="94" applyNumberFormat="1" applyFont="1" applyBorder="1"/>
    <xf numFmtId="176" fontId="60" fillId="0" borderId="20" xfId="94" applyNumberFormat="1" applyFont="1" applyBorder="1" applyAlignment="1">
      <alignment horizontal="center" vertical="center"/>
    </xf>
    <xf numFmtId="0" fontId="12" fillId="0" borderId="20" xfId="94" applyNumberFormat="1" applyFont="1" applyBorder="1" applyAlignment="1">
      <alignment horizontal="left" vertical="center"/>
    </xf>
    <xf numFmtId="176" fontId="60" fillId="0" borderId="20" xfId="94" applyNumberFormat="1" applyFont="1" applyFill="1" applyBorder="1" applyAlignment="1">
      <alignment horizontal="center" vertical="center"/>
    </xf>
    <xf numFmtId="3" fontId="11" fillId="0" borderId="0" xfId="9" applyNumberFormat="1" applyFont="1" applyAlignment="1">
      <alignment horizontal="center" vertical="center" wrapText="1"/>
    </xf>
    <xf numFmtId="0" fontId="11" fillId="0" borderId="0" xfId="9" applyFont="1" applyAlignment="1">
      <alignment horizontal="left" vertical="center" wrapText="1"/>
    </xf>
    <xf numFmtId="174" fontId="11" fillId="0" borderId="0" xfId="23" applyFont="1" applyFill="1" applyBorder="1" applyAlignment="1">
      <alignment horizontal="right" vertical="center" wrapText="1"/>
    </xf>
    <xf numFmtId="168" fontId="11" fillId="0" borderId="0" xfId="11" applyFont="1" applyBorder="1" applyAlignment="1">
      <alignment horizontal="center" vertical="center" wrapText="1"/>
    </xf>
    <xf numFmtId="14" fontId="8" fillId="0" borderId="0" xfId="11" applyNumberFormat="1" applyFont="1" applyBorder="1" applyAlignment="1">
      <alignment horizontal="center" wrapText="1"/>
    </xf>
    <xf numFmtId="181" fontId="11" fillId="0" borderId="0" xfId="11" applyNumberFormat="1" applyFont="1" applyBorder="1" applyAlignment="1">
      <alignment horizontal="center" vertical="center" wrapText="1"/>
    </xf>
    <xf numFmtId="181" fontId="8" fillId="0" borderId="0" xfId="11" applyNumberFormat="1" applyFont="1" applyBorder="1" applyAlignment="1">
      <alignment wrapText="1"/>
    </xf>
    <xf numFmtId="168" fontId="8" fillId="0" borderId="0" xfId="11" applyFont="1" applyBorder="1" applyAlignment="1">
      <alignment horizontal="center" vertical="center" wrapText="1"/>
    </xf>
    <xf numFmtId="168" fontId="11" fillId="0" borderId="0" xfId="11" applyFont="1" applyBorder="1" applyAlignment="1">
      <alignment vertical="center" wrapText="1"/>
    </xf>
    <xf numFmtId="168" fontId="11" fillId="0" borderId="0" xfId="11" applyFont="1" applyFill="1" applyBorder="1" applyAlignment="1">
      <alignment horizontal="center" vertical="center" wrapText="1"/>
    </xf>
    <xf numFmtId="14" fontId="8" fillId="0" borderId="0" xfId="11" applyNumberFormat="1" applyFont="1" applyFill="1" applyBorder="1" applyAlignment="1">
      <alignment vertical="center" wrapText="1"/>
    </xf>
    <xf numFmtId="14" fontId="11" fillId="0" borderId="0" xfId="11" applyNumberFormat="1" applyFont="1" applyFill="1" applyBorder="1" applyAlignment="1">
      <alignment vertical="center" wrapText="1"/>
    </xf>
    <xf numFmtId="173" fontId="23" fillId="0" borderId="15" xfId="12" applyNumberFormat="1" applyFont="1" applyBorder="1" applyAlignment="1">
      <alignment vertical="center" wrapText="1"/>
    </xf>
    <xf numFmtId="0" fontId="70" fillId="0" borderId="0" xfId="9" applyFont="1" applyAlignment="1">
      <alignment horizontal="left" vertical="center"/>
    </xf>
    <xf numFmtId="181" fontId="8" fillId="0" borderId="7" xfId="11" applyNumberFormat="1" applyFont="1" applyBorder="1" applyAlignment="1">
      <alignment horizontal="center" vertical="center" wrapText="1"/>
    </xf>
    <xf numFmtId="181" fontId="8" fillId="0" borderId="7" xfId="11" applyNumberFormat="1" applyFont="1" applyBorder="1" applyAlignment="1">
      <alignment horizontal="center" wrapText="1"/>
    </xf>
    <xf numFmtId="168" fontId="8" fillId="0" borderId="0" xfId="11" applyFont="1" applyBorder="1" applyAlignment="1">
      <alignment vertical="center" wrapText="1"/>
    </xf>
    <xf numFmtId="181" fontId="29" fillId="0" borderId="0" xfId="11" applyNumberFormat="1" applyFont="1" applyFill="1" applyBorder="1" applyAlignment="1">
      <alignment horizontal="center" wrapText="1"/>
    </xf>
    <xf numFmtId="181" fontId="11" fillId="0" borderId="0" xfId="11" applyNumberFormat="1" applyFont="1" applyFill="1" applyBorder="1" applyAlignment="1">
      <alignment horizontal="center" vertical="center" wrapText="1"/>
    </xf>
    <xf numFmtId="181" fontId="8" fillId="0" borderId="0" xfId="11" applyNumberFormat="1" applyFont="1" applyFill="1" applyAlignment="1">
      <alignment vertical="center" wrapText="1"/>
    </xf>
    <xf numFmtId="181" fontId="11" fillId="0" borderId="0" xfId="11" applyNumberFormat="1" applyFont="1" applyFill="1" applyBorder="1" applyAlignment="1">
      <alignment vertical="center" wrapText="1"/>
    </xf>
    <xf numFmtId="0" fontId="52" fillId="23" borderId="7" xfId="12" applyFont="1" applyFill="1" applyBorder="1" applyAlignment="1">
      <alignment horizontal="center" vertical="center" wrapText="1"/>
    </xf>
    <xf numFmtId="176" fontId="8" fillId="24" borderId="7" xfId="94" applyNumberFormat="1" applyFont="1" applyFill="1" applyBorder="1" applyAlignment="1">
      <alignment horizontal="center" wrapText="1"/>
    </xf>
    <xf numFmtId="43" fontId="8" fillId="18" borderId="7" xfId="94" applyFont="1" applyFill="1" applyBorder="1" applyAlignment="1">
      <alignment horizontal="center" wrapText="1"/>
    </xf>
    <xf numFmtId="168" fontId="8" fillId="0" borderId="0" xfId="11" applyFont="1" applyBorder="1" applyAlignment="1">
      <alignment horizontal="center" wrapText="1"/>
    </xf>
    <xf numFmtId="181" fontId="8" fillId="0" borderId="0" xfId="11" applyNumberFormat="1" applyFont="1" applyBorder="1" applyAlignment="1">
      <alignment horizontal="center" wrapText="1"/>
    </xf>
    <xf numFmtId="43" fontId="7" fillId="0" borderId="13" xfId="94" applyFont="1" applyBorder="1" applyAlignment="1">
      <alignment horizontal="left" vertical="center"/>
    </xf>
    <xf numFmtId="43" fontId="1" fillId="0" borderId="13" xfId="94" applyFont="1" applyBorder="1"/>
    <xf numFmtId="0" fontId="1" fillId="0" borderId="0" xfId="80"/>
    <xf numFmtId="168" fontId="8" fillId="0" borderId="0" xfId="11" applyFont="1" applyFill="1" applyBorder="1" applyAlignment="1">
      <alignment wrapText="1"/>
    </xf>
    <xf numFmtId="0" fontId="11" fillId="0" borderId="0" xfId="12" applyFont="1" applyAlignment="1">
      <alignment vertical="center" wrapText="1"/>
    </xf>
    <xf numFmtId="0" fontId="11" fillId="0" borderId="70" xfId="12" applyFont="1" applyBorder="1" applyAlignment="1">
      <alignment horizontal="center" vertical="center" wrapText="1"/>
    </xf>
    <xf numFmtId="0" fontId="11" fillId="0" borderId="71" xfId="12" applyFont="1" applyBorder="1" applyAlignment="1">
      <alignment horizontal="center" vertical="center" wrapText="1"/>
    </xf>
    <xf numFmtId="0" fontId="1" fillId="0" borderId="0" xfId="80" applyAlignment="1">
      <alignment horizontal="left"/>
    </xf>
    <xf numFmtId="173" fontId="11" fillId="0" borderId="0" xfId="81" applyFont="1"/>
    <xf numFmtId="0" fontId="7" fillId="0" borderId="0" xfId="80" applyFont="1"/>
    <xf numFmtId="43" fontId="7" fillId="0" borderId="15" xfId="94" applyFont="1" applyBorder="1" applyAlignment="1">
      <alignment horizontal="left" vertical="center"/>
    </xf>
    <xf numFmtId="43" fontId="1" fillId="0" borderId="15" xfId="94" applyFont="1" applyBorder="1"/>
    <xf numFmtId="43" fontId="1" fillId="0" borderId="0" xfId="80" applyNumberFormat="1"/>
    <xf numFmtId="0" fontId="2" fillId="0" borderId="7" xfId="80" applyFont="1" applyBorder="1" applyAlignment="1">
      <alignment horizontal="left"/>
    </xf>
    <xf numFmtId="0" fontId="2" fillId="0" borderId="7" xfId="80" applyFont="1" applyBorder="1" applyAlignment="1">
      <alignment horizontal="center"/>
    </xf>
    <xf numFmtId="173" fontId="8" fillId="0" borderId="7" xfId="81" applyFont="1" applyBorder="1" applyAlignment="1">
      <alignment horizontal="center"/>
    </xf>
    <xf numFmtId="176" fontId="8" fillId="0" borderId="7" xfId="94" applyNumberFormat="1" applyFont="1" applyBorder="1" applyAlignment="1">
      <alignment horizontal="center"/>
    </xf>
    <xf numFmtId="43" fontId="25" fillId="0" borderId="0" xfId="108" applyFont="1"/>
    <xf numFmtId="43" fontId="11" fillId="0" borderId="0" xfId="108" applyFont="1"/>
    <xf numFmtId="0" fontId="1" fillId="0" borderId="16" xfId="80" applyBorder="1" applyAlignment="1">
      <alignment horizontal="left"/>
    </xf>
    <xf numFmtId="0" fontId="1" fillId="0" borderId="16" xfId="80" applyBorder="1"/>
    <xf numFmtId="39" fontId="11" fillId="0" borderId="16" xfId="81" applyNumberFormat="1" applyFont="1" applyBorder="1"/>
    <xf numFmtId="43" fontId="27" fillId="0" borderId="0" xfId="108" applyFont="1"/>
    <xf numFmtId="43" fontId="11" fillId="0" borderId="15" xfId="94" applyFont="1" applyBorder="1" applyAlignment="1">
      <alignment horizontal="left" vertical="center"/>
    </xf>
    <xf numFmtId="0" fontId="1" fillId="0" borderId="15" xfId="80" applyBorder="1" applyAlignment="1">
      <alignment horizontal="left"/>
    </xf>
    <xf numFmtId="0" fontId="1" fillId="0" borderId="15" xfId="80" applyBorder="1"/>
    <xf numFmtId="39" fontId="11" fillId="0" borderId="15" xfId="81" applyNumberFormat="1" applyFont="1" applyBorder="1"/>
    <xf numFmtId="0" fontId="25" fillId="0" borderId="3" xfId="35" applyFont="1" applyBorder="1" applyAlignment="1">
      <alignment horizontal="left"/>
    </xf>
    <xf numFmtId="0" fontId="7" fillId="0" borderId="4" xfId="35" applyFont="1" applyBorder="1"/>
    <xf numFmtId="173" fontId="7" fillId="0" borderId="4" xfId="81" applyFont="1" applyBorder="1"/>
    <xf numFmtId="176" fontId="7" fillId="0" borderId="5" xfId="94" applyNumberFormat="1" applyFont="1" applyBorder="1"/>
    <xf numFmtId="43" fontId="8" fillId="0" borderId="0" xfId="108" applyFont="1"/>
    <xf numFmtId="0" fontId="1" fillId="0" borderId="13" xfId="80" applyBorder="1" applyAlignment="1">
      <alignment horizontal="left"/>
    </xf>
    <xf numFmtId="0" fontId="1" fillId="0" borderId="13" xfId="80" applyBorder="1"/>
    <xf numFmtId="39" fontId="11" fillId="0" borderId="13" xfId="81" applyNumberFormat="1" applyFont="1" applyBorder="1"/>
    <xf numFmtId="39" fontId="8" fillId="5" borderId="15" xfId="81" applyNumberFormat="1" applyFont="1" applyFill="1" applyBorder="1"/>
    <xf numFmtId="176" fontId="8" fillId="5" borderId="15" xfId="94" applyNumberFormat="1" applyFont="1" applyFill="1" applyBorder="1"/>
    <xf numFmtId="43" fontId="28" fillId="0" borderId="0" xfId="109" applyNumberFormat="1" applyFont="1" applyFill="1"/>
    <xf numFmtId="43" fontId="11" fillId="0" borderId="0" xfId="94" applyFont="1"/>
    <xf numFmtId="39" fontId="11" fillId="5" borderId="15" xfId="81" applyNumberFormat="1" applyFont="1" applyFill="1" applyBorder="1"/>
    <xf numFmtId="43" fontId="7" fillId="0" borderId="37" xfId="94" applyFont="1" applyBorder="1" applyAlignment="1">
      <alignment horizontal="left" vertical="center"/>
    </xf>
    <xf numFmtId="43" fontId="1" fillId="0" borderId="37" xfId="94" applyFont="1" applyBorder="1"/>
    <xf numFmtId="0" fontId="2" fillId="0" borderId="3" xfId="80" applyFont="1" applyBorder="1" applyAlignment="1">
      <alignment horizontal="left"/>
    </xf>
    <xf numFmtId="0" fontId="1" fillId="0" borderId="4" xfId="80" applyBorder="1"/>
    <xf numFmtId="39" fontId="11" fillId="0" borderId="4" xfId="81" applyNumberFormat="1" applyFont="1" applyBorder="1"/>
    <xf numFmtId="176" fontId="11" fillId="0" borderId="5" xfId="94" applyNumberFormat="1" applyFont="1" applyBorder="1"/>
    <xf numFmtId="43" fontId="2" fillId="0" borderId="7" xfId="94" applyFont="1" applyBorder="1"/>
    <xf numFmtId="39" fontId="11" fillId="5" borderId="13" xfId="81" applyNumberFormat="1" applyFont="1" applyFill="1" applyBorder="1"/>
    <xf numFmtId="173" fontId="11" fillId="0" borderId="15" xfId="81" applyFont="1" applyBorder="1"/>
    <xf numFmtId="43" fontId="11" fillId="0" borderId="0" xfId="108" applyFont="1" applyFill="1"/>
    <xf numFmtId="173" fontId="8" fillId="0" borderId="0" xfId="81" applyFont="1"/>
    <xf numFmtId="0" fontId="1" fillId="0" borderId="37" xfId="80" applyBorder="1" applyAlignment="1">
      <alignment horizontal="left"/>
    </xf>
    <xf numFmtId="0" fontId="1" fillId="0" borderId="37" xfId="80" applyBorder="1"/>
    <xf numFmtId="39" fontId="11" fillId="0" borderId="37" xfId="81" applyNumberFormat="1" applyFont="1" applyBorder="1"/>
    <xf numFmtId="176" fontId="11" fillId="0" borderId="37" xfId="94" applyNumberFormat="1" applyFont="1" applyBorder="1"/>
    <xf numFmtId="43" fontId="7" fillId="0" borderId="0" xfId="108" applyFont="1" applyFill="1" applyBorder="1"/>
    <xf numFmtId="39" fontId="11" fillId="0" borderId="4" xfId="82" applyNumberFormat="1" applyFont="1" applyBorder="1"/>
    <xf numFmtId="0" fontId="1" fillId="0" borderId="16" xfId="80" applyBorder="1" applyAlignment="1">
      <alignment horizontal="center" vertical="center"/>
    </xf>
    <xf numFmtId="39" fontId="11" fillId="0" borderId="16" xfId="82" applyNumberFormat="1" applyFont="1" applyBorder="1"/>
    <xf numFmtId="0" fontId="1" fillId="0" borderId="15" xfId="80" applyBorder="1" applyAlignment="1">
      <alignment horizontal="center" vertical="center"/>
    </xf>
    <xf numFmtId="39" fontId="11" fillId="0" borderId="15" xfId="82" applyNumberFormat="1" applyFont="1" applyBorder="1"/>
    <xf numFmtId="0" fontId="11" fillId="5" borderId="15" xfId="80" applyFont="1" applyFill="1" applyBorder="1" applyAlignment="1">
      <alignment horizontal="left"/>
    </xf>
    <xf numFmtId="176" fontId="27" fillId="5" borderId="15" xfId="94" applyNumberFormat="1" applyFont="1" applyFill="1" applyBorder="1"/>
    <xf numFmtId="39" fontId="11" fillId="0" borderId="37" xfId="82" applyNumberFormat="1" applyFont="1" applyBorder="1"/>
    <xf numFmtId="39" fontId="11" fillId="0" borderId="0" xfId="82" applyNumberFormat="1" applyFont="1"/>
    <xf numFmtId="166" fontId="7" fillId="0" borderId="0" xfId="35" applyNumberFormat="1" applyFont="1"/>
    <xf numFmtId="0" fontId="7" fillId="0" borderId="0" xfId="35" applyFont="1"/>
    <xf numFmtId="0" fontId="11" fillId="0" borderId="0" xfId="80" applyFont="1" applyAlignment="1">
      <alignment horizontal="left"/>
    </xf>
    <xf numFmtId="39" fontId="11" fillId="5" borderId="0" xfId="82" applyNumberFormat="1" applyFont="1" applyFill="1"/>
    <xf numFmtId="173" fontId="7" fillId="0" borderId="0" xfId="83" applyFont="1"/>
    <xf numFmtId="0" fontId="7" fillId="0" borderId="0" xfId="35" applyFont="1" applyAlignment="1">
      <alignment horizontal="left"/>
    </xf>
    <xf numFmtId="39" fontId="7" fillId="0" borderId="0" xfId="82" applyNumberFormat="1" applyFont="1"/>
    <xf numFmtId="0" fontId="25" fillId="0" borderId="0" xfId="35" applyFont="1"/>
    <xf numFmtId="43" fontId="7" fillId="0" borderId="0" xfId="35" applyNumberFormat="1" applyFont="1"/>
    <xf numFmtId="0" fontId="50" fillId="0" borderId="3" xfId="35" applyFont="1" applyBorder="1" applyAlignment="1">
      <alignment horizontal="right"/>
    </xf>
    <xf numFmtId="0" fontId="7" fillId="0" borderId="4" xfId="35" applyFont="1" applyBorder="1" applyAlignment="1">
      <alignment horizontal="left"/>
    </xf>
    <xf numFmtId="43" fontId="25" fillId="0" borderId="4" xfId="97" applyFont="1" applyBorder="1"/>
    <xf numFmtId="43" fontId="28" fillId="0" borderId="5" xfId="109" applyNumberFormat="1" applyFont="1" applyFill="1" applyBorder="1"/>
    <xf numFmtId="0" fontId="50" fillId="0" borderId="0" xfId="35" applyFont="1" applyAlignment="1">
      <alignment horizontal="right"/>
    </xf>
    <xf numFmtId="43" fontId="7" fillId="0" borderId="0" xfId="97" applyFont="1"/>
    <xf numFmtId="43" fontId="7" fillId="0" borderId="0" xfId="97" applyFont="1" applyFill="1"/>
    <xf numFmtId="9" fontId="25" fillId="0" borderId="0" xfId="35" applyNumberFormat="1" applyFont="1"/>
    <xf numFmtId="0" fontId="7" fillId="0" borderId="0" xfId="35" applyFont="1" applyAlignment="1">
      <alignment horizontal="right"/>
    </xf>
    <xf numFmtId="43" fontId="7" fillId="0" borderId="4" xfId="94" applyFont="1" applyBorder="1"/>
    <xf numFmtId="43" fontId="25" fillId="0" borderId="4" xfId="94" applyFont="1" applyBorder="1"/>
    <xf numFmtId="166" fontId="7" fillId="5" borderId="0" xfId="35" applyNumberFormat="1" applyFont="1" applyFill="1"/>
    <xf numFmtId="43" fontId="7" fillId="0" borderId="5" xfId="97" applyFont="1" applyFill="1" applyBorder="1"/>
    <xf numFmtId="173" fontId="7" fillId="0" borderId="0" xfId="35" applyNumberFormat="1" applyFont="1"/>
    <xf numFmtId="43" fontId="27" fillId="0" borderId="0" xfId="94" applyFont="1"/>
    <xf numFmtId="43" fontId="71" fillId="0" borderId="0" xfId="97" applyFont="1" applyFill="1"/>
    <xf numFmtId="182" fontId="7" fillId="0" borderId="0" xfId="35" applyNumberFormat="1" applyFont="1"/>
    <xf numFmtId="170" fontId="7" fillId="0" borderId="0" xfId="108" applyNumberFormat="1" applyFont="1" applyAlignment="1">
      <alignment horizontal="right"/>
    </xf>
    <xf numFmtId="182" fontId="11" fillId="0" borderId="0" xfId="94" applyNumberFormat="1" applyFont="1" applyFill="1"/>
    <xf numFmtId="43" fontId="11" fillId="0" borderId="0" xfId="97" applyFont="1" applyFill="1"/>
    <xf numFmtId="178" fontId="11" fillId="0" borderId="0" xfId="94" applyNumberFormat="1" applyFont="1" applyFill="1"/>
    <xf numFmtId="43" fontId="11" fillId="0" borderId="0" xfId="109" applyNumberFormat="1" applyFont="1" applyFill="1"/>
    <xf numFmtId="173" fontId="11" fillId="0" borderId="0" xfId="81" applyFont="1" applyFill="1"/>
    <xf numFmtId="173" fontId="11" fillId="0" borderId="0" xfId="81" applyFont="1" applyFill="1" applyAlignment="1">
      <alignment horizontal="right"/>
    </xf>
    <xf numFmtId="170" fontId="7" fillId="0" borderId="0" xfId="108" applyNumberFormat="1" applyFont="1" applyFill="1" applyAlignment="1">
      <alignment horizontal="right"/>
    </xf>
    <xf numFmtId="170" fontId="11" fillId="0" borderId="0" xfId="108" applyNumberFormat="1" applyFont="1" applyFill="1" applyAlignment="1">
      <alignment horizontal="right"/>
    </xf>
    <xf numFmtId="170" fontId="11" fillId="0" borderId="0" xfId="108" applyNumberFormat="1" applyFont="1" applyAlignment="1">
      <alignment horizontal="right"/>
    </xf>
    <xf numFmtId="43" fontId="11" fillId="0" borderId="0" xfId="108" applyFont="1" applyFill="1" applyAlignment="1">
      <alignment horizontal="right"/>
    </xf>
    <xf numFmtId="173" fontId="11" fillId="0" borderId="0" xfId="81" applyFont="1" applyFill="1" applyAlignment="1">
      <alignment horizontal="left"/>
    </xf>
    <xf numFmtId="43" fontId="8" fillId="0" borderId="0" xfId="108" applyFont="1" applyFill="1"/>
    <xf numFmtId="173" fontId="8" fillId="0" borderId="0" xfId="81" applyFont="1" applyFill="1"/>
    <xf numFmtId="43" fontId="11" fillId="0" borderId="0" xfId="81" applyNumberFormat="1" applyFont="1"/>
    <xf numFmtId="43" fontId="7" fillId="0" borderId="0" xfId="80" applyNumberFormat="1" applyFont="1"/>
    <xf numFmtId="176" fontId="72" fillId="0" borderId="0" xfId="78" applyNumberFormat="1" applyFont="1"/>
    <xf numFmtId="176" fontId="72" fillId="0" borderId="0" xfId="78" applyNumberFormat="1" applyFont="1" applyAlignment="1">
      <alignment vertical="center"/>
    </xf>
    <xf numFmtId="166" fontId="8" fillId="4" borderId="66" xfId="2" applyNumberFormat="1" applyFont="1" applyFill="1" applyBorder="1" applyAlignment="1">
      <alignment horizontal="center" vertical="center" wrapText="1"/>
    </xf>
    <xf numFmtId="166" fontId="8" fillId="4" borderId="67" xfId="2" applyNumberFormat="1" applyFont="1" applyFill="1" applyBorder="1" applyAlignment="1">
      <alignment horizontal="center" vertical="center" wrapText="1"/>
    </xf>
    <xf numFmtId="176" fontId="14" fillId="0" borderId="39" xfId="94" applyNumberFormat="1" applyFont="1" applyFill="1" applyBorder="1" applyAlignment="1">
      <alignment horizontal="center" vertical="center" wrapText="1"/>
    </xf>
    <xf numFmtId="176" fontId="12" fillId="0" borderId="5" xfId="94" applyNumberFormat="1" applyFont="1" applyFill="1" applyBorder="1" applyAlignment="1">
      <alignment horizontal="center" vertical="center" wrapText="1"/>
    </xf>
    <xf numFmtId="170" fontId="30" fillId="2" borderId="0" xfId="0" applyNumberFormat="1" applyFont="1" applyFill="1"/>
    <xf numFmtId="9" fontId="72" fillId="0" borderId="0" xfId="92" applyFont="1" applyAlignment="1">
      <alignment vertical="center"/>
    </xf>
    <xf numFmtId="49" fontId="25" fillId="0" borderId="0" xfId="0" applyNumberFormat="1" applyFont="1"/>
    <xf numFmtId="49" fontId="25" fillId="0" borderId="0" xfId="0" applyNumberFormat="1" applyFont="1" applyAlignment="1">
      <alignment vertical="center"/>
    </xf>
    <xf numFmtId="166" fontId="30" fillId="0" borderId="0" xfId="20" applyNumberFormat="1" applyFont="1" applyAlignment="1">
      <alignment vertical="top"/>
    </xf>
    <xf numFmtId="17" fontId="54" fillId="0" borderId="0" xfId="20" applyNumberFormat="1" applyFont="1"/>
    <xf numFmtId="0" fontId="54" fillId="0" borderId="0" xfId="20" applyFont="1"/>
    <xf numFmtId="4" fontId="54" fillId="0" borderId="0" xfId="20" applyNumberFormat="1" applyFont="1"/>
    <xf numFmtId="166" fontId="2" fillId="17" borderId="0" xfId="20" applyNumberFormat="1" applyFont="1" applyFill="1"/>
    <xf numFmtId="166" fontId="1" fillId="17" borderId="0" xfId="20" applyNumberFormat="1" applyFill="1"/>
    <xf numFmtId="0" fontId="2" fillId="20" borderId="0" xfId="20" applyFont="1" applyFill="1" applyAlignment="1">
      <alignment horizontal="center"/>
    </xf>
    <xf numFmtId="170" fontId="2" fillId="20" borderId="0" xfId="20" applyNumberFormat="1" applyFont="1" applyFill="1" applyAlignment="1">
      <alignment horizontal="center"/>
    </xf>
    <xf numFmtId="0" fontId="2" fillId="17" borderId="0" xfId="20" applyFont="1" applyFill="1"/>
    <xf numFmtId="0" fontId="1" fillId="22" borderId="0" xfId="20" applyFill="1"/>
    <xf numFmtId="166" fontId="1" fillId="22" borderId="0" xfId="1" applyFill="1"/>
    <xf numFmtId="0" fontId="16" fillId="5" borderId="0" xfId="20" applyFont="1" applyFill="1"/>
    <xf numFmtId="166" fontId="16" fillId="5" borderId="0" xfId="20" applyNumberFormat="1" applyFont="1" applyFill="1"/>
    <xf numFmtId="9" fontId="1" fillId="0" borderId="0" xfId="92"/>
    <xf numFmtId="166" fontId="30" fillId="0" borderId="0" xfId="1" applyFont="1"/>
    <xf numFmtId="166" fontId="1" fillId="5" borderId="0" xfId="1" applyFill="1" applyAlignment="1">
      <alignment horizontal="center"/>
    </xf>
    <xf numFmtId="0" fontId="1" fillId="21" borderId="0" xfId="20" applyFill="1"/>
    <xf numFmtId="166" fontId="54" fillId="21" borderId="0" xfId="20" applyNumberFormat="1" applyFont="1" applyFill="1"/>
    <xf numFmtId="0" fontId="54" fillId="21" borderId="0" xfId="20" applyFont="1" applyFill="1"/>
    <xf numFmtId="166" fontId="1" fillId="21" borderId="0" xfId="20" applyNumberFormat="1" applyFill="1"/>
    <xf numFmtId="17" fontId="8" fillId="4" borderId="1" xfId="2" applyNumberFormat="1" applyFont="1" applyFill="1" applyBorder="1" applyAlignment="1">
      <alignment horizontal="center" vertical="center" wrapText="1"/>
    </xf>
    <xf numFmtId="170" fontId="0" fillId="0" borderId="0" xfId="0" applyNumberFormat="1"/>
    <xf numFmtId="170" fontId="1" fillId="0" borderId="0" xfId="20" applyNumberFormat="1"/>
    <xf numFmtId="166" fontId="73" fillId="0" borderId="0" xfId="1" applyFont="1"/>
    <xf numFmtId="166" fontId="1" fillId="0" borderId="0" xfId="1" applyFill="1"/>
    <xf numFmtId="171" fontId="16" fillId="0" borderId="0" xfId="0" applyNumberFormat="1" applyFont="1" applyAlignment="1">
      <alignment horizontal="left"/>
    </xf>
    <xf numFmtId="166" fontId="16" fillId="0" borderId="0" xfId="1" applyFont="1" applyAlignment="1">
      <alignment horizontal="center"/>
    </xf>
    <xf numFmtId="169" fontId="0" fillId="0" borderId="0" xfId="0" applyNumberFormat="1"/>
    <xf numFmtId="170" fontId="0" fillId="0" borderId="0" xfId="0" applyNumberFormat="1" applyProtection="1">
      <protection locked="0"/>
    </xf>
    <xf numFmtId="9" fontId="1" fillId="0" borderId="0" xfId="20" applyNumberFormat="1" applyAlignment="1">
      <alignment horizontal="center" vertical="center"/>
    </xf>
    <xf numFmtId="166" fontId="1" fillId="25" borderId="0" xfId="1" applyFill="1"/>
    <xf numFmtId="0" fontId="1" fillId="25" borderId="0" xfId="20" applyFill="1"/>
    <xf numFmtId="166" fontId="1" fillId="25" borderId="0" xfId="20" applyNumberFormat="1" applyFill="1"/>
    <xf numFmtId="166" fontId="16" fillId="25" borderId="0" xfId="1" applyFont="1" applyFill="1"/>
    <xf numFmtId="166" fontId="16" fillId="25" borderId="0" xfId="20" applyNumberFormat="1" applyFont="1" applyFill="1"/>
    <xf numFmtId="14" fontId="1" fillId="25" borderId="0" xfId="1" applyNumberFormat="1" applyFill="1"/>
    <xf numFmtId="166" fontId="74" fillId="25" borderId="0" xfId="1" applyFont="1" applyFill="1"/>
    <xf numFmtId="166" fontId="46" fillId="2" borderId="72" xfId="2" applyNumberFormat="1" applyFont="1" applyFill="1" applyBorder="1" applyAlignment="1">
      <alignment horizontal="left" vertical="center"/>
    </xf>
    <xf numFmtId="17" fontId="6" fillId="0" borderId="0" xfId="0" applyNumberFormat="1" applyFont="1"/>
    <xf numFmtId="166" fontId="6" fillId="0" borderId="0" xfId="1" applyFont="1"/>
    <xf numFmtId="179" fontId="2" fillId="0" borderId="0" xfId="92" applyNumberFormat="1" applyFont="1" applyAlignment="1">
      <alignment horizontal="center"/>
    </xf>
    <xf numFmtId="0" fontId="40" fillId="0" borderId="0" xfId="0" applyFont="1" applyAlignment="1">
      <alignment vertical="center"/>
    </xf>
    <xf numFmtId="179" fontId="1" fillId="0" borderId="0" xfId="92" applyNumberFormat="1" applyFont="1" applyAlignment="1">
      <alignment horizontal="center"/>
    </xf>
    <xf numFmtId="0" fontId="52" fillId="4" borderId="1" xfId="2" applyFont="1" applyFill="1" applyBorder="1" applyAlignment="1">
      <alignment horizontal="center" vertical="center" wrapText="1"/>
    </xf>
    <xf numFmtId="183" fontId="61" fillId="0" borderId="34" xfId="94" applyNumberFormat="1" applyFont="1" applyBorder="1" applyAlignment="1">
      <alignment horizontal="left"/>
    </xf>
    <xf numFmtId="170" fontId="61" fillId="0" borderId="34" xfId="94" applyNumberFormat="1" applyFont="1" applyFill="1" applyBorder="1" applyAlignment="1">
      <alignment horizontal="center"/>
    </xf>
    <xf numFmtId="183" fontId="60" fillId="0" borderId="0" xfId="94" applyNumberFormat="1" applyFont="1"/>
    <xf numFmtId="14" fontId="61" fillId="0" borderId="0" xfId="94" applyNumberFormat="1" applyFont="1" applyFill="1" applyAlignment="1">
      <alignment horizontal="right"/>
    </xf>
    <xf numFmtId="183" fontId="12" fillId="0" borderId="0" xfId="94" applyNumberFormat="1" applyFont="1" applyAlignment="1">
      <alignment vertical="center" wrapText="1"/>
    </xf>
    <xf numFmtId="183" fontId="12" fillId="0" borderId="0" xfId="94" applyNumberFormat="1" applyFont="1" applyAlignment="1">
      <alignment horizontal="center" vertical="center" wrapText="1"/>
    </xf>
    <xf numFmtId="183" fontId="61" fillId="0" borderId="7" xfId="94" applyNumberFormat="1" applyFont="1" applyBorder="1" applyAlignment="1">
      <alignment horizontal="center" vertical="center"/>
    </xf>
    <xf numFmtId="43" fontId="61" fillId="0" borderId="7" xfId="94" applyFont="1" applyBorder="1" applyAlignment="1">
      <alignment horizontal="center" vertical="center"/>
    </xf>
    <xf numFmtId="0" fontId="60" fillId="0" borderId="3" xfId="39" applyFont="1" applyBorder="1" applyAlignment="1">
      <alignment horizontal="center" vertical="center"/>
    </xf>
    <xf numFmtId="0" fontId="60" fillId="0" borderId="4" xfId="39" applyFont="1" applyBorder="1" applyAlignment="1">
      <alignment horizontal="center" vertical="center"/>
    </xf>
    <xf numFmtId="0" fontId="60" fillId="0" borderId="4" xfId="39" applyFont="1" applyBorder="1"/>
    <xf numFmtId="9" fontId="60" fillId="0" borderId="13" xfId="40" applyFont="1" applyBorder="1" applyAlignment="1">
      <alignment horizontal="center" vertical="center"/>
    </xf>
    <xf numFmtId="9" fontId="12" fillId="0" borderId="13" xfId="70" applyFont="1" applyFill="1" applyBorder="1" applyAlignment="1">
      <alignment horizontal="center" vertical="center" wrapText="1"/>
    </xf>
    <xf numFmtId="176" fontId="60" fillId="0" borderId="16" xfId="99" applyNumberFormat="1" applyFont="1" applyBorder="1" applyAlignment="1">
      <alignment vertical="center"/>
    </xf>
    <xf numFmtId="9" fontId="60" fillId="0" borderId="15" xfId="40" applyFont="1" applyBorder="1" applyAlignment="1">
      <alignment horizontal="center" vertical="center"/>
    </xf>
    <xf numFmtId="9" fontId="12" fillId="0" borderId="15" xfId="70" applyFont="1" applyFill="1" applyBorder="1" applyAlignment="1">
      <alignment horizontal="center" vertical="center" wrapText="1"/>
    </xf>
    <xf numFmtId="9" fontId="60" fillId="0" borderId="37" xfId="40" applyFont="1" applyBorder="1" applyAlignment="1">
      <alignment horizontal="center" vertical="center"/>
    </xf>
    <xf numFmtId="9" fontId="12" fillId="0" borderId="37" xfId="70" applyFont="1" applyFill="1" applyBorder="1" applyAlignment="1">
      <alignment horizontal="center" vertical="center" wrapText="1"/>
    </xf>
    <xf numFmtId="43" fontId="60" fillId="0" borderId="15" xfId="108" applyFont="1" applyFill="1" applyBorder="1" applyAlignment="1">
      <alignment horizontal="center" vertical="center"/>
    </xf>
    <xf numFmtId="9" fontId="60" fillId="0" borderId="15" xfId="40" applyFont="1" applyFill="1" applyBorder="1" applyAlignment="1">
      <alignment horizontal="center" vertical="center"/>
    </xf>
    <xf numFmtId="43" fontId="60" fillId="0" borderId="0" xfId="108" applyFont="1"/>
    <xf numFmtId="43" fontId="60" fillId="0" borderId="37" xfId="108" applyFont="1" applyFill="1" applyBorder="1" applyAlignment="1">
      <alignment horizontal="center" vertical="center"/>
    </xf>
    <xf numFmtId="9" fontId="12" fillId="0" borderId="13" xfId="40" applyFont="1" applyBorder="1" applyAlignment="1">
      <alignment horizontal="center" vertical="center"/>
    </xf>
    <xf numFmtId="9" fontId="12" fillId="0" borderId="37" xfId="40" applyFont="1" applyBorder="1" applyAlignment="1">
      <alignment horizontal="center" vertical="center"/>
    </xf>
    <xf numFmtId="176" fontId="61" fillId="0" borderId="3" xfId="94" applyNumberFormat="1" applyFont="1" applyBorder="1"/>
    <xf numFmtId="176" fontId="61" fillId="0" borderId="4" xfId="94" applyNumberFormat="1" applyFont="1" applyBorder="1"/>
    <xf numFmtId="176" fontId="61" fillId="0" borderId="5" xfId="94" applyNumberFormat="1" applyFont="1" applyBorder="1"/>
    <xf numFmtId="0" fontId="61" fillId="0" borderId="0" xfId="94" applyNumberFormat="1" applyFont="1" applyFill="1" applyBorder="1" applyAlignment="1">
      <alignment vertical="center" wrapText="1"/>
    </xf>
    <xf numFmtId="43" fontId="12" fillId="0" borderId="39" xfId="108" applyFont="1" applyFill="1" applyBorder="1" applyAlignment="1">
      <alignment horizontal="center" vertical="center" wrapText="1"/>
    </xf>
    <xf numFmtId="9" fontId="12" fillId="2" borderId="1" xfId="92" applyFont="1" applyFill="1" applyBorder="1" applyAlignment="1" applyProtection="1">
      <alignment vertical="center"/>
    </xf>
    <xf numFmtId="170" fontId="8" fillId="2" borderId="73" xfId="1" applyNumberFormat="1" applyFont="1" applyFill="1" applyBorder="1" applyAlignment="1" applyProtection="1">
      <alignment horizontal="center" vertical="center"/>
    </xf>
    <xf numFmtId="170" fontId="8" fillId="4" borderId="69" xfId="1" applyNumberFormat="1" applyFont="1" applyFill="1" applyBorder="1" applyAlignment="1" applyProtection="1">
      <alignment horizontal="center" vertical="center"/>
    </xf>
    <xf numFmtId="170" fontId="8" fillId="0" borderId="0" xfId="1" applyNumberFormat="1" applyFont="1" applyFill="1" applyBorder="1" applyAlignment="1">
      <alignment horizontal="center" vertical="center"/>
    </xf>
    <xf numFmtId="166" fontId="74" fillId="0" borderId="0" xfId="1" applyFont="1" applyFill="1"/>
    <xf numFmtId="180" fontId="1" fillId="0" borderId="0" xfId="92" applyNumberFormat="1" applyFill="1"/>
    <xf numFmtId="166" fontId="2" fillId="25" borderId="0" xfId="1" applyFont="1" applyFill="1"/>
    <xf numFmtId="166" fontId="0" fillId="25" borderId="0" xfId="1" applyFont="1" applyFill="1"/>
    <xf numFmtId="14" fontId="0" fillId="25" borderId="0" xfId="1" applyNumberFormat="1" applyFont="1" applyFill="1"/>
    <xf numFmtId="0" fontId="0" fillId="25" borderId="0" xfId="20" applyFont="1" applyFill="1"/>
    <xf numFmtId="166" fontId="0" fillId="25" borderId="0" xfId="20" applyNumberFormat="1" applyFont="1" applyFill="1"/>
    <xf numFmtId="170" fontId="8" fillId="0" borderId="65" xfId="1" applyNumberFormat="1" applyFont="1" applyFill="1" applyBorder="1" applyAlignment="1">
      <alignment horizontal="center" vertical="center"/>
    </xf>
    <xf numFmtId="170" fontId="27" fillId="15" borderId="0" xfId="1" applyNumberFormat="1" applyFont="1" applyFill="1" applyAlignment="1" applyProtection="1">
      <alignment vertical="center"/>
    </xf>
    <xf numFmtId="0" fontId="2" fillId="21" borderId="23" xfId="0" applyFont="1" applyFill="1" applyBorder="1" applyAlignment="1">
      <alignment horizontal="left"/>
    </xf>
    <xf numFmtId="0" fontId="2" fillId="21" borderId="24" xfId="0" applyFont="1" applyFill="1" applyBorder="1" applyAlignment="1">
      <alignment horizontal="center"/>
    </xf>
    <xf numFmtId="0" fontId="2" fillId="21" borderId="25" xfId="0" applyFont="1" applyFill="1" applyBorder="1" applyAlignment="1">
      <alignment horizontal="center" vertical="center"/>
    </xf>
    <xf numFmtId="171" fontId="25" fillId="21" borderId="29" xfId="0" applyNumberFormat="1" applyFont="1" applyFill="1" applyBorder="1" applyAlignment="1">
      <alignment horizontal="right"/>
    </xf>
    <xf numFmtId="171" fontId="50" fillId="21" borderId="30" xfId="0" applyNumberFormat="1" applyFont="1" applyFill="1" applyBorder="1"/>
    <xf numFmtId="9" fontId="0" fillId="2" borderId="0" xfId="0" applyNumberFormat="1" applyFill="1"/>
    <xf numFmtId="170" fontId="0" fillId="2" borderId="0" xfId="0" applyNumberFormat="1" applyFill="1"/>
    <xf numFmtId="166" fontId="0" fillId="2" borderId="0" xfId="0" applyNumberFormat="1" applyFill="1"/>
    <xf numFmtId="170" fontId="75" fillId="15" borderId="0" xfId="1" applyNumberFormat="1" applyFont="1" applyFill="1" applyAlignment="1" applyProtection="1">
      <alignment vertical="center"/>
    </xf>
    <xf numFmtId="170" fontId="0" fillId="2" borderId="0" xfId="0" applyNumberFormat="1" applyFill="1" applyAlignment="1" applyProtection="1">
      <alignment vertical="center"/>
      <protection locked="0"/>
    </xf>
    <xf numFmtId="176" fontId="12" fillId="0" borderId="36" xfId="94" applyNumberFormat="1" applyFont="1" applyFill="1" applyBorder="1" applyAlignment="1">
      <alignment horizontal="center" vertical="center"/>
    </xf>
    <xf numFmtId="0" fontId="11" fillId="26" borderId="0" xfId="39" applyFont="1" applyFill="1"/>
    <xf numFmtId="0" fontId="7" fillId="6" borderId="0" xfId="39" applyFont="1" applyFill="1"/>
    <xf numFmtId="0" fontId="76" fillId="27" borderId="0" xfId="39" applyFont="1" applyFill="1"/>
    <xf numFmtId="0" fontId="7" fillId="27" borderId="0" xfId="39" applyFont="1" applyFill="1"/>
    <xf numFmtId="176" fontId="7" fillId="5" borderId="0" xfId="94" applyNumberFormat="1" applyFont="1" applyFill="1"/>
    <xf numFmtId="0" fontId="11" fillId="6" borderId="0" xfId="39" applyFont="1" applyFill="1"/>
    <xf numFmtId="43" fontId="7" fillId="6" borderId="0" xfId="108" applyFont="1" applyFill="1"/>
    <xf numFmtId="0" fontId="7" fillId="26" borderId="0" xfId="39" applyFont="1" applyFill="1"/>
    <xf numFmtId="0" fontId="11" fillId="27" borderId="0" xfId="39" applyFont="1" applyFill="1"/>
    <xf numFmtId="0" fontId="11" fillId="0" borderId="13" xfId="110" applyFont="1" applyBorder="1" applyAlignment="1">
      <alignment horizontal="center" vertical="center"/>
    </xf>
    <xf numFmtId="0" fontId="11" fillId="0" borderId="15" xfId="110" applyFont="1" applyBorder="1" applyAlignment="1">
      <alignment horizontal="center" vertical="center"/>
    </xf>
    <xf numFmtId="43" fontId="7" fillId="27" borderId="0" xfId="108" applyFont="1" applyFill="1"/>
    <xf numFmtId="184" fontId="60" fillId="0" borderId="0" xfId="94" applyNumberFormat="1" applyFont="1" applyAlignment="1">
      <alignment horizontal="center" vertical="center"/>
    </xf>
    <xf numFmtId="185" fontId="60" fillId="0" borderId="0" xfId="39" applyNumberFormat="1" applyFont="1"/>
    <xf numFmtId="43" fontId="11" fillId="5" borderId="0" xfId="94" applyFont="1" applyFill="1" applyBorder="1" applyAlignment="1">
      <alignment horizontal="center" vertical="center" wrapText="1"/>
    </xf>
    <xf numFmtId="9" fontId="60" fillId="0" borderId="0" xfId="92" applyFont="1" applyFill="1" applyAlignment="1">
      <alignment horizontal="center" vertical="center"/>
    </xf>
    <xf numFmtId="170" fontId="12" fillId="2" borderId="52" xfId="1" applyNumberFormat="1" applyFont="1" applyFill="1" applyBorder="1" applyAlignment="1" applyProtection="1">
      <alignment vertical="center"/>
      <protection locked="0"/>
    </xf>
    <xf numFmtId="170" fontId="8" fillId="4" borderId="75" xfId="1" applyNumberFormat="1" applyFont="1" applyFill="1" applyBorder="1" applyAlignment="1">
      <alignment horizontal="center" vertical="center"/>
    </xf>
    <xf numFmtId="166" fontId="11" fillId="2" borderId="76" xfId="2" applyNumberFormat="1" applyFont="1" applyFill="1" applyBorder="1" applyAlignment="1">
      <alignment horizontal="left" vertical="center"/>
    </xf>
    <xf numFmtId="166" fontId="8" fillId="4" borderId="74" xfId="2" applyNumberFormat="1" applyFont="1" applyFill="1" applyBorder="1" applyAlignment="1">
      <alignment horizontal="center" wrapText="1"/>
    </xf>
    <xf numFmtId="169" fontId="0" fillId="7" borderId="7" xfId="6" applyNumberFormat="1" applyFont="1" applyFill="1" applyBorder="1" applyAlignment="1">
      <alignment vertical="center"/>
    </xf>
    <xf numFmtId="17" fontId="0" fillId="7" borderId="3" xfId="0" applyNumberFormat="1" applyFill="1" applyBorder="1" applyAlignment="1">
      <alignment horizontal="center" vertical="center"/>
    </xf>
    <xf numFmtId="169" fontId="0" fillId="7" borderId="9" xfId="6" applyNumberFormat="1" applyFont="1" applyFill="1" applyBorder="1" applyAlignment="1">
      <alignment vertical="center"/>
    </xf>
    <xf numFmtId="17" fontId="0" fillId="7" borderId="38" xfId="0" applyNumberFormat="1" applyFill="1" applyBorder="1" applyAlignment="1">
      <alignment horizontal="center" vertical="center"/>
    </xf>
    <xf numFmtId="179" fontId="58" fillId="0" borderId="0" xfId="92" applyNumberFormat="1" applyFont="1" applyAlignment="1">
      <alignment horizontal="center"/>
    </xf>
    <xf numFmtId="166" fontId="11" fillId="2" borderId="78" xfId="2" applyNumberFormat="1" applyFont="1" applyFill="1" applyBorder="1" applyAlignment="1">
      <alignment horizontal="left" vertical="center"/>
    </xf>
    <xf numFmtId="170" fontId="8" fillId="4" borderId="77" xfId="1" applyNumberFormat="1" applyFont="1" applyFill="1" applyBorder="1" applyAlignment="1" applyProtection="1">
      <alignment horizontal="center" vertical="center"/>
    </xf>
    <xf numFmtId="170" fontId="12" fillId="2" borderId="79" xfId="1" applyNumberFormat="1" applyFont="1" applyFill="1" applyBorder="1" applyAlignment="1" applyProtection="1">
      <alignment vertical="center"/>
    </xf>
    <xf numFmtId="166" fontId="1" fillId="25" borderId="0" xfId="1" applyFont="1" applyFill="1"/>
    <xf numFmtId="0" fontId="7" fillId="0" borderId="0" xfId="20" applyFont="1"/>
    <xf numFmtId="49" fontId="1" fillId="0" borderId="0" xfId="20" applyNumberFormat="1"/>
    <xf numFmtId="170" fontId="27" fillId="14" borderId="0" xfId="1" applyNumberFormat="1" applyFont="1" applyFill="1" applyBorder="1" applyAlignment="1" applyProtection="1">
      <alignment vertical="center"/>
    </xf>
    <xf numFmtId="166" fontId="54" fillId="0" borderId="0" xfId="1" applyFont="1"/>
    <xf numFmtId="0" fontId="0" fillId="5" borderId="21" xfId="0" applyFill="1" applyBorder="1" applyAlignment="1">
      <alignment horizontal="center"/>
    </xf>
    <xf numFmtId="0" fontId="2" fillId="19" borderId="23" xfId="0" applyFont="1" applyFill="1" applyBorder="1" applyAlignment="1">
      <alignment horizontal="left"/>
    </xf>
    <xf numFmtId="0" fontId="2" fillId="19" borderId="24" xfId="0" applyFont="1" applyFill="1" applyBorder="1" applyAlignment="1">
      <alignment horizontal="center"/>
    </xf>
    <xf numFmtId="0" fontId="2" fillId="19" borderId="25" xfId="0" applyFont="1" applyFill="1" applyBorder="1" applyAlignment="1">
      <alignment horizontal="center" vertical="center"/>
    </xf>
    <xf numFmtId="171" fontId="50" fillId="21" borderId="8" xfId="0" applyNumberFormat="1" applyFont="1" applyFill="1" applyBorder="1"/>
    <xf numFmtId="171" fontId="50" fillId="21" borderId="55" xfId="0" applyNumberFormat="1" applyFont="1" applyFill="1" applyBorder="1"/>
    <xf numFmtId="166" fontId="1" fillId="5" borderId="0" xfId="1" applyFill="1"/>
    <xf numFmtId="166" fontId="1" fillId="21" borderId="0" xfId="1" applyFill="1"/>
    <xf numFmtId="0" fontId="2" fillId="5" borderId="0" xfId="20" applyFont="1" applyFill="1"/>
    <xf numFmtId="166" fontId="2" fillId="5" borderId="0" xfId="20" applyNumberFormat="1" applyFont="1" applyFill="1"/>
    <xf numFmtId="0" fontId="2" fillId="21" borderId="0" xfId="20" applyFont="1" applyFill="1"/>
    <xf numFmtId="166" fontId="2" fillId="21" borderId="0" xfId="20" applyNumberFormat="1" applyFont="1" applyFill="1"/>
    <xf numFmtId="166" fontId="73" fillId="0" borderId="0" xfId="20" applyNumberFormat="1" applyFont="1"/>
    <xf numFmtId="170" fontId="1" fillId="0" borderId="0" xfId="1" applyNumberFormat="1"/>
    <xf numFmtId="182" fontId="1" fillId="0" borderId="0" xfId="20" applyNumberFormat="1"/>
    <xf numFmtId="166" fontId="78" fillId="0" borderId="0" xfId="1" applyFont="1"/>
    <xf numFmtId="166" fontId="50" fillId="0" borderId="0" xfId="1" applyFont="1"/>
    <xf numFmtId="0" fontId="2" fillId="0" borderId="4" xfId="20" applyFont="1" applyBorder="1"/>
    <xf numFmtId="166" fontId="2" fillId="0" borderId="4" xfId="20" applyNumberFormat="1" applyFont="1" applyBorder="1"/>
    <xf numFmtId="170" fontId="78" fillId="0" borderId="0" xfId="1" applyNumberFormat="1" applyFont="1"/>
    <xf numFmtId="170" fontId="78" fillId="0" borderId="0" xfId="20" applyNumberFormat="1" applyFont="1"/>
    <xf numFmtId="179" fontId="57" fillId="0" borderId="0" xfId="92" applyNumberFormat="1" applyFont="1" applyAlignment="1">
      <alignment horizontal="center"/>
    </xf>
    <xf numFmtId="14" fontId="1" fillId="25" borderId="0" xfId="20" applyNumberFormat="1" applyFill="1"/>
    <xf numFmtId="14" fontId="2" fillId="0" borderId="0" xfId="20" applyNumberFormat="1" applyFont="1"/>
    <xf numFmtId="0" fontId="2" fillId="21" borderId="0" xfId="0" applyFont="1" applyFill="1" applyAlignment="1">
      <alignment horizontal="center"/>
    </xf>
    <xf numFmtId="166" fontId="0" fillId="21" borderId="0" xfId="1" applyFont="1" applyFill="1"/>
    <xf numFmtId="166" fontId="2" fillId="21" borderId="0" xfId="1" applyFont="1" applyFill="1"/>
    <xf numFmtId="166" fontId="0" fillId="0" borderId="0" xfId="0" applyNumberFormat="1"/>
    <xf numFmtId="0" fontId="2" fillId="0" borderId="6" xfId="0" applyFont="1" applyBorder="1" applyAlignment="1">
      <alignment horizontal="center"/>
    </xf>
    <xf numFmtId="166" fontId="1" fillId="14" borderId="0" xfId="1" applyFill="1"/>
    <xf numFmtId="0" fontId="1" fillId="14" borderId="0" xfId="20" applyFill="1"/>
    <xf numFmtId="166" fontId="16" fillId="14" borderId="0" xfId="1" applyFont="1" applyFill="1"/>
    <xf numFmtId="166" fontId="2" fillId="14" borderId="0" xfId="20" applyNumberFormat="1" applyFont="1" applyFill="1"/>
    <xf numFmtId="14" fontId="1" fillId="14" borderId="0" xfId="1" applyNumberFormat="1" applyFill="1"/>
    <xf numFmtId="166" fontId="74" fillId="14" borderId="0" xfId="20" applyNumberFormat="1" applyFont="1" applyFill="1"/>
    <xf numFmtId="166" fontId="1" fillId="14" borderId="0" xfId="20" applyNumberFormat="1" applyFill="1"/>
    <xf numFmtId="166" fontId="1" fillId="14" borderId="0" xfId="1" applyFont="1" applyFill="1"/>
    <xf numFmtId="43" fontId="60" fillId="0" borderId="0" xfId="94" applyFont="1"/>
    <xf numFmtId="43" fontId="61" fillId="0" borderId="0" xfId="94" applyFont="1" applyAlignment="1">
      <alignment horizontal="right"/>
    </xf>
    <xf numFmtId="43" fontId="12" fillId="0" borderId="0" xfId="94" applyFont="1" applyAlignment="1">
      <alignment vertical="center" wrapText="1"/>
    </xf>
    <xf numFmtId="43" fontId="12" fillId="0" borderId="3" xfId="94" applyFont="1" applyFill="1" applyBorder="1" applyAlignment="1">
      <alignment horizontal="center" vertical="center"/>
    </xf>
    <xf numFmtId="0" fontId="12" fillId="0" borderId="4" xfId="94" applyNumberFormat="1" applyFont="1" applyBorder="1" applyAlignment="1">
      <alignment vertical="center" wrapText="1"/>
    </xf>
    <xf numFmtId="0" fontId="14" fillId="0" borderId="4" xfId="9" applyFont="1" applyBorder="1" applyAlignment="1">
      <alignment horizontal="center" vertical="center" wrapText="1"/>
    </xf>
    <xf numFmtId="9" fontId="60" fillId="0" borderId="13" xfId="114" applyFont="1" applyBorder="1" applyAlignment="1">
      <alignment horizontal="center" vertical="center"/>
    </xf>
    <xf numFmtId="9" fontId="60" fillId="0" borderId="15" xfId="114" applyFont="1" applyBorder="1" applyAlignment="1">
      <alignment horizontal="center" vertical="center"/>
    </xf>
    <xf numFmtId="176" fontId="60" fillId="0" borderId="38" xfId="94" applyNumberFormat="1" applyFont="1" applyBorder="1" applyAlignment="1">
      <alignment horizontal="center" vertical="center"/>
    </xf>
    <xf numFmtId="176" fontId="60" fillId="0" borderId="13" xfId="99" applyNumberFormat="1" applyFont="1" applyBorder="1" applyAlignment="1">
      <alignment vertical="center"/>
    </xf>
    <xf numFmtId="176" fontId="12" fillId="0" borderId="10" xfId="94" applyNumberFormat="1" applyFont="1" applyFill="1" applyBorder="1" applyAlignment="1">
      <alignment horizontal="center" vertical="center" wrapText="1"/>
    </xf>
    <xf numFmtId="176" fontId="60" fillId="0" borderId="15" xfId="99" applyNumberFormat="1" applyFont="1" applyBorder="1" applyAlignment="1">
      <alignment vertical="center"/>
    </xf>
    <xf numFmtId="176" fontId="60" fillId="0" borderId="10" xfId="94" applyNumberFormat="1" applyFont="1" applyBorder="1" applyAlignment="1">
      <alignment horizontal="center" vertical="center"/>
    </xf>
    <xf numFmtId="176" fontId="60" fillId="0" borderId="35" xfId="94" applyNumberFormat="1" applyFont="1" applyBorder="1" applyAlignment="1">
      <alignment horizontal="center" vertical="center"/>
    </xf>
    <xf numFmtId="9" fontId="60" fillId="0" borderId="37" xfId="114" applyFont="1" applyBorder="1" applyAlignment="1">
      <alignment horizontal="center" vertical="center"/>
    </xf>
    <xf numFmtId="176" fontId="60" fillId="0" borderId="37" xfId="99" applyNumberFormat="1" applyFont="1" applyBorder="1" applyAlignment="1">
      <alignment vertical="center"/>
    </xf>
    <xf numFmtId="0" fontId="12" fillId="0" borderId="13" xfId="94" applyNumberFormat="1" applyFont="1" applyBorder="1" applyAlignment="1">
      <alignment horizontal="left"/>
    </xf>
    <xf numFmtId="0" fontId="12" fillId="0" borderId="15" xfId="94" applyNumberFormat="1" applyFont="1" applyFill="1" applyBorder="1" applyAlignment="1">
      <alignment horizontal="left" vertical="center"/>
    </xf>
    <xf numFmtId="176" fontId="60" fillId="0" borderId="0" xfId="94" applyNumberFormat="1" applyFont="1" applyFill="1" applyAlignment="1">
      <alignment horizontal="center" vertical="center"/>
    </xf>
    <xf numFmtId="9" fontId="60" fillId="0" borderId="15" xfId="114" applyFont="1" applyFill="1" applyBorder="1" applyAlignment="1">
      <alignment horizontal="center" vertical="center"/>
    </xf>
    <xf numFmtId="0" fontId="12" fillId="0" borderId="13" xfId="94" applyNumberFormat="1" applyFont="1" applyBorder="1" applyAlignment="1">
      <alignment horizontal="left" vertical="center"/>
    </xf>
    <xf numFmtId="43" fontId="60" fillId="0" borderId="13" xfId="108" applyFont="1" applyFill="1" applyBorder="1" applyAlignment="1">
      <alignment horizontal="center" vertical="center"/>
    </xf>
    <xf numFmtId="176" fontId="60" fillId="0" borderId="38" xfId="94" applyNumberFormat="1" applyFont="1" applyFill="1" applyBorder="1" applyAlignment="1">
      <alignment horizontal="center" vertical="center"/>
    </xf>
    <xf numFmtId="9" fontId="12" fillId="0" borderId="13" xfId="114" applyFont="1" applyBorder="1" applyAlignment="1">
      <alignment horizontal="center" vertical="center"/>
    </xf>
    <xf numFmtId="9" fontId="12" fillId="0" borderId="15" xfId="114" applyFont="1" applyBorder="1" applyAlignment="1">
      <alignment horizontal="center" vertical="center"/>
    </xf>
    <xf numFmtId="176" fontId="12" fillId="0" borderId="35" xfId="94" applyNumberFormat="1" applyFont="1" applyFill="1" applyBorder="1" applyAlignment="1">
      <alignment horizontal="center" vertical="center" wrapText="1"/>
    </xf>
    <xf numFmtId="9" fontId="12" fillId="0" borderId="37" xfId="114" applyFont="1" applyBorder="1" applyAlignment="1">
      <alignment horizontal="center" vertical="center"/>
    </xf>
    <xf numFmtId="0" fontId="60" fillId="0" borderId="13" xfId="94" applyNumberFormat="1" applyFont="1" applyFill="1" applyBorder="1" applyAlignment="1">
      <alignment vertical="center" wrapText="1"/>
    </xf>
    <xf numFmtId="43" fontId="12" fillId="0" borderId="13" xfId="108" applyFont="1" applyFill="1" applyBorder="1" applyAlignment="1">
      <alignment horizontal="center" vertical="center" wrapText="1"/>
    </xf>
    <xf numFmtId="0" fontId="60" fillId="0" borderId="15" xfId="94" applyNumberFormat="1" applyFont="1" applyFill="1" applyBorder="1" applyAlignment="1">
      <alignment vertical="center" wrapText="1"/>
    </xf>
    <xf numFmtId="43" fontId="12" fillId="0" borderId="15" xfId="108" applyFont="1" applyFill="1" applyBorder="1" applyAlignment="1">
      <alignment horizontal="center" vertical="center" wrapText="1"/>
    </xf>
    <xf numFmtId="176" fontId="60" fillId="0" borderId="0" xfId="94" applyNumberFormat="1" applyFont="1" applyBorder="1" applyAlignment="1">
      <alignment horizontal="center" vertical="center"/>
    </xf>
    <xf numFmtId="0" fontId="60" fillId="0" borderId="37" xfId="94" applyNumberFormat="1" applyFont="1" applyFill="1" applyBorder="1" applyAlignment="1">
      <alignment vertical="center" wrapText="1"/>
    </xf>
    <xf numFmtId="43" fontId="12" fillId="0" borderId="37" xfId="108" applyFont="1" applyFill="1" applyBorder="1" applyAlignment="1">
      <alignment horizontal="center" vertical="center" wrapText="1"/>
    </xf>
    <xf numFmtId="9" fontId="60" fillId="0" borderId="3" xfId="114" applyFont="1" applyFill="1" applyBorder="1" applyAlignment="1">
      <alignment horizontal="center" vertical="center"/>
    </xf>
    <xf numFmtId="9" fontId="60" fillId="0" borderId="4" xfId="114" applyFont="1" applyFill="1" applyBorder="1" applyAlignment="1">
      <alignment horizontal="center" vertical="center"/>
    </xf>
    <xf numFmtId="176" fontId="60" fillId="0" borderId="4" xfId="99" applyNumberFormat="1" applyFont="1" applyFill="1" applyBorder="1" applyAlignment="1">
      <alignment vertical="center"/>
    </xf>
    <xf numFmtId="176" fontId="60" fillId="0" borderId="5" xfId="99" applyNumberFormat="1" applyFont="1" applyFill="1" applyBorder="1" applyAlignment="1">
      <alignment vertical="center"/>
    </xf>
    <xf numFmtId="43" fontId="12" fillId="0" borderId="0" xfId="94" applyFont="1" applyFill="1" applyBorder="1" applyAlignment="1">
      <alignment horizontal="center" vertical="center" wrapText="1"/>
    </xf>
    <xf numFmtId="0" fontId="60" fillId="0" borderId="0" xfId="94" applyNumberFormat="1" applyFont="1" applyFill="1" applyBorder="1" applyAlignment="1">
      <alignment vertical="center" wrapText="1"/>
    </xf>
    <xf numFmtId="43" fontId="12" fillId="0" borderId="0" xfId="108" applyFont="1" applyFill="1" applyBorder="1" applyAlignment="1">
      <alignment horizontal="center" vertical="center" wrapText="1"/>
    </xf>
    <xf numFmtId="9" fontId="60" fillId="0" borderId="16" xfId="114" applyFont="1" applyBorder="1" applyAlignment="1">
      <alignment horizontal="center" vertical="center"/>
    </xf>
    <xf numFmtId="9" fontId="12" fillId="0" borderId="16" xfId="70" applyFont="1" applyFill="1" applyBorder="1" applyAlignment="1">
      <alignment horizontal="center" vertical="center" wrapText="1"/>
    </xf>
    <xf numFmtId="0" fontId="61" fillId="0" borderId="4" xfId="94" applyNumberFormat="1" applyFont="1" applyFill="1" applyBorder="1" applyAlignment="1">
      <alignment vertical="center" wrapText="1"/>
    </xf>
    <xf numFmtId="43" fontId="14" fillId="0" borderId="4" xfId="108" applyFont="1" applyFill="1" applyBorder="1" applyAlignment="1">
      <alignment horizontal="center" vertical="center" wrapText="1"/>
    </xf>
    <xf numFmtId="176" fontId="61" fillId="0" borderId="4" xfId="94" applyNumberFormat="1" applyFont="1" applyBorder="1" applyAlignment="1">
      <alignment horizontal="center" vertical="center"/>
    </xf>
    <xf numFmtId="176" fontId="61" fillId="0" borderId="5" xfId="94" applyNumberFormat="1" applyFont="1" applyBorder="1" applyAlignment="1">
      <alignment horizontal="center" vertical="center"/>
    </xf>
    <xf numFmtId="43" fontId="12" fillId="0" borderId="7" xfId="94" applyFont="1" applyFill="1" applyBorder="1" applyAlignment="1">
      <alignment horizontal="center" vertical="center" wrapText="1"/>
    </xf>
    <xf numFmtId="0" fontId="60" fillId="0" borderId="7" xfId="94" applyNumberFormat="1" applyFont="1" applyFill="1" applyBorder="1" applyAlignment="1">
      <alignment vertical="center" wrapText="1"/>
    </xf>
    <xf numFmtId="43" fontId="12" fillId="0" borderId="7" xfId="108" applyFont="1" applyFill="1" applyBorder="1" applyAlignment="1">
      <alignment horizontal="center" vertical="center" wrapText="1"/>
    </xf>
    <xf numFmtId="176" fontId="12" fillId="0" borderId="7" xfId="94" applyNumberFormat="1" applyFont="1" applyFill="1" applyBorder="1" applyAlignment="1">
      <alignment horizontal="center" vertical="center" wrapText="1"/>
    </xf>
    <xf numFmtId="176" fontId="60" fillId="0" borderId="7" xfId="94" applyNumberFormat="1" applyFont="1" applyBorder="1" applyAlignment="1">
      <alignment horizontal="center" vertical="center"/>
    </xf>
    <xf numFmtId="176" fontId="61" fillId="0" borderId="4" xfId="114" applyNumberFormat="1" applyFont="1" applyFill="1" applyBorder="1" applyAlignment="1">
      <alignment horizontal="center" vertical="center"/>
    </xf>
    <xf numFmtId="176" fontId="61" fillId="0" borderId="5" xfId="114" applyNumberFormat="1" applyFont="1" applyFill="1" applyBorder="1" applyAlignment="1">
      <alignment horizontal="center" vertical="center"/>
    </xf>
    <xf numFmtId="43" fontId="14" fillId="0" borderId="0" xfId="94" applyFont="1" applyFill="1" applyBorder="1" applyAlignment="1">
      <alignment horizontal="center" vertical="center" wrapText="1"/>
    </xf>
    <xf numFmtId="9" fontId="60" fillId="0" borderId="0" xfId="114" applyFont="1" applyFill="1"/>
    <xf numFmtId="43" fontId="60" fillId="0" borderId="3" xfId="94" applyFont="1" applyFill="1" applyBorder="1" applyAlignment="1">
      <alignment horizontal="center"/>
    </xf>
    <xf numFmtId="43" fontId="60" fillId="0" borderId="4" xfId="94" applyFont="1" applyBorder="1" applyAlignment="1">
      <alignment horizontal="center" vertical="center"/>
    </xf>
    <xf numFmtId="43" fontId="12" fillId="0" borderId="4" xfId="94" applyFont="1" applyBorder="1"/>
    <xf numFmtId="170" fontId="12" fillId="0" borderId="4" xfId="94" applyNumberFormat="1" applyFont="1" applyBorder="1"/>
    <xf numFmtId="170" fontId="60" fillId="0" borderId="4" xfId="94" applyNumberFormat="1" applyFont="1" applyBorder="1"/>
    <xf numFmtId="170" fontId="61" fillId="0" borderId="4" xfId="94" applyNumberFormat="1" applyFont="1" applyBorder="1"/>
    <xf numFmtId="183" fontId="60" fillId="0" borderId="4" xfId="94" applyNumberFormat="1" applyFont="1" applyBorder="1"/>
    <xf numFmtId="183" fontId="60" fillId="0" borderId="4" xfId="94" applyNumberFormat="1" applyFont="1" applyBorder="1" applyAlignment="1">
      <alignment horizontal="center" vertical="center"/>
    </xf>
    <xf numFmtId="183" fontId="61" fillId="0" borderId="4" xfId="94" applyNumberFormat="1" applyFont="1" applyBorder="1" applyAlignment="1">
      <alignment horizontal="right" vertical="center"/>
    </xf>
    <xf numFmtId="170" fontId="61" fillId="0" borderId="4" xfId="94" applyNumberFormat="1" applyFont="1" applyBorder="1" applyAlignment="1">
      <alignment horizontal="left" vertical="center"/>
    </xf>
    <xf numFmtId="43" fontId="61" fillId="0" borderId="4" xfId="94" applyFont="1" applyBorder="1" applyAlignment="1">
      <alignment horizontal="center" vertical="center"/>
    </xf>
    <xf numFmtId="14" fontId="61" fillId="0" borderId="5" xfId="94" applyNumberFormat="1" applyFont="1" applyBorder="1" applyAlignment="1">
      <alignment horizontal="center" vertical="center"/>
    </xf>
    <xf numFmtId="43" fontId="61" fillId="0" borderId="3" xfId="94" applyFont="1" applyFill="1" applyBorder="1" applyAlignment="1">
      <alignment horizontal="center"/>
    </xf>
    <xf numFmtId="43" fontId="14" fillId="0" borderId="4" xfId="94" applyFont="1" applyBorder="1"/>
    <xf numFmtId="170" fontId="14" fillId="0" borderId="4" xfId="94" applyNumberFormat="1" applyFont="1" applyBorder="1"/>
    <xf numFmtId="183" fontId="61" fillId="0" borderId="4" xfId="94" applyNumberFormat="1" applyFont="1" applyBorder="1"/>
    <xf numFmtId="183" fontId="61" fillId="0" borderId="4" xfId="94" applyNumberFormat="1" applyFont="1" applyBorder="1" applyAlignment="1">
      <alignment horizontal="center" vertical="center"/>
    </xf>
    <xf numFmtId="43" fontId="61" fillId="0" borderId="5" xfId="94" applyFont="1" applyBorder="1" applyAlignment="1">
      <alignment horizontal="center" vertical="center"/>
    </xf>
    <xf numFmtId="43" fontId="60" fillId="20" borderId="14" xfId="94" applyFont="1" applyFill="1" applyBorder="1" applyAlignment="1">
      <alignment horizontal="center" vertical="center"/>
    </xf>
    <xf numFmtId="43" fontId="60" fillId="20" borderId="14" xfId="94" applyFont="1" applyFill="1" applyBorder="1"/>
    <xf numFmtId="43" fontId="60" fillId="20" borderId="44" xfId="94" applyFont="1" applyFill="1" applyBorder="1" applyAlignment="1">
      <alignment horizontal="center" vertical="center"/>
    </xf>
    <xf numFmtId="43" fontId="12" fillId="20" borderId="44" xfId="94" applyFont="1" applyFill="1" applyBorder="1"/>
    <xf numFmtId="170" fontId="12" fillId="20" borderId="44" xfId="94" applyNumberFormat="1" applyFont="1" applyFill="1" applyBorder="1"/>
    <xf numFmtId="170" fontId="60" fillId="20" borderId="44" xfId="94" applyNumberFormat="1" applyFont="1" applyFill="1" applyBorder="1"/>
    <xf numFmtId="170" fontId="61" fillId="20" borderId="44" xfId="94" applyNumberFormat="1" applyFont="1" applyFill="1" applyBorder="1"/>
    <xf numFmtId="183" fontId="60" fillId="20" borderId="44" xfId="94" applyNumberFormat="1" applyFont="1" applyFill="1" applyBorder="1"/>
    <xf numFmtId="183" fontId="60" fillId="20" borderId="44" xfId="94" applyNumberFormat="1" applyFont="1" applyFill="1" applyBorder="1" applyAlignment="1">
      <alignment horizontal="center" vertical="center"/>
    </xf>
    <xf numFmtId="43" fontId="60" fillId="20" borderId="44" xfId="94" applyFont="1" applyFill="1" applyBorder="1"/>
    <xf numFmtId="176" fontId="60" fillId="20" borderId="80" xfId="94" applyNumberFormat="1" applyFont="1" applyFill="1" applyBorder="1"/>
    <xf numFmtId="0" fontId="64" fillId="0" borderId="0" xfId="39" applyFont="1"/>
    <xf numFmtId="176" fontId="64" fillId="0" borderId="0" xfId="94" applyNumberFormat="1" applyFont="1" applyBorder="1"/>
    <xf numFmtId="43" fontId="60" fillId="0" borderId="15" xfId="94" applyFont="1" applyFill="1" applyBorder="1" applyAlignment="1">
      <alignment horizontal="center"/>
    </xf>
    <xf numFmtId="43" fontId="60" fillId="0" borderId="19" xfId="94" applyFont="1" applyBorder="1"/>
    <xf numFmtId="43" fontId="60" fillId="0" borderId="45" xfId="94" applyFont="1" applyBorder="1" applyAlignment="1">
      <alignment horizontal="center" vertical="center"/>
    </xf>
    <xf numFmtId="43" fontId="12" fillId="0" borderId="45" xfId="94" applyFont="1" applyBorder="1"/>
    <xf numFmtId="170" fontId="12" fillId="0" borderId="45" xfId="94" applyNumberFormat="1" applyFont="1" applyBorder="1"/>
    <xf numFmtId="170" fontId="60" fillId="0" borderId="45" xfId="94" applyNumberFormat="1" applyFont="1" applyBorder="1"/>
    <xf numFmtId="170" fontId="61" fillId="0" borderId="45" xfId="94" applyNumberFormat="1" applyFont="1" applyBorder="1"/>
    <xf numFmtId="183" fontId="60" fillId="0" borderId="45" xfId="94" applyNumberFormat="1" applyFont="1" applyBorder="1" applyAlignment="1">
      <alignment horizontal="center" vertical="center"/>
    </xf>
    <xf numFmtId="183" fontId="60" fillId="0" borderId="45" xfId="94" applyNumberFormat="1" applyFont="1" applyBorder="1"/>
    <xf numFmtId="43" fontId="60" fillId="0" borderId="45" xfId="94" applyFont="1" applyBorder="1"/>
    <xf numFmtId="10" fontId="60" fillId="0" borderId="45" xfId="94" applyNumberFormat="1" applyFont="1" applyFill="1" applyBorder="1"/>
    <xf numFmtId="170" fontId="60" fillId="0" borderId="21" xfId="94" applyNumberFormat="1" applyFont="1" applyBorder="1"/>
    <xf numFmtId="9" fontId="64" fillId="0" borderId="0" xfId="39" applyNumberFormat="1" applyFont="1"/>
    <xf numFmtId="170" fontId="60" fillId="20" borderId="19" xfId="94" applyNumberFormat="1" applyFont="1" applyFill="1" applyBorder="1" applyAlignment="1">
      <alignment horizontal="center" vertical="center"/>
    </xf>
    <xf numFmtId="43" fontId="60" fillId="20" borderId="19" xfId="94" applyFont="1" applyFill="1" applyBorder="1"/>
    <xf numFmtId="43" fontId="60" fillId="20" borderId="45" xfId="94" applyFont="1" applyFill="1" applyBorder="1" applyAlignment="1">
      <alignment horizontal="center" vertical="center"/>
    </xf>
    <xf numFmtId="43" fontId="12" fillId="20" borderId="45" xfId="94" applyFont="1" applyFill="1" applyBorder="1"/>
    <xf numFmtId="170" fontId="12" fillId="20" borderId="45" xfId="94" applyNumberFormat="1" applyFont="1" applyFill="1" applyBorder="1"/>
    <xf numFmtId="170" fontId="60" fillId="20" borderId="45" xfId="94" applyNumberFormat="1" applyFont="1" applyFill="1" applyBorder="1"/>
    <xf numFmtId="170" fontId="61" fillId="20" borderId="45" xfId="94" applyNumberFormat="1" applyFont="1" applyFill="1" applyBorder="1"/>
    <xf numFmtId="183" fontId="60" fillId="20" borderId="45" xfId="94" applyNumberFormat="1" applyFont="1" applyFill="1" applyBorder="1"/>
    <xf numFmtId="183" fontId="60" fillId="20" borderId="45" xfId="94" applyNumberFormat="1" applyFont="1" applyFill="1" applyBorder="1" applyAlignment="1">
      <alignment horizontal="center" vertical="center"/>
    </xf>
    <xf numFmtId="43" fontId="60" fillId="20" borderId="45" xfId="94" applyFont="1" applyFill="1" applyBorder="1"/>
    <xf numFmtId="170" fontId="60" fillId="20" borderId="21" xfId="94" applyNumberFormat="1" applyFont="1" applyFill="1" applyBorder="1"/>
    <xf numFmtId="176" fontId="64" fillId="0" borderId="0" xfId="39" applyNumberFormat="1" applyFont="1"/>
    <xf numFmtId="43" fontId="60" fillId="0" borderId="20" xfId="94" applyFont="1" applyFill="1" applyBorder="1" applyAlignment="1">
      <alignment horizontal="center"/>
    </xf>
    <xf numFmtId="43" fontId="60" fillId="0" borderId="81" xfId="94" applyFont="1" applyBorder="1"/>
    <xf numFmtId="43" fontId="60" fillId="0" borderId="82" xfId="94" applyFont="1" applyBorder="1" applyAlignment="1">
      <alignment horizontal="center" vertical="center"/>
    </xf>
    <xf numFmtId="43" fontId="12" fillId="0" borderId="82" xfId="94" applyFont="1" applyBorder="1"/>
    <xf numFmtId="170" fontId="12" fillId="0" borderId="82" xfId="94" applyNumberFormat="1" applyFont="1" applyBorder="1"/>
    <xf numFmtId="170" fontId="60" fillId="0" borderId="82" xfId="94" applyNumberFormat="1" applyFont="1" applyBorder="1"/>
    <xf numFmtId="170" fontId="61" fillId="0" borderId="82" xfId="94" applyNumberFormat="1" applyFont="1" applyBorder="1"/>
    <xf numFmtId="183" fontId="60" fillId="0" borderId="82" xfId="94" applyNumberFormat="1" applyFont="1" applyBorder="1"/>
    <xf numFmtId="183" fontId="60" fillId="0" borderId="82" xfId="94" applyNumberFormat="1" applyFont="1" applyBorder="1" applyAlignment="1">
      <alignment horizontal="center" vertical="center"/>
    </xf>
    <xf numFmtId="43" fontId="60" fillId="0" borderId="82" xfId="94" applyFont="1" applyBorder="1"/>
    <xf numFmtId="10" fontId="60" fillId="0" borderId="82" xfId="94" applyNumberFormat="1" applyFont="1" applyBorder="1"/>
    <xf numFmtId="170" fontId="60" fillId="0" borderId="83" xfId="94" applyNumberFormat="1" applyFont="1" applyBorder="1"/>
    <xf numFmtId="170" fontId="64" fillId="0" borderId="0" xfId="94" applyNumberFormat="1" applyFont="1" applyBorder="1"/>
    <xf numFmtId="170" fontId="61" fillId="20" borderId="3" xfId="94" applyNumberFormat="1" applyFont="1" applyFill="1" applyBorder="1" applyAlignment="1">
      <alignment horizontal="center" vertical="center"/>
    </xf>
    <xf numFmtId="43" fontId="61" fillId="20" borderId="3" xfId="94" applyFont="1" applyFill="1" applyBorder="1"/>
    <xf numFmtId="43" fontId="61" fillId="20" borderId="4" xfId="94" applyFont="1" applyFill="1" applyBorder="1" applyAlignment="1">
      <alignment horizontal="center" vertical="center"/>
    </xf>
    <xf numFmtId="43" fontId="14" fillId="20" borderId="4" xfId="94" applyFont="1" applyFill="1" applyBorder="1"/>
    <xf numFmtId="170" fontId="14" fillId="20" borderId="4" xfId="94" applyNumberFormat="1" applyFont="1" applyFill="1" applyBorder="1"/>
    <xf numFmtId="170" fontId="61" fillId="20" borderId="4" xfId="94" applyNumberFormat="1" applyFont="1" applyFill="1" applyBorder="1"/>
    <xf numFmtId="170" fontId="61" fillId="20" borderId="4" xfId="94" applyNumberFormat="1" applyFont="1" applyFill="1" applyBorder="1" applyAlignment="1">
      <alignment horizontal="right" vertical="center"/>
    </xf>
    <xf numFmtId="183" fontId="61" fillId="20" borderId="4" xfId="94" applyNumberFormat="1" applyFont="1" applyFill="1" applyBorder="1"/>
    <xf numFmtId="43" fontId="61" fillId="20" borderId="4" xfId="94" applyFont="1" applyFill="1" applyBorder="1"/>
    <xf numFmtId="170" fontId="61" fillId="20" borderId="5" xfId="94" applyNumberFormat="1" applyFont="1" applyFill="1" applyBorder="1"/>
    <xf numFmtId="170" fontId="64" fillId="0" borderId="0" xfId="39" applyNumberFormat="1" applyFont="1"/>
    <xf numFmtId="43" fontId="60" fillId="0" borderId="39" xfId="94" applyFont="1" applyFill="1" applyBorder="1" applyAlignment="1">
      <alignment horizontal="center"/>
    </xf>
    <xf numFmtId="0" fontId="74" fillId="25" borderId="0" xfId="20" applyFont="1" applyFill="1"/>
    <xf numFmtId="176" fontId="60" fillId="0" borderId="0" xfId="39" applyNumberFormat="1" applyFont="1"/>
    <xf numFmtId="170" fontId="5" fillId="2" borderId="0" xfId="2" applyNumberFormat="1" applyFont="1" applyFill="1"/>
    <xf numFmtId="176" fontId="12" fillId="0" borderId="20" xfId="94" applyNumberFormat="1" applyFont="1" applyFill="1" applyBorder="1" applyAlignment="1">
      <alignment horizontal="center" vertical="center" wrapText="1"/>
    </xf>
    <xf numFmtId="170" fontId="75" fillId="14" borderId="0" xfId="1" applyNumberFormat="1" applyFont="1" applyFill="1" applyBorder="1" applyAlignment="1" applyProtection="1">
      <alignment vertical="center"/>
    </xf>
    <xf numFmtId="17" fontId="0" fillId="0" borderId="0" xfId="0" applyNumberFormat="1"/>
    <xf numFmtId="166" fontId="0" fillId="0" borderId="0" xfId="1" applyFont="1"/>
    <xf numFmtId="186" fontId="0" fillId="0" borderId="0" xfId="0" applyNumberFormat="1"/>
    <xf numFmtId="17" fontId="60" fillId="0" borderId="0" xfId="39" applyNumberFormat="1" applyFont="1"/>
    <xf numFmtId="176" fontId="14" fillId="0" borderId="3" xfId="94" applyNumberFormat="1" applyFont="1" applyBorder="1" applyAlignment="1">
      <alignment horizontal="center" wrapText="1"/>
    </xf>
    <xf numFmtId="176" fontId="14" fillId="0" borderId="4" xfId="94" applyNumberFormat="1" applyFont="1" applyBorder="1" applyAlignment="1">
      <alignment horizontal="center" wrapText="1"/>
    </xf>
    <xf numFmtId="176" fontId="14" fillId="0" borderId="5" xfId="94" applyNumberFormat="1" applyFont="1" applyBorder="1" applyAlignment="1">
      <alignment horizontal="center" wrapText="1"/>
    </xf>
    <xf numFmtId="176" fontId="80" fillId="0" borderId="0" xfId="94" applyNumberFormat="1" applyFont="1" applyFill="1" applyBorder="1" applyAlignment="1">
      <alignment horizontal="center" wrapText="1"/>
    </xf>
    <xf numFmtId="176" fontId="14" fillId="0" borderId="0" xfId="94" applyNumberFormat="1" applyFont="1" applyBorder="1" applyAlignment="1">
      <alignment horizontal="center" wrapText="1"/>
    </xf>
    <xf numFmtId="43" fontId="12" fillId="5" borderId="0" xfId="94" applyFont="1" applyFill="1" applyAlignment="1">
      <alignment vertical="center" wrapText="1"/>
    </xf>
    <xf numFmtId="176" fontId="14" fillId="0" borderId="5" xfId="94" applyNumberFormat="1" applyFont="1" applyFill="1" applyBorder="1" applyAlignment="1">
      <alignment horizontal="center" vertical="center"/>
    </xf>
    <xf numFmtId="176" fontId="14" fillId="11" borderId="7" xfId="94" applyNumberFormat="1" applyFont="1" applyFill="1" applyBorder="1" applyAlignment="1">
      <alignment horizontal="center" vertical="center"/>
    </xf>
    <xf numFmtId="176" fontId="14" fillId="11" borderId="7" xfId="94" applyNumberFormat="1" applyFont="1" applyFill="1" applyBorder="1" applyAlignment="1">
      <alignment horizontal="center" vertical="center" wrapText="1"/>
    </xf>
    <xf numFmtId="176" fontId="14" fillId="12" borderId="7" xfId="94" applyNumberFormat="1" applyFont="1" applyFill="1" applyBorder="1" applyAlignment="1">
      <alignment horizontal="center" vertical="center"/>
    </xf>
    <xf numFmtId="176" fontId="12" fillId="0" borderId="4" xfId="94" applyNumberFormat="1" applyFont="1" applyFill="1" applyBorder="1" applyAlignment="1">
      <alignment vertical="center" wrapText="1"/>
    </xf>
    <xf numFmtId="43" fontId="14" fillId="0" borderId="5" xfId="94" applyFont="1" applyFill="1" applyBorder="1" applyAlignment="1">
      <alignment horizontal="center" vertical="center" wrapText="1"/>
    </xf>
    <xf numFmtId="43" fontId="60" fillId="28" borderId="13" xfId="94" applyFont="1" applyFill="1" applyBorder="1" applyAlignment="1">
      <alignment horizontal="center" vertical="center"/>
    </xf>
    <xf numFmtId="176" fontId="64" fillId="0" borderId="13" xfId="94" applyNumberFormat="1" applyFont="1" applyFill="1" applyBorder="1" applyAlignment="1">
      <alignment horizontal="center" vertical="center"/>
    </xf>
    <xf numFmtId="176" fontId="12" fillId="11" borderId="13" xfId="94" applyNumberFormat="1" applyFont="1" applyFill="1" applyBorder="1" applyAlignment="1">
      <alignment horizontal="center" vertical="center" wrapText="1"/>
    </xf>
    <xf numFmtId="176" fontId="81" fillId="0" borderId="13" xfId="94" applyNumberFormat="1" applyFont="1" applyFill="1" applyBorder="1" applyAlignment="1">
      <alignment horizontal="center" vertical="center" wrapText="1"/>
    </xf>
    <xf numFmtId="176" fontId="12" fillId="13" borderId="13" xfId="94" applyNumberFormat="1" applyFont="1" applyFill="1" applyBorder="1" applyAlignment="1">
      <alignment horizontal="center" vertical="center" wrapText="1"/>
    </xf>
    <xf numFmtId="176" fontId="12" fillId="12" borderId="13" xfId="94" applyNumberFormat="1" applyFont="1" applyFill="1" applyBorder="1" applyAlignment="1">
      <alignment horizontal="center" vertical="center" wrapText="1"/>
    </xf>
    <xf numFmtId="176" fontId="14" fillId="0" borderId="9" xfId="94" applyNumberFormat="1" applyFont="1" applyFill="1" applyBorder="1" applyAlignment="1">
      <alignment horizontal="center" vertical="center" wrapText="1"/>
    </xf>
    <xf numFmtId="176" fontId="12" fillId="2" borderId="4" xfId="94" applyNumberFormat="1" applyFont="1" applyFill="1" applyBorder="1" applyAlignment="1">
      <alignment horizontal="center" vertical="center"/>
    </xf>
    <xf numFmtId="176" fontId="14" fillId="2" borderId="4" xfId="94" applyNumberFormat="1" applyFont="1" applyFill="1" applyBorder="1" applyAlignment="1">
      <alignment horizontal="center" vertical="center"/>
    </xf>
    <xf numFmtId="176" fontId="81" fillId="2" borderId="4" xfId="94" applyNumberFormat="1" applyFont="1" applyFill="1" applyBorder="1" applyAlignment="1">
      <alignment horizontal="center" vertical="center"/>
    </xf>
    <xf numFmtId="176" fontId="12" fillId="2" borderId="4" xfId="94" applyNumberFormat="1" applyFont="1" applyFill="1" applyBorder="1" applyAlignment="1">
      <alignment horizontal="center" vertical="center" wrapText="1"/>
    </xf>
    <xf numFmtId="176" fontId="81" fillId="2" borderId="4" xfId="94" applyNumberFormat="1" applyFont="1" applyFill="1" applyBorder="1" applyAlignment="1">
      <alignment horizontal="center" vertical="center" wrapText="1"/>
    </xf>
    <xf numFmtId="176" fontId="60" fillId="2" borderId="4" xfId="94" applyNumberFormat="1" applyFont="1" applyFill="1" applyBorder="1" applyAlignment="1">
      <alignment horizontal="center" vertical="center"/>
    </xf>
    <xf numFmtId="43" fontId="61" fillId="2" borderId="5" xfId="94" applyFont="1" applyFill="1" applyBorder="1" applyAlignment="1">
      <alignment horizontal="center" vertical="center"/>
    </xf>
    <xf numFmtId="43" fontId="14" fillId="0" borderId="39" xfId="94" applyFont="1" applyFill="1" applyBorder="1" applyAlignment="1">
      <alignment horizontal="center" vertical="center"/>
    </xf>
    <xf numFmtId="0" fontId="12" fillId="0" borderId="39" xfId="9" applyFont="1" applyBorder="1" applyAlignment="1">
      <alignment horizontal="center" vertical="center" wrapText="1"/>
    </xf>
    <xf numFmtId="176" fontId="12" fillId="2" borderId="39" xfId="94" applyNumberFormat="1" applyFont="1" applyFill="1" applyBorder="1" applyAlignment="1">
      <alignment horizontal="center" vertical="center"/>
    </xf>
    <xf numFmtId="176" fontId="14" fillId="2" borderId="39" xfId="94" applyNumberFormat="1" applyFont="1" applyFill="1" applyBorder="1" applyAlignment="1">
      <alignment horizontal="center" vertical="center"/>
    </xf>
    <xf numFmtId="176" fontId="81" fillId="2" borderId="39" xfId="94" applyNumberFormat="1" applyFont="1" applyFill="1" applyBorder="1" applyAlignment="1">
      <alignment horizontal="center" vertical="center"/>
    </xf>
    <xf numFmtId="176" fontId="12" fillId="2" borderId="39" xfId="94" applyNumberFormat="1" applyFont="1" applyFill="1" applyBorder="1" applyAlignment="1">
      <alignment horizontal="center" vertical="center" wrapText="1"/>
    </xf>
    <xf numFmtId="176" fontId="81" fillId="2" borderId="39" xfId="94" applyNumberFormat="1" applyFont="1" applyFill="1" applyBorder="1" applyAlignment="1">
      <alignment horizontal="center" vertical="center" wrapText="1"/>
    </xf>
    <xf numFmtId="176" fontId="60" fillId="2" borderId="39" xfId="94" applyNumberFormat="1" applyFont="1" applyFill="1" applyBorder="1" applyAlignment="1">
      <alignment horizontal="center" vertical="center"/>
    </xf>
    <xf numFmtId="176" fontId="61" fillId="2" borderId="39" xfId="94" applyNumberFormat="1" applyFont="1" applyFill="1" applyBorder="1" applyAlignment="1">
      <alignment horizontal="center" vertical="center"/>
    </xf>
    <xf numFmtId="0" fontId="13" fillId="0" borderId="0" xfId="94" applyNumberFormat="1" applyFont="1" applyAlignment="1"/>
    <xf numFmtId="43" fontId="12" fillId="0" borderId="0" xfId="94" applyFont="1" applyBorder="1" applyAlignment="1">
      <alignment horizontal="center" vertical="center"/>
    </xf>
    <xf numFmtId="14" fontId="1" fillId="0" borderId="0" xfId="1" applyNumberFormat="1" applyFill="1"/>
    <xf numFmtId="14" fontId="0" fillId="0" borderId="0" xfId="1" applyNumberFormat="1" applyFont="1" applyFill="1"/>
    <xf numFmtId="0" fontId="74" fillId="0" borderId="0" xfId="20" applyFont="1"/>
    <xf numFmtId="0" fontId="73" fillId="0" borderId="0" xfId="20" applyFont="1"/>
    <xf numFmtId="170" fontId="6" fillId="0" borderId="0" xfId="20" applyNumberFormat="1" applyFont="1"/>
    <xf numFmtId="17" fontId="57" fillId="0" borderId="0" xfId="20" applyNumberFormat="1" applyFont="1"/>
    <xf numFmtId="0" fontId="6" fillId="20" borderId="0" xfId="20" applyFont="1" applyFill="1" applyAlignment="1">
      <alignment horizontal="center"/>
    </xf>
    <xf numFmtId="0" fontId="57" fillId="0" borderId="0" xfId="20" applyFont="1" applyAlignment="1">
      <alignment horizontal="center"/>
    </xf>
    <xf numFmtId="17" fontId="46" fillId="22" borderId="0" xfId="20" applyNumberFormat="1" applyFont="1" applyFill="1"/>
    <xf numFmtId="0" fontId="46" fillId="22" borderId="0" xfId="20" applyFont="1" applyFill="1"/>
    <xf numFmtId="170" fontId="6" fillId="20" borderId="0" xfId="20" applyNumberFormat="1" applyFont="1" applyFill="1" applyAlignment="1">
      <alignment horizontal="center"/>
    </xf>
    <xf numFmtId="17" fontId="46" fillId="0" borderId="0" xfId="20" applyNumberFormat="1" applyFont="1"/>
    <xf numFmtId="0" fontId="46" fillId="0" borderId="0" xfId="20" applyFont="1"/>
    <xf numFmtId="166" fontId="57" fillId="0" borderId="0" xfId="20" applyNumberFormat="1" applyFont="1"/>
    <xf numFmtId="9" fontId="6" fillId="0" borderId="0" xfId="92" applyFont="1"/>
    <xf numFmtId="9" fontId="57" fillId="0" borderId="0" xfId="92" applyFont="1"/>
    <xf numFmtId="0" fontId="6" fillId="17" borderId="0" xfId="20" applyFont="1" applyFill="1"/>
    <xf numFmtId="166" fontId="6" fillId="17" borderId="0" xfId="20" applyNumberFormat="1" applyFont="1" applyFill="1"/>
    <xf numFmtId="166" fontId="57" fillId="0" borderId="0" xfId="1" applyFont="1" applyFill="1"/>
    <xf numFmtId="0" fontId="6" fillId="29" borderId="0" xfId="20" applyFont="1" applyFill="1"/>
    <xf numFmtId="166" fontId="6" fillId="29" borderId="0" xfId="20" applyNumberFormat="1" applyFont="1" applyFill="1"/>
    <xf numFmtId="166" fontId="57" fillId="5" borderId="0" xfId="1" applyFont="1" applyFill="1"/>
    <xf numFmtId="0" fontId="57" fillId="20" borderId="0" xfId="20" applyFont="1" applyFill="1"/>
    <xf numFmtId="166" fontId="57" fillId="20" borderId="0" xfId="1" applyFont="1" applyFill="1"/>
    <xf numFmtId="166" fontId="1" fillId="20" borderId="0" xfId="1" applyFill="1"/>
    <xf numFmtId="166" fontId="1" fillId="20" borderId="0" xfId="20" applyNumberFormat="1" applyFill="1"/>
    <xf numFmtId="0" fontId="78" fillId="0" borderId="0" xfId="20" applyFont="1" applyAlignment="1">
      <alignment horizontal="center" vertical="center"/>
    </xf>
    <xf numFmtId="166" fontId="78" fillId="0" borderId="0" xfId="20" applyNumberFormat="1" applyFont="1" applyAlignment="1">
      <alignment horizontal="center" vertical="center"/>
    </xf>
    <xf numFmtId="0" fontId="6" fillId="20" borderId="0" xfId="20" applyFont="1" applyFill="1"/>
    <xf numFmtId="166" fontId="6" fillId="20" borderId="0" xfId="20" applyNumberFormat="1" applyFont="1" applyFill="1"/>
    <xf numFmtId="1" fontId="1" fillId="0" borderId="0" xfId="20" applyNumberFormat="1"/>
    <xf numFmtId="0" fontId="6" fillId="5" borderId="0" xfId="20" applyFont="1" applyFill="1" applyAlignment="1">
      <alignment horizontal="center"/>
    </xf>
    <xf numFmtId="0" fontId="25" fillId="0" borderId="82" xfId="20" applyFont="1" applyBorder="1"/>
    <xf numFmtId="170" fontId="6" fillId="0" borderId="82" xfId="21" applyNumberFormat="1" applyFont="1" applyFill="1" applyBorder="1"/>
    <xf numFmtId="176" fontId="8" fillId="4" borderId="1" xfId="1" applyNumberFormat="1" applyFont="1" applyFill="1" applyBorder="1" applyAlignment="1" applyProtection="1">
      <alignment horizontal="center" vertical="center"/>
    </xf>
    <xf numFmtId="0" fontId="2" fillId="30" borderId="23" xfId="0" applyFont="1" applyFill="1" applyBorder="1" applyAlignment="1">
      <alignment horizontal="left"/>
    </xf>
    <xf numFmtId="0" fontId="2" fillId="30" borderId="24" xfId="0" applyFont="1" applyFill="1" applyBorder="1" applyAlignment="1">
      <alignment horizontal="center"/>
    </xf>
    <xf numFmtId="0" fontId="2" fillId="30" borderId="25" xfId="0" applyFont="1" applyFill="1" applyBorder="1" applyAlignment="1">
      <alignment horizontal="center" vertical="center"/>
    </xf>
    <xf numFmtId="0" fontId="2" fillId="31" borderId="23" xfId="0" applyFont="1" applyFill="1" applyBorder="1" applyAlignment="1">
      <alignment horizontal="left"/>
    </xf>
    <xf numFmtId="0" fontId="2" fillId="31" borderId="24" xfId="0" applyFont="1" applyFill="1" applyBorder="1" applyAlignment="1">
      <alignment horizontal="center"/>
    </xf>
    <xf numFmtId="0" fontId="2" fillId="31" borderId="25" xfId="0" applyFont="1" applyFill="1" applyBorder="1" applyAlignment="1">
      <alignment horizontal="center" vertical="center"/>
    </xf>
    <xf numFmtId="0" fontId="2" fillId="32" borderId="23" xfId="0" applyFont="1" applyFill="1" applyBorder="1" applyAlignment="1">
      <alignment horizontal="left"/>
    </xf>
    <xf numFmtId="0" fontId="2" fillId="32" borderId="24" xfId="0" applyFont="1" applyFill="1" applyBorder="1" applyAlignment="1">
      <alignment horizontal="center"/>
    </xf>
    <xf numFmtId="0" fontId="2" fillId="32" borderId="25" xfId="0" applyFont="1" applyFill="1" applyBorder="1" applyAlignment="1">
      <alignment horizontal="center" vertical="center"/>
    </xf>
    <xf numFmtId="0" fontId="2" fillId="33" borderId="23" xfId="0" applyFont="1" applyFill="1" applyBorder="1" applyAlignment="1">
      <alignment horizontal="left"/>
    </xf>
    <xf numFmtId="0" fontId="2" fillId="33" borderId="24" xfId="0" applyFont="1" applyFill="1" applyBorder="1" applyAlignment="1">
      <alignment horizontal="center"/>
    </xf>
    <xf numFmtId="0" fontId="2" fillId="33" borderId="25" xfId="0" applyFont="1" applyFill="1" applyBorder="1" applyAlignment="1">
      <alignment horizontal="center" vertical="center"/>
    </xf>
    <xf numFmtId="164" fontId="0" fillId="0" borderId="0" xfId="0" applyNumberFormat="1"/>
    <xf numFmtId="176" fontId="8" fillId="4" borderId="64" xfId="1" applyNumberFormat="1" applyFont="1" applyFill="1" applyBorder="1" applyAlignment="1" applyProtection="1">
      <alignment horizontal="center" vertical="center"/>
    </xf>
    <xf numFmtId="164" fontId="1" fillId="0" borderId="0" xfId="20" applyNumberFormat="1"/>
    <xf numFmtId="172" fontId="0" fillId="0" borderId="0" xfId="0" applyNumberFormat="1" applyAlignment="1">
      <alignment horizontal="center"/>
    </xf>
    <xf numFmtId="0" fontId="0" fillId="22" borderId="0" xfId="20" applyFont="1" applyFill="1" applyAlignment="1">
      <alignment horizontal="center"/>
    </xf>
    <xf numFmtId="0" fontId="0" fillId="22" borderId="0" xfId="20" applyFont="1" applyFill="1" applyAlignment="1">
      <alignment horizontal="left"/>
    </xf>
    <xf numFmtId="166" fontId="1" fillId="22" borderId="0" xfId="20" applyNumberFormat="1" applyFill="1" applyAlignment="1">
      <alignment horizontal="center"/>
    </xf>
    <xf numFmtId="166" fontId="1" fillId="22" borderId="0" xfId="20" applyNumberFormat="1" applyFill="1" applyAlignment="1">
      <alignment vertical="center"/>
    </xf>
    <xf numFmtId="0" fontId="2" fillId="34" borderId="23" xfId="0" applyFont="1" applyFill="1" applyBorder="1" applyAlignment="1">
      <alignment horizontal="left"/>
    </xf>
    <xf numFmtId="0" fontId="2" fillId="34" borderId="24" xfId="0" applyFont="1" applyFill="1" applyBorder="1" applyAlignment="1">
      <alignment horizontal="center"/>
    </xf>
    <xf numFmtId="0" fontId="2" fillId="34" borderId="25" xfId="0" applyFont="1" applyFill="1" applyBorder="1" applyAlignment="1">
      <alignment horizontal="center" vertical="center"/>
    </xf>
    <xf numFmtId="43" fontId="60" fillId="28" borderId="13" xfId="94" applyFont="1" applyFill="1" applyBorder="1" applyAlignment="1">
      <alignment vertical="center"/>
    </xf>
    <xf numFmtId="176" fontId="60" fillId="0" borderId="13" xfId="94" applyNumberFormat="1" applyFont="1" applyFill="1" applyBorder="1" applyAlignment="1">
      <alignment vertical="center"/>
    </xf>
    <xf numFmtId="43" fontId="60" fillId="28" borderId="15" xfId="94" applyFont="1" applyFill="1" applyBorder="1" applyAlignment="1">
      <alignment horizontal="center" vertical="center"/>
    </xf>
    <xf numFmtId="176" fontId="60" fillId="0" borderId="15" xfId="94" applyNumberFormat="1" applyFont="1" applyFill="1" applyBorder="1" applyAlignment="1">
      <alignment vertical="center"/>
    </xf>
    <xf numFmtId="43" fontId="12" fillId="28" borderId="16" xfId="94" applyFont="1" applyFill="1" applyBorder="1" applyAlignment="1">
      <alignment horizontal="center" vertical="center"/>
    </xf>
    <xf numFmtId="0" fontId="12" fillId="0" borderId="16" xfId="94" applyNumberFormat="1" applyFont="1" applyBorder="1" applyAlignment="1">
      <alignment vertical="center" wrapText="1"/>
    </xf>
    <xf numFmtId="0" fontId="12" fillId="0" borderId="16" xfId="9" applyFont="1" applyBorder="1" applyAlignment="1">
      <alignment horizontal="center" vertical="center" wrapText="1"/>
    </xf>
    <xf numFmtId="43" fontId="12" fillId="0" borderId="16" xfId="94" applyFont="1" applyFill="1" applyBorder="1" applyAlignment="1">
      <alignment horizontal="center" vertical="center" wrapText="1"/>
    </xf>
    <xf numFmtId="176" fontId="60" fillId="0" borderId="16" xfId="94" applyNumberFormat="1" applyFont="1" applyFill="1" applyBorder="1" applyAlignment="1">
      <alignment vertical="center"/>
    </xf>
    <xf numFmtId="176" fontId="60" fillId="0" borderId="37" xfId="94" applyNumberFormat="1" applyFont="1" applyFill="1" applyBorder="1" applyAlignment="1">
      <alignment vertical="center"/>
    </xf>
    <xf numFmtId="9" fontId="60" fillId="0" borderId="13" xfId="40" applyFont="1" applyFill="1" applyBorder="1" applyAlignment="1">
      <alignment horizontal="center" vertical="center"/>
    </xf>
    <xf numFmtId="9" fontId="60" fillId="0" borderId="37" xfId="40" applyFont="1" applyFill="1" applyBorder="1" applyAlignment="1">
      <alignment horizontal="center" vertical="center"/>
    </xf>
    <xf numFmtId="0" fontId="61" fillId="0" borderId="0" xfId="39" applyFont="1"/>
    <xf numFmtId="43" fontId="61" fillId="0" borderId="0" xfId="108" applyFont="1" applyFill="1"/>
    <xf numFmtId="0" fontId="84" fillId="0" borderId="0" xfId="0" applyFont="1"/>
    <xf numFmtId="0" fontId="85" fillId="0" borderId="0" xfId="0" applyFont="1" applyAlignment="1">
      <alignment horizontal="left" vertical="center" wrapText="1"/>
    </xf>
    <xf numFmtId="0" fontId="85" fillId="0" borderId="0" xfId="0" applyFont="1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  <xf numFmtId="166" fontId="0" fillId="0" borderId="0" xfId="1" applyFont="1" applyAlignment="1">
      <alignment horizontal="right" vertical="center" wrapText="1"/>
    </xf>
    <xf numFmtId="166" fontId="84" fillId="0" borderId="0" xfId="1" applyFont="1"/>
    <xf numFmtId="0" fontId="86" fillId="0" borderId="0" xfId="0" applyFont="1"/>
    <xf numFmtId="176" fontId="0" fillId="2" borderId="0" xfId="0" applyNumberFormat="1" applyFill="1"/>
    <xf numFmtId="49" fontId="0" fillId="25" borderId="0" xfId="1" applyNumberFormat="1" applyFont="1" applyFill="1" applyAlignment="1">
      <alignment horizontal="center" vertical="center"/>
    </xf>
    <xf numFmtId="9" fontId="60" fillId="0" borderId="84" xfId="40" applyFont="1" applyBorder="1" applyAlignment="1">
      <alignment horizontal="center" vertical="center"/>
    </xf>
    <xf numFmtId="187" fontId="0" fillId="0" borderId="0" xfId="1" applyNumberFormat="1" applyFont="1" applyFill="1" applyBorder="1" applyAlignment="1">
      <alignment horizontal="right"/>
    </xf>
    <xf numFmtId="164" fontId="0" fillId="0" borderId="0" xfId="1" applyNumberFormat="1" applyFont="1" applyFill="1" applyBorder="1" applyAlignment="1">
      <alignment horizontal="right"/>
    </xf>
    <xf numFmtId="0" fontId="2" fillId="36" borderId="23" xfId="0" applyFont="1" applyFill="1" applyBorder="1" applyAlignment="1">
      <alignment horizontal="left"/>
    </xf>
    <xf numFmtId="0" fontId="2" fillId="36" borderId="24" xfId="0" applyFont="1" applyFill="1" applyBorder="1" applyAlignment="1">
      <alignment horizontal="center"/>
    </xf>
    <xf numFmtId="0" fontId="2" fillId="36" borderId="25" xfId="0" applyFont="1" applyFill="1" applyBorder="1" applyAlignment="1">
      <alignment horizontal="center" vertical="center"/>
    </xf>
    <xf numFmtId="9" fontId="0" fillId="0" borderId="0" xfId="92" applyFont="1"/>
    <xf numFmtId="43" fontId="30" fillId="0" borderId="0" xfId="94" applyFont="1" applyFill="1" applyAlignment="1">
      <alignment horizontal="center" vertical="center"/>
    </xf>
    <xf numFmtId="0" fontId="30" fillId="0" borderId="0" xfId="39" applyFont="1" applyAlignment="1">
      <alignment horizontal="center" vertical="center"/>
    </xf>
    <xf numFmtId="176" fontId="23" fillId="0" borderId="0" xfId="94" applyNumberFormat="1" applyFont="1" applyBorder="1" applyAlignment="1">
      <alignment horizontal="center" vertical="center"/>
    </xf>
    <xf numFmtId="176" fontId="30" fillId="0" borderId="13" xfId="94" applyNumberFormat="1" applyFont="1" applyFill="1" applyBorder="1" applyAlignment="1">
      <alignment horizontal="center"/>
    </xf>
    <xf numFmtId="176" fontId="23" fillId="0" borderId="0" xfId="94" applyNumberFormat="1" applyFont="1" applyBorder="1" applyAlignment="1">
      <alignment horizontal="left" vertical="center"/>
    </xf>
    <xf numFmtId="176" fontId="30" fillId="0" borderId="0" xfId="94" applyNumberFormat="1" applyFont="1" applyAlignment="1">
      <alignment horizontal="center" vertical="center"/>
    </xf>
    <xf numFmtId="176" fontId="30" fillId="0" borderId="15" xfId="94" applyNumberFormat="1" applyFont="1" applyFill="1" applyBorder="1" applyAlignment="1">
      <alignment horizontal="center"/>
    </xf>
    <xf numFmtId="176" fontId="23" fillId="0" borderId="15" xfId="94" applyNumberFormat="1" applyFont="1" applyFill="1" applyBorder="1" applyAlignment="1">
      <alignment horizontal="center"/>
    </xf>
    <xf numFmtId="176" fontId="23" fillId="0" borderId="37" xfId="94" applyNumberFormat="1" applyFont="1" applyFill="1" applyBorder="1" applyAlignment="1">
      <alignment horizontal="center"/>
    </xf>
    <xf numFmtId="176" fontId="23" fillId="0" borderId="0" xfId="94" applyNumberFormat="1" applyFont="1" applyFill="1" applyBorder="1" applyAlignment="1">
      <alignment horizontal="left" vertical="center"/>
    </xf>
    <xf numFmtId="0" fontId="52" fillId="0" borderId="0" xfId="94" applyNumberFormat="1" applyFont="1" applyAlignment="1">
      <alignment vertical="center"/>
    </xf>
    <xf numFmtId="176" fontId="52" fillId="0" borderId="7" xfId="94" applyNumberFormat="1" applyFont="1" applyFill="1" applyBorder="1" applyAlignment="1">
      <alignment horizontal="center" vertical="center"/>
    </xf>
    <xf numFmtId="176" fontId="52" fillId="0" borderId="5" xfId="94" applyNumberFormat="1" applyFont="1" applyFill="1" applyBorder="1" applyAlignment="1">
      <alignment horizontal="center" vertical="center"/>
    </xf>
    <xf numFmtId="176" fontId="52" fillId="11" borderId="7" xfId="94" applyNumberFormat="1" applyFont="1" applyFill="1" applyBorder="1" applyAlignment="1">
      <alignment horizontal="center" vertical="center"/>
    </xf>
    <xf numFmtId="176" fontId="52" fillId="12" borderId="7" xfId="94" applyNumberFormat="1" applyFont="1" applyFill="1" applyBorder="1" applyAlignment="1">
      <alignment horizontal="center" vertical="center"/>
    </xf>
    <xf numFmtId="176" fontId="52" fillId="0" borderId="9" xfId="94" applyNumberFormat="1" applyFont="1" applyFill="1" applyBorder="1" applyAlignment="1">
      <alignment horizontal="center" vertical="center"/>
    </xf>
    <xf numFmtId="176" fontId="40" fillId="0" borderId="0" xfId="94" applyNumberFormat="1" applyFont="1" applyAlignment="1">
      <alignment horizontal="center" vertical="center"/>
    </xf>
    <xf numFmtId="43" fontId="52" fillId="0" borderId="3" xfId="94" applyFont="1" applyFill="1" applyBorder="1" applyAlignment="1">
      <alignment horizontal="center" vertical="center"/>
    </xf>
    <xf numFmtId="43" fontId="52" fillId="0" borderId="4" xfId="94" applyFont="1" applyFill="1" applyBorder="1" applyAlignment="1">
      <alignment horizontal="center" vertical="center"/>
    </xf>
    <xf numFmtId="43" fontId="30" fillId="0" borderId="13" xfId="94" applyFont="1" applyFill="1" applyBorder="1" applyAlignment="1">
      <alignment horizontal="center" vertical="center"/>
    </xf>
    <xf numFmtId="176" fontId="30" fillId="0" borderId="13" xfId="94" applyNumberFormat="1" applyFont="1" applyFill="1" applyBorder="1" applyAlignment="1">
      <alignment horizontal="center" vertical="center"/>
    </xf>
    <xf numFmtId="49" fontId="23" fillId="0" borderId="13" xfId="39" applyNumberFormat="1" applyFont="1" applyBorder="1" applyAlignment="1">
      <alignment horizontal="center" vertical="center"/>
    </xf>
    <xf numFmtId="176" fontId="30" fillId="0" borderId="13" xfId="94" applyNumberFormat="1" applyFont="1" applyBorder="1" applyAlignment="1">
      <alignment horizontal="center" vertical="center"/>
    </xf>
    <xf numFmtId="43" fontId="30" fillId="0" borderId="15" xfId="94" applyFont="1" applyFill="1" applyBorder="1" applyAlignment="1">
      <alignment horizontal="center" vertical="center"/>
    </xf>
    <xf numFmtId="49" fontId="23" fillId="0" borderId="15" xfId="39" applyNumberFormat="1" applyFont="1" applyBorder="1" applyAlignment="1">
      <alignment horizontal="center" vertical="center"/>
    </xf>
    <xf numFmtId="176" fontId="30" fillId="0" borderId="15" xfId="94" applyNumberFormat="1" applyFont="1" applyFill="1" applyBorder="1" applyAlignment="1">
      <alignment horizontal="center" vertical="center"/>
    </xf>
    <xf numFmtId="176" fontId="30" fillId="0" borderId="15" xfId="94" applyNumberFormat="1" applyFont="1" applyBorder="1" applyAlignment="1">
      <alignment horizontal="center" vertical="center"/>
    </xf>
    <xf numFmtId="43" fontId="23" fillId="0" borderId="15" xfId="94" applyFont="1" applyFill="1" applyBorder="1" applyAlignment="1">
      <alignment horizontal="center" vertical="center"/>
    </xf>
    <xf numFmtId="43" fontId="30" fillId="0" borderId="37" xfId="94" applyFont="1" applyFill="1" applyBorder="1" applyAlignment="1">
      <alignment horizontal="center" vertical="center"/>
    </xf>
    <xf numFmtId="43" fontId="23" fillId="0" borderId="37" xfId="94" applyFont="1" applyFill="1" applyBorder="1" applyAlignment="1">
      <alignment horizontal="center" vertical="center"/>
    </xf>
    <xf numFmtId="49" fontId="23" fillId="0" borderId="37" xfId="39" applyNumberFormat="1" applyFont="1" applyBorder="1" applyAlignment="1">
      <alignment horizontal="center" vertical="center"/>
    </xf>
    <xf numFmtId="176" fontId="30" fillId="0" borderId="37" xfId="94" applyNumberFormat="1" applyFont="1" applyFill="1" applyBorder="1" applyAlignment="1">
      <alignment horizontal="center" vertical="center"/>
    </xf>
    <xf numFmtId="0" fontId="23" fillId="0" borderId="19" xfId="94" applyNumberFormat="1" applyFont="1" applyBorder="1" applyAlignment="1">
      <alignment horizontal="left"/>
    </xf>
    <xf numFmtId="49" fontId="23" fillId="0" borderId="15" xfId="15" applyNumberFormat="1" applyFont="1" applyBorder="1" applyAlignment="1">
      <alignment horizontal="center" vertical="center"/>
    </xf>
    <xf numFmtId="176" fontId="23" fillId="0" borderId="15" xfId="94" applyNumberFormat="1" applyFont="1" applyFill="1" applyBorder="1" applyAlignment="1">
      <alignment horizontal="center" vertical="center"/>
    </xf>
    <xf numFmtId="0" fontId="30" fillId="0" borderId="0" xfId="39" applyFont="1" applyAlignment="1">
      <alignment horizontal="right" vertical="center"/>
    </xf>
    <xf numFmtId="176" fontId="30" fillId="5" borderId="15" xfId="94" applyNumberFormat="1" applyFont="1" applyFill="1" applyBorder="1" applyAlignment="1">
      <alignment horizontal="center" vertical="center"/>
    </xf>
    <xf numFmtId="0" fontId="23" fillId="0" borderId="15" xfId="94" applyNumberFormat="1" applyFont="1" applyBorder="1" applyAlignment="1">
      <alignment horizontal="left"/>
    </xf>
    <xf numFmtId="43" fontId="23" fillId="0" borderId="20" xfId="94" applyFont="1" applyFill="1" applyBorder="1" applyAlignment="1">
      <alignment horizontal="center" vertical="center"/>
    </xf>
    <xf numFmtId="0" fontId="23" fillId="0" borderId="20" xfId="94" applyNumberFormat="1" applyFont="1" applyBorder="1" applyAlignment="1">
      <alignment horizontal="left"/>
    </xf>
    <xf numFmtId="49" fontId="23" fillId="0" borderId="20" xfId="15" applyNumberFormat="1" applyFont="1" applyBorder="1" applyAlignment="1">
      <alignment horizontal="center" vertical="center"/>
    </xf>
    <xf numFmtId="176" fontId="23" fillId="0" borderId="20" xfId="94" applyNumberFormat="1" applyFont="1" applyFill="1" applyBorder="1" applyAlignment="1">
      <alignment horizontal="center" vertical="center"/>
    </xf>
    <xf numFmtId="176" fontId="23" fillId="0" borderId="37" xfId="94" applyNumberFormat="1" applyFont="1" applyFill="1" applyBorder="1" applyAlignment="1">
      <alignment horizontal="center" vertical="center"/>
    </xf>
    <xf numFmtId="43" fontId="23" fillId="0" borderId="13" xfId="94" applyFont="1" applyFill="1" applyBorder="1" applyAlignment="1">
      <alignment horizontal="center" vertical="center"/>
    </xf>
    <xf numFmtId="49" fontId="23" fillId="0" borderId="13" xfId="15" applyNumberFormat="1" applyFont="1" applyBorder="1" applyAlignment="1">
      <alignment horizontal="center" vertical="center"/>
    </xf>
    <xf numFmtId="176" fontId="23" fillId="0" borderId="13" xfId="94" applyNumberFormat="1" applyFont="1" applyFill="1" applyBorder="1" applyAlignment="1">
      <alignment horizontal="center" vertical="center"/>
    </xf>
    <xf numFmtId="176" fontId="52" fillId="0" borderId="0" xfId="94" applyNumberFormat="1" applyFont="1" applyAlignment="1">
      <alignment horizontal="center" vertical="center"/>
    </xf>
    <xf numFmtId="176" fontId="30" fillId="0" borderId="16" xfId="94" applyNumberFormat="1" applyFont="1" applyBorder="1" applyAlignment="1">
      <alignment horizontal="center" vertical="center"/>
    </xf>
    <xf numFmtId="176" fontId="30" fillId="0" borderId="36" xfId="94" applyNumberFormat="1" applyFont="1" applyBorder="1" applyAlignment="1">
      <alignment horizontal="center" vertical="center"/>
    </xf>
    <xf numFmtId="43" fontId="23" fillId="0" borderId="15" xfId="108" applyFont="1" applyFill="1" applyBorder="1" applyAlignment="1">
      <alignment horizontal="center" vertical="center"/>
    </xf>
    <xf numFmtId="43" fontId="23" fillId="0" borderId="37" xfId="108" applyFont="1" applyFill="1" applyBorder="1" applyAlignment="1">
      <alignment horizontal="center" vertical="center"/>
    </xf>
    <xf numFmtId="0" fontId="23" fillId="2" borderId="15" xfId="94" applyNumberFormat="1" applyFont="1" applyFill="1" applyBorder="1" applyAlignment="1">
      <alignment vertical="top"/>
    </xf>
    <xf numFmtId="49" fontId="23" fillId="0" borderId="37" xfId="15" applyNumberFormat="1" applyFont="1" applyBorder="1" applyAlignment="1">
      <alignment horizontal="center" vertical="center"/>
    </xf>
    <xf numFmtId="0" fontId="23" fillId="0" borderId="15" xfId="94" applyNumberFormat="1" applyFont="1" applyBorder="1" applyAlignment="1">
      <alignment vertical="top"/>
    </xf>
    <xf numFmtId="0" fontId="23" fillId="0" borderId="13" xfId="39" applyFont="1" applyBorder="1" applyAlignment="1">
      <alignment horizontal="center" vertical="center"/>
    </xf>
    <xf numFmtId="43" fontId="30" fillId="0" borderId="16" xfId="94" applyFont="1" applyFill="1" applyBorder="1" applyAlignment="1">
      <alignment horizontal="center" vertical="center"/>
    </xf>
    <xf numFmtId="43" fontId="23" fillId="0" borderId="16" xfId="94" applyFont="1" applyFill="1" applyBorder="1" applyAlignment="1">
      <alignment horizontal="center" vertical="center"/>
    </xf>
    <xf numFmtId="0" fontId="23" fillId="0" borderId="16" xfId="39" applyFont="1" applyBorder="1" applyAlignment="1">
      <alignment horizontal="center" vertical="center"/>
    </xf>
    <xf numFmtId="176" fontId="23" fillId="0" borderId="16" xfId="94" applyNumberFormat="1" applyFont="1" applyFill="1" applyBorder="1" applyAlignment="1">
      <alignment horizontal="center" vertical="center"/>
    </xf>
    <xf numFmtId="0" fontId="23" fillId="0" borderId="15" xfId="39" applyFont="1" applyBorder="1" applyAlignment="1">
      <alignment horizontal="center" vertical="center"/>
    </xf>
    <xf numFmtId="0" fontId="30" fillId="0" borderId="13" xfId="39" applyFont="1" applyBorder="1" applyAlignment="1">
      <alignment horizontal="center" vertical="center"/>
    </xf>
    <xf numFmtId="0" fontId="30" fillId="0" borderId="15" xfId="39" applyFont="1" applyBorder="1" applyAlignment="1">
      <alignment horizontal="center" vertical="center"/>
    </xf>
    <xf numFmtId="176" fontId="40" fillId="0" borderId="10" xfId="94" applyNumberFormat="1" applyFont="1" applyBorder="1" applyAlignment="1">
      <alignment horizontal="center" vertical="center"/>
    </xf>
    <xf numFmtId="0" fontId="23" fillId="0" borderId="37" xfId="39" applyFont="1" applyBorder="1" applyAlignment="1">
      <alignment horizontal="center" vertical="center"/>
    </xf>
    <xf numFmtId="0" fontId="23" fillId="0" borderId="16" xfId="94" applyNumberFormat="1" applyFont="1" applyBorder="1" applyAlignment="1">
      <alignment vertical="top"/>
    </xf>
    <xf numFmtId="0" fontId="30" fillId="0" borderId="37" xfId="39" applyFont="1" applyBorder="1" applyAlignment="1">
      <alignment horizontal="center" vertical="center"/>
    </xf>
    <xf numFmtId="176" fontId="30" fillId="0" borderId="37" xfId="94" applyNumberFormat="1" applyFont="1" applyBorder="1" applyAlignment="1">
      <alignment horizontal="center" vertical="center"/>
    </xf>
    <xf numFmtId="0" fontId="23" fillId="0" borderId="37" xfId="94" applyNumberFormat="1" applyFont="1" applyBorder="1" applyAlignment="1">
      <alignment vertical="center"/>
    </xf>
    <xf numFmtId="0" fontId="52" fillId="0" borderId="4" xfId="94" applyNumberFormat="1" applyFont="1" applyBorder="1" applyAlignment="1">
      <alignment vertical="center"/>
    </xf>
    <xf numFmtId="0" fontId="23" fillId="0" borderId="13" xfId="105" applyFont="1" applyBorder="1" applyAlignment="1">
      <alignment horizontal="center" vertical="center"/>
    </xf>
    <xf numFmtId="0" fontId="23" fillId="0" borderId="15" xfId="105" applyFont="1" applyBorder="1" applyAlignment="1">
      <alignment horizontal="center" vertical="center"/>
    </xf>
    <xf numFmtId="43" fontId="23" fillId="0" borderId="13" xfId="94" applyFont="1" applyFill="1" applyBorder="1" applyAlignment="1">
      <alignment vertical="center"/>
    </xf>
    <xf numFmtId="0" fontId="23" fillId="0" borderId="13" xfId="101" applyFont="1" applyBorder="1" applyAlignment="1">
      <alignment horizontal="center" vertical="center"/>
    </xf>
    <xf numFmtId="176" fontId="23" fillId="0" borderId="13" xfId="94" applyNumberFormat="1" applyFont="1" applyBorder="1" applyAlignment="1">
      <alignment horizontal="center" vertical="center"/>
    </xf>
    <xf numFmtId="43" fontId="23" fillId="0" borderId="15" xfId="94" applyFont="1" applyFill="1" applyBorder="1" applyAlignment="1">
      <alignment vertical="center"/>
    </xf>
    <xf numFmtId="0" fontId="23" fillId="0" borderId="15" xfId="101" applyFont="1" applyBorder="1" applyAlignment="1">
      <alignment horizontal="center" vertical="center"/>
    </xf>
    <xf numFmtId="176" fontId="23" fillId="0" borderId="15" xfId="94" applyNumberFormat="1" applyFont="1" applyBorder="1" applyAlignment="1">
      <alignment horizontal="center" vertical="center"/>
    </xf>
    <xf numFmtId="176" fontId="90" fillId="0" borderId="15" xfId="94" applyNumberFormat="1" applyFont="1" applyFill="1" applyBorder="1" applyAlignment="1">
      <alignment horizontal="center" vertical="center"/>
    </xf>
    <xf numFmtId="0" fontId="23" fillId="0" borderId="37" xfId="101" applyFont="1" applyBorder="1" applyAlignment="1">
      <alignment horizontal="center" vertical="center"/>
    </xf>
    <xf numFmtId="176" fontId="23" fillId="0" borderId="37" xfId="94" applyNumberFormat="1" applyFont="1" applyBorder="1" applyAlignment="1">
      <alignment horizontal="center" vertical="center"/>
    </xf>
    <xf numFmtId="176" fontId="30" fillId="0" borderId="4" xfId="94" applyNumberFormat="1" applyFont="1" applyBorder="1" applyAlignment="1">
      <alignment horizontal="center" vertical="center"/>
    </xf>
    <xf numFmtId="43" fontId="30" fillId="0" borderId="35" xfId="94" applyFont="1" applyFill="1" applyBorder="1" applyAlignment="1">
      <alignment horizontal="center" vertical="center"/>
    </xf>
    <xf numFmtId="43" fontId="23" fillId="0" borderId="34" xfId="94" applyFont="1" applyFill="1" applyBorder="1" applyAlignment="1">
      <alignment horizontal="center" vertical="center"/>
    </xf>
    <xf numFmtId="0" fontId="30" fillId="0" borderId="15" xfId="94" applyNumberFormat="1" applyFont="1" applyBorder="1" applyAlignment="1"/>
    <xf numFmtId="2" fontId="30" fillId="0" borderId="15" xfId="94" applyNumberFormat="1" applyFont="1" applyFill="1" applyBorder="1" applyAlignment="1">
      <alignment horizontal="center" vertical="center"/>
    </xf>
    <xf numFmtId="0" fontId="30" fillId="0" borderId="16" xfId="39" applyFont="1" applyBorder="1" applyAlignment="1">
      <alignment horizontal="center" vertical="center"/>
    </xf>
    <xf numFmtId="176" fontId="30" fillId="0" borderId="16" xfId="94" applyNumberFormat="1" applyFont="1" applyFill="1" applyBorder="1" applyAlignment="1">
      <alignment horizontal="center" vertical="center"/>
    </xf>
    <xf numFmtId="43" fontId="23" fillId="0" borderId="7" xfId="94" applyFont="1" applyFill="1" applyBorder="1" applyAlignment="1">
      <alignment horizontal="center" vertical="center"/>
    </xf>
    <xf numFmtId="49" fontId="23" fillId="0" borderId="7" xfId="15" applyNumberFormat="1" applyFont="1" applyBorder="1" applyAlignment="1">
      <alignment horizontal="center" vertical="center"/>
    </xf>
    <xf numFmtId="176" fontId="23" fillId="0" borderId="7" xfId="94" applyNumberFormat="1" applyFont="1" applyFill="1" applyBorder="1" applyAlignment="1">
      <alignment horizontal="center" vertical="center"/>
    </xf>
    <xf numFmtId="176" fontId="89" fillId="0" borderId="13" xfId="94" applyNumberFormat="1" applyFont="1" applyFill="1" applyBorder="1" applyAlignment="1">
      <alignment horizontal="center" vertical="center"/>
    </xf>
    <xf numFmtId="176" fontId="94" fillId="0" borderId="15" xfId="94" applyNumberFormat="1" applyFont="1" applyFill="1" applyBorder="1" applyAlignment="1">
      <alignment horizontal="center" vertical="center"/>
    </xf>
    <xf numFmtId="0" fontId="23" fillId="0" borderId="13" xfId="94" applyNumberFormat="1" applyFont="1" applyFill="1" applyBorder="1" applyAlignment="1">
      <alignment horizontal="left" vertical="center"/>
    </xf>
    <xf numFmtId="0" fontId="23" fillId="0" borderId="16" xfId="94" applyNumberFormat="1" applyFont="1" applyFill="1" applyBorder="1" applyAlignment="1">
      <alignment horizontal="left" vertical="center"/>
    </xf>
    <xf numFmtId="49" fontId="23" fillId="0" borderId="16" xfId="39" applyNumberFormat="1" applyFont="1" applyBorder="1" applyAlignment="1">
      <alignment horizontal="center" vertical="center"/>
    </xf>
    <xf numFmtId="0" fontId="23" fillId="0" borderId="15" xfId="94" applyNumberFormat="1" applyFont="1" applyBorder="1" applyAlignment="1">
      <alignment horizontal="left" vertical="center"/>
    </xf>
    <xf numFmtId="43" fontId="30" fillId="0" borderId="15" xfId="108" applyFont="1" applyFill="1" applyBorder="1" applyAlignment="1">
      <alignment horizontal="center" vertical="center"/>
    </xf>
    <xf numFmtId="176" fontId="40" fillId="0" borderId="0" xfId="94" applyNumberFormat="1" applyFont="1" applyFill="1" applyAlignment="1">
      <alignment horizontal="center" vertical="center"/>
    </xf>
    <xf numFmtId="0" fontId="23" fillId="0" borderId="37" xfId="94" applyNumberFormat="1" applyFont="1" applyBorder="1" applyAlignment="1">
      <alignment horizontal="left" vertical="center"/>
    </xf>
    <xf numFmtId="43" fontId="30" fillId="0" borderId="37" xfId="108" applyFont="1" applyFill="1" applyBorder="1" applyAlignment="1">
      <alignment horizontal="center" vertical="center"/>
    </xf>
    <xf numFmtId="176" fontId="30" fillId="0" borderId="39" xfId="94" applyNumberFormat="1" applyFont="1" applyBorder="1" applyAlignment="1">
      <alignment horizontal="center" vertical="center"/>
    </xf>
    <xf numFmtId="0" fontId="30" fillId="0" borderId="34" xfId="39" applyFont="1" applyBorder="1" applyAlignment="1">
      <alignment horizontal="center" vertical="center"/>
    </xf>
    <xf numFmtId="176" fontId="30" fillId="0" borderId="34" xfId="94" applyNumberFormat="1" applyFont="1" applyFill="1" applyBorder="1" applyAlignment="1">
      <alignment horizontal="center" vertical="center"/>
    </xf>
    <xf numFmtId="176" fontId="40" fillId="0" borderId="34" xfId="94" applyNumberFormat="1" applyFont="1" applyBorder="1" applyAlignment="1">
      <alignment horizontal="center" vertical="center"/>
    </xf>
    <xf numFmtId="0" fontId="30" fillId="0" borderId="4" xfId="39" applyFont="1" applyBorder="1" applyAlignment="1">
      <alignment horizontal="center" vertical="center"/>
    </xf>
    <xf numFmtId="176" fontId="23" fillId="0" borderId="4" xfId="94" applyNumberFormat="1" applyFont="1" applyBorder="1" applyAlignment="1">
      <alignment horizontal="center" vertical="center"/>
    </xf>
    <xf numFmtId="176" fontId="95" fillId="9" borderId="4" xfId="94" applyNumberFormat="1" applyFont="1" applyFill="1" applyBorder="1" applyAlignment="1">
      <alignment horizontal="right"/>
    </xf>
    <xf numFmtId="176" fontId="95" fillId="9" borderId="4" xfId="94" applyNumberFormat="1" applyFont="1" applyFill="1" applyBorder="1" applyAlignment="1">
      <alignment horizontal="center" vertical="center"/>
    </xf>
    <xf numFmtId="176" fontId="40" fillId="0" borderId="5" xfId="94" applyNumberFormat="1" applyFont="1" applyBorder="1" applyAlignment="1">
      <alignment horizontal="center" vertical="center"/>
    </xf>
    <xf numFmtId="176" fontId="52" fillId="0" borderId="0" xfId="94" applyNumberFormat="1" applyFont="1" applyBorder="1" applyAlignment="1">
      <alignment horizontal="center" vertical="center"/>
    </xf>
    <xf numFmtId="176" fontId="95" fillId="0" borderId="0" xfId="94" applyNumberFormat="1" applyFont="1" applyFill="1" applyBorder="1" applyAlignment="1">
      <alignment horizontal="right"/>
    </xf>
    <xf numFmtId="176" fontId="95" fillId="0" borderId="0" xfId="94" applyNumberFormat="1" applyFont="1" applyFill="1" applyBorder="1" applyAlignment="1">
      <alignment horizontal="center" vertical="center"/>
    </xf>
    <xf numFmtId="176" fontId="40" fillId="0" borderId="41" xfId="94" applyNumberFormat="1" applyFont="1" applyFill="1" applyBorder="1" applyAlignment="1">
      <alignment horizontal="center" vertical="center"/>
    </xf>
    <xf numFmtId="176" fontId="52" fillId="0" borderId="4" xfId="94" applyNumberFormat="1" applyFont="1" applyFill="1" applyBorder="1" applyAlignment="1">
      <alignment horizontal="center" vertical="center"/>
    </xf>
    <xf numFmtId="176" fontId="95" fillId="0" borderId="4" xfId="94" applyNumberFormat="1" applyFont="1" applyFill="1" applyBorder="1" applyAlignment="1">
      <alignment horizontal="right"/>
    </xf>
    <xf numFmtId="176" fontId="95" fillId="0" borderId="4" xfId="94" applyNumberFormat="1" applyFont="1" applyFill="1" applyBorder="1" applyAlignment="1">
      <alignment horizontal="center" vertical="center"/>
    </xf>
    <xf numFmtId="176" fontId="40" fillId="0" borderId="0" xfId="94" applyNumberFormat="1" applyFont="1" applyBorder="1" applyAlignment="1">
      <alignment horizontal="center" vertical="center"/>
    </xf>
    <xf numFmtId="0" fontId="23" fillId="0" borderId="15" xfId="94" applyNumberFormat="1" applyFont="1" applyFill="1" applyBorder="1" applyAlignment="1">
      <alignment horizontal="left" vertical="center"/>
    </xf>
    <xf numFmtId="43" fontId="23" fillId="0" borderId="15" xfId="94" applyFont="1" applyBorder="1" applyAlignment="1">
      <alignment horizontal="center" vertical="center"/>
    </xf>
    <xf numFmtId="43" fontId="23" fillId="0" borderId="37" xfId="94" applyFont="1" applyBorder="1" applyAlignment="1">
      <alignment horizontal="center" vertical="center"/>
    </xf>
    <xf numFmtId="43" fontId="52" fillId="0" borderId="0" xfId="94" applyFont="1" applyFill="1" applyBorder="1" applyAlignment="1">
      <alignment horizontal="center" vertical="center"/>
    </xf>
    <xf numFmtId="176" fontId="52" fillId="0" borderId="4" xfId="94" applyNumberFormat="1" applyFont="1" applyBorder="1" applyAlignment="1">
      <alignment horizontal="center" vertical="center"/>
    </xf>
    <xf numFmtId="176" fontId="52" fillId="0" borderId="0" xfId="94" applyNumberFormat="1" applyFont="1" applyFill="1" applyBorder="1" applyAlignment="1">
      <alignment horizontal="center" vertical="center"/>
    </xf>
    <xf numFmtId="43" fontId="95" fillId="0" borderId="0" xfId="94" applyFont="1" applyFill="1" applyBorder="1" applyAlignment="1">
      <alignment horizontal="center" vertical="center"/>
    </xf>
    <xf numFmtId="176" fontId="40" fillId="0" borderId="0" xfId="94" applyNumberFormat="1" applyFont="1" applyFill="1" applyBorder="1" applyAlignment="1">
      <alignment horizontal="center" vertical="center"/>
    </xf>
    <xf numFmtId="43" fontId="23" fillId="0" borderId="0" xfId="94" applyFont="1" applyFill="1" applyBorder="1" applyAlignment="1">
      <alignment horizontal="center" vertical="center"/>
    </xf>
    <xf numFmtId="176" fontId="30" fillId="0" borderId="0" xfId="94" applyNumberFormat="1" applyFont="1" applyFill="1" applyBorder="1" applyAlignment="1">
      <alignment horizontal="center" vertical="center"/>
    </xf>
    <xf numFmtId="43" fontId="30" fillId="0" borderId="0" xfId="94" applyFont="1" applyFill="1" applyBorder="1" applyAlignment="1">
      <alignment horizontal="center" vertical="center"/>
    </xf>
    <xf numFmtId="0" fontId="72" fillId="0" borderId="0" xfId="39" applyFont="1"/>
    <xf numFmtId="43" fontId="72" fillId="0" borderId="0" xfId="94" applyFont="1" applyFill="1" applyAlignment="1">
      <alignment horizontal="center" vertical="center"/>
    </xf>
    <xf numFmtId="0" fontId="72" fillId="0" borderId="0" xfId="39" applyFont="1" applyAlignment="1">
      <alignment horizontal="center" vertical="center"/>
    </xf>
    <xf numFmtId="176" fontId="96" fillId="0" borderId="0" xfId="94" applyNumberFormat="1" applyFont="1" applyBorder="1" applyAlignment="1">
      <alignment horizontal="center" vertical="center"/>
    </xf>
    <xf numFmtId="176" fontId="72" fillId="0" borderId="0" xfId="94" applyNumberFormat="1" applyFont="1" applyAlignment="1">
      <alignment horizontal="center" vertical="center"/>
    </xf>
    <xf numFmtId="176" fontId="97" fillId="0" borderId="7" xfId="94" applyNumberFormat="1" applyFont="1" applyBorder="1" applyAlignment="1">
      <alignment horizontal="center" vertical="center" wrapText="1"/>
    </xf>
    <xf numFmtId="176" fontId="98" fillId="0" borderId="0" xfId="94" applyNumberFormat="1" applyFont="1" applyAlignment="1">
      <alignment horizontal="center" vertical="center"/>
    </xf>
    <xf numFmtId="0" fontId="97" fillId="0" borderId="0" xfId="94" applyNumberFormat="1" applyFont="1" applyAlignment="1">
      <alignment horizontal="center" vertical="center"/>
    </xf>
    <xf numFmtId="43" fontId="97" fillId="18" borderId="7" xfId="94" applyFont="1" applyFill="1" applyBorder="1" applyAlignment="1">
      <alignment horizontal="center" vertical="center" wrapText="1"/>
    </xf>
    <xf numFmtId="0" fontId="96" fillId="0" borderId="0" xfId="9" applyFont="1" applyAlignment="1">
      <alignment vertical="center" wrapText="1"/>
    </xf>
    <xf numFmtId="43" fontId="96" fillId="0" borderId="0" xfId="94" applyFont="1" applyFill="1" applyAlignment="1">
      <alignment horizontal="center" vertical="center" wrapText="1"/>
    </xf>
    <xf numFmtId="0" fontId="96" fillId="0" borderId="0" xfId="9" applyFont="1" applyAlignment="1">
      <alignment horizontal="center" vertical="center" wrapText="1"/>
    </xf>
    <xf numFmtId="176" fontId="96" fillId="0" borderId="0" xfId="94" applyNumberFormat="1" applyFont="1" applyFill="1" applyBorder="1" applyAlignment="1">
      <alignment horizontal="center" vertical="center" wrapText="1"/>
    </xf>
    <xf numFmtId="176" fontId="97" fillId="0" borderId="0" xfId="94" applyNumberFormat="1" applyFont="1" applyAlignment="1">
      <alignment horizontal="center" vertical="center" wrapText="1"/>
    </xf>
    <xf numFmtId="14" fontId="97" fillId="0" borderId="0" xfId="94" applyNumberFormat="1" applyFont="1" applyFill="1" applyBorder="1" applyAlignment="1">
      <alignment horizontal="center" vertical="center" wrapText="1"/>
    </xf>
    <xf numFmtId="0" fontId="97" fillId="0" borderId="0" xfId="94" applyNumberFormat="1" applyFont="1" applyAlignment="1">
      <alignment vertical="center"/>
    </xf>
    <xf numFmtId="176" fontId="96" fillId="0" borderId="0" xfId="94" applyNumberFormat="1" applyFont="1" applyBorder="1" applyAlignment="1">
      <alignment horizontal="center" vertical="center" wrapText="1"/>
    </xf>
    <xf numFmtId="0" fontId="96" fillId="0" borderId="34" xfId="9" applyFont="1" applyBorder="1" applyAlignment="1">
      <alignment horizontal="center" vertical="center" wrapText="1"/>
    </xf>
    <xf numFmtId="176" fontId="96" fillId="0" borderId="34" xfId="94" applyNumberFormat="1" applyFont="1" applyFill="1" applyBorder="1" applyAlignment="1">
      <alignment horizontal="center" vertical="center" wrapText="1"/>
    </xf>
    <xf numFmtId="176" fontId="97" fillId="0" borderId="0" xfId="94" applyNumberFormat="1" applyFont="1" applyBorder="1" applyAlignment="1">
      <alignment horizontal="center" vertical="center" wrapText="1"/>
    </xf>
    <xf numFmtId="0" fontId="97" fillId="0" borderId="0" xfId="9" applyFont="1" applyAlignment="1">
      <alignment vertical="center"/>
    </xf>
    <xf numFmtId="43" fontId="97" fillId="0" borderId="3" xfId="94" applyFont="1" applyFill="1" applyBorder="1" applyAlignment="1">
      <alignment horizontal="center" vertical="center" wrapText="1"/>
    </xf>
    <xf numFmtId="0" fontId="97" fillId="0" borderId="5" xfId="9" applyFont="1" applyBorder="1" applyAlignment="1">
      <alignment horizontal="center" vertical="center" wrapText="1"/>
    </xf>
    <xf numFmtId="176" fontId="97" fillId="0" borderId="7" xfId="94" applyNumberFormat="1" applyFont="1" applyFill="1" applyBorder="1" applyAlignment="1">
      <alignment horizontal="center" vertical="center"/>
    </xf>
    <xf numFmtId="176" fontId="97" fillId="19" borderId="9" xfId="94" applyNumberFormat="1" applyFont="1" applyFill="1" applyBorder="1" applyAlignment="1">
      <alignment horizontal="center" vertical="center"/>
    </xf>
    <xf numFmtId="176" fontId="97" fillId="22" borderId="9" xfId="94" applyNumberFormat="1" applyFont="1" applyFill="1" applyBorder="1" applyAlignment="1">
      <alignment horizontal="center" vertical="center"/>
    </xf>
    <xf numFmtId="176" fontId="97" fillId="21" borderId="9" xfId="94" applyNumberFormat="1" applyFont="1" applyFill="1" applyBorder="1" applyAlignment="1">
      <alignment horizontal="center" vertical="center"/>
    </xf>
    <xf numFmtId="176" fontId="97" fillId="14" borderId="9" xfId="94" applyNumberFormat="1" applyFont="1" applyFill="1" applyBorder="1" applyAlignment="1">
      <alignment horizontal="center" vertical="center"/>
    </xf>
    <xf numFmtId="0" fontId="97" fillId="0" borderId="7" xfId="9" applyFont="1" applyBorder="1" applyAlignment="1">
      <alignment horizontal="center" vertical="center" wrapText="1"/>
    </xf>
    <xf numFmtId="43" fontId="97" fillId="0" borderId="3" xfId="94" applyFont="1" applyFill="1" applyBorder="1" applyAlignment="1">
      <alignment horizontal="center" vertical="center"/>
    </xf>
    <xf numFmtId="0" fontId="96" fillId="0" borderId="4" xfId="9" applyFont="1" applyBorder="1" applyAlignment="1">
      <alignment horizontal="center" vertical="center" wrapText="1"/>
    </xf>
    <xf numFmtId="176" fontId="96" fillId="0" borderId="4" xfId="94" applyNumberFormat="1" applyFont="1" applyFill="1" applyBorder="1" applyAlignment="1">
      <alignment horizontal="center" vertical="center" wrapText="1"/>
    </xf>
    <xf numFmtId="176" fontId="97" fillId="14" borderId="5" xfId="94" applyNumberFormat="1" applyFont="1" applyFill="1" applyBorder="1" applyAlignment="1">
      <alignment horizontal="center" vertical="center" wrapText="1"/>
    </xf>
    <xf numFmtId="176" fontId="97" fillId="0" borderId="5" xfId="94" applyNumberFormat="1" applyFont="1" applyFill="1" applyBorder="1" applyAlignment="1">
      <alignment horizontal="center" vertical="center" wrapText="1"/>
    </xf>
    <xf numFmtId="9" fontId="72" fillId="0" borderId="0" xfId="78" applyFont="1"/>
    <xf numFmtId="170" fontId="96" fillId="0" borderId="4" xfId="88" applyNumberFormat="1" applyFont="1" applyFill="1" applyBorder="1" applyAlignment="1">
      <alignment horizontal="center" vertical="center" wrapText="1"/>
    </xf>
    <xf numFmtId="43" fontId="96" fillId="0" borderId="4" xfId="88" applyFont="1" applyFill="1" applyBorder="1" applyAlignment="1">
      <alignment horizontal="center" vertical="center" wrapText="1"/>
    </xf>
    <xf numFmtId="176" fontId="97" fillId="21" borderId="7" xfId="94" applyNumberFormat="1" applyFont="1" applyFill="1" applyBorder="1" applyAlignment="1">
      <alignment horizontal="center" vertical="center" wrapText="1"/>
    </xf>
    <xf numFmtId="176" fontId="97" fillId="14" borderId="7" xfId="94" applyNumberFormat="1" applyFont="1" applyFill="1" applyBorder="1" applyAlignment="1">
      <alignment horizontal="center" vertical="center" wrapText="1"/>
    </xf>
    <xf numFmtId="43" fontId="72" fillId="0" borderId="13" xfId="94" applyFont="1" applyFill="1" applyBorder="1" applyAlignment="1">
      <alignment horizontal="center" vertical="center"/>
    </xf>
    <xf numFmtId="49" fontId="96" fillId="0" borderId="13" xfId="39" applyNumberFormat="1" applyFont="1" applyBorder="1" applyAlignment="1">
      <alignment horizontal="center" vertical="center"/>
    </xf>
    <xf numFmtId="176" fontId="72" fillId="0" borderId="13" xfId="94" applyNumberFormat="1" applyFont="1" applyFill="1" applyBorder="1" applyAlignment="1">
      <alignment horizontal="center" vertical="center"/>
    </xf>
    <xf numFmtId="176" fontId="72" fillId="0" borderId="13" xfId="94" applyNumberFormat="1" applyFont="1" applyBorder="1" applyAlignment="1">
      <alignment horizontal="center" vertical="center"/>
    </xf>
    <xf numFmtId="176" fontId="72" fillId="0" borderId="0" xfId="39" applyNumberFormat="1" applyFont="1"/>
    <xf numFmtId="9" fontId="72" fillId="0" borderId="16" xfId="104" applyFont="1" applyBorder="1"/>
    <xf numFmtId="43" fontId="72" fillId="0" borderId="15" xfId="94" applyFont="1" applyFill="1" applyBorder="1" applyAlignment="1">
      <alignment horizontal="center" vertical="center"/>
    </xf>
    <xf numFmtId="49" fontId="96" fillId="0" borderId="15" xfId="39" applyNumberFormat="1" applyFont="1" applyBorder="1" applyAlignment="1">
      <alignment horizontal="center" vertical="center"/>
    </xf>
    <xf numFmtId="176" fontId="72" fillId="0" borderId="15" xfId="94" applyNumberFormat="1" applyFont="1" applyFill="1" applyBorder="1" applyAlignment="1">
      <alignment horizontal="center" vertical="center"/>
    </xf>
    <xf numFmtId="176" fontId="72" fillId="0" borderId="15" xfId="94" applyNumberFormat="1" applyFont="1" applyBorder="1" applyAlignment="1">
      <alignment horizontal="center" vertical="center"/>
    </xf>
    <xf numFmtId="0" fontId="96" fillId="0" borderId="15" xfId="9" applyFont="1" applyBorder="1" applyAlignment="1">
      <alignment horizontal="center" vertical="center" wrapText="1"/>
    </xf>
    <xf numFmtId="176" fontId="96" fillId="0" borderId="15" xfId="94" applyNumberFormat="1" applyFont="1" applyFill="1" applyBorder="1" applyAlignment="1">
      <alignment horizontal="center" vertical="center" wrapText="1"/>
    </xf>
    <xf numFmtId="43" fontId="72" fillId="0" borderId="37" xfId="94" applyFont="1" applyFill="1" applyBorder="1" applyAlignment="1">
      <alignment horizontal="center" vertical="center"/>
    </xf>
    <xf numFmtId="49" fontId="96" fillId="0" borderId="37" xfId="39" applyNumberFormat="1" applyFont="1" applyBorder="1" applyAlignment="1">
      <alignment horizontal="center" vertical="center"/>
    </xf>
    <xf numFmtId="176" fontId="72" fillId="0" borderId="37" xfId="94" applyNumberFormat="1" applyFont="1" applyFill="1" applyBorder="1" applyAlignment="1">
      <alignment horizontal="center" vertical="center"/>
    </xf>
    <xf numFmtId="176" fontId="72" fillId="0" borderId="20" xfId="94" applyNumberFormat="1" applyFont="1" applyBorder="1" applyAlignment="1">
      <alignment horizontal="center" vertical="center"/>
    </xf>
    <xf numFmtId="176" fontId="97" fillId="19" borderId="7" xfId="94" applyNumberFormat="1" applyFont="1" applyFill="1" applyBorder="1" applyAlignment="1">
      <alignment horizontal="center" vertical="center"/>
    </xf>
    <xf numFmtId="176" fontId="97" fillId="22" borderId="7" xfId="94" applyNumberFormat="1" applyFont="1" applyFill="1" applyBorder="1" applyAlignment="1">
      <alignment horizontal="center" vertical="center"/>
    </xf>
    <xf numFmtId="0" fontId="96" fillId="0" borderId="19" xfId="94" applyNumberFormat="1" applyFont="1" applyBorder="1" applyAlignment="1">
      <alignment horizontal="left"/>
    </xf>
    <xf numFmtId="49" fontId="96" fillId="0" borderId="15" xfId="15" applyNumberFormat="1" applyFont="1" applyBorder="1" applyAlignment="1">
      <alignment horizontal="center" vertical="center"/>
    </xf>
    <xf numFmtId="176" fontId="96" fillId="0" borderId="15" xfId="94" applyNumberFormat="1" applyFont="1" applyFill="1" applyBorder="1" applyAlignment="1">
      <alignment horizontal="center" vertical="center"/>
    </xf>
    <xf numFmtId="176" fontId="72" fillId="0" borderId="16" xfId="94" applyNumberFormat="1" applyFont="1" applyBorder="1" applyAlignment="1">
      <alignment horizontal="center" vertical="center"/>
    </xf>
    <xf numFmtId="9" fontId="72" fillId="0" borderId="16" xfId="104" applyFont="1" applyFill="1" applyBorder="1"/>
    <xf numFmtId="0" fontId="96" fillId="0" borderId="15" xfId="94" applyNumberFormat="1" applyFont="1" applyBorder="1" applyAlignment="1">
      <alignment horizontal="left"/>
    </xf>
    <xf numFmtId="0" fontId="96" fillId="0" borderId="20" xfId="94" applyNumberFormat="1" applyFont="1" applyBorder="1" applyAlignment="1">
      <alignment horizontal="left"/>
    </xf>
    <xf numFmtId="49" fontId="96" fillId="0" borderId="20" xfId="15" applyNumberFormat="1" applyFont="1" applyBorder="1" applyAlignment="1">
      <alignment horizontal="center" vertical="center"/>
    </xf>
    <xf numFmtId="176" fontId="96" fillId="0" borderId="20" xfId="94" applyNumberFormat="1" applyFont="1" applyFill="1" applyBorder="1" applyAlignment="1">
      <alignment horizontal="center" vertical="center"/>
    </xf>
    <xf numFmtId="176" fontId="96" fillId="0" borderId="37" xfId="94" applyNumberFormat="1" applyFont="1" applyFill="1" applyBorder="1" applyAlignment="1">
      <alignment horizontal="center" vertical="center"/>
    </xf>
    <xf numFmtId="0" fontId="96" fillId="0" borderId="13" xfId="94" applyNumberFormat="1" applyFont="1" applyFill="1" applyBorder="1" applyAlignment="1">
      <alignment horizontal="left" vertical="center"/>
    </xf>
    <xf numFmtId="43" fontId="72" fillId="0" borderId="16" xfId="94" applyFont="1" applyFill="1" applyBorder="1" applyAlignment="1">
      <alignment horizontal="center" vertical="center"/>
    </xf>
    <xf numFmtId="0" fontId="96" fillId="0" borderId="16" xfId="94" applyNumberFormat="1" applyFont="1" applyFill="1" applyBorder="1" applyAlignment="1">
      <alignment horizontal="left" vertical="center"/>
    </xf>
    <xf numFmtId="49" fontId="96" fillId="0" borderId="16" xfId="39" applyNumberFormat="1" applyFont="1" applyBorder="1" applyAlignment="1">
      <alignment horizontal="center" vertical="center"/>
    </xf>
    <xf numFmtId="176" fontId="72" fillId="0" borderId="16" xfId="94" applyNumberFormat="1" applyFont="1" applyFill="1" applyBorder="1" applyAlignment="1">
      <alignment horizontal="center" vertical="center"/>
    </xf>
    <xf numFmtId="0" fontId="96" fillId="0" borderId="15" xfId="94" applyNumberFormat="1" applyFont="1" applyBorder="1" applyAlignment="1">
      <alignment horizontal="left" vertical="center"/>
    </xf>
    <xf numFmtId="43" fontId="72" fillId="0" borderId="15" xfId="89" applyFont="1" applyFill="1" applyBorder="1" applyAlignment="1">
      <alignment horizontal="center" vertical="center"/>
    </xf>
    <xf numFmtId="176" fontId="98" fillId="0" borderId="0" xfId="94" applyNumberFormat="1" applyFont="1" applyFill="1" applyAlignment="1">
      <alignment horizontal="center" vertical="center"/>
    </xf>
    <xf numFmtId="43" fontId="72" fillId="0" borderId="0" xfId="89" applyFont="1" applyFill="1"/>
    <xf numFmtId="43" fontId="72" fillId="0" borderId="0" xfId="89" applyFont="1"/>
    <xf numFmtId="0" fontId="96" fillId="0" borderId="20" xfId="94" applyNumberFormat="1" applyFont="1" applyBorder="1" applyAlignment="1">
      <alignment horizontal="left" vertical="center"/>
    </xf>
    <xf numFmtId="43" fontId="72" fillId="0" borderId="20" xfId="89" applyFont="1" applyFill="1" applyBorder="1" applyAlignment="1">
      <alignment horizontal="center" vertical="center"/>
    </xf>
    <xf numFmtId="176" fontId="72" fillId="0" borderId="20" xfId="94" applyNumberFormat="1" applyFont="1" applyFill="1" applyBorder="1" applyAlignment="1">
      <alignment horizontal="center" vertical="center"/>
    </xf>
    <xf numFmtId="0" fontId="96" fillId="0" borderId="37" xfId="94" applyNumberFormat="1" applyFont="1" applyBorder="1" applyAlignment="1">
      <alignment horizontal="left" vertical="center"/>
    </xf>
    <xf numFmtId="43" fontId="72" fillId="0" borderId="37" xfId="89" applyFont="1" applyFill="1" applyBorder="1" applyAlignment="1">
      <alignment horizontal="center" vertical="center"/>
    </xf>
    <xf numFmtId="49" fontId="96" fillId="0" borderId="13" xfId="15" applyNumberFormat="1" applyFont="1" applyBorder="1" applyAlignment="1">
      <alignment horizontal="center" vertical="center"/>
    </xf>
    <xf numFmtId="176" fontId="96" fillId="0" borderId="13" xfId="94" applyNumberFormat="1" applyFont="1" applyFill="1" applyBorder="1" applyAlignment="1">
      <alignment horizontal="center" vertical="center"/>
    </xf>
    <xf numFmtId="176" fontId="97" fillId="0" borderId="38" xfId="94" applyNumberFormat="1" applyFont="1" applyFill="1" applyBorder="1" applyAlignment="1">
      <alignment horizontal="center" vertical="center" wrapText="1"/>
    </xf>
    <xf numFmtId="0" fontId="96" fillId="0" borderId="0" xfId="39" applyFont="1"/>
    <xf numFmtId="49" fontId="96" fillId="0" borderId="37" xfId="15" applyNumberFormat="1" applyFont="1" applyBorder="1" applyAlignment="1">
      <alignment horizontal="center" vertical="center"/>
    </xf>
    <xf numFmtId="176" fontId="97" fillId="0" borderId="10" xfId="94" applyNumberFormat="1" applyFont="1" applyFill="1" applyBorder="1" applyAlignment="1">
      <alignment horizontal="center" vertical="center" wrapText="1"/>
    </xf>
    <xf numFmtId="0" fontId="96" fillId="0" borderId="4" xfId="39" applyFont="1" applyBorder="1"/>
    <xf numFmtId="170" fontId="98" fillId="0" borderId="7" xfId="103" applyNumberFormat="1" applyFont="1" applyBorder="1"/>
    <xf numFmtId="0" fontId="72" fillId="0" borderId="5" xfId="35" applyFont="1" applyBorder="1"/>
    <xf numFmtId="176" fontId="97" fillId="0" borderId="0" xfId="94" applyNumberFormat="1" applyFont="1" applyFill="1" applyBorder="1" applyAlignment="1">
      <alignment horizontal="center" vertical="center" wrapText="1"/>
    </xf>
    <xf numFmtId="165" fontId="97" fillId="0" borderId="0" xfId="91" applyFont="1" applyFill="1" applyBorder="1" applyAlignment="1">
      <alignment horizontal="center" vertical="center" wrapText="1"/>
    </xf>
    <xf numFmtId="170" fontId="96" fillId="0" borderId="34" xfId="88" applyNumberFormat="1" applyFont="1" applyFill="1" applyBorder="1" applyAlignment="1">
      <alignment horizontal="center" vertical="center" wrapText="1"/>
    </xf>
    <xf numFmtId="43" fontId="96" fillId="0" borderId="34" xfId="88" applyFont="1" applyFill="1" applyBorder="1" applyAlignment="1">
      <alignment horizontal="center" vertical="center" wrapText="1"/>
    </xf>
    <xf numFmtId="176" fontId="97" fillId="0" borderId="0" xfId="94" applyNumberFormat="1" applyFont="1" applyAlignment="1">
      <alignment horizontal="center" vertical="center"/>
    </xf>
    <xf numFmtId="43" fontId="96" fillId="0" borderId="15" xfId="89" applyFont="1" applyFill="1" applyBorder="1" applyAlignment="1">
      <alignment horizontal="center" vertical="center"/>
    </xf>
    <xf numFmtId="43" fontId="96" fillId="0" borderId="15" xfId="94" applyFont="1" applyFill="1" applyBorder="1" applyAlignment="1">
      <alignment horizontal="center" vertical="center"/>
    </xf>
    <xf numFmtId="43" fontId="96" fillId="0" borderId="37" xfId="89" applyFont="1" applyFill="1" applyBorder="1" applyAlignment="1">
      <alignment horizontal="center" vertical="center"/>
    </xf>
    <xf numFmtId="176" fontId="97" fillId="0" borderId="39" xfId="94" applyNumberFormat="1" applyFont="1" applyFill="1" applyBorder="1" applyAlignment="1">
      <alignment horizontal="center" vertical="center" wrapText="1"/>
    </xf>
    <xf numFmtId="0" fontId="96" fillId="2" borderId="15" xfId="94" applyNumberFormat="1" applyFont="1" applyFill="1" applyBorder="1" applyAlignment="1">
      <alignment vertical="top"/>
    </xf>
    <xf numFmtId="43" fontId="96" fillId="0" borderId="15" xfId="94" applyFont="1" applyFill="1" applyBorder="1" applyAlignment="1">
      <alignment horizontal="center" vertical="center" wrapText="1"/>
    </xf>
    <xf numFmtId="43" fontId="96" fillId="0" borderId="37" xfId="94" applyFont="1" applyFill="1" applyBorder="1" applyAlignment="1">
      <alignment horizontal="center" vertical="center" wrapText="1"/>
    </xf>
    <xf numFmtId="0" fontId="96" fillId="0" borderId="15" xfId="94" applyNumberFormat="1" applyFont="1" applyBorder="1" applyAlignment="1">
      <alignment vertical="top"/>
    </xf>
    <xf numFmtId="0" fontId="96" fillId="0" borderId="13" xfId="39" applyFont="1" applyBorder="1" applyAlignment="1">
      <alignment horizontal="center" vertical="center"/>
    </xf>
    <xf numFmtId="9" fontId="72" fillId="0" borderId="0" xfId="78" applyFont="1" applyBorder="1"/>
    <xf numFmtId="0" fontId="96" fillId="0" borderId="16" xfId="39" applyFont="1" applyBorder="1" applyAlignment="1">
      <alignment horizontal="center" vertical="center"/>
    </xf>
    <xf numFmtId="176" fontId="96" fillId="0" borderId="16" xfId="94" applyNumberFormat="1" applyFont="1" applyFill="1" applyBorder="1" applyAlignment="1">
      <alignment horizontal="center" vertical="center"/>
    </xf>
    <xf numFmtId="0" fontId="96" fillId="0" borderId="15" xfId="39" applyFont="1" applyBorder="1" applyAlignment="1">
      <alignment horizontal="center" vertical="center"/>
    </xf>
    <xf numFmtId="43" fontId="96" fillId="0" borderId="37" xfId="94" applyFont="1" applyFill="1" applyBorder="1" applyAlignment="1">
      <alignment horizontal="center" vertical="center"/>
    </xf>
    <xf numFmtId="0" fontId="96" fillId="0" borderId="37" xfId="9" applyFont="1" applyBorder="1" applyAlignment="1">
      <alignment horizontal="center" vertical="center" wrapText="1"/>
    </xf>
    <xf numFmtId="176" fontId="96" fillId="0" borderId="37" xfId="94" applyNumberFormat="1" applyFont="1" applyFill="1" applyBorder="1" applyAlignment="1">
      <alignment horizontal="center" vertical="center" wrapText="1"/>
    </xf>
    <xf numFmtId="0" fontId="72" fillId="0" borderId="13" xfId="39" applyFont="1" applyBorder="1" applyAlignment="1">
      <alignment horizontal="center" vertical="center"/>
    </xf>
    <xf numFmtId="0" fontId="72" fillId="0" borderId="15" xfId="39" applyFont="1" applyBorder="1" applyAlignment="1">
      <alignment horizontal="center" vertical="center"/>
    </xf>
    <xf numFmtId="176" fontId="98" fillId="0" borderId="0" xfId="94" applyNumberFormat="1" applyFont="1" applyBorder="1" applyAlignment="1">
      <alignment horizontal="center" vertical="center"/>
    </xf>
    <xf numFmtId="0" fontId="96" fillId="0" borderId="37" xfId="39" applyFont="1" applyBorder="1" applyAlignment="1">
      <alignment horizontal="center" vertical="center"/>
    </xf>
    <xf numFmtId="0" fontId="96" fillId="0" borderId="16" xfId="94" applyNumberFormat="1" applyFont="1" applyBorder="1" applyAlignment="1">
      <alignment vertical="top"/>
    </xf>
    <xf numFmtId="0" fontId="72" fillId="0" borderId="37" xfId="39" applyFont="1" applyBorder="1" applyAlignment="1">
      <alignment horizontal="center" vertical="center"/>
    </xf>
    <xf numFmtId="0" fontId="96" fillId="0" borderId="37" xfId="94" applyNumberFormat="1" applyFont="1" applyBorder="1" applyAlignment="1">
      <alignment vertical="center"/>
    </xf>
    <xf numFmtId="0" fontId="97" fillId="0" borderId="4" xfId="94" applyNumberFormat="1" applyFont="1" applyBorder="1" applyAlignment="1">
      <alignment vertical="center"/>
    </xf>
    <xf numFmtId="176" fontId="96" fillId="0" borderId="5" xfId="94" applyNumberFormat="1" applyFont="1" applyFill="1" applyBorder="1" applyAlignment="1">
      <alignment horizontal="center" vertical="center" wrapText="1"/>
    </xf>
    <xf numFmtId="176" fontId="72" fillId="0" borderId="36" xfId="94" applyNumberFormat="1" applyFont="1" applyBorder="1" applyAlignment="1">
      <alignment horizontal="center" vertical="center"/>
    </xf>
    <xf numFmtId="176" fontId="72" fillId="0" borderId="6" xfId="94" applyNumberFormat="1" applyFont="1" applyBorder="1" applyAlignment="1">
      <alignment horizontal="center" vertical="center"/>
    </xf>
    <xf numFmtId="0" fontId="96" fillId="0" borderId="13" xfId="105" applyFont="1" applyBorder="1" applyAlignment="1">
      <alignment horizontal="center" vertical="center"/>
    </xf>
    <xf numFmtId="0" fontId="96" fillId="0" borderId="15" xfId="105" applyFont="1" applyBorder="1" applyAlignment="1">
      <alignment horizontal="center" vertical="center"/>
    </xf>
    <xf numFmtId="43" fontId="96" fillId="0" borderId="13" xfId="94" applyFont="1" applyFill="1" applyBorder="1" applyAlignment="1">
      <alignment horizontal="center" vertical="center"/>
    </xf>
    <xf numFmtId="43" fontId="96" fillId="0" borderId="13" xfId="94" applyFont="1" applyFill="1" applyBorder="1" applyAlignment="1">
      <alignment vertical="center"/>
    </xf>
    <xf numFmtId="0" fontId="96" fillId="0" borderId="13" xfId="101" applyFont="1" applyBorder="1" applyAlignment="1">
      <alignment horizontal="center" vertical="center"/>
    </xf>
    <xf numFmtId="176" fontId="96" fillId="0" borderId="13" xfId="94" applyNumberFormat="1" applyFont="1" applyBorder="1" applyAlignment="1">
      <alignment horizontal="center" vertical="center"/>
    </xf>
    <xf numFmtId="43" fontId="96" fillId="0" borderId="15" xfId="94" applyFont="1" applyFill="1" applyBorder="1" applyAlignment="1">
      <alignment vertical="center"/>
    </xf>
    <xf numFmtId="0" fontId="96" fillId="0" borderId="15" xfId="101" applyFont="1" applyBorder="1" applyAlignment="1">
      <alignment horizontal="center" vertical="center"/>
    </xf>
    <xf numFmtId="176" fontId="96" fillId="0" borderId="15" xfId="94" applyNumberFormat="1" applyFont="1" applyBorder="1" applyAlignment="1">
      <alignment horizontal="center" vertical="center"/>
    </xf>
    <xf numFmtId="43" fontId="96" fillId="0" borderId="15" xfId="94" applyFont="1" applyFill="1" applyBorder="1" applyAlignment="1">
      <alignment vertical="center" wrapText="1"/>
    </xf>
    <xf numFmtId="176" fontId="72" fillId="0" borderId="0" xfId="94" applyNumberFormat="1" applyFont="1"/>
    <xf numFmtId="9" fontId="72" fillId="0" borderId="16" xfId="104" applyFont="1" applyBorder="1" applyAlignment="1">
      <alignment vertical="center"/>
    </xf>
    <xf numFmtId="0" fontId="96" fillId="0" borderId="37" xfId="101" applyFont="1" applyBorder="1" applyAlignment="1">
      <alignment horizontal="center" vertical="center"/>
    </xf>
    <xf numFmtId="176" fontId="96" fillId="0" borderId="37" xfId="94" applyNumberFormat="1" applyFont="1" applyBorder="1" applyAlignment="1">
      <alignment horizontal="center" vertical="center"/>
    </xf>
    <xf numFmtId="176" fontId="72" fillId="0" borderId="4" xfId="94" applyNumberFormat="1" applyFont="1" applyBorder="1" applyAlignment="1">
      <alignment horizontal="center" vertical="center"/>
    </xf>
    <xf numFmtId="176" fontId="72" fillId="0" borderId="5" xfId="94" applyNumberFormat="1" applyFont="1" applyBorder="1" applyAlignment="1">
      <alignment horizontal="center" vertical="center"/>
    </xf>
    <xf numFmtId="0" fontId="72" fillId="0" borderId="5" xfId="39" applyFont="1" applyBorder="1"/>
    <xf numFmtId="0" fontId="96" fillId="0" borderId="13" xfId="9" applyFont="1" applyBorder="1" applyAlignment="1">
      <alignment horizontal="center" vertical="center" wrapText="1"/>
    </xf>
    <xf numFmtId="176" fontId="96" fillId="0" borderId="13" xfId="94" applyNumberFormat="1" applyFont="1" applyFill="1" applyBorder="1" applyAlignment="1">
      <alignment horizontal="center" vertical="center" wrapText="1"/>
    </xf>
    <xf numFmtId="43" fontId="72" fillId="0" borderId="35" xfId="94" applyFont="1" applyFill="1" applyBorder="1" applyAlignment="1">
      <alignment horizontal="center" vertical="center"/>
    </xf>
    <xf numFmtId="43" fontId="96" fillId="0" borderId="13" xfId="94" applyFont="1" applyFill="1" applyBorder="1" applyAlignment="1">
      <alignment horizontal="center" vertical="center" wrapText="1"/>
    </xf>
    <xf numFmtId="0" fontId="72" fillId="0" borderId="15" xfId="94" applyNumberFormat="1" applyFont="1" applyBorder="1" applyAlignment="1"/>
    <xf numFmtId="43" fontId="96" fillId="5" borderId="15" xfId="94" applyFont="1" applyFill="1" applyBorder="1" applyAlignment="1">
      <alignment horizontal="center" vertical="center" wrapText="1"/>
    </xf>
    <xf numFmtId="9" fontId="72" fillId="0" borderId="0" xfId="104" applyFont="1" applyBorder="1"/>
    <xf numFmtId="2" fontId="72" fillId="0" borderId="15" xfId="94" applyNumberFormat="1" applyFont="1" applyFill="1" applyBorder="1" applyAlignment="1">
      <alignment horizontal="center" vertical="center"/>
    </xf>
    <xf numFmtId="2" fontId="96" fillId="0" borderId="15" xfId="94" applyNumberFormat="1" applyFont="1" applyFill="1" applyBorder="1" applyAlignment="1">
      <alignment horizontal="center" vertical="center" wrapText="1"/>
    </xf>
    <xf numFmtId="0" fontId="72" fillId="0" borderId="16" xfId="39" applyFont="1" applyBorder="1" applyAlignment="1">
      <alignment horizontal="center" vertical="center"/>
    </xf>
    <xf numFmtId="43" fontId="96" fillId="0" borderId="7" xfId="94" applyFont="1" applyFill="1" applyBorder="1" applyAlignment="1">
      <alignment horizontal="center" vertical="center"/>
    </xf>
    <xf numFmtId="49" fontId="96" fillId="0" borderId="7" xfId="15" applyNumberFormat="1" applyFont="1" applyBorder="1" applyAlignment="1">
      <alignment horizontal="center" vertical="center"/>
    </xf>
    <xf numFmtId="176" fontId="96" fillId="0" borderId="7" xfId="94" applyNumberFormat="1" applyFont="1" applyFill="1" applyBorder="1" applyAlignment="1">
      <alignment horizontal="center" vertical="center"/>
    </xf>
    <xf numFmtId="9" fontId="98" fillId="0" borderId="0" xfId="92" applyFont="1" applyFill="1" applyAlignment="1">
      <alignment horizontal="center" vertical="center"/>
    </xf>
    <xf numFmtId="43" fontId="72" fillId="0" borderId="4" xfId="89" applyFont="1" applyFill="1" applyBorder="1"/>
    <xf numFmtId="170" fontId="72" fillId="0" borderId="7" xfId="103" applyNumberFormat="1" applyFont="1" applyBorder="1"/>
    <xf numFmtId="43" fontId="97" fillId="0" borderId="39" xfId="94" applyFont="1" applyFill="1" applyBorder="1" applyAlignment="1">
      <alignment horizontal="center" vertical="center" wrapText="1"/>
    </xf>
    <xf numFmtId="43" fontId="96" fillId="0" borderId="39" xfId="89" applyFont="1" applyFill="1" applyBorder="1" applyAlignment="1">
      <alignment horizontal="center" vertical="center" wrapText="1"/>
    </xf>
    <xf numFmtId="176" fontId="96" fillId="0" borderId="39" xfId="94" applyNumberFormat="1" applyFont="1" applyFill="1" applyBorder="1" applyAlignment="1">
      <alignment horizontal="center" vertical="center" wrapText="1"/>
    </xf>
    <xf numFmtId="176" fontId="72" fillId="0" borderId="39" xfId="94" applyNumberFormat="1" applyFont="1" applyBorder="1" applyAlignment="1">
      <alignment horizontal="center" vertical="center"/>
    </xf>
    <xf numFmtId="43" fontId="72" fillId="0" borderId="0" xfId="94" applyFont="1" applyFill="1" applyBorder="1" applyAlignment="1">
      <alignment horizontal="center" vertical="center"/>
    </xf>
    <xf numFmtId="0" fontId="98" fillId="5" borderId="0" xfId="106" applyFont="1" applyFill="1" applyAlignment="1">
      <alignment horizontal="center"/>
    </xf>
    <xf numFmtId="0" fontId="98" fillId="0" borderId="0" xfId="106" applyFont="1" applyAlignment="1">
      <alignment horizontal="center"/>
    </xf>
    <xf numFmtId="43" fontId="96" fillId="0" borderId="4" xfId="94" applyFont="1" applyFill="1" applyBorder="1" applyAlignment="1">
      <alignment horizontal="center" vertical="center" wrapText="1"/>
    </xf>
    <xf numFmtId="170" fontId="98" fillId="0" borderId="5" xfId="106" applyNumberFormat="1" applyFont="1" applyBorder="1"/>
    <xf numFmtId="0" fontId="72" fillId="0" borderId="0" xfId="106" applyFont="1"/>
    <xf numFmtId="176" fontId="72" fillId="5" borderId="0" xfId="94" applyNumberFormat="1" applyFont="1" applyFill="1" applyBorder="1"/>
    <xf numFmtId="176" fontId="72" fillId="0" borderId="0" xfId="94" applyNumberFormat="1" applyFont="1" applyBorder="1"/>
    <xf numFmtId="166" fontId="72" fillId="0" borderId="0" xfId="103" applyFont="1" applyBorder="1"/>
    <xf numFmtId="9" fontId="72" fillId="0" borderId="0" xfId="107" applyFont="1" applyFill="1"/>
    <xf numFmtId="176" fontId="72" fillId="0" borderId="0" xfId="89" applyNumberFormat="1" applyFont="1" applyFill="1"/>
    <xf numFmtId="176" fontId="72" fillId="0" borderId="0" xfId="106" applyNumberFormat="1" applyFont="1"/>
    <xf numFmtId="0" fontId="98" fillId="0" borderId="4" xfId="106" applyFont="1" applyBorder="1" applyAlignment="1">
      <alignment vertical="center"/>
    </xf>
    <xf numFmtId="0" fontId="98" fillId="0" borderId="4" xfId="106" applyFont="1" applyBorder="1" applyAlignment="1">
      <alignment horizontal="center"/>
    </xf>
    <xf numFmtId="43" fontId="98" fillId="0" borderId="4" xfId="94" applyFont="1" applyBorder="1"/>
    <xf numFmtId="176" fontId="98" fillId="0" borderId="4" xfId="94" applyNumberFormat="1" applyFont="1" applyBorder="1" applyAlignment="1"/>
    <xf numFmtId="176" fontId="98" fillId="0" borderId="4" xfId="94" applyNumberFormat="1" applyFont="1" applyFill="1" applyBorder="1" applyAlignment="1"/>
    <xf numFmtId="176" fontId="98" fillId="0" borderId="5" xfId="94" applyNumberFormat="1" applyFont="1" applyFill="1" applyBorder="1" applyAlignment="1"/>
    <xf numFmtId="43" fontId="72" fillId="0" borderId="0" xfId="108" applyFont="1" applyFill="1"/>
    <xf numFmtId="176" fontId="72" fillId="6" borderId="0" xfId="94" applyNumberFormat="1" applyFont="1" applyFill="1" applyBorder="1"/>
    <xf numFmtId="9" fontId="72" fillId="0" borderId="0" xfId="40" applyFont="1"/>
    <xf numFmtId="176" fontId="72" fillId="0" borderId="0" xfId="94" applyNumberFormat="1" applyFont="1" applyFill="1"/>
    <xf numFmtId="9" fontId="98" fillId="0" borderId="0" xfId="92" applyFont="1" applyAlignment="1">
      <alignment horizontal="center" vertical="center"/>
    </xf>
    <xf numFmtId="166" fontId="72" fillId="0" borderId="0" xfId="39" applyNumberFormat="1" applyFont="1"/>
    <xf numFmtId="0" fontId="72" fillId="0" borderId="0" xfId="94" applyNumberFormat="1" applyFont="1" applyAlignment="1"/>
    <xf numFmtId="0" fontId="96" fillId="0" borderId="0" xfId="94" applyNumberFormat="1" applyFont="1" applyAlignment="1">
      <alignment vertical="center"/>
    </xf>
    <xf numFmtId="0" fontId="97" fillId="0" borderId="5" xfId="94" applyNumberFormat="1" applyFont="1" applyBorder="1" applyAlignment="1">
      <alignment horizontal="center" vertical="center"/>
    </xf>
    <xf numFmtId="0" fontId="96" fillId="0" borderId="13" xfId="94" applyNumberFormat="1" applyFont="1" applyBorder="1" applyAlignment="1">
      <alignment vertical="top"/>
    </xf>
    <xf numFmtId="0" fontId="96" fillId="0" borderId="37" xfId="94" applyNumberFormat="1" applyFont="1" applyBorder="1" applyAlignment="1">
      <alignment vertical="top"/>
    </xf>
    <xf numFmtId="0" fontId="96" fillId="0" borderId="19" xfId="94" applyNumberFormat="1" applyFont="1" applyBorder="1" applyAlignment="1">
      <alignment vertical="top"/>
    </xf>
    <xf numFmtId="0" fontId="72" fillId="0" borderId="15" xfId="94" applyNumberFormat="1" applyFont="1" applyBorder="1" applyAlignment="1">
      <alignment vertical="center"/>
    </xf>
    <xf numFmtId="176" fontId="97" fillId="0" borderId="0" xfId="94" applyNumberFormat="1" applyFont="1" applyFill="1" applyBorder="1" applyAlignment="1">
      <alignment horizontal="center" vertical="center"/>
    </xf>
    <xf numFmtId="0" fontId="96" fillId="0" borderId="15" xfId="94" applyNumberFormat="1" applyFont="1" applyBorder="1" applyAlignment="1">
      <alignment vertical="center"/>
    </xf>
    <xf numFmtId="0" fontId="96" fillId="2" borderId="13" xfId="94" applyNumberFormat="1" applyFont="1" applyFill="1" applyBorder="1" applyAlignment="1">
      <alignment vertical="top"/>
    </xf>
    <xf numFmtId="0" fontId="96" fillId="0" borderId="15" xfId="94" applyNumberFormat="1" applyFont="1" applyBorder="1" applyAlignment="1">
      <alignment horizontal="left" vertical="top"/>
    </xf>
    <xf numFmtId="0" fontId="96" fillId="0" borderId="13" xfId="94" applyNumberFormat="1" applyFont="1" applyBorder="1" applyAlignment="1"/>
    <xf numFmtId="0" fontId="96" fillId="0" borderId="15" xfId="94" applyNumberFormat="1" applyFont="1" applyBorder="1" applyAlignment="1"/>
    <xf numFmtId="0" fontId="96" fillId="0" borderId="13" xfId="94" applyNumberFormat="1" applyFont="1" applyBorder="1" applyAlignment="1">
      <alignment horizontal="left" vertical="center"/>
    </xf>
    <xf numFmtId="0" fontId="96" fillId="0" borderId="37" xfId="94" applyNumberFormat="1" applyFont="1" applyFill="1" applyBorder="1" applyAlignment="1">
      <alignment horizontal="left" vertical="center"/>
    </xf>
    <xf numFmtId="0" fontId="72" fillId="0" borderId="13" xfId="94" applyNumberFormat="1" applyFont="1" applyBorder="1" applyAlignment="1">
      <alignment vertical="center"/>
    </xf>
    <xf numFmtId="0" fontId="72" fillId="0" borderId="37" xfId="94" applyNumberFormat="1" applyFont="1" applyBorder="1" applyAlignment="1">
      <alignment vertical="center"/>
    </xf>
    <xf numFmtId="0" fontId="98" fillId="0" borderId="34" xfId="94" applyNumberFormat="1" applyFont="1" applyBorder="1" applyAlignment="1">
      <alignment vertical="center"/>
    </xf>
    <xf numFmtId="0" fontId="72" fillId="0" borderId="13" xfId="94" applyNumberFormat="1" applyFont="1" applyBorder="1" applyAlignment="1"/>
    <xf numFmtId="0" fontId="72" fillId="0" borderId="37" xfId="94" applyNumberFormat="1" applyFont="1" applyBorder="1" applyAlignment="1"/>
    <xf numFmtId="0" fontId="96" fillId="0" borderId="7" xfId="94" applyNumberFormat="1" applyFont="1" applyBorder="1" applyAlignment="1">
      <alignment vertical="top"/>
    </xf>
    <xf numFmtId="0" fontId="98" fillId="0" borderId="39" xfId="94" applyNumberFormat="1" applyFont="1" applyFill="1" applyBorder="1" applyAlignment="1">
      <alignment vertical="center"/>
    </xf>
    <xf numFmtId="0" fontId="72" fillId="0" borderId="0" xfId="94" applyNumberFormat="1" applyFont="1" applyBorder="1" applyAlignment="1"/>
    <xf numFmtId="0" fontId="102" fillId="0" borderId="0" xfId="39" applyFont="1" applyAlignment="1">
      <alignment horizontal="left"/>
    </xf>
    <xf numFmtId="0" fontId="102" fillId="0" borderId="0" xfId="9" applyFont="1" applyAlignment="1">
      <alignment horizontal="left" vertical="center" wrapText="1"/>
    </xf>
    <xf numFmtId="43" fontId="103" fillId="0" borderId="3" xfId="94" applyFont="1" applyFill="1" applyBorder="1" applyAlignment="1">
      <alignment horizontal="left" vertical="center" wrapText="1"/>
    </xf>
    <xf numFmtId="43" fontId="103" fillId="0" borderId="3" xfId="94" applyFont="1" applyFill="1" applyBorder="1" applyAlignment="1">
      <alignment horizontal="left" vertical="center"/>
    </xf>
    <xf numFmtId="43" fontId="102" fillId="0" borderId="13" xfId="94" applyFont="1" applyFill="1" applyBorder="1" applyAlignment="1">
      <alignment horizontal="left" vertical="center"/>
    </xf>
    <xf numFmtId="43" fontId="102" fillId="0" borderId="15" xfId="94" applyFont="1" applyFill="1" applyBorder="1" applyAlignment="1">
      <alignment horizontal="left" vertical="center"/>
    </xf>
    <xf numFmtId="43" fontId="102" fillId="0" borderId="37" xfId="94" applyFont="1" applyFill="1" applyBorder="1" applyAlignment="1">
      <alignment horizontal="left" vertical="center"/>
    </xf>
    <xf numFmtId="43" fontId="102" fillId="0" borderId="16" xfId="94" applyFont="1" applyFill="1" applyBorder="1" applyAlignment="1">
      <alignment horizontal="left" vertical="center"/>
    </xf>
    <xf numFmtId="176" fontId="103" fillId="0" borderId="0" xfId="94" applyNumberFormat="1" applyFont="1" applyFill="1" applyBorder="1" applyAlignment="1">
      <alignment horizontal="left" vertical="center" wrapText="1"/>
    </xf>
    <xf numFmtId="43" fontId="102" fillId="0" borderId="37" xfId="94" applyFont="1" applyFill="1" applyBorder="1" applyAlignment="1">
      <alignment horizontal="left" vertical="center" wrapText="1"/>
    </xf>
    <xf numFmtId="43" fontId="102" fillId="0" borderId="15" xfId="94" applyFont="1" applyFill="1" applyBorder="1" applyAlignment="1">
      <alignment horizontal="left" vertical="center" wrapText="1"/>
    </xf>
    <xf numFmtId="43" fontId="102" fillId="0" borderId="35" xfId="94" applyFont="1" applyFill="1" applyBorder="1" applyAlignment="1">
      <alignment horizontal="left" vertical="center"/>
    </xf>
    <xf numFmtId="43" fontId="102" fillId="0" borderId="13" xfId="94" applyFont="1" applyFill="1" applyBorder="1" applyAlignment="1">
      <alignment horizontal="left" vertical="center" wrapText="1"/>
    </xf>
    <xf numFmtId="2" fontId="102" fillId="0" borderId="15" xfId="94" applyNumberFormat="1" applyFont="1" applyFill="1" applyBorder="1" applyAlignment="1">
      <alignment horizontal="left" vertical="center"/>
    </xf>
    <xf numFmtId="2" fontId="102" fillId="0" borderId="15" xfId="94" applyNumberFormat="1" applyFont="1" applyFill="1" applyBorder="1" applyAlignment="1">
      <alignment horizontal="left" vertical="center" wrapText="1"/>
    </xf>
    <xf numFmtId="43" fontId="102" fillId="0" borderId="7" xfId="94" applyFont="1" applyFill="1" applyBorder="1" applyAlignment="1">
      <alignment horizontal="left" vertical="center"/>
    </xf>
    <xf numFmtId="43" fontId="103" fillId="0" borderId="39" xfId="94" applyFont="1" applyFill="1" applyBorder="1" applyAlignment="1">
      <alignment horizontal="left" vertical="center" wrapText="1"/>
    </xf>
    <xf numFmtId="43" fontId="102" fillId="0" borderId="0" xfId="94" applyFont="1" applyFill="1" applyBorder="1" applyAlignment="1">
      <alignment horizontal="left" vertical="center"/>
    </xf>
    <xf numFmtId="176" fontId="97" fillId="0" borderId="9" xfId="94" applyNumberFormat="1" applyFont="1" applyFill="1" applyBorder="1" applyAlignment="1">
      <alignment horizontal="center" vertical="center"/>
    </xf>
    <xf numFmtId="176" fontId="72" fillId="0" borderId="37" xfId="94" applyNumberFormat="1" applyFont="1" applyBorder="1" applyAlignment="1">
      <alignment horizontal="center" vertical="center"/>
    </xf>
    <xf numFmtId="176" fontId="96" fillId="0" borderId="36" xfId="94" applyNumberFormat="1" applyFont="1" applyFill="1" applyBorder="1" applyAlignment="1">
      <alignment horizontal="center" vertical="center"/>
    </xf>
    <xf numFmtId="176" fontId="96" fillId="0" borderId="42" xfId="94" applyNumberFormat="1" applyFont="1" applyFill="1" applyBorder="1" applyAlignment="1">
      <alignment horizontal="center" vertical="center"/>
    </xf>
    <xf numFmtId="176" fontId="96" fillId="0" borderId="20" xfId="94" applyNumberFormat="1" applyFont="1" applyFill="1" applyBorder="1" applyAlignment="1">
      <alignment horizontal="center" vertical="center" wrapText="1"/>
    </xf>
    <xf numFmtId="176" fontId="98" fillId="0" borderId="10" xfId="94" applyNumberFormat="1" applyFont="1" applyBorder="1" applyAlignment="1">
      <alignment horizontal="center" vertical="center"/>
    </xf>
    <xf numFmtId="176" fontId="97" fillId="0" borderId="4" xfId="94" applyNumberFormat="1" applyFont="1" applyFill="1" applyBorder="1" applyAlignment="1">
      <alignment horizontal="center" vertical="center" wrapText="1"/>
    </xf>
    <xf numFmtId="176" fontId="96" fillId="0" borderId="20" xfId="94" applyNumberFormat="1" applyFont="1" applyBorder="1" applyAlignment="1">
      <alignment horizontal="center" vertical="center"/>
    </xf>
    <xf numFmtId="176" fontId="96" fillId="0" borderId="16" xfId="94" applyNumberFormat="1" applyFont="1" applyFill="1" applyBorder="1" applyAlignment="1">
      <alignment horizontal="center" vertical="center" wrapText="1"/>
    </xf>
    <xf numFmtId="176" fontId="96" fillId="0" borderId="36" xfId="94" applyNumberFormat="1" applyFont="1" applyFill="1" applyBorder="1" applyAlignment="1">
      <alignment horizontal="center" vertical="center" wrapText="1"/>
    </xf>
    <xf numFmtId="43" fontId="102" fillId="0" borderId="0" xfId="89" applyFont="1" applyFill="1" applyAlignment="1">
      <alignment horizontal="left"/>
    </xf>
    <xf numFmtId="43" fontId="102" fillId="0" borderId="0" xfId="89" applyFont="1" applyAlignment="1">
      <alignment horizontal="left"/>
    </xf>
    <xf numFmtId="0" fontId="102" fillId="0" borderId="0" xfId="106" applyFont="1" applyAlignment="1">
      <alignment horizontal="left"/>
    </xf>
    <xf numFmtId="43" fontId="102" fillId="0" borderId="0" xfId="108" applyFont="1" applyFill="1" applyAlignment="1">
      <alignment horizontal="left"/>
    </xf>
    <xf numFmtId="0" fontId="30" fillId="0" borderId="0" xfId="94" applyNumberFormat="1" applyFont="1" applyAlignment="1"/>
    <xf numFmtId="176" fontId="30" fillId="0" borderId="0" xfId="94" applyNumberFormat="1" applyFont="1" applyAlignment="1"/>
    <xf numFmtId="176" fontId="23" fillId="0" borderId="0" xfId="94" applyNumberFormat="1" applyFont="1" applyFill="1" applyAlignment="1"/>
    <xf numFmtId="176" fontId="87" fillId="0" borderId="0" xfId="94" applyNumberFormat="1" applyFont="1" applyAlignment="1"/>
    <xf numFmtId="176" fontId="30" fillId="0" borderId="0" xfId="94" applyNumberFormat="1" applyFont="1" applyFill="1" applyAlignment="1"/>
    <xf numFmtId="176" fontId="40" fillId="0" borderId="0" xfId="94" applyNumberFormat="1" applyFont="1" applyAlignment="1"/>
    <xf numFmtId="176" fontId="52" fillId="0" borderId="7" xfId="94" applyNumberFormat="1" applyFont="1" applyBorder="1" applyAlignment="1">
      <alignment horizontal="center" vertical="center"/>
    </xf>
    <xf numFmtId="0" fontId="30" fillId="0" borderId="0" xfId="39" applyFont="1"/>
    <xf numFmtId="43" fontId="52" fillId="18" borderId="7" xfId="94" applyFont="1" applyFill="1" applyBorder="1" applyAlignment="1">
      <alignment horizontal="center" vertical="center"/>
    </xf>
    <xf numFmtId="43" fontId="23" fillId="0" borderId="0" xfId="94" applyFont="1" applyFill="1" applyAlignment="1">
      <alignment horizontal="center" vertical="center"/>
    </xf>
    <xf numFmtId="0" fontId="23" fillId="0" borderId="0" xfId="94" applyNumberFormat="1" applyFont="1" applyAlignment="1">
      <alignment vertical="center"/>
    </xf>
    <xf numFmtId="0" fontId="23" fillId="0" borderId="0" xfId="9" applyFont="1" applyAlignment="1">
      <alignment horizontal="center" vertical="center"/>
    </xf>
    <xf numFmtId="176" fontId="23" fillId="0" borderId="0" xfId="94" applyNumberFormat="1" applyFont="1" applyFill="1" applyBorder="1" applyAlignment="1">
      <alignment horizontal="center" vertical="center"/>
    </xf>
    <xf numFmtId="176" fontId="87" fillId="0" borderId="0" xfId="94" applyNumberFormat="1" applyFont="1" applyFill="1" applyBorder="1" applyAlignment="1">
      <alignment horizontal="center" vertical="center"/>
    </xf>
    <xf numFmtId="176" fontId="23" fillId="0" borderId="0" xfId="94" applyNumberFormat="1" applyFont="1" applyFill="1" applyAlignment="1">
      <alignment vertical="center"/>
    </xf>
    <xf numFmtId="176" fontId="52" fillId="0" borderId="0" xfId="94" applyNumberFormat="1" applyFont="1" applyAlignment="1">
      <alignment vertical="center"/>
    </xf>
    <xf numFmtId="0" fontId="23" fillId="0" borderId="0" xfId="9" applyFont="1" applyAlignment="1">
      <alignment vertical="center"/>
    </xf>
    <xf numFmtId="176" fontId="23" fillId="0" borderId="0" xfId="94" applyNumberFormat="1" applyFont="1" applyAlignment="1">
      <alignment vertical="center"/>
    </xf>
    <xf numFmtId="176" fontId="23" fillId="0" borderId="0" xfId="94" applyNumberFormat="1" applyFont="1" applyBorder="1" applyAlignment="1">
      <alignment horizontal="center"/>
    </xf>
    <xf numFmtId="14" fontId="52" fillId="0" borderId="0" xfId="94" applyNumberFormat="1" applyFont="1" applyFill="1" applyBorder="1" applyAlignment="1">
      <alignment horizontal="center" vertical="center"/>
    </xf>
    <xf numFmtId="176" fontId="52" fillId="0" borderId="3" xfId="94" applyNumberFormat="1" applyFont="1" applyBorder="1" applyAlignment="1">
      <alignment horizontal="center"/>
    </xf>
    <xf numFmtId="176" fontId="52" fillId="0" borderId="4" xfId="94" applyNumberFormat="1" applyFont="1" applyBorder="1" applyAlignment="1">
      <alignment horizontal="center"/>
    </xf>
    <xf numFmtId="176" fontId="52" fillId="0" borderId="5" xfId="94" applyNumberFormat="1" applyFont="1" applyBorder="1" applyAlignment="1">
      <alignment horizontal="center"/>
    </xf>
    <xf numFmtId="176" fontId="87" fillId="0" borderId="0" xfId="94" applyNumberFormat="1" applyFont="1" applyFill="1" applyBorder="1" applyAlignment="1">
      <alignment horizontal="center"/>
    </xf>
    <xf numFmtId="176" fontId="52" fillId="0" borderId="0" xfId="94" applyNumberFormat="1" applyFont="1" applyBorder="1" applyAlignment="1">
      <alignment horizontal="center"/>
    </xf>
    <xf numFmtId="43" fontId="30" fillId="5" borderId="0" xfId="94" applyFont="1" applyFill="1" applyAlignment="1"/>
    <xf numFmtId="0" fontId="23" fillId="0" borderId="34" xfId="9" applyFont="1" applyBorder="1" applyAlignment="1">
      <alignment horizontal="center" vertical="center"/>
    </xf>
    <xf numFmtId="176" fontId="23" fillId="0" borderId="34" xfId="94" applyNumberFormat="1" applyFont="1" applyFill="1" applyBorder="1" applyAlignment="1">
      <alignment horizontal="center" vertical="center"/>
    </xf>
    <xf numFmtId="43" fontId="23" fillId="0" borderId="0" xfId="94" applyFont="1" applyAlignment="1">
      <alignment vertical="center"/>
    </xf>
    <xf numFmtId="0" fontId="52" fillId="0" borderId="5" xfId="94" applyNumberFormat="1" applyFont="1" applyBorder="1" applyAlignment="1">
      <alignment horizontal="center" vertical="center"/>
    </xf>
    <xf numFmtId="0" fontId="52" fillId="0" borderId="5" xfId="9" applyFont="1" applyBorder="1" applyAlignment="1">
      <alignment horizontal="center" vertical="center"/>
    </xf>
    <xf numFmtId="0" fontId="23" fillId="0" borderId="4" xfId="9" applyFont="1" applyBorder="1" applyAlignment="1">
      <alignment horizontal="center" vertical="center"/>
    </xf>
    <xf numFmtId="176" fontId="23" fillId="0" borderId="4" xfId="94" applyNumberFormat="1" applyFont="1" applyFill="1" applyBorder="1" applyAlignment="1">
      <alignment horizontal="center" vertical="center"/>
    </xf>
    <xf numFmtId="176" fontId="23" fillId="0" borderId="4" xfId="94" applyNumberFormat="1" applyFont="1" applyFill="1" applyBorder="1" applyAlignment="1">
      <alignment vertical="center"/>
    </xf>
    <xf numFmtId="9" fontId="30" fillId="0" borderId="0" xfId="78" applyFont="1" applyAlignment="1"/>
    <xf numFmtId="0" fontId="23" fillId="0" borderId="13" xfId="94" applyNumberFormat="1" applyFont="1" applyBorder="1" applyAlignment="1">
      <alignment vertical="top"/>
    </xf>
    <xf numFmtId="176" fontId="23" fillId="11" borderId="13" xfId="94" applyNumberFormat="1" applyFont="1" applyFill="1" applyBorder="1" applyAlignment="1">
      <alignment horizontal="center" vertical="center"/>
    </xf>
    <xf numFmtId="176" fontId="23" fillId="13" borderId="13" xfId="94" applyNumberFormat="1" applyFont="1" applyFill="1" applyBorder="1" applyAlignment="1">
      <alignment horizontal="center" vertical="center"/>
    </xf>
    <xf numFmtId="176" fontId="23" fillId="12" borderId="13" xfId="94" applyNumberFormat="1" applyFont="1" applyFill="1" applyBorder="1" applyAlignment="1">
      <alignment horizontal="center" vertical="center"/>
    </xf>
    <xf numFmtId="176" fontId="89" fillId="0" borderId="15" xfId="94" applyNumberFormat="1" applyFont="1" applyFill="1" applyBorder="1" applyAlignment="1">
      <alignment horizontal="center" vertical="center"/>
    </xf>
    <xf numFmtId="176" fontId="23" fillId="11" borderId="15" xfId="94" applyNumberFormat="1" applyFont="1" applyFill="1" applyBorder="1" applyAlignment="1">
      <alignment horizontal="center" vertical="center"/>
    </xf>
    <xf numFmtId="176" fontId="23" fillId="13" borderId="15" xfId="94" applyNumberFormat="1" applyFont="1" applyFill="1" applyBorder="1" applyAlignment="1">
      <alignment horizontal="center" vertical="center"/>
    </xf>
    <xf numFmtId="176" fontId="23" fillId="12" borderId="15" xfId="94" applyNumberFormat="1" applyFont="1" applyFill="1" applyBorder="1" applyAlignment="1">
      <alignment horizontal="center" vertical="center"/>
    </xf>
    <xf numFmtId="176" fontId="52" fillId="0" borderId="6" xfId="94" applyNumberFormat="1" applyFont="1" applyFill="1" applyBorder="1" applyAlignment="1">
      <alignment horizontal="center" vertical="center"/>
    </xf>
    <xf numFmtId="0" fontId="23" fillId="0" borderId="15" xfId="9" applyFont="1" applyBorder="1" applyAlignment="1">
      <alignment horizontal="center" vertical="center"/>
    </xf>
    <xf numFmtId="176" fontId="89" fillId="0" borderId="15" xfId="94" applyNumberFormat="1" applyFont="1" applyFill="1" applyBorder="1" applyAlignment="1">
      <alignment vertical="center"/>
    </xf>
    <xf numFmtId="0" fontId="23" fillId="0" borderId="37" xfId="94" applyNumberFormat="1" applyFont="1" applyBorder="1" applyAlignment="1">
      <alignment vertical="top"/>
    </xf>
    <xf numFmtId="176" fontId="89" fillId="0" borderId="37" xfId="94" applyNumberFormat="1" applyFont="1" applyFill="1" applyBorder="1" applyAlignment="1">
      <alignment vertical="center"/>
    </xf>
    <xf numFmtId="176" fontId="23" fillId="11" borderId="37" xfId="94" applyNumberFormat="1" applyFont="1" applyFill="1" applyBorder="1" applyAlignment="1">
      <alignment horizontal="center" vertical="center"/>
    </xf>
    <xf numFmtId="176" fontId="90" fillId="0" borderId="37" xfId="94" applyNumberFormat="1" applyFont="1" applyFill="1" applyBorder="1" applyAlignment="1">
      <alignment horizontal="center" vertical="center"/>
    </xf>
    <xf numFmtId="176" fontId="89" fillId="0" borderId="37" xfId="94" applyNumberFormat="1" applyFont="1" applyFill="1" applyBorder="1" applyAlignment="1">
      <alignment horizontal="center" vertical="center"/>
    </xf>
    <xf numFmtId="176" fontId="23" fillId="13" borderId="37" xfId="94" applyNumberFormat="1" applyFont="1" applyFill="1" applyBorder="1" applyAlignment="1">
      <alignment horizontal="center" vertical="center"/>
    </xf>
    <xf numFmtId="176" fontId="23" fillId="12" borderId="37" xfId="94" applyNumberFormat="1" applyFont="1" applyFill="1" applyBorder="1" applyAlignment="1">
      <alignment horizontal="center" vertical="center"/>
    </xf>
    <xf numFmtId="0" fontId="23" fillId="0" borderId="19" xfId="94" applyNumberFormat="1" applyFont="1" applyBorder="1" applyAlignment="1">
      <alignment vertical="top"/>
    </xf>
    <xf numFmtId="176" fontId="87" fillId="0" borderId="15" xfId="94" applyNumberFormat="1" applyFont="1" applyFill="1" applyBorder="1" applyAlignment="1">
      <alignment horizontal="center" vertical="center"/>
    </xf>
    <xf numFmtId="9" fontId="23" fillId="0" borderId="4" xfId="40" applyFont="1" applyFill="1" applyBorder="1" applyAlignment="1">
      <alignment horizontal="center" vertical="center"/>
    </xf>
    <xf numFmtId="43" fontId="30" fillId="0" borderId="0" xfId="94" applyFont="1" applyAlignment="1"/>
    <xf numFmtId="0" fontId="30" fillId="0" borderId="15" xfId="94" applyNumberFormat="1" applyFont="1" applyBorder="1" applyAlignment="1">
      <alignment vertical="center"/>
    </xf>
    <xf numFmtId="176" fontId="90" fillId="0" borderId="15" xfId="94" applyNumberFormat="1" applyFont="1" applyBorder="1" applyAlignment="1"/>
    <xf numFmtId="9" fontId="30" fillId="0" borderId="0" xfId="40" applyFont="1" applyAlignment="1"/>
    <xf numFmtId="176" fontId="90" fillId="5" borderId="15" xfId="94" applyNumberFormat="1" applyFont="1" applyFill="1" applyBorder="1" applyAlignment="1">
      <alignment horizontal="center" vertical="center"/>
    </xf>
    <xf numFmtId="176" fontId="30" fillId="0" borderId="19" xfId="94" applyNumberFormat="1" applyFont="1" applyBorder="1" applyAlignment="1"/>
    <xf numFmtId="176" fontId="23" fillId="0" borderId="45" xfId="94" applyNumberFormat="1" applyFont="1" applyBorder="1" applyAlignment="1"/>
    <xf numFmtId="176" fontId="92" fillId="0" borderId="13" xfId="94" applyNumberFormat="1" applyFont="1" applyFill="1" applyBorder="1" applyAlignment="1">
      <alignment horizontal="center" vertical="center"/>
    </xf>
    <xf numFmtId="176" fontId="93" fillId="0" borderId="13" xfId="94" applyNumberFormat="1" applyFont="1" applyFill="1" applyBorder="1" applyAlignment="1">
      <alignment horizontal="center" vertical="center"/>
    </xf>
    <xf numFmtId="176" fontId="23" fillId="0" borderId="0" xfId="94" applyNumberFormat="1" applyFont="1" applyAlignment="1"/>
    <xf numFmtId="0" fontId="23" fillId="0" borderId="0" xfId="39" applyFont="1"/>
    <xf numFmtId="0" fontId="23" fillId="0" borderId="15" xfId="94" applyNumberFormat="1" applyFont="1" applyBorder="1" applyAlignment="1">
      <alignment vertical="center"/>
    </xf>
    <xf numFmtId="176" fontId="92" fillId="0" borderId="15" xfId="94" applyNumberFormat="1" applyFont="1" applyFill="1" applyBorder="1" applyAlignment="1">
      <alignment horizontal="center" vertical="center"/>
    </xf>
    <xf numFmtId="176" fontId="93" fillId="0" borderId="15" xfId="94" applyNumberFormat="1" applyFont="1" applyFill="1" applyBorder="1" applyAlignment="1">
      <alignment horizontal="center" vertical="center"/>
    </xf>
    <xf numFmtId="176" fontId="92" fillId="5" borderId="15" xfId="94" applyNumberFormat="1" applyFont="1" applyFill="1" applyBorder="1" applyAlignment="1">
      <alignment horizontal="center" vertical="center"/>
    </xf>
    <xf numFmtId="176" fontId="52" fillId="0" borderId="10" xfId="94" applyNumberFormat="1" applyFont="1" applyFill="1" applyBorder="1" applyAlignment="1">
      <alignment horizontal="center" vertical="center"/>
    </xf>
    <xf numFmtId="43" fontId="30" fillId="0" borderId="0" xfId="108" applyFont="1" applyFill="1" applyAlignment="1"/>
    <xf numFmtId="176" fontId="89" fillId="0" borderId="20" xfId="94" applyNumberFormat="1" applyFont="1" applyFill="1" applyBorder="1" applyAlignment="1">
      <alignment horizontal="center" vertical="center"/>
    </xf>
    <xf numFmtId="176" fontId="94" fillId="5" borderId="20" xfId="94" applyNumberFormat="1" applyFont="1" applyFill="1" applyBorder="1" applyAlignment="1">
      <alignment horizontal="center" vertical="center"/>
    </xf>
    <xf numFmtId="176" fontId="92" fillId="0" borderId="20" xfId="94" applyNumberFormat="1" applyFont="1" applyFill="1" applyBorder="1" applyAlignment="1">
      <alignment horizontal="center" vertical="center"/>
    </xf>
    <xf numFmtId="176" fontId="92" fillId="0" borderId="37" xfId="94" applyNumberFormat="1" applyFont="1" applyFill="1" applyBorder="1" applyAlignment="1">
      <alignment horizontal="center" vertical="center"/>
    </xf>
    <xf numFmtId="0" fontId="23" fillId="2" borderId="13" xfId="94" applyNumberFormat="1" applyFont="1" applyFill="1" applyBorder="1" applyAlignment="1">
      <alignment vertical="top"/>
    </xf>
    <xf numFmtId="176" fontId="52" fillId="0" borderId="38" xfId="94" applyNumberFormat="1" applyFont="1" applyFill="1" applyBorder="1" applyAlignment="1">
      <alignment horizontal="center" vertical="center"/>
    </xf>
    <xf numFmtId="0" fontId="23" fillId="0" borderId="15" xfId="94" applyNumberFormat="1" applyFont="1" applyBorder="1" applyAlignment="1">
      <alignment horizontal="left" vertical="top"/>
    </xf>
    <xf numFmtId="176" fontId="93" fillId="0" borderId="37" xfId="94" applyNumberFormat="1" applyFont="1" applyFill="1" applyBorder="1" applyAlignment="1">
      <alignment horizontal="center" vertical="center"/>
    </xf>
    <xf numFmtId="176" fontId="52" fillId="0" borderId="42" xfId="94" applyNumberFormat="1" applyFont="1" applyFill="1" applyBorder="1" applyAlignment="1">
      <alignment horizontal="center" vertical="center"/>
    </xf>
    <xf numFmtId="176" fontId="94" fillId="0" borderId="15" xfId="94" applyNumberFormat="1" applyFont="1" applyFill="1" applyBorder="1" applyAlignment="1">
      <alignment vertical="center"/>
    </xf>
    <xf numFmtId="176" fontId="94" fillId="5" borderId="15" xfId="94" applyNumberFormat="1" applyFont="1" applyFill="1" applyBorder="1" applyAlignment="1">
      <alignment horizontal="center" vertical="center"/>
    </xf>
    <xf numFmtId="9" fontId="30" fillId="0" borderId="0" xfId="78" applyFont="1" applyBorder="1" applyAlignment="1"/>
    <xf numFmtId="176" fontId="30" fillId="0" borderId="0" xfId="39" applyNumberFormat="1" applyFont="1"/>
    <xf numFmtId="176" fontId="30" fillId="0" borderId="15" xfId="94" applyNumberFormat="1" applyFont="1" applyBorder="1" applyAlignment="1"/>
    <xf numFmtId="176" fontId="23" fillId="0" borderId="15" xfId="94" applyNumberFormat="1" applyFont="1" applyBorder="1" applyAlignment="1"/>
    <xf numFmtId="0" fontId="23" fillId="0" borderId="37" xfId="9" applyFont="1" applyBorder="1" applyAlignment="1">
      <alignment horizontal="center" vertical="center"/>
    </xf>
    <xf numFmtId="176" fontId="90" fillId="0" borderId="13" xfId="94" applyNumberFormat="1" applyFont="1" applyFill="1" applyBorder="1" applyAlignment="1">
      <alignment horizontal="center" vertical="center"/>
    </xf>
    <xf numFmtId="176" fontId="87" fillId="0" borderId="13" xfId="94" applyNumberFormat="1" applyFont="1" applyFill="1" applyBorder="1" applyAlignment="1">
      <alignment horizontal="center" vertical="center"/>
    </xf>
    <xf numFmtId="176" fontId="90" fillId="0" borderId="15" xfId="94" applyNumberFormat="1" applyFont="1" applyFill="1" applyBorder="1" applyAlignment="1">
      <alignment vertical="center"/>
    </xf>
    <xf numFmtId="176" fontId="89" fillId="0" borderId="16" xfId="94" applyNumberFormat="1" applyFont="1" applyFill="1" applyBorder="1" applyAlignment="1">
      <alignment horizontal="center" vertical="center"/>
    </xf>
    <xf numFmtId="176" fontId="52" fillId="0" borderId="12" xfId="94" applyNumberFormat="1" applyFont="1" applyFill="1" applyBorder="1" applyAlignment="1">
      <alignment horizontal="center" vertical="center"/>
    </xf>
    <xf numFmtId="0" fontId="23" fillId="0" borderId="13" xfId="94" applyNumberFormat="1" applyFont="1" applyBorder="1" applyAlignment="1"/>
    <xf numFmtId="176" fontId="92" fillId="0" borderId="13" xfId="94" applyNumberFormat="1" applyFont="1" applyBorder="1" applyAlignment="1"/>
    <xf numFmtId="0" fontId="23" fillId="0" borderId="15" xfId="94" applyNumberFormat="1" applyFont="1" applyBorder="1" applyAlignment="1"/>
    <xf numFmtId="176" fontId="92" fillId="0" borderId="15" xfId="94" applyNumberFormat="1" applyFont="1" applyBorder="1" applyAlignment="1"/>
    <xf numFmtId="176" fontId="92" fillId="5" borderId="37" xfId="94" applyNumberFormat="1" applyFont="1" applyFill="1" applyBorder="1" applyAlignment="1">
      <alignment horizontal="center" vertical="center"/>
    </xf>
    <xf numFmtId="0" fontId="23" fillId="0" borderId="13" xfId="94" applyNumberFormat="1" applyFont="1" applyBorder="1" applyAlignment="1">
      <alignment horizontal="left" vertical="center"/>
    </xf>
    <xf numFmtId="176" fontId="23" fillId="0" borderId="13" xfId="94" applyNumberFormat="1" applyFont="1" applyFill="1" applyBorder="1" applyAlignment="1">
      <alignment vertical="center"/>
    </xf>
    <xf numFmtId="176" fontId="90" fillId="0" borderId="15" xfId="94" applyNumberFormat="1" applyFont="1" applyFill="1" applyBorder="1" applyAlignment="1"/>
    <xf numFmtId="176" fontId="23" fillId="0" borderId="15" xfId="94" applyNumberFormat="1" applyFont="1" applyFill="1" applyBorder="1" applyAlignment="1">
      <alignment vertical="center"/>
    </xf>
    <xf numFmtId="176" fontId="89" fillId="0" borderId="15" xfId="94" applyNumberFormat="1" applyFont="1" applyFill="1" applyBorder="1" applyAlignment="1"/>
    <xf numFmtId="176" fontId="94" fillId="5" borderId="15" xfId="94" applyNumberFormat="1" applyFont="1" applyFill="1" applyBorder="1" applyAlignment="1"/>
    <xf numFmtId="176" fontId="23" fillId="0" borderId="15" xfId="94" applyNumberFormat="1" applyFont="1" applyFill="1" applyBorder="1" applyAlignment="1"/>
    <xf numFmtId="0" fontId="23" fillId="0" borderId="37" xfId="94" applyNumberFormat="1" applyFont="1" applyFill="1" applyBorder="1" applyAlignment="1">
      <alignment horizontal="left" vertical="center"/>
    </xf>
    <xf numFmtId="176" fontId="23" fillId="0" borderId="37" xfId="94" applyNumberFormat="1" applyFont="1" applyFill="1" applyBorder="1" applyAlignment="1"/>
    <xf numFmtId="176" fontId="23" fillId="0" borderId="37" xfId="94" applyNumberFormat="1" applyFont="1" applyFill="1" applyBorder="1" applyAlignment="1">
      <alignment vertical="center"/>
    </xf>
    <xf numFmtId="176" fontId="30" fillId="0" borderId="4" xfId="94" applyNumberFormat="1" applyFont="1" applyBorder="1" applyAlignment="1"/>
    <xf numFmtId="0" fontId="30" fillId="0" borderId="5" xfId="39" applyFont="1" applyBorder="1"/>
    <xf numFmtId="43" fontId="23" fillId="0" borderId="4" xfId="94" applyFont="1" applyFill="1" applyBorder="1" applyAlignment="1">
      <alignment horizontal="center" vertical="center"/>
    </xf>
    <xf numFmtId="0" fontId="30" fillId="0" borderId="13" xfId="94" applyNumberFormat="1" applyFont="1" applyBorder="1" applyAlignment="1">
      <alignment vertical="center"/>
    </xf>
    <xf numFmtId="0" fontId="23" fillId="0" borderId="13" xfId="9" applyFont="1" applyBorder="1" applyAlignment="1">
      <alignment horizontal="center" vertical="center"/>
    </xf>
    <xf numFmtId="0" fontId="30" fillId="0" borderId="37" xfId="94" applyNumberFormat="1" applyFont="1" applyBorder="1" applyAlignment="1">
      <alignment vertical="center"/>
    </xf>
    <xf numFmtId="0" fontId="40" fillId="0" borderId="34" xfId="94" applyNumberFormat="1" applyFont="1" applyBorder="1" applyAlignment="1">
      <alignment vertical="center"/>
    </xf>
    <xf numFmtId="176" fontId="87" fillId="0" borderId="34" xfId="94" applyNumberFormat="1" applyFont="1" applyFill="1" applyBorder="1" applyAlignment="1">
      <alignment horizontal="center" vertical="center"/>
    </xf>
    <xf numFmtId="43" fontId="30" fillId="0" borderId="0" xfId="39" applyNumberFormat="1" applyFont="1"/>
    <xf numFmtId="0" fontId="30" fillId="0" borderId="13" xfId="94" applyNumberFormat="1" applyFont="1" applyBorder="1" applyAlignment="1"/>
    <xf numFmtId="0" fontId="30" fillId="0" borderId="37" xfId="94" applyNumberFormat="1" applyFont="1" applyBorder="1" applyAlignment="1"/>
    <xf numFmtId="166" fontId="30" fillId="0" borderId="0" xfId="39" applyNumberFormat="1" applyFont="1"/>
    <xf numFmtId="43" fontId="23" fillId="0" borderId="4" xfId="94" applyFont="1" applyFill="1" applyBorder="1" applyAlignment="1">
      <alignment vertical="center"/>
    </xf>
    <xf numFmtId="2" fontId="23" fillId="0" borderId="15" xfId="94" applyNumberFormat="1" applyFont="1" applyFill="1" applyBorder="1" applyAlignment="1">
      <alignment horizontal="center" vertical="center"/>
    </xf>
    <xf numFmtId="176" fontId="94" fillId="5" borderId="37" xfId="94" applyNumberFormat="1" applyFont="1" applyFill="1" applyBorder="1" applyAlignment="1">
      <alignment horizontal="center" vertical="center"/>
    </xf>
    <xf numFmtId="176" fontId="87" fillId="0" borderId="37" xfId="94" applyNumberFormat="1" applyFont="1" applyFill="1" applyBorder="1" applyAlignment="1">
      <alignment horizontal="center" vertical="center"/>
    </xf>
    <xf numFmtId="176" fontId="90" fillId="0" borderId="16" xfId="94" applyNumberFormat="1" applyFont="1" applyFill="1" applyBorder="1" applyAlignment="1">
      <alignment horizontal="center" vertical="center"/>
    </xf>
    <xf numFmtId="176" fontId="23" fillId="11" borderId="16" xfId="94" applyNumberFormat="1" applyFont="1" applyFill="1" applyBorder="1" applyAlignment="1">
      <alignment horizontal="center" vertical="center"/>
    </xf>
    <xf numFmtId="176" fontId="87" fillId="0" borderId="16" xfId="94" applyNumberFormat="1" applyFont="1" applyFill="1" applyBorder="1" applyAlignment="1">
      <alignment horizontal="center" vertical="center"/>
    </xf>
    <xf numFmtId="176" fontId="23" fillId="13" borderId="16" xfId="94" applyNumberFormat="1" applyFont="1" applyFill="1" applyBorder="1" applyAlignment="1">
      <alignment horizontal="center" vertical="center"/>
    </xf>
    <xf numFmtId="176" fontId="23" fillId="12" borderId="16" xfId="94" applyNumberFormat="1" applyFont="1" applyFill="1" applyBorder="1" applyAlignment="1">
      <alignment horizontal="center" vertical="center"/>
    </xf>
    <xf numFmtId="0" fontId="23" fillId="0" borderId="7" xfId="94" applyNumberFormat="1" applyFont="1" applyBorder="1" applyAlignment="1">
      <alignment vertical="top"/>
    </xf>
    <xf numFmtId="176" fontId="92" fillId="0" borderId="7" xfId="94" applyNumberFormat="1" applyFont="1" applyFill="1" applyBorder="1" applyAlignment="1">
      <alignment horizontal="center" vertical="center"/>
    </xf>
    <xf numFmtId="176" fontId="23" fillId="11" borderId="7" xfId="94" applyNumberFormat="1" applyFont="1" applyFill="1" applyBorder="1" applyAlignment="1">
      <alignment horizontal="center" vertical="center"/>
    </xf>
    <xf numFmtId="176" fontId="23" fillId="13" borderId="7" xfId="94" applyNumberFormat="1" applyFont="1" applyFill="1" applyBorder="1" applyAlignment="1">
      <alignment horizontal="center" vertical="center"/>
    </xf>
    <xf numFmtId="176" fontId="23" fillId="12" borderId="7" xfId="94" applyNumberFormat="1" applyFont="1" applyFill="1" applyBorder="1" applyAlignment="1">
      <alignment horizontal="center" vertical="center"/>
    </xf>
    <xf numFmtId="176" fontId="23" fillId="0" borderId="13" xfId="94" applyNumberFormat="1" applyFont="1" applyBorder="1" applyAlignment="1"/>
    <xf numFmtId="176" fontId="90" fillId="0" borderId="37" xfId="94" applyNumberFormat="1" applyFont="1" applyFill="1" applyBorder="1" applyAlignment="1">
      <alignment vertical="center"/>
    </xf>
    <xf numFmtId="176" fontId="90" fillId="5" borderId="13" xfId="94" applyNumberFormat="1" applyFont="1" applyFill="1" applyBorder="1" applyAlignment="1">
      <alignment horizontal="center" vertical="center"/>
    </xf>
    <xf numFmtId="176" fontId="23" fillId="0" borderId="16" xfId="94" applyNumberFormat="1" applyFont="1" applyBorder="1" applyAlignment="1"/>
    <xf numFmtId="176" fontId="90" fillId="5" borderId="16" xfId="94" applyNumberFormat="1" applyFont="1" applyFill="1" applyBorder="1" applyAlignment="1">
      <alignment horizontal="center" vertical="center"/>
    </xf>
    <xf numFmtId="176" fontId="94" fillId="5" borderId="15" xfId="94" applyNumberFormat="1" applyFont="1" applyFill="1" applyBorder="1" applyAlignment="1">
      <alignment vertical="center"/>
    </xf>
    <xf numFmtId="43" fontId="30" fillId="0" borderId="0" xfId="108" applyFont="1" applyAlignment="1"/>
    <xf numFmtId="43" fontId="52" fillId="0" borderId="39" xfId="94" applyFont="1" applyFill="1" applyBorder="1" applyAlignment="1">
      <alignment horizontal="center" vertical="center"/>
    </xf>
    <xf numFmtId="0" fontId="30" fillId="0" borderId="39" xfId="94" applyNumberFormat="1" applyFont="1" applyFill="1" applyBorder="1" applyAlignment="1">
      <alignment vertical="center"/>
    </xf>
    <xf numFmtId="43" fontId="23" fillId="0" borderId="39" xfId="108" applyFont="1" applyFill="1" applyBorder="1" applyAlignment="1">
      <alignment horizontal="center" vertical="center"/>
    </xf>
    <xf numFmtId="9" fontId="23" fillId="0" borderId="39" xfId="40" applyFont="1" applyFill="1" applyBorder="1" applyAlignment="1">
      <alignment horizontal="center" vertical="center"/>
    </xf>
    <xf numFmtId="176" fontId="23" fillId="0" borderId="39" xfId="94" applyNumberFormat="1" applyFont="1" applyFill="1" applyBorder="1" applyAlignment="1">
      <alignment horizontal="center" vertical="center"/>
    </xf>
    <xf numFmtId="176" fontId="87" fillId="0" borderId="39" xfId="94" applyNumberFormat="1" applyFont="1" applyFill="1" applyBorder="1" applyAlignment="1">
      <alignment horizontal="center" vertical="center"/>
    </xf>
    <xf numFmtId="178" fontId="87" fillId="0" borderId="39" xfId="94" applyNumberFormat="1" applyFont="1" applyFill="1" applyBorder="1" applyAlignment="1">
      <alignment horizontal="center" vertical="center"/>
    </xf>
    <xf numFmtId="176" fontId="52" fillId="0" borderId="39" xfId="94" applyNumberFormat="1" applyFont="1" applyFill="1" applyBorder="1" applyAlignment="1">
      <alignment horizontal="center" vertical="center"/>
    </xf>
    <xf numFmtId="0" fontId="23" fillId="0" borderId="34" xfId="94" applyNumberFormat="1" applyFont="1" applyBorder="1" applyAlignment="1">
      <alignment horizontal="left" vertical="top"/>
    </xf>
    <xf numFmtId="188" fontId="23" fillId="0" borderId="34" xfId="94" applyNumberFormat="1" applyFont="1" applyFill="1" applyBorder="1" applyAlignment="1">
      <alignment horizontal="center" vertical="center"/>
    </xf>
    <xf numFmtId="176" fontId="52" fillId="0" borderId="34" xfId="94" applyNumberFormat="1" applyFont="1" applyFill="1" applyBorder="1" applyAlignment="1">
      <alignment horizontal="center" vertical="center"/>
    </xf>
    <xf numFmtId="43" fontId="40" fillId="0" borderId="0" xfId="94" applyFont="1" applyAlignment="1"/>
    <xf numFmtId="0" fontId="40" fillId="0" borderId="4" xfId="94" applyNumberFormat="1" applyFont="1" applyBorder="1" applyAlignment="1"/>
    <xf numFmtId="176" fontId="23" fillId="0" borderId="4" xfId="94" applyNumberFormat="1" applyFont="1" applyBorder="1" applyAlignment="1"/>
    <xf numFmtId="176" fontId="87" fillId="0" borderId="4" xfId="94" applyNumberFormat="1" applyFont="1" applyFill="1" applyBorder="1" applyAlignment="1"/>
    <xf numFmtId="176" fontId="95" fillId="9" borderId="4" xfId="94" applyNumberFormat="1" applyFont="1" applyFill="1" applyBorder="1" applyAlignment="1"/>
    <xf numFmtId="176" fontId="40" fillId="0" borderId="4" xfId="94" applyNumberFormat="1" applyFont="1" applyBorder="1" applyAlignment="1"/>
    <xf numFmtId="0" fontId="40" fillId="0" borderId="0" xfId="94" applyNumberFormat="1" applyFont="1" applyBorder="1" applyAlignment="1"/>
    <xf numFmtId="176" fontId="30" fillId="0" borderId="0" xfId="94" applyNumberFormat="1" applyFont="1" applyBorder="1" applyAlignment="1"/>
    <xf numFmtId="176" fontId="23" fillId="0" borderId="0" xfId="94" applyNumberFormat="1" applyFont="1" applyBorder="1" applyAlignment="1"/>
    <xf numFmtId="176" fontId="87" fillId="0" borderId="0" xfId="94" applyNumberFormat="1" applyFont="1" applyFill="1" applyBorder="1" applyAlignment="1"/>
    <xf numFmtId="176" fontId="30" fillId="0" borderId="0" xfId="94" applyNumberFormat="1" applyFont="1" applyFill="1" applyBorder="1" applyAlignment="1"/>
    <xf numFmtId="176" fontId="95" fillId="0" borderId="0" xfId="94" applyNumberFormat="1" applyFont="1" applyFill="1" applyBorder="1" applyAlignment="1"/>
    <xf numFmtId="176" fontId="40" fillId="0" borderId="0" xfId="94" applyNumberFormat="1" applyFont="1" applyFill="1" applyBorder="1" applyAlignment="1"/>
    <xf numFmtId="0" fontId="40" fillId="0" borderId="4" xfId="94" applyNumberFormat="1" applyFont="1" applyFill="1" applyBorder="1" applyAlignment="1"/>
    <xf numFmtId="176" fontId="30" fillId="0" borderId="4" xfId="94" applyNumberFormat="1" applyFont="1" applyFill="1" applyBorder="1" applyAlignment="1"/>
    <xf numFmtId="176" fontId="23" fillId="0" borderId="4" xfId="94" applyNumberFormat="1" applyFont="1" applyFill="1" applyBorder="1" applyAlignment="1"/>
    <xf numFmtId="176" fontId="95" fillId="0" borderId="4" xfId="94" applyNumberFormat="1" applyFont="1" applyFill="1" applyBorder="1" applyAlignment="1"/>
    <xf numFmtId="176" fontId="40" fillId="0" borderId="4" xfId="94" applyNumberFormat="1" applyFont="1" applyFill="1" applyBorder="1" applyAlignment="1"/>
    <xf numFmtId="43" fontId="52" fillId="0" borderId="13" xfId="94" applyFont="1" applyFill="1" applyBorder="1" applyAlignment="1">
      <alignment horizontal="center" vertical="center"/>
    </xf>
    <xf numFmtId="176" fontId="30" fillId="0" borderId="13" xfId="94" applyNumberFormat="1" applyFont="1" applyBorder="1" applyAlignment="1"/>
    <xf numFmtId="43" fontId="52" fillId="0" borderId="15" xfId="94" applyFont="1" applyFill="1" applyBorder="1" applyAlignment="1">
      <alignment horizontal="center" vertical="center"/>
    </xf>
    <xf numFmtId="43" fontId="52" fillId="0" borderId="37" xfId="94" applyFont="1" applyFill="1" applyBorder="1" applyAlignment="1">
      <alignment horizontal="center" vertical="center"/>
    </xf>
    <xf numFmtId="176" fontId="30" fillId="0" borderId="37" xfId="94" applyNumberFormat="1" applyFont="1" applyBorder="1" applyAlignment="1"/>
    <xf numFmtId="180" fontId="30" fillId="0" borderId="0" xfId="40" applyNumberFormat="1" applyFont="1" applyAlignment="1"/>
    <xf numFmtId="0" fontId="52" fillId="0" borderId="0" xfId="94" applyNumberFormat="1" applyFont="1" applyBorder="1" applyAlignment="1">
      <alignment vertical="center"/>
    </xf>
    <xf numFmtId="176" fontId="23" fillId="0" borderId="0" xfId="94" applyNumberFormat="1" applyFont="1" applyFill="1" applyBorder="1" applyAlignment="1">
      <alignment vertical="center"/>
    </xf>
    <xf numFmtId="0" fontId="30" fillId="0" borderId="4" xfId="39" applyFont="1" applyBorder="1"/>
    <xf numFmtId="178" fontId="30" fillId="0" borderId="0" xfId="94" applyNumberFormat="1" applyFont="1" applyAlignment="1"/>
    <xf numFmtId="176" fontId="23" fillId="0" borderId="0" xfId="94" applyNumberFormat="1" applyFont="1" applyFill="1" applyBorder="1" applyAlignment="1"/>
    <xf numFmtId="0" fontId="23" fillId="0" borderId="0" xfId="94" applyNumberFormat="1" applyFont="1" applyBorder="1" applyAlignment="1">
      <alignment horizontal="left" vertical="top"/>
    </xf>
    <xf numFmtId="0" fontId="30" fillId="0" borderId="0" xfId="94" applyNumberFormat="1" applyFont="1" applyBorder="1" applyAlignment="1"/>
    <xf numFmtId="0" fontId="30" fillId="0" borderId="0" xfId="94" applyNumberFormat="1" applyFont="1" applyFill="1" applyBorder="1" applyAlignment="1">
      <alignment vertical="center"/>
    </xf>
    <xf numFmtId="176" fontId="90" fillId="0" borderId="13" xfId="94" applyNumberFormat="1" applyFont="1" applyBorder="1" applyAlignment="1"/>
    <xf numFmtId="176" fontId="90" fillId="0" borderId="37" xfId="94" applyNumberFormat="1" applyFont="1" applyBorder="1" applyAlignment="1"/>
    <xf numFmtId="176" fontId="97" fillId="19" borderId="3" xfId="94" applyNumberFormat="1" applyFont="1" applyFill="1" applyBorder="1" applyAlignment="1">
      <alignment horizontal="center" vertical="center" wrapText="1"/>
    </xf>
    <xf numFmtId="176" fontId="97" fillId="19" borderId="5" xfId="94" applyNumberFormat="1" applyFont="1" applyFill="1" applyBorder="1" applyAlignment="1">
      <alignment horizontal="center" vertical="center" wrapText="1"/>
    </xf>
    <xf numFmtId="176" fontId="97" fillId="22" borderId="3" xfId="94" applyNumberFormat="1" applyFont="1" applyFill="1" applyBorder="1" applyAlignment="1">
      <alignment horizontal="center" vertical="center" wrapText="1"/>
    </xf>
    <xf numFmtId="176" fontId="97" fillId="22" borderId="5" xfId="94" applyNumberFormat="1" applyFont="1" applyFill="1" applyBorder="1" applyAlignment="1">
      <alignment horizontal="center" vertical="center" wrapText="1"/>
    </xf>
    <xf numFmtId="176" fontId="97" fillId="21" borderId="3" xfId="94" applyNumberFormat="1" applyFont="1" applyFill="1" applyBorder="1" applyAlignment="1">
      <alignment horizontal="center" vertical="center" wrapText="1"/>
    </xf>
    <xf numFmtId="176" fontId="97" fillId="21" borderId="5" xfId="94" applyNumberFormat="1" applyFont="1" applyFill="1" applyBorder="1" applyAlignment="1">
      <alignment horizontal="center" vertical="center" wrapText="1"/>
    </xf>
    <xf numFmtId="0" fontId="37" fillId="2" borderId="3" xfId="93" applyFill="1" applyBorder="1" applyAlignment="1" applyProtection="1">
      <alignment horizontal="left"/>
    </xf>
    <xf numFmtId="0" fontId="37" fillId="2" borderId="5" xfId="93" applyFill="1" applyBorder="1" applyAlignment="1" applyProtection="1">
      <alignment horizontal="left"/>
    </xf>
    <xf numFmtId="0" fontId="20" fillId="2" borderId="7" xfId="0" applyFont="1" applyFill="1" applyBorder="1" applyAlignment="1">
      <alignment horizontal="left"/>
    </xf>
    <xf numFmtId="0" fontId="20" fillId="2" borderId="7" xfId="0" applyFont="1" applyFill="1" applyBorder="1" applyAlignment="1">
      <alignment horizontal="left" vertical="center" wrapText="1"/>
    </xf>
    <xf numFmtId="0" fontId="34" fillId="2" borderId="3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38" fillId="2" borderId="5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6" fontId="52" fillId="0" borderId="3" xfId="94" applyNumberFormat="1" applyFont="1" applyBorder="1" applyAlignment="1">
      <alignment horizontal="center"/>
    </xf>
    <xf numFmtId="176" fontId="52" fillId="0" borderId="4" xfId="94" applyNumberFormat="1" applyFont="1" applyBorder="1" applyAlignment="1">
      <alignment horizontal="center"/>
    </xf>
    <xf numFmtId="176" fontId="52" fillId="0" borderId="5" xfId="94" applyNumberFormat="1" applyFont="1" applyBorder="1" applyAlignment="1">
      <alignment horizontal="center"/>
    </xf>
    <xf numFmtId="183" fontId="61" fillId="0" borderId="7" xfId="94" applyNumberFormat="1" applyFont="1" applyBorder="1" applyAlignment="1">
      <alignment horizontal="center" vertical="center"/>
    </xf>
    <xf numFmtId="43" fontId="61" fillId="0" borderId="7" xfId="94" applyFont="1" applyBorder="1" applyAlignment="1">
      <alignment horizontal="center" vertical="center"/>
    </xf>
    <xf numFmtId="176" fontId="8" fillId="0" borderId="3" xfId="94" applyNumberFormat="1" applyFont="1" applyBorder="1" applyAlignment="1">
      <alignment horizontal="center" wrapText="1"/>
    </xf>
    <xf numFmtId="176" fontId="8" fillId="0" borderId="4" xfId="94" applyNumberFormat="1" applyFont="1" applyBorder="1" applyAlignment="1">
      <alignment horizontal="center" wrapText="1"/>
    </xf>
    <xf numFmtId="176" fontId="8" fillId="0" borderId="5" xfId="94" applyNumberFormat="1" applyFont="1" applyBorder="1" applyAlignment="1">
      <alignment horizontal="center" wrapText="1"/>
    </xf>
    <xf numFmtId="176" fontId="14" fillId="0" borderId="3" xfId="94" applyNumberFormat="1" applyFont="1" applyBorder="1" applyAlignment="1">
      <alignment horizontal="center" wrapText="1"/>
    </xf>
    <xf numFmtId="176" fontId="14" fillId="0" borderId="4" xfId="94" applyNumberFormat="1" applyFont="1" applyBorder="1" applyAlignment="1">
      <alignment horizontal="center" wrapText="1"/>
    </xf>
    <xf numFmtId="176" fontId="14" fillId="0" borderId="5" xfId="94" applyNumberFormat="1" applyFont="1" applyBorder="1" applyAlignment="1">
      <alignment horizontal="center" wrapText="1"/>
    </xf>
    <xf numFmtId="14" fontId="83" fillId="35" borderId="0" xfId="0" applyNumberFormat="1" applyFont="1" applyFill="1" applyAlignment="1">
      <alignment horizontal="center" vertical="center" wrapText="1"/>
    </xf>
  </cellXfs>
  <cellStyles count="116">
    <cellStyle name="Bueno 2" xfId="74" xr:uid="{577BCF60-1712-4E40-8F17-520606B8CF72}"/>
    <cellStyle name="Comma" xfId="1" builtinId="3"/>
    <cellStyle name="Currency" xfId="91" builtinId="4"/>
    <cellStyle name="Good" xfId="109" builtinId="26"/>
    <cellStyle name="Hyperlink" xfId="93" builtinId="8"/>
    <cellStyle name="Incorrecto 2" xfId="75" xr:uid="{0CAE9E9B-BD14-4B90-8EFB-545F0281EFDC}"/>
    <cellStyle name="Millares 10" xfId="76" xr:uid="{B13BA9D7-43F8-410F-BED7-F0BE464BFE8D}"/>
    <cellStyle name="Millares 10 2" xfId="79" xr:uid="{B5ECE4E2-CD49-4D45-B0AD-AA491C3A0526}"/>
    <cellStyle name="Millares 10 2 2" xfId="108" xr:uid="{E84EE6FB-0096-4B61-A20F-B9BA0F04C1D7}"/>
    <cellStyle name="Millares 10 3" xfId="89" xr:uid="{F7227C7A-043E-40AA-81E8-990DEF7B1123}"/>
    <cellStyle name="Millares 11" xfId="13" xr:uid="{00D04A0E-3854-42DE-8357-08822DCFC828}"/>
    <cellStyle name="Millares 11 2" xfId="82" xr:uid="{99EFC5A5-3A31-4A61-99DF-30357754C61B}"/>
    <cellStyle name="Millares 12" xfId="85" xr:uid="{B1D11165-875A-46F2-ABDD-C75D3C6CFD43}"/>
    <cellStyle name="Millares 12 2" xfId="68" xr:uid="{4157062C-0D11-433E-8AAC-A642D831B521}"/>
    <cellStyle name="Millares 12 2 2" xfId="94" xr:uid="{D6FA3C6C-C161-4E26-8139-BD3D2E3BF286}"/>
    <cellStyle name="Millares 12 2 2 2" xfId="115" xr:uid="{E2C4E7AA-C407-450E-B400-4599FA2BEAA2}"/>
    <cellStyle name="Millares 13" xfId="86" xr:uid="{BD919DA0-89BB-41F7-8135-46557812E101}"/>
    <cellStyle name="Millares 14" xfId="14" xr:uid="{175956F0-E951-4B39-A6B5-C18AC6CA6BDF}"/>
    <cellStyle name="Millares 14 2" xfId="51" xr:uid="{54E2A938-DAB6-4E6B-8123-3BA901338164}"/>
    <cellStyle name="Millares 14 2 2" xfId="67" xr:uid="{DC330FCD-F7C4-4E56-BFB0-180913FE7086}"/>
    <cellStyle name="Millares 15" xfId="17" xr:uid="{5FA5AFE0-8C0F-4EE2-A8EE-0559B9BF2989}"/>
    <cellStyle name="Millares 16" xfId="87" xr:uid="{97FCBD2A-94FC-40DC-B205-B41CD67087C3}"/>
    <cellStyle name="Millares 17" xfId="98" xr:uid="{243C12A1-DA9E-4AAA-8A5B-C5BD0E8FCCA3}"/>
    <cellStyle name="Millares 18" xfId="16" xr:uid="{F5AACC3B-78B8-4AFC-BA41-6BD8AE25B28A}"/>
    <cellStyle name="Millares 18 2" xfId="53" xr:uid="{F1610134-B3D6-48C3-912E-149A4451E9AF}"/>
    <cellStyle name="Millares 2" xfId="26" xr:uid="{57466A0F-122F-4A7C-BA93-2A7195285BED}"/>
    <cellStyle name="Millares 2 2" xfId="11" xr:uid="{0F240901-DCF3-4A82-9A56-0E6C8B081AB2}"/>
    <cellStyle name="Millares 2 2 2" xfId="18" xr:uid="{5FDA6851-8566-4E53-8DFF-A089157F564D}"/>
    <cellStyle name="Millares 2 3" xfId="27" xr:uid="{A973229E-5A9B-4CD8-AF52-3554A9AE7EA3}"/>
    <cellStyle name="Millares 2 3 2" xfId="56" xr:uid="{017F5436-FEEA-4646-B737-BF056F8CF7A2}"/>
    <cellStyle name="Millares 2 4" xfId="54" xr:uid="{C2D3107E-70CA-463C-ACD9-C0C095FC03D8}"/>
    <cellStyle name="Millares 2 5" xfId="38" xr:uid="{F795BD6F-DCD3-45F8-BC44-866BAE58B0A4}"/>
    <cellStyle name="Millares 2 6" xfId="99" xr:uid="{13B447D5-6671-40B3-AC41-589F7B6D1100}"/>
    <cellStyle name="Millares 20" xfId="42" xr:uid="{49F3B388-9D3D-4E5E-9C78-21AB3E003525}"/>
    <cellStyle name="Millares 23" xfId="21" xr:uid="{B9B0B51A-6D97-4172-B116-8AF71035AA6E}"/>
    <cellStyle name="Millares 3" xfId="5" xr:uid="{8850437A-D74B-4A39-9244-A1E343A7FA6A}"/>
    <cellStyle name="Millares 3 2" xfId="6" xr:uid="{52365670-1784-404D-90A3-863F60CDE431}"/>
    <cellStyle name="Millares 3 2 2" xfId="103" xr:uid="{C4E3454C-21FD-4F6D-911E-6AB72FAF7B37}"/>
    <cellStyle name="Millares 3 2 3" xfId="112" xr:uid="{6183C099-B97B-4FD9-9050-63ADD3056E4F}"/>
    <cellStyle name="Millares 3 3" xfId="10" xr:uid="{F61369B4-8D49-4062-A15F-822D9345D224}"/>
    <cellStyle name="Millares 3 5" xfId="64" xr:uid="{AABCFC9E-6EAA-47BD-B24E-7798E4F0D8DD}"/>
    <cellStyle name="Millares 3 5 2" xfId="7" xr:uid="{5E1340F8-DB2B-4815-A866-2801650C7C12}"/>
    <cellStyle name="Millares 3 5 2 2" xfId="83" xr:uid="{A2C7AC1F-C554-4BF3-8C20-0CAE68409737}"/>
    <cellStyle name="Millares 3 5 3" xfId="52" xr:uid="{BCDAEF21-1A5B-40AE-9055-552554747954}"/>
    <cellStyle name="Millares 3 5 4" xfId="24" xr:uid="{0E9209F9-A59F-46D0-9DD8-99D03AAFEB31}"/>
    <cellStyle name="Millares 3 5 4 2" xfId="81" xr:uid="{9C083F50-BA71-4132-9FA2-C39E1E9223E6}"/>
    <cellStyle name="Millares 4" xfId="28" xr:uid="{EAF4AAB2-F98A-4DF8-9AA2-7F10AA4A4755}"/>
    <cellStyle name="Millares 4 2" xfId="66" xr:uid="{C9D30947-6BC4-4A18-8D86-23D9B76BD183}"/>
    <cellStyle name="Millares 4 2 2" xfId="102" xr:uid="{F4B17A63-D26C-4657-BE93-1D64E7DB0246}"/>
    <cellStyle name="Millares 4 3" xfId="41" xr:uid="{F1D267B5-A781-4633-AA5D-5B10AAC5E8FC}"/>
    <cellStyle name="Millares 5" xfId="29" xr:uid="{D2036962-28AC-46CD-B679-975C52CAC0C7}"/>
    <cellStyle name="Millares 5 2" xfId="50" xr:uid="{F4BC1675-05CA-4404-BF98-532DB08536EE}"/>
    <cellStyle name="Millares 5 3" xfId="36" xr:uid="{7C0C0AD1-23A7-4170-A2F6-B278EB32A7EF}"/>
    <cellStyle name="Millares 5 3 2" xfId="58" xr:uid="{444B6FE1-E39B-465F-AB2A-7C7B30C0488D}"/>
    <cellStyle name="Millares 5 3 3" xfId="84" xr:uid="{5A567F30-D1F1-4C42-83F6-FE4A23B8012A}"/>
    <cellStyle name="Millares 5 3 4" xfId="97" xr:uid="{0B8D18F3-8AE2-4402-B547-D7AAF4B32944}"/>
    <cellStyle name="Millares 6" xfId="31" xr:uid="{48B8DEB1-4B82-49EA-A50D-D7BE34B07637}"/>
    <cellStyle name="Millares 6 2" xfId="23" xr:uid="{87996EA8-EBD4-4BCE-93FE-0BA8225AEBDB}"/>
    <cellStyle name="Millares 6 3" xfId="60" xr:uid="{E373BBCF-341E-43DA-8D0F-6B32EDDB9C61}"/>
    <cellStyle name="Millares 6 4" xfId="46" xr:uid="{0C0208CE-1CD9-4514-AB62-E9467FC9646E}"/>
    <cellStyle name="Millares 7" xfId="32" xr:uid="{C97F06EB-F7E6-4E2E-896A-9F10A7263715}"/>
    <cellStyle name="Millares 7 2" xfId="55" xr:uid="{B49C59D6-44D3-472B-8B0E-98BEF9605291}"/>
    <cellStyle name="Millares 7 3" xfId="77" xr:uid="{19D68DD2-6B8F-458C-AEF6-FC2FDBC740DA}"/>
    <cellStyle name="Millares 7 4" xfId="88" xr:uid="{CBC08DE4-55DE-4BB2-B7C9-054B66A999BC}"/>
    <cellStyle name="Millares 8" xfId="34" xr:uid="{09169054-70F5-44B1-9339-8B4B40285B2D}"/>
    <cellStyle name="Millares 8 2" xfId="62" xr:uid="{39692FB1-80A2-4CFD-A220-F0112113D800}"/>
    <cellStyle name="Millares 9" xfId="37" xr:uid="{16276F50-C216-4B28-827B-7848FC43E583}"/>
    <cellStyle name="Moneda 2" xfId="44" xr:uid="{E650F00D-7F84-42A2-BA11-D2E5B41BA0FE}"/>
    <cellStyle name="Moneda 2 2" xfId="49" xr:uid="{74598D5A-49A4-4896-9D5F-38DB7FAA9FC7}"/>
    <cellStyle name="Moneda 2 3" xfId="8" xr:uid="{C30BC6ED-64EB-41C2-9EAD-7E63DEAB5CDF}"/>
    <cellStyle name="Moneda 2 3 2" xfId="59" xr:uid="{92939BD7-E0F8-4B9D-8CF4-7243A585D337}"/>
    <cellStyle name="Moneda 3" xfId="57" xr:uid="{08101E7A-1578-4C34-BAFD-7C92C38416EE}"/>
    <cellStyle name="Moneda 4" xfId="65" xr:uid="{7D1C00F5-45F5-411F-807A-17303E8C1421}"/>
    <cellStyle name="Moneda 5" xfId="69" xr:uid="{37FA349C-BB4E-4F8F-A427-8518C23F5A53}"/>
    <cellStyle name="Moneda 6" xfId="72" xr:uid="{0D356E48-D2DB-41A5-9860-489437966F28}"/>
    <cellStyle name="Moneda 6 2" xfId="4" xr:uid="{9D0A0B14-E619-49EC-A56E-C906A9F451DD}"/>
    <cellStyle name="Moneda 7" xfId="30" xr:uid="{531B3270-1C9D-4025-87E6-073D44CDB48B}"/>
    <cellStyle name="Normal" xfId="0" builtinId="0"/>
    <cellStyle name="Normal 10" xfId="110" xr:uid="{29088AC6-E787-4B6B-99F7-FC0E1CA24B35}"/>
    <cellStyle name="Normal 11" xfId="111" xr:uid="{4264F566-7624-4086-952E-9A8EC4D1C7A0}"/>
    <cellStyle name="Normal 12" xfId="15" xr:uid="{B07A7859-BB1B-44FD-9610-DBC314AF7F84}"/>
    <cellStyle name="Normal 18" xfId="48" xr:uid="{11595D00-205F-4630-9F9E-BB4A1916F8EF}"/>
    <cellStyle name="Normal 2" xfId="39" xr:uid="{54C477DF-F332-4ACE-A5A0-96AF1A7CE945}"/>
    <cellStyle name="Normal 2 2" xfId="9" xr:uid="{21BBC7AC-625F-4D27-94B4-F3C139070E1D}"/>
    <cellStyle name="Normal 2 3" xfId="33" xr:uid="{8E109FC4-2579-4454-BC57-6139E198B97E}"/>
    <cellStyle name="Normal 2 3 2" xfId="106" xr:uid="{2AE43D63-E10A-49FC-8CC4-AB5112E752F6}"/>
    <cellStyle name="Normal 2 4 2" xfId="90" xr:uid="{F0A3824A-4E55-4B78-82E1-9CA591C16F22}"/>
    <cellStyle name="Normal 2 5" xfId="101" xr:uid="{8DB2C447-B6CF-4551-80EC-85ABD59F507F}"/>
    <cellStyle name="Normal 2 5 2" xfId="113" xr:uid="{68508285-301F-4182-829C-0A5A77086301}"/>
    <cellStyle name="Normal 23" xfId="3" xr:uid="{24665948-1804-4630-B272-D5A07400C453}"/>
    <cellStyle name="Normal 25" xfId="20" xr:uid="{061EF23F-3370-436E-BD21-304CBC244411}"/>
    <cellStyle name="Normal 3" xfId="22" xr:uid="{5FC9C882-69F2-4A8B-81FD-7C483B8F9DAA}"/>
    <cellStyle name="Normal 3 2" xfId="63" xr:uid="{94D5F5CF-AEE9-4FA2-8E9B-668F02BE2A24}"/>
    <cellStyle name="Normal 3 3" xfId="12" xr:uid="{7D68B769-AB25-42BB-BE83-3565FC2C851B}"/>
    <cellStyle name="Normal 3 4" xfId="100" xr:uid="{D95AE06A-6E60-45B3-9DE8-7B41FA205ED9}"/>
    <cellStyle name="Normal 4" xfId="45" xr:uid="{D71D908D-A92A-45D8-A69B-5076D3035D60}"/>
    <cellStyle name="Normal 4 2" xfId="35" xr:uid="{6A98E2FA-9957-4A02-AC73-349607FD852C}"/>
    <cellStyle name="Normal 4 3" xfId="105" xr:uid="{369A556B-2F0E-4B15-99A2-B429C29A008C}"/>
    <cellStyle name="Normal 5" xfId="47" xr:uid="{6F69F164-E1B3-4386-873C-63761A904BEA}"/>
    <cellStyle name="Normal 5 2" xfId="25" xr:uid="{E3DAC37E-15CE-4A42-9B0F-6F321CC47883}"/>
    <cellStyle name="Normal 5 2 2" xfId="80" xr:uid="{1996EEB1-9C67-4EB5-85AE-FC296ED9442E}"/>
    <cellStyle name="Normal 5 3" xfId="61" xr:uid="{AEDDAFBB-E65C-4244-974B-5F123693F59B}"/>
    <cellStyle name="Normal 6" xfId="19" xr:uid="{F9B71AA2-6398-4349-9E1A-D7E07FEEAEC8}"/>
    <cellStyle name="Normal 7" xfId="71" xr:uid="{9D89C0BD-9281-4904-B90C-DEFB31408AB5}"/>
    <cellStyle name="Normal 7 2" xfId="2" xr:uid="{10FF77AB-B9C0-4D13-9BBA-E5E98A7138AB}"/>
    <cellStyle name="Normal 8" xfId="73" xr:uid="{143100E8-717F-462B-A9CD-4E2AA2CAFE7D}"/>
    <cellStyle name="Normal 9" xfId="96" xr:uid="{02BBA7E5-4597-4133-BEE2-75A418EFD5BC}"/>
    <cellStyle name="Percent" xfId="92" builtinId="5"/>
    <cellStyle name="Porcentaje 2" xfId="40" xr:uid="{C6362948-9312-4494-B6F3-2C3AF9724879}"/>
    <cellStyle name="Porcentaje 2 2" xfId="95" xr:uid="{9CB41B2F-4350-41CF-9CCA-7801BBC43E42}"/>
    <cellStyle name="Porcentaje 2 2 2" xfId="104" xr:uid="{3B49A131-438B-4127-91B1-D960CC677DDC}"/>
    <cellStyle name="Porcentaje 3" xfId="43" xr:uid="{67BDED4B-0778-4D49-86F4-2003FDF04E20}"/>
    <cellStyle name="Porcentaje 4" xfId="114" xr:uid="{7A79CE27-B718-47AE-B398-39C5C383D324}"/>
    <cellStyle name="Porcentaje 5" xfId="78" xr:uid="{76C53F08-03C4-4501-9D3F-68E88E3DDBCE}"/>
    <cellStyle name="Porcentaje 5 2" xfId="107" xr:uid="{46B72C2F-6E02-40EB-B41C-19888C9FF3A5}"/>
    <cellStyle name="Porcentual 2" xfId="70" xr:uid="{08210532-5C3E-46D0-B758-E9815E7F3BBC}"/>
  </cellStyles>
  <dxfs count="162"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auto="1"/>
      </font>
      <fill>
        <patternFill>
          <bgColor rgb="FFFFFF99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0_-;\-* #,##0.00_-;_-* &quot;-&quot;??_-;_-@_-"/>
      <alignment horizontal="right" vertical="center" textRotation="0" wrapText="1" indent="0" justifyLastLine="0" shrinkToFit="0" readingOrder="0"/>
    </dxf>
    <dxf>
      <numFmt numFmtId="189" formatCode="dd/mm/yy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9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</font>
    </dxf>
    <dxf>
      <numFmt numFmtId="186" formatCode="0.0000"/>
    </dxf>
    <dxf>
      <numFmt numFmtId="22" formatCode="mmm\-yy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DD17FA6-08EF-4743-B920-A74B57A91FD8}"/>
  </tableStyles>
  <colors>
    <mruColors>
      <color rgb="FFC6EFCE"/>
      <color rgb="FFF3C3E6"/>
      <color rgb="FFF59D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85726</xdr:rowOff>
    </xdr:from>
    <xdr:to>
      <xdr:col>1</xdr:col>
      <xdr:colOff>266701</xdr:colOff>
      <xdr:row>2</xdr:row>
      <xdr:rowOff>150356</xdr:rowOff>
    </xdr:to>
    <xdr:pic>
      <xdr:nvPicPr>
        <xdr:cNvPr id="2" name="4 Imagen" descr="Logo ArqIng Encabezado.png">
          <a:extLst>
            <a:ext uri="{FF2B5EF4-FFF2-40B4-BE49-F238E27FC236}">
              <a16:creationId xmlns:a16="http://schemas.microsoft.com/office/drawing/2014/main" id="{81E9C086-1303-4D7E-B886-6C415D3C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1" y="85726"/>
          <a:ext cx="2095500" cy="483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38101</xdr:rowOff>
    </xdr:from>
    <xdr:to>
      <xdr:col>1</xdr:col>
      <xdr:colOff>1617345</xdr:colOff>
      <xdr:row>2</xdr:row>
      <xdr:rowOff>524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E1EEDA58-1C4F-4E25-BFD3-41E11286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38101"/>
          <a:ext cx="1628775" cy="3186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38100</xdr:rowOff>
    </xdr:from>
    <xdr:to>
      <xdr:col>1</xdr:col>
      <xdr:colOff>1665049</xdr:colOff>
      <xdr:row>2</xdr:row>
      <xdr:rowOff>1905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5F27B6B8-3770-4079-92A8-39D748A6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1" y="38100"/>
          <a:ext cx="1665048" cy="325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38100</xdr:rowOff>
    </xdr:from>
    <xdr:to>
      <xdr:col>1</xdr:col>
      <xdr:colOff>1672669</xdr:colOff>
      <xdr:row>2</xdr:row>
      <xdr:rowOff>1905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A0CAF462-AE93-4748-BBF0-FC28E6C4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1" y="38100"/>
          <a:ext cx="1665048" cy="3257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3</xdr:col>
      <xdr:colOff>486527</xdr:colOff>
      <xdr:row>2</xdr:row>
      <xdr:rowOff>171450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34AB94F-9843-4D8D-A1F0-CC1E3A0B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66675"/>
          <a:ext cx="2486777" cy="485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5</xdr:col>
      <xdr:colOff>438150</xdr:colOff>
      <xdr:row>4</xdr:row>
      <xdr:rowOff>28575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A7D637CA-0E10-4EC5-A137-790B26609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5</xdr:col>
      <xdr:colOff>21590</xdr:colOff>
      <xdr:row>4</xdr:row>
      <xdr:rowOff>40640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AC9A0946-A856-4268-B15F-48296EB9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4</xdr:col>
      <xdr:colOff>323215</xdr:colOff>
      <xdr:row>4</xdr:row>
      <xdr:rowOff>18415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488AC147-9A28-4247-9C59-D3F7DB87A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</xdr:colOff>
      <xdr:row>0</xdr:row>
      <xdr:rowOff>83820</xdr:rowOff>
    </xdr:from>
    <xdr:to>
      <xdr:col>1</xdr:col>
      <xdr:colOff>2473642</xdr:colOff>
      <xdr:row>2</xdr:row>
      <xdr:rowOff>169571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FA72DDDA-FA37-46B5-8675-2048437EC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83820"/>
          <a:ext cx="2448877" cy="4381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47625</xdr:rowOff>
    </xdr:from>
    <xdr:to>
      <xdr:col>1</xdr:col>
      <xdr:colOff>758327</xdr:colOff>
      <xdr:row>1</xdr:row>
      <xdr:rowOff>167640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8B830B-6F20-4744-8ACB-24AE0D7A6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47625"/>
          <a:ext cx="1567952" cy="314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2</xdr:col>
      <xdr:colOff>2381250</xdr:colOff>
      <xdr:row>3</xdr:row>
      <xdr:rowOff>95250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E46FF18B-B371-4B7C-8825-D65F73327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6480" cy="4495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2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14CE0B73-72F8-44EB-A3E0-3489A1E1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</xdr:colOff>
      <xdr:row>0</xdr:row>
      <xdr:rowOff>131445</xdr:rowOff>
    </xdr:from>
    <xdr:to>
      <xdr:col>3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19669104-D83E-4523-8582-044198513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6395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95250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9AB794A7-87F7-4441-8F3F-53E70C5D8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85725"/>
          <a:ext cx="2399994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RQUINERING%20SRL\Oficina%20Tecnica%20-%20Documentos\1.%20Obras%20en%20Curso\5.%20Mansilla%202920\00.%20Administraci&#243;n\01%20-%20Resumen%20de%20Obra\Mansilla%202920%20-%20Resumen%20de%20Obra.xlsx" TargetMode="External"/><Relationship Id="rId1" Type="http://schemas.openxmlformats.org/officeDocument/2006/relationships/externalLinkPath" Target="file:///Z:\ARQUINERING%20SRL\Oficina%20Tecnica%20-%20Documentos\1.%20Obras%20en%20Curso\5.%20Mansilla%202920\00.%20Administraci&#243;n\01%20-%20Resumen%20de%20Obra\Mansilla%202920%20-%20Resumen%20de%20Obr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Z:\ARQUINERING%20SRL\Proyectos%20-%20Documentos\1.%20Obras%20en%20Curso\12.%20SVD%204140\01.%20El%20Salvador%204140\03.%20Plan%20de%20trabajo\01.%20Presupuesto%20para%20trabajar\El%20Salvador_Pres%2004%20(sin%20pintura)%20Nicolas.xlsx" TargetMode="External"/><Relationship Id="rId2" Type="http://schemas.microsoft.com/office/2019/04/relationships/externalLinkLongPath" Target="https://arquineringms.sharepoint.com/ARQUINERING%20SRL/Proyectos%20-%20Documentos/1.%20Obras%20en%20Curso/12.%20SVD%204140/01.%20El%20Salvador%204140/03.%20Plan%20de%20trabajo/01.%20Presupuesto%20para%20trabajar/El%20Salvador_Pres%2004%20(sin%20pintura)%20Nicolas.xlsx?D8D33413" TargetMode="External"/><Relationship Id="rId1" Type="http://schemas.openxmlformats.org/officeDocument/2006/relationships/externalLinkPath" Target="file:///\\D8D33413\El%20Salvador_Pres%2004%20(sin%20pintura)%20Nicola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eandro.casalla/AppData/Local/Microsoft/Windows/INetCache/Content.Outlook/U3I9D2G8/SVD%204140%20-%20Ba&#241;eras%20Dic%2025.xlsx" TargetMode="External"/><Relationship Id="rId2" Type="http://schemas.openxmlformats.org/officeDocument/2006/relationships/externalLinkPath" Target="file:///C:\Users\leandro.casalla\AppData\Local\Microsoft\Windows\INetCache\Content.Outlook\U3I9D2G8\SVD%204140%20-%20Ba&#241;eras%20Dic%2025.xlsx" TargetMode="External"/><Relationship Id="rId1" Type="http://schemas.openxmlformats.org/officeDocument/2006/relationships/externalLinkPath" Target="/Users/leandro.casalla/AppData/Local/Microsoft/Windows/INetCache/Content.Outlook/U3I9D2G8/SVD%204140%20-%20Ba&#241;eras%20Dic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DE OBRA"/>
      <sheetName val="Resumen Gral"/>
      <sheetName val="Res. Pto #1 - #2"/>
      <sheetName val="Res. Pto #3"/>
      <sheetName val="Res. Pto #4"/>
      <sheetName val="Res. Pto #5"/>
      <sheetName val="Res. Prov"/>
      <sheetName val="Facturacion"/>
      <sheetName val="Cash Flow"/>
      <sheetName val="PRES. APROB. ACT DIC 23"/>
      <sheetName val="PLOMM.O. "/>
      <sheetName val="ElectM.O."/>
      <sheetName val="PINTOR"/>
      <sheetName val="M.O."/>
      <sheetName val="Contratistas"/>
      <sheetName val="C. Gestión Pto #1 - #2"/>
      <sheetName val="C. Gestión Pto #3"/>
      <sheetName val="C. Gestión Pto 4"/>
      <sheetName val="C. Gestión Pto #5"/>
      <sheetName val="C. Gestión Pto Prov"/>
      <sheetName val="Pto Vta c descuent"/>
      <sheetName val="Pto Costos"/>
      <sheetName val="Pto Prov"/>
      <sheetName val="Adic"/>
      <sheetName val="ADIC 3"/>
      <sheetName val="GGBB"/>
      <sheetName val="Indice CAC"/>
      <sheetName val="Certif. Pto 1 - 2"/>
      <sheetName val="Certif. Pto 3"/>
      <sheetName val="Certif. Pto 4"/>
      <sheetName val="Certif. Pto 5"/>
      <sheetName val="Cert. Provisiones"/>
      <sheetName val="ADICIONALES"/>
      <sheetName val="ADICIONALES (2)"/>
      <sheetName val="Facturacion 01-2026"/>
      <sheetName val="TC USD MEP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ING SALV4140 03"/>
      <sheetName val="INFO."/>
      <sheetName val="01"/>
      <sheetName val="Tareas"/>
      <sheetName val="GGBB"/>
      <sheetName val="Locales"/>
      <sheetName val="Computo"/>
      <sheetName val="INCEND"/>
      <sheetName val="ELECT"/>
      <sheetName val="Cotizaciones"/>
      <sheetName val="SUBCONTRATOS"/>
      <sheetName val="APU 09.24"/>
      <sheetName val="P.MO 09.24"/>
      <sheetName val="H°A° "/>
      <sheetName val="MO HA SILVA"/>
      <sheetName val="MO HA AING"/>
      <sheetName val="COVE"/>
      <sheetName val="ENCOFRADO "/>
      <sheetName val="Mampostería"/>
      <sheetName val="CALEFA"/>
    </sheetNames>
    <sheetDataSet>
      <sheetData sheetId="0"/>
      <sheetData sheetId="1">
        <row r="6">
          <cell r="C6">
            <v>1618.5</v>
          </cell>
        </row>
      </sheetData>
      <sheetData sheetId="2"/>
      <sheetData sheetId="3">
        <row r="8">
          <cell r="H8">
            <v>0</v>
          </cell>
          <cell r="I8">
            <v>41666.666666666664</v>
          </cell>
          <cell r="Q8">
            <v>172653.20827272726</v>
          </cell>
          <cell r="R8">
            <v>83223.728710953277</v>
          </cell>
        </row>
        <row r="12">
          <cell r="H12">
            <v>79773.18271975957</v>
          </cell>
          <cell r="I12">
            <v>0</v>
          </cell>
          <cell r="Q12">
            <v>0</v>
          </cell>
          <cell r="R12">
            <v>30923.374054493801</v>
          </cell>
        </row>
        <row r="22">
          <cell r="H22">
            <v>2300856.6973553719</v>
          </cell>
          <cell r="I22">
            <v>100000</v>
          </cell>
          <cell r="Q22">
            <v>500000</v>
          </cell>
          <cell r="R22">
            <v>3016332.5020954548</v>
          </cell>
        </row>
        <row r="44">
          <cell r="H44">
            <v>795578.51239669416</v>
          </cell>
          <cell r="I44">
            <v>50000</v>
          </cell>
          <cell r="Q44">
            <v>0</v>
          </cell>
          <cell r="R44">
            <v>511535.56413257582</v>
          </cell>
        </row>
        <row r="51">
          <cell r="H51">
            <v>680400</v>
          </cell>
          <cell r="I51">
            <v>0</v>
          </cell>
          <cell r="Q51">
            <v>0</v>
          </cell>
          <cell r="R51">
            <v>421419.88959943189</v>
          </cell>
        </row>
        <row r="61">
          <cell r="H61">
            <v>0</v>
          </cell>
          <cell r="I61">
            <v>0</v>
          </cell>
          <cell r="Q61">
            <v>339320.84018972021</v>
          </cell>
          <cell r="R61">
            <v>0</v>
          </cell>
        </row>
        <row r="66">
          <cell r="H66">
            <v>0</v>
          </cell>
          <cell r="I66">
            <v>0</v>
          </cell>
          <cell r="Q66">
            <v>18399.999999999996</v>
          </cell>
          <cell r="R66">
            <v>7809.6200401747619</v>
          </cell>
        </row>
        <row r="70">
          <cell r="H70">
            <v>3440.8602150537636</v>
          </cell>
          <cell r="I70">
            <v>1612.9032258064517</v>
          </cell>
          <cell r="Q70">
            <v>0</v>
          </cell>
          <cell r="R70">
            <v>14213.22346320137</v>
          </cell>
        </row>
        <row r="75">
          <cell r="H75">
            <v>17364.127814814812</v>
          </cell>
          <cell r="I75">
            <v>0</v>
          </cell>
          <cell r="Q75">
            <v>0</v>
          </cell>
          <cell r="R75">
            <v>6926.4989701940704</v>
          </cell>
        </row>
        <row r="81">
          <cell r="H81">
            <v>451217.9481498308</v>
          </cell>
          <cell r="I81">
            <v>0</v>
          </cell>
          <cell r="Q81">
            <v>0</v>
          </cell>
          <cell r="R81">
            <v>426669.71598600381</v>
          </cell>
        </row>
        <row r="95">
          <cell r="H95">
            <v>13939.39393939394</v>
          </cell>
          <cell r="I95">
            <v>0</v>
          </cell>
          <cell r="Q95">
            <v>0</v>
          </cell>
          <cell r="R95">
            <v>4329.9039997714654</v>
          </cell>
        </row>
        <row r="101">
          <cell r="H101">
            <v>0</v>
          </cell>
          <cell r="I101">
            <v>5135.3398886713831</v>
          </cell>
          <cell r="Q101">
            <v>12817.951531348474</v>
          </cell>
          <cell r="R101">
            <v>0</v>
          </cell>
        </row>
        <row r="106">
          <cell r="H106">
            <v>0</v>
          </cell>
          <cell r="I106">
            <v>0</v>
          </cell>
          <cell r="Q106">
            <v>10160.57133582501</v>
          </cell>
          <cell r="R106">
            <v>0</v>
          </cell>
        </row>
        <row r="108">
          <cell r="H108">
            <v>0</v>
          </cell>
          <cell r="I108">
            <v>1217.7454545454545</v>
          </cell>
          <cell r="Q108">
            <v>10673.73150430102</v>
          </cell>
          <cell r="R108">
            <v>0</v>
          </cell>
        </row>
        <row r="111">
          <cell r="H111">
            <v>1076227.6597</v>
          </cell>
          <cell r="I111">
            <v>0</v>
          </cell>
          <cell r="Q111">
            <v>0</v>
          </cell>
          <cell r="R111">
            <v>826143.61379857967</v>
          </cell>
        </row>
        <row r="116">
          <cell r="H116">
            <v>215055.49523360003</v>
          </cell>
          <cell r="I116">
            <v>0</v>
          </cell>
          <cell r="Q116">
            <v>0</v>
          </cell>
          <cell r="R116">
            <v>165228.72275971592</v>
          </cell>
        </row>
        <row r="122">
          <cell r="H122">
            <v>0</v>
          </cell>
          <cell r="I122">
            <v>203505.44198054407</v>
          </cell>
          <cell r="Q122">
            <v>0</v>
          </cell>
          <cell r="R122">
            <v>1383533.8263977272</v>
          </cell>
        </row>
        <row r="125">
          <cell r="H125">
            <v>2447.0972090502642</v>
          </cell>
          <cell r="I125">
            <v>0</v>
          </cell>
          <cell r="Q125">
            <v>0</v>
          </cell>
          <cell r="R125">
            <v>12299.732995391207</v>
          </cell>
        </row>
        <row r="130">
          <cell r="H130">
            <v>7086.2110616656082</v>
          </cell>
          <cell r="I130">
            <v>0</v>
          </cell>
          <cell r="Q130">
            <v>0</v>
          </cell>
          <cell r="R130">
            <v>10591.584792289481</v>
          </cell>
        </row>
        <row r="135">
          <cell r="H135">
            <v>44376.421876106186</v>
          </cell>
          <cell r="I135">
            <v>0</v>
          </cell>
          <cell r="Q135">
            <v>1659.2920353982302</v>
          </cell>
          <cell r="R135">
            <v>11877.483062341447</v>
          </cell>
        </row>
        <row r="148">
          <cell r="H148">
            <v>3132.231404958678</v>
          </cell>
          <cell r="I148">
            <v>0</v>
          </cell>
          <cell r="Q148">
            <v>0</v>
          </cell>
          <cell r="R148">
            <v>2684.888248793714</v>
          </cell>
        </row>
        <row r="153">
          <cell r="H153">
            <v>0</v>
          </cell>
          <cell r="I153">
            <v>5770.2850618361972</v>
          </cell>
          <cell r="Q153">
            <v>12817.951531348474</v>
          </cell>
          <cell r="R153">
            <v>0</v>
          </cell>
        </row>
        <row r="157">
          <cell r="H157">
            <v>349.58695136406493</v>
          </cell>
          <cell r="I157">
            <v>349.58695136406493</v>
          </cell>
          <cell r="Q157">
            <v>0</v>
          </cell>
          <cell r="R157">
            <v>2914.3266198611054</v>
          </cell>
        </row>
        <row r="166">
          <cell r="H166">
            <v>13327.501195326317</v>
          </cell>
          <cell r="I166">
            <v>0</v>
          </cell>
          <cell r="Q166">
            <v>44901.004229325525</v>
          </cell>
          <cell r="R166">
            <v>0</v>
          </cell>
        </row>
        <row r="168">
          <cell r="H168">
            <v>756143.49726719991</v>
          </cell>
          <cell r="I168">
            <v>0</v>
          </cell>
          <cell r="Q168">
            <v>2547484.4737344817</v>
          </cell>
          <cell r="R168">
            <v>0</v>
          </cell>
        </row>
        <row r="200">
          <cell r="H200">
            <v>84804.805000000008</v>
          </cell>
          <cell r="I200">
            <v>18052.636608644149</v>
          </cell>
          <cell r="Q200">
            <v>0</v>
          </cell>
          <cell r="R200">
            <v>247059.61185673703</v>
          </cell>
        </row>
        <row r="212">
          <cell r="H212">
            <v>0</v>
          </cell>
          <cell r="I212">
            <v>200000</v>
          </cell>
          <cell r="Q212">
            <v>0</v>
          </cell>
          <cell r="R212">
            <v>326801.24153285986</v>
          </cell>
        </row>
        <row r="216">
          <cell r="H216">
            <v>2388097.2693333332</v>
          </cell>
          <cell r="I216">
            <v>0</v>
          </cell>
          <cell r="Q216">
            <v>0</v>
          </cell>
          <cell r="R216">
            <v>1222808.0771714395</v>
          </cell>
        </row>
        <row r="223">
          <cell r="H223">
            <v>0</v>
          </cell>
          <cell r="I223">
            <v>50000</v>
          </cell>
          <cell r="Q223">
            <v>0</v>
          </cell>
          <cell r="R223">
            <v>495686.16827914771</v>
          </cell>
        </row>
        <row r="227">
          <cell r="H227">
            <v>0</v>
          </cell>
          <cell r="I227">
            <v>25000</v>
          </cell>
          <cell r="Q227">
            <v>0</v>
          </cell>
          <cell r="R227">
            <v>329565.96569537499</v>
          </cell>
        </row>
        <row r="233">
          <cell r="H233">
            <v>0</v>
          </cell>
          <cell r="I233">
            <v>0</v>
          </cell>
          <cell r="R233">
            <v>0</v>
          </cell>
        </row>
      </sheetData>
      <sheetData sheetId="4">
        <row r="4">
          <cell r="F4">
            <v>14</v>
          </cell>
          <cell r="G4">
            <v>1005</v>
          </cell>
          <cell r="H4">
            <v>1170</v>
          </cell>
        </row>
        <row r="5">
          <cell r="Q5">
            <v>4</v>
          </cell>
        </row>
        <row r="12">
          <cell r="J12">
            <v>2578960.5819999999</v>
          </cell>
          <cell r="R12">
            <v>4</v>
          </cell>
        </row>
        <row r="13">
          <cell r="J13">
            <v>150000</v>
          </cell>
        </row>
        <row r="21">
          <cell r="J21">
            <v>3798370.5819999999</v>
          </cell>
        </row>
        <row r="25">
          <cell r="H25"/>
        </row>
        <row r="27">
          <cell r="J27">
            <v>500000</v>
          </cell>
        </row>
        <row r="29">
          <cell r="J29">
            <v>1198421.6934377272</v>
          </cell>
        </row>
        <row r="34">
          <cell r="J34"/>
        </row>
        <row r="66">
          <cell r="F66">
            <v>1.2568825695365058</v>
          </cell>
        </row>
      </sheetData>
      <sheetData sheetId="5">
        <row r="144">
          <cell r="N144">
            <v>878</v>
          </cell>
          <cell r="O144">
            <v>235</v>
          </cell>
          <cell r="P144">
            <v>48</v>
          </cell>
          <cell r="Q144">
            <v>104</v>
          </cell>
          <cell r="R144">
            <v>564</v>
          </cell>
          <cell r="S144">
            <v>438</v>
          </cell>
          <cell r="U144">
            <v>2514.8970000000013</v>
          </cell>
          <cell r="V144">
            <v>509.9</v>
          </cell>
          <cell r="W144">
            <v>198</v>
          </cell>
          <cell r="X144">
            <v>670.322</v>
          </cell>
          <cell r="Y144">
            <v>995.85109999999997</v>
          </cell>
          <cell r="AB144">
            <v>48</v>
          </cell>
          <cell r="AC144">
            <v>262</v>
          </cell>
          <cell r="AF144">
            <v>334.91519999999997</v>
          </cell>
          <cell r="AG144">
            <v>280.3913</v>
          </cell>
          <cell r="AH144">
            <v>1058.3799999999997</v>
          </cell>
          <cell r="AI144">
            <v>60.8</v>
          </cell>
          <cell r="AK144">
            <v>504.12220000000002</v>
          </cell>
          <cell r="AL144">
            <v>555.99</v>
          </cell>
          <cell r="AN144">
            <v>429.07780000000002</v>
          </cell>
          <cell r="AQ144">
            <v>47</v>
          </cell>
          <cell r="AU144">
            <v>7</v>
          </cell>
          <cell r="BI144">
            <v>226</v>
          </cell>
          <cell r="BJ144">
            <v>30</v>
          </cell>
          <cell r="BK144">
            <v>942</v>
          </cell>
          <cell r="BL144">
            <v>110</v>
          </cell>
          <cell r="BM144">
            <v>185</v>
          </cell>
          <cell r="BN144">
            <v>128</v>
          </cell>
          <cell r="BP144">
            <v>48</v>
          </cell>
          <cell r="BQ144">
            <v>779</v>
          </cell>
          <cell r="BR144">
            <v>37</v>
          </cell>
          <cell r="BS144">
            <v>433</v>
          </cell>
          <cell r="BT144">
            <v>155</v>
          </cell>
          <cell r="BV144">
            <v>40</v>
          </cell>
          <cell r="BW144">
            <v>511</v>
          </cell>
          <cell r="BX144">
            <v>961</v>
          </cell>
          <cell r="BY144">
            <v>2670</v>
          </cell>
          <cell r="CA144">
            <v>422</v>
          </cell>
          <cell r="CB144">
            <v>518</v>
          </cell>
          <cell r="CC144">
            <v>612</v>
          </cell>
          <cell r="CE144">
            <v>17</v>
          </cell>
          <cell r="CG144">
            <v>33</v>
          </cell>
          <cell r="CH144">
            <v>27</v>
          </cell>
          <cell r="CI144">
            <v>137</v>
          </cell>
          <cell r="CJ144">
            <v>392</v>
          </cell>
          <cell r="CK144">
            <v>19</v>
          </cell>
          <cell r="CL144">
            <v>150</v>
          </cell>
          <cell r="CM144">
            <v>16</v>
          </cell>
          <cell r="CP144">
            <v>35</v>
          </cell>
          <cell r="CQ144">
            <v>16</v>
          </cell>
          <cell r="CR144">
            <v>46</v>
          </cell>
          <cell r="CS144">
            <v>17</v>
          </cell>
          <cell r="CT144">
            <v>11</v>
          </cell>
        </row>
        <row r="146">
          <cell r="BG146">
            <v>51</v>
          </cell>
          <cell r="CO146">
            <v>349</v>
          </cell>
        </row>
        <row r="147">
          <cell r="AA147">
            <v>139.05000000000001</v>
          </cell>
          <cell r="AD147">
            <v>510</v>
          </cell>
          <cell r="AS147">
            <v>23</v>
          </cell>
        </row>
      </sheetData>
      <sheetData sheetId="6">
        <row r="53">
          <cell r="F53">
            <v>93</v>
          </cell>
        </row>
        <row r="78">
          <cell r="C78">
            <v>76</v>
          </cell>
        </row>
        <row r="128">
          <cell r="H128">
            <v>122</v>
          </cell>
        </row>
        <row r="131">
          <cell r="E131">
            <v>31.200000000000003</v>
          </cell>
        </row>
        <row r="149">
          <cell r="E149">
            <v>41</v>
          </cell>
        </row>
        <row r="169">
          <cell r="H169">
            <v>147.60100000000003</v>
          </cell>
        </row>
        <row r="185">
          <cell r="H185">
            <v>30.053999999999998</v>
          </cell>
        </row>
        <row r="222">
          <cell r="O222">
            <v>728.48019999999985</v>
          </cell>
        </row>
        <row r="223">
          <cell r="O223">
            <v>678.25199999999995</v>
          </cell>
        </row>
        <row r="233">
          <cell r="H233">
            <v>876.08119999999985</v>
          </cell>
        </row>
        <row r="260">
          <cell r="J260">
            <v>678.25199999999995</v>
          </cell>
        </row>
        <row r="264">
          <cell r="F264">
            <v>182</v>
          </cell>
        </row>
      </sheetData>
      <sheetData sheetId="7">
        <row r="4">
          <cell r="H4">
            <v>2093587.3781549993</v>
          </cell>
        </row>
        <row r="9">
          <cell r="P9">
            <v>1987743.7769768753</v>
          </cell>
        </row>
      </sheetData>
      <sheetData sheetId="8">
        <row r="5">
          <cell r="I5">
            <v>1524162.9241119854</v>
          </cell>
        </row>
        <row r="29">
          <cell r="I29">
            <v>651921.59563010593</v>
          </cell>
        </row>
        <row r="39">
          <cell r="I39">
            <v>304564.37296813715</v>
          </cell>
        </row>
        <row r="46">
          <cell r="I46">
            <v>540706.66411583603</v>
          </cell>
        </row>
        <row r="56">
          <cell r="I56">
            <v>178279.69798522911</v>
          </cell>
        </row>
        <row r="64">
          <cell r="I64">
            <v>246945.70801345402</v>
          </cell>
        </row>
        <row r="74">
          <cell r="I74">
            <v>1261512.1510117827</v>
          </cell>
        </row>
        <row r="80">
          <cell r="I80">
            <v>5844722.2283497546</v>
          </cell>
        </row>
        <row r="115">
          <cell r="I115">
            <v>607800.87756291637</v>
          </cell>
        </row>
        <row r="152">
          <cell r="I152">
            <v>2952724.076651874</v>
          </cell>
        </row>
      </sheetData>
      <sheetData sheetId="9">
        <row r="23">
          <cell r="D23">
            <v>115100</v>
          </cell>
        </row>
        <row r="26">
          <cell r="D26">
            <v>533000</v>
          </cell>
        </row>
        <row r="27">
          <cell r="D27">
            <v>5330</v>
          </cell>
        </row>
        <row r="46">
          <cell r="D46">
            <v>73872.139857742732</v>
          </cell>
        </row>
        <row r="47">
          <cell r="D47">
            <v>12312.02330962379</v>
          </cell>
        </row>
        <row r="49">
          <cell r="D49">
            <v>3502.8</v>
          </cell>
        </row>
        <row r="68">
          <cell r="D68">
            <v>15666.94214876033</v>
          </cell>
        </row>
        <row r="498">
          <cell r="I498">
            <v>24772.727272727276</v>
          </cell>
        </row>
      </sheetData>
      <sheetData sheetId="10">
        <row r="15">
          <cell r="D15">
            <v>100127.46103958957</v>
          </cell>
        </row>
        <row r="29">
          <cell r="D29">
            <v>10160.57133582501</v>
          </cell>
        </row>
        <row r="32">
          <cell r="D32">
            <v>8597.4065149288563</v>
          </cell>
        </row>
        <row r="34">
          <cell r="D34">
            <v>7815.8241044807764</v>
          </cell>
        </row>
        <row r="35">
          <cell r="D35">
            <v>10942.153746273088</v>
          </cell>
        </row>
        <row r="37">
          <cell r="D37">
            <v>375000</v>
          </cell>
        </row>
        <row r="38">
          <cell r="D38">
            <v>213888.88888888888</v>
          </cell>
        </row>
        <row r="39">
          <cell r="D39">
            <v>189000</v>
          </cell>
        </row>
        <row r="41">
          <cell r="D41">
            <v>22868.3</v>
          </cell>
        </row>
        <row r="43">
          <cell r="D43">
            <v>32886.699999999997</v>
          </cell>
        </row>
        <row r="45">
          <cell r="D45">
            <v>7270.9</v>
          </cell>
        </row>
        <row r="46">
          <cell r="D46">
            <v>11158</v>
          </cell>
        </row>
        <row r="47">
          <cell r="D47">
            <v>64399.999999999993</v>
          </cell>
        </row>
        <row r="49">
          <cell r="D49">
            <v>17500</v>
          </cell>
        </row>
        <row r="50">
          <cell r="D50">
            <v>219841.65</v>
          </cell>
        </row>
        <row r="51">
          <cell r="D51">
            <v>329747.40000000002</v>
          </cell>
        </row>
        <row r="54">
          <cell r="D54">
            <v>292642.69999999995</v>
          </cell>
        </row>
        <row r="55">
          <cell r="D55">
            <v>92822.099999999991</v>
          </cell>
        </row>
        <row r="56">
          <cell r="D56">
            <v>85483.299999999988</v>
          </cell>
        </row>
        <row r="57">
          <cell r="D57">
            <v>122165.4</v>
          </cell>
        </row>
        <row r="58">
          <cell r="D58">
            <v>61050.499999999993</v>
          </cell>
        </row>
        <row r="60">
          <cell r="D60">
            <v>16174656.500288332</v>
          </cell>
        </row>
        <row r="62">
          <cell r="D62">
            <v>8896061.075158583</v>
          </cell>
        </row>
        <row r="63">
          <cell r="D63">
            <v>4852396.9500864996</v>
          </cell>
        </row>
        <row r="64">
          <cell r="D64">
            <v>2426198.4750432498</v>
          </cell>
        </row>
        <row r="67">
          <cell r="D67">
            <v>7800000</v>
          </cell>
        </row>
      </sheetData>
      <sheetData sheetId="11">
        <row r="12">
          <cell r="E12">
            <v>11614.317938669499</v>
          </cell>
          <cell r="H12">
            <v>17863.897921877706</v>
          </cell>
          <cell r="K12">
            <v>491.0742091256746</v>
          </cell>
        </row>
        <row r="13">
          <cell r="E13">
            <v>6545.2009385010006</v>
          </cell>
          <cell r="H13">
            <v>8336.4856968762633</v>
          </cell>
          <cell r="K13">
            <v>229.16796425864814</v>
          </cell>
        </row>
        <row r="14">
          <cell r="E14">
            <v>8229.0499349999991</v>
          </cell>
          <cell r="H14">
            <v>8336.4856968762633</v>
          </cell>
          <cell r="K14">
            <v>229.16796425864814</v>
          </cell>
        </row>
        <row r="17">
          <cell r="E17">
            <v>11461.565498830503</v>
          </cell>
          <cell r="H17">
            <v>8336.4856968762633</v>
          </cell>
          <cell r="K17">
            <v>229.16796425864814</v>
          </cell>
        </row>
        <row r="18">
          <cell r="E18">
            <v>3816.1086480000004</v>
          </cell>
          <cell r="H18">
            <v>46892.732044928976</v>
          </cell>
          <cell r="K18">
            <v>394.92625606475576</v>
          </cell>
        </row>
        <row r="19">
          <cell r="E19">
            <v>1396.3488462000003</v>
          </cell>
          <cell r="H19">
            <v>31261.821363285984</v>
          </cell>
          <cell r="K19">
            <v>197.46312803237788</v>
          </cell>
        </row>
        <row r="21">
          <cell r="E21">
            <v>758.10738300000003</v>
          </cell>
          <cell r="H21">
            <v>3395.9551113285988</v>
          </cell>
          <cell r="K21">
            <v>122.76855228141865</v>
          </cell>
        </row>
        <row r="22">
          <cell r="E22">
            <v>2606.0755930000005</v>
          </cell>
          <cell r="H22">
            <v>17928.383737307293</v>
          </cell>
          <cell r="K22">
            <v>572.91991064662034</v>
          </cell>
        </row>
        <row r="23">
          <cell r="E23">
            <v>3747.8693230000003</v>
          </cell>
          <cell r="H23">
            <v>9136.8339619578401</v>
          </cell>
          <cell r="K23">
            <v>298.91473598954104</v>
          </cell>
        </row>
        <row r="24">
          <cell r="E24">
            <v>3747.8693230000003</v>
          </cell>
          <cell r="H24">
            <v>13134.198820314396</v>
          </cell>
          <cell r="K24">
            <v>766.41029483988711</v>
          </cell>
        </row>
        <row r="25">
          <cell r="E25">
            <v>65090.126871000008</v>
          </cell>
          <cell r="H25">
            <v>75906.445283214955</v>
          </cell>
          <cell r="K25">
            <v>2256.7214632271757</v>
          </cell>
        </row>
        <row r="26">
          <cell r="E26">
            <v>3180.0905400000011</v>
          </cell>
          <cell r="H26">
            <v>6505.5636652352905</v>
          </cell>
          <cell r="K26">
            <v>210.62733656786975</v>
          </cell>
        </row>
        <row r="27">
          <cell r="E27">
            <v>6431.816156095043</v>
          </cell>
          <cell r="H27">
            <v>8572.2516609388531</v>
          </cell>
          <cell r="K27">
            <v>116.9025805965067</v>
          </cell>
        </row>
        <row r="29">
          <cell r="E29">
            <v>3816.1086480000013</v>
          </cell>
          <cell r="H29">
            <v>8702.6232034659097</v>
          </cell>
          <cell r="K29">
            <v>274.73130856678659</v>
          </cell>
        </row>
        <row r="31">
          <cell r="E31">
            <v>3131.6140255000005</v>
          </cell>
          <cell r="H31">
            <v>7422.6925710367968</v>
          </cell>
          <cell r="K31">
            <v>234.75350228517792</v>
          </cell>
        </row>
        <row r="35">
          <cell r="K35">
            <v>176.93378676788083</v>
          </cell>
        </row>
        <row r="36">
          <cell r="E36">
            <v>7250.1086533719017</v>
          </cell>
          <cell r="H36">
            <v>9992.0861533187654</v>
          </cell>
          <cell r="K36">
            <v>219.89812852357096</v>
          </cell>
        </row>
        <row r="37">
          <cell r="E37">
            <v>7250.1086533719017</v>
          </cell>
          <cell r="H37">
            <v>12989.711999314395</v>
          </cell>
          <cell r="K37">
            <v>285.86756708064229</v>
          </cell>
        </row>
        <row r="38">
          <cell r="E38">
            <v>1185.4173163966941</v>
          </cell>
          <cell r="H38">
            <v>4329.9039997714654</v>
          </cell>
          <cell r="K38">
            <v>95.289189026880749</v>
          </cell>
        </row>
        <row r="40">
          <cell r="E40">
            <v>9357.531771197835</v>
          </cell>
          <cell r="H40">
            <v>13673.38105190989</v>
          </cell>
          <cell r="K40">
            <v>256.8223600688724</v>
          </cell>
        </row>
        <row r="41">
          <cell r="E41">
            <v>13094.309718890145</v>
          </cell>
          <cell r="H41">
            <v>13673.38105190989</v>
          </cell>
          <cell r="K41">
            <v>256.8223600688724</v>
          </cell>
        </row>
        <row r="50">
          <cell r="E50">
            <v>9809.5604040679573</v>
          </cell>
          <cell r="H50">
            <v>5001.8914181257578</v>
          </cell>
          <cell r="K50">
            <v>31.337344543287259</v>
          </cell>
        </row>
        <row r="56">
          <cell r="E56">
            <v>1273.3407295555555</v>
          </cell>
          <cell r="H56">
            <v>1563.0910681642993</v>
          </cell>
          <cell r="K56">
            <v>9.7929201697772683</v>
          </cell>
        </row>
        <row r="60">
          <cell r="E60">
            <v>1093.3011417</v>
          </cell>
          <cell r="H60">
            <v>5007.5365484381318</v>
          </cell>
          <cell r="K60">
            <v>162.65416137695254</v>
          </cell>
        </row>
        <row r="62">
          <cell r="E62">
            <v>14352.049965449041</v>
          </cell>
          <cell r="H62">
            <v>9788.1500996957348</v>
          </cell>
          <cell r="K62">
            <v>298.91473598954104</v>
          </cell>
        </row>
        <row r="63">
          <cell r="E63">
            <v>13184.711802349999</v>
          </cell>
          <cell r="K63">
            <v>1623.6466772663525</v>
          </cell>
        </row>
        <row r="64">
          <cell r="E64">
            <v>11193.920501279999</v>
          </cell>
          <cell r="K64">
            <v>1623.6466772663525</v>
          </cell>
        </row>
        <row r="80">
          <cell r="E80">
            <v>2322.5571895000003</v>
          </cell>
          <cell r="H80">
            <v>3755.6524113285986</v>
          </cell>
          <cell r="K80">
            <v>93.674384885486944</v>
          </cell>
        </row>
        <row r="89">
          <cell r="E89">
            <v>2180.3602315000003</v>
          </cell>
          <cell r="H89">
            <v>3004.5219290628793</v>
          </cell>
          <cell r="K89">
            <v>74.939507908389544</v>
          </cell>
        </row>
      </sheetData>
      <sheetData sheetId="12">
        <row r="4">
          <cell r="B4">
            <v>75113.048226571977</v>
          </cell>
        </row>
        <row r="5">
          <cell r="B5">
            <v>65360.248306571972</v>
          </cell>
        </row>
        <row r="6">
          <cell r="B6">
            <v>54784.071766571964</v>
          </cell>
        </row>
        <row r="7">
          <cell r="B7">
            <v>49934.237226571968</v>
          </cell>
        </row>
      </sheetData>
      <sheetData sheetId="13">
        <row r="4">
          <cell r="M4">
            <v>10</v>
          </cell>
        </row>
        <row r="5">
          <cell r="M5">
            <v>40</v>
          </cell>
        </row>
        <row r="6">
          <cell r="M6">
            <v>179</v>
          </cell>
        </row>
        <row r="7">
          <cell r="M7">
            <v>28</v>
          </cell>
        </row>
        <row r="8">
          <cell r="M8">
            <v>177</v>
          </cell>
        </row>
        <row r="9">
          <cell r="M9">
            <v>65</v>
          </cell>
        </row>
        <row r="10">
          <cell r="M10">
            <v>28</v>
          </cell>
        </row>
        <row r="11">
          <cell r="M11">
            <v>54</v>
          </cell>
        </row>
        <row r="12">
          <cell r="M12">
            <v>11</v>
          </cell>
        </row>
        <row r="13">
          <cell r="M13">
            <v>12</v>
          </cell>
        </row>
        <row r="14">
          <cell r="M14">
            <v>3</v>
          </cell>
        </row>
        <row r="15">
          <cell r="O15">
            <v>71835</v>
          </cell>
        </row>
        <row r="29">
          <cell r="L29">
            <v>641</v>
          </cell>
          <cell r="M29">
            <v>161741.24102964118</v>
          </cell>
        </row>
        <row r="34">
          <cell r="P34">
            <v>14</v>
          </cell>
        </row>
        <row r="40">
          <cell r="E40">
            <v>1675.9465</v>
          </cell>
          <cell r="T40">
            <v>123492.85714285714</v>
          </cell>
        </row>
        <row r="46">
          <cell r="F46">
            <v>55068.821745306559</v>
          </cell>
        </row>
        <row r="47">
          <cell r="F47">
            <v>70843.445714285714</v>
          </cell>
        </row>
        <row r="50">
          <cell r="F50">
            <v>2471.4097794822628</v>
          </cell>
        </row>
        <row r="51">
          <cell r="F51">
            <v>32975.501438159154</v>
          </cell>
        </row>
        <row r="52">
          <cell r="F52">
            <v>40150.005369127517</v>
          </cell>
        </row>
        <row r="53">
          <cell r="F53">
            <v>94228.958133589011</v>
          </cell>
        </row>
        <row r="54">
          <cell r="F54">
            <v>92072.316554809833</v>
          </cell>
        </row>
        <row r="55">
          <cell r="F55">
            <v>70843.445714285714</v>
          </cell>
        </row>
        <row r="57">
          <cell r="F57">
            <v>60951.378715244486</v>
          </cell>
        </row>
        <row r="60">
          <cell r="F60">
            <v>68185.041030872468</v>
          </cell>
        </row>
        <row r="69">
          <cell r="H69">
            <v>1266</v>
          </cell>
        </row>
        <row r="87">
          <cell r="H87">
            <v>2</v>
          </cell>
        </row>
        <row r="93">
          <cell r="E93">
            <v>35</v>
          </cell>
        </row>
      </sheetData>
      <sheetData sheetId="14"/>
      <sheetData sheetId="15">
        <row r="5">
          <cell r="C5">
            <v>175255.95855287916</v>
          </cell>
        </row>
        <row r="6">
          <cell r="C6">
            <v>253994.14283025966</v>
          </cell>
        </row>
        <row r="47">
          <cell r="D47">
            <v>273658.44999334484</v>
          </cell>
        </row>
        <row r="72">
          <cell r="D72">
            <v>307690.19241546135</v>
          </cell>
        </row>
        <row r="99">
          <cell r="D99">
            <v>462949.29028534138</v>
          </cell>
        </row>
        <row r="123">
          <cell r="D123">
            <v>191068.28444151493</v>
          </cell>
        </row>
        <row r="148">
          <cell r="D148">
            <v>283180.31554461533</v>
          </cell>
        </row>
      </sheetData>
      <sheetData sheetId="16">
        <row r="22">
          <cell r="L22">
            <v>4362662.0991735533</v>
          </cell>
          <cell r="T22">
            <v>1363919.7599280113</v>
          </cell>
        </row>
        <row r="32">
          <cell r="L32">
            <v>225038.87603305787</v>
          </cell>
          <cell r="T32">
            <v>55670.194282775978</v>
          </cell>
        </row>
        <row r="34">
          <cell r="L34">
            <v>25391.962647337768</v>
          </cell>
          <cell r="T34">
            <v>43930.750332796262</v>
          </cell>
        </row>
      </sheetData>
      <sheetData sheetId="17">
        <row r="148">
          <cell r="G148">
            <v>8822750</v>
          </cell>
        </row>
      </sheetData>
      <sheetData sheetId="18">
        <row r="3">
          <cell r="L3">
            <v>819</v>
          </cell>
          <cell r="M3">
            <v>612</v>
          </cell>
          <cell r="N3">
            <v>636</v>
          </cell>
          <cell r="O3">
            <v>24</v>
          </cell>
          <cell r="P3">
            <v>195</v>
          </cell>
        </row>
      </sheetData>
      <sheetData sheetId="19">
        <row r="36">
          <cell r="F36">
            <v>8108346.1238842979</v>
          </cell>
        </row>
        <row r="46">
          <cell r="F46">
            <v>5535035.5999999996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DICIONALES"/>
      <sheetName val="Tareas"/>
      <sheetName val="Computo"/>
      <sheetName val="M.O 11.25"/>
      <sheetName val="APU 11.25"/>
    </sheetNames>
    <sheetDataSet>
      <sheetData sheetId="0"/>
      <sheetData sheetId="1">
        <row r="8">
          <cell r="G8">
            <v>49742.857142857145</v>
          </cell>
          <cell r="H8">
            <v>3657.1428571428573</v>
          </cell>
          <cell r="P8">
            <v>109282.45024857954</v>
          </cell>
          <cell r="Q8">
            <v>18213.74170809659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ías Castarataro" id="{9877FB95-8BD6-43D6-8463-A23F6D80CE44}" userId="S::matias.castarataro@arquinering.com::f13938ae-405c-413a-8a11-5bb41d9db49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6DCD2-49F8-4B06-9110-06B870EA247D}" name="ProyeCAC" displayName="ProyeCAC" ref="A5:C30" totalsRowShown="0" headerRowDxfId="161">
  <autoFilter ref="A5:C30" xr:uid="{A1F4C0C0-F70C-4DFC-95DE-DC769CD54EAF}">
    <filterColumn colId="0" hiddenButton="1"/>
    <filterColumn colId="1" hiddenButton="1"/>
    <filterColumn colId="2" hiddenButton="1"/>
  </autoFilter>
  <tableColumns count="3">
    <tableColumn id="1" xr3:uid="{C53DC71C-DDFA-4B27-A5C5-4AD16C513C69}" name="Escala de tiempo" dataDxfId="160"/>
    <tableColumn id="2" xr3:uid="{CECD4CE9-B3E4-4F9B-9147-A71CC92F1B90}" name="Valores"/>
    <tableColumn id="6" xr3:uid="{B7EA4AC4-782E-434D-B8F6-F0BF6FAC7FFE}" name="Indice" dataDxfId="159">
      <calculatedColumnFormula>$B$15/B6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8CC2E3-734F-4755-AFAC-BA8848074552}" name="Tabla1" displayName="Tabla1" ref="B5:C1811" headerRowDxfId="158" dataDxfId="157">
  <autoFilter ref="B5:C1811" xr:uid="{66D41966-1E50-4B3D-B502-9977FF4BE0D5}"/>
  <tableColumns count="2">
    <tableColumn id="1" xr3:uid="{7D8C6734-43A1-4637-AFB3-C1F83EF7DF1D}" name="Fecha" dataDxfId="156" totalsRowDxfId="155"/>
    <tableColumn id="2" xr3:uid="{E4C09CDC-7496-463F-BEA9-4774AA1915C5}" name="Referencia" dataDxfId="154" totalsRowDxfId="15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5" dT="2024-04-09T01:07:31.07" personId="{9877FB95-8BD6-43D6-8463-A23F6D80CE44}" id="{55DADAF3-A165-40EE-A4C3-16AB9160DA41}">
    <text>Estimo a la mitad de la pared a realizar de nuevo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4-04-09T01:07:31.07" personId="{9877FB95-8BD6-43D6-8463-A23F6D80CE44}" id="{8378F999-4DEB-4CE6-8446-E8AE18C28C02}">
    <text>Estimo a la mitad de la pared a realizar de nuevo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92C5-7835-4527-B290-F65271895F7C}">
  <sheetPr codeName="Hoja1"/>
  <dimension ref="A1:E55"/>
  <sheetViews>
    <sheetView workbookViewId="0"/>
  </sheetViews>
  <sheetFormatPr defaultColWidth="11.453125" defaultRowHeight="14" x14ac:dyDescent="0.3"/>
  <cols>
    <col min="1" max="1" width="28" style="69" customWidth="1"/>
    <col min="2" max="2" width="16.81640625" style="69" customWidth="1"/>
    <col min="3" max="3" width="15.7265625" style="69" customWidth="1"/>
    <col min="4" max="4" width="23" style="69" customWidth="1"/>
    <col min="5" max="5" width="17.453125" style="69" customWidth="1"/>
    <col min="6" max="16384" width="11.453125" style="69"/>
  </cols>
  <sheetData>
    <row r="1" spans="1:5" x14ac:dyDescent="0.3">
      <c r="D1" s="70" t="s">
        <v>237</v>
      </c>
    </row>
    <row r="2" spans="1:5" ht="18" x14ac:dyDescent="0.4">
      <c r="D2" s="71"/>
    </row>
    <row r="3" spans="1:5" ht="18" x14ac:dyDescent="0.4">
      <c r="D3" s="71"/>
    </row>
    <row r="6" spans="1:5" ht="15" customHeight="1" x14ac:dyDescent="0.3">
      <c r="A6" s="72" t="s">
        <v>234</v>
      </c>
      <c r="B6" s="204"/>
      <c r="C6" s="204"/>
      <c r="D6" s="204"/>
      <c r="E6" s="205"/>
    </row>
    <row r="7" spans="1:5" ht="15" customHeight="1" x14ac:dyDescent="0.3">
      <c r="A7" s="73" t="s">
        <v>0</v>
      </c>
      <c r="B7" s="74"/>
      <c r="C7" s="74"/>
      <c r="D7" s="74"/>
      <c r="E7" s="75"/>
    </row>
    <row r="8" spans="1:5" ht="15" customHeight="1" x14ac:dyDescent="0.3">
      <c r="A8" s="76" t="s">
        <v>235</v>
      </c>
      <c r="B8" s="103"/>
      <c r="C8" s="103"/>
      <c r="D8" s="103"/>
      <c r="E8" s="104"/>
    </row>
    <row r="9" spans="1:5" ht="15" customHeight="1" x14ac:dyDescent="0.3">
      <c r="A9" s="77"/>
      <c r="B9" s="77"/>
      <c r="C9" s="77"/>
      <c r="D9" s="77"/>
      <c r="E9" s="77"/>
    </row>
    <row r="11" spans="1:5" x14ac:dyDescent="0.3">
      <c r="A11" s="78" t="s">
        <v>1</v>
      </c>
      <c r="B11" s="79"/>
      <c r="D11" s="78" t="s">
        <v>2</v>
      </c>
      <c r="E11" s="80" t="s">
        <v>236</v>
      </c>
    </row>
    <row r="13" spans="1:5" x14ac:dyDescent="0.3">
      <c r="A13" s="78" t="s">
        <v>3</v>
      </c>
      <c r="B13" s="81"/>
      <c r="D13" s="78" t="s">
        <v>4</v>
      </c>
      <c r="E13" s="79"/>
    </row>
    <row r="14" spans="1:5" x14ac:dyDescent="0.3">
      <c r="A14" s="78" t="s">
        <v>5</v>
      </c>
      <c r="B14" s="82"/>
      <c r="D14" s="78" t="s">
        <v>6</v>
      </c>
      <c r="E14" s="83"/>
    </row>
    <row r="16" spans="1:5" x14ac:dyDescent="0.3">
      <c r="A16" s="84" t="s">
        <v>7</v>
      </c>
      <c r="B16" s="85"/>
      <c r="D16" s="84" t="s">
        <v>8</v>
      </c>
      <c r="E16" s="83"/>
    </row>
    <row r="17" spans="1:5" x14ac:dyDescent="0.3">
      <c r="A17" s="84" t="s">
        <v>9</v>
      </c>
      <c r="B17" s="86"/>
      <c r="D17" s="84" t="s">
        <v>10</v>
      </c>
      <c r="E17" s="83"/>
    </row>
    <row r="18" spans="1:5" x14ac:dyDescent="0.3">
      <c r="A18" s="84" t="s">
        <v>11</v>
      </c>
      <c r="B18" s="83"/>
      <c r="D18" s="87"/>
      <c r="E18" s="87"/>
    </row>
    <row r="20" spans="1:5" x14ac:dyDescent="0.3">
      <c r="A20" s="70" t="s">
        <v>12</v>
      </c>
    </row>
    <row r="21" spans="1:5" x14ac:dyDescent="0.3">
      <c r="A21" s="84" t="s">
        <v>13</v>
      </c>
      <c r="B21" s="1905"/>
      <c r="C21" s="1905"/>
      <c r="D21" s="1905"/>
      <c r="E21" s="1905"/>
    </row>
    <row r="22" spans="1:5" x14ac:dyDescent="0.3">
      <c r="A22" s="84" t="s">
        <v>14</v>
      </c>
      <c r="B22" s="1905"/>
      <c r="C22" s="1905"/>
      <c r="D22" s="1905"/>
      <c r="E22" s="1905"/>
    </row>
    <row r="23" spans="1:5" x14ac:dyDescent="0.3">
      <c r="A23" s="84" t="s">
        <v>15</v>
      </c>
      <c r="B23" s="1905"/>
      <c r="C23" s="1905"/>
      <c r="D23" s="1905"/>
      <c r="E23" s="1905"/>
    </row>
    <row r="25" spans="1:5" x14ac:dyDescent="0.3">
      <c r="A25" s="84" t="s">
        <v>16</v>
      </c>
      <c r="B25" s="1905"/>
      <c r="C25" s="1905"/>
      <c r="D25" s="1905"/>
      <c r="E25" s="1905"/>
    </row>
    <row r="26" spans="1:5" x14ac:dyDescent="0.3">
      <c r="A26" s="84" t="s">
        <v>17</v>
      </c>
      <c r="B26" s="1905"/>
      <c r="C26" s="1905"/>
      <c r="D26" s="1905"/>
      <c r="E26" s="1905"/>
    </row>
    <row r="28" spans="1:5" x14ac:dyDescent="0.3">
      <c r="A28" s="70" t="s">
        <v>18</v>
      </c>
    </row>
    <row r="29" spans="1:5" x14ac:dyDescent="0.3">
      <c r="A29" s="1906"/>
      <c r="B29" s="1906"/>
      <c r="C29" s="1906"/>
      <c r="D29" s="1906"/>
      <c r="E29" s="1906"/>
    </row>
    <row r="30" spans="1:5" x14ac:dyDescent="0.3">
      <c r="A30" s="1906"/>
      <c r="B30" s="1906"/>
      <c r="C30" s="1906"/>
      <c r="D30" s="1906"/>
      <c r="E30" s="1906"/>
    </row>
    <row r="31" spans="1:5" x14ac:dyDescent="0.3">
      <c r="A31" s="1906"/>
      <c r="B31" s="1906"/>
      <c r="C31" s="1906"/>
      <c r="D31" s="1906"/>
      <c r="E31" s="1906"/>
    </row>
    <row r="33" spans="1:5" x14ac:dyDescent="0.3">
      <c r="A33" s="70" t="s">
        <v>19</v>
      </c>
    </row>
    <row r="34" spans="1:5" x14ac:dyDescent="0.3">
      <c r="A34" s="88" t="s">
        <v>20</v>
      </c>
      <c r="B34" s="88" t="s">
        <v>21</v>
      </c>
      <c r="C34" s="88" t="s">
        <v>22</v>
      </c>
      <c r="D34" s="1907" t="s">
        <v>23</v>
      </c>
      <c r="E34" s="1908"/>
    </row>
    <row r="35" spans="1:5" ht="14.5" x14ac:dyDescent="0.35">
      <c r="A35" s="89"/>
      <c r="B35" s="90"/>
      <c r="C35" s="91"/>
      <c r="D35" s="1903"/>
      <c r="E35" s="1904"/>
    </row>
    <row r="36" spans="1:5" ht="14.5" x14ac:dyDescent="0.35">
      <c r="A36" s="89"/>
      <c r="B36" s="90"/>
      <c r="C36" s="91"/>
      <c r="D36" s="1903"/>
      <c r="E36" s="1904"/>
    </row>
    <row r="37" spans="1:5" ht="14.5" x14ac:dyDescent="0.35">
      <c r="A37" s="89"/>
      <c r="B37" s="90"/>
      <c r="C37" s="90"/>
      <c r="D37" s="1903"/>
      <c r="E37" s="1904"/>
    </row>
    <row r="38" spans="1:5" x14ac:dyDescent="0.3">
      <c r="A38" s="92"/>
      <c r="E38" s="93"/>
    </row>
    <row r="39" spans="1:5" x14ac:dyDescent="0.3">
      <c r="A39" s="94" t="s">
        <v>24</v>
      </c>
      <c r="B39" s="94" t="s">
        <v>22</v>
      </c>
      <c r="C39" s="94" t="s">
        <v>25</v>
      </c>
      <c r="D39" s="88" t="s">
        <v>26</v>
      </c>
      <c r="E39" s="88" t="s">
        <v>27</v>
      </c>
    </row>
    <row r="40" spans="1:5" x14ac:dyDescent="0.3">
      <c r="A40" s="95"/>
      <c r="B40" s="95"/>
      <c r="C40" s="95"/>
      <c r="D40" s="96"/>
      <c r="E40" s="96"/>
    </row>
    <row r="41" spans="1:5" x14ac:dyDescent="0.3">
      <c r="A41" s="95"/>
      <c r="B41" s="95"/>
      <c r="C41" s="95"/>
      <c r="D41" s="96"/>
      <c r="E41" s="96"/>
    </row>
    <row r="42" spans="1:5" x14ac:dyDescent="0.3">
      <c r="A42" s="95"/>
      <c r="B42" s="95"/>
      <c r="C42" s="95"/>
      <c r="D42" s="96"/>
      <c r="E42" s="96"/>
    </row>
    <row r="44" spans="1:5" x14ac:dyDescent="0.3">
      <c r="A44" s="94" t="s">
        <v>28</v>
      </c>
      <c r="B44" s="1909" t="s">
        <v>29</v>
      </c>
      <c r="C44" s="1910"/>
      <c r="D44" s="1909" t="s">
        <v>30</v>
      </c>
      <c r="E44" s="1910"/>
    </row>
    <row r="45" spans="1:5" x14ac:dyDescent="0.3">
      <c r="A45" s="95"/>
      <c r="B45" s="1911"/>
      <c r="C45" s="1912"/>
      <c r="D45" s="1911"/>
      <c r="E45" s="1912"/>
    </row>
    <row r="46" spans="1:5" x14ac:dyDescent="0.3">
      <c r="A46" s="95"/>
      <c r="B46" s="1911"/>
      <c r="C46" s="1912"/>
      <c r="D46" s="1911"/>
      <c r="E46" s="1912"/>
    </row>
    <row r="47" spans="1:5" x14ac:dyDescent="0.3">
      <c r="A47" s="95"/>
      <c r="B47" s="1911"/>
      <c r="C47" s="1912"/>
      <c r="D47" s="1911"/>
      <c r="E47" s="1912"/>
    </row>
    <row r="48" spans="1:5" x14ac:dyDescent="0.3">
      <c r="A48" s="95"/>
      <c r="B48" s="1911"/>
      <c r="C48" s="1912"/>
      <c r="D48" s="1911"/>
      <c r="E48" s="1912"/>
    </row>
    <row r="49" spans="1:5" x14ac:dyDescent="0.3">
      <c r="A49" s="95"/>
      <c r="B49" s="1911"/>
      <c r="C49" s="1912"/>
      <c r="D49" s="1911"/>
      <c r="E49" s="1912"/>
    </row>
    <row r="50" spans="1:5" x14ac:dyDescent="0.3">
      <c r="A50" s="95"/>
      <c r="B50" s="1911"/>
      <c r="C50" s="1912"/>
      <c r="D50" s="1911"/>
      <c r="E50" s="1912"/>
    </row>
    <row r="51" spans="1:5" x14ac:dyDescent="0.3">
      <c r="A51" s="97"/>
      <c r="B51" s="98"/>
      <c r="C51" s="98"/>
      <c r="D51" s="98"/>
      <c r="E51" s="98"/>
    </row>
    <row r="52" spans="1:5" x14ac:dyDescent="0.3">
      <c r="A52" s="70" t="s">
        <v>31</v>
      </c>
    </row>
    <row r="53" spans="1:5" x14ac:dyDescent="0.3">
      <c r="A53" s="99"/>
      <c r="B53" s="100"/>
      <c r="C53" s="100"/>
      <c r="D53" s="100"/>
      <c r="E53" s="101"/>
    </row>
    <row r="54" spans="1:5" x14ac:dyDescent="0.3">
      <c r="A54" s="92"/>
      <c r="E54" s="93"/>
    </row>
    <row r="55" spans="1:5" x14ac:dyDescent="0.3">
      <c r="A55" s="102"/>
      <c r="B55" s="103"/>
      <c r="C55" s="103"/>
      <c r="D55" s="103"/>
      <c r="E55" s="104"/>
    </row>
  </sheetData>
  <mergeCells count="24">
    <mergeCell ref="B50:C50"/>
    <mergeCell ref="D50:E50"/>
    <mergeCell ref="B47:C47"/>
    <mergeCell ref="D47:E47"/>
    <mergeCell ref="B48:C48"/>
    <mergeCell ref="D48:E48"/>
    <mergeCell ref="B49:C49"/>
    <mergeCell ref="D49:E49"/>
    <mergeCell ref="B44:C44"/>
    <mergeCell ref="D44:E44"/>
    <mergeCell ref="B45:C45"/>
    <mergeCell ref="D45:E45"/>
    <mergeCell ref="B46:C46"/>
    <mergeCell ref="D46:E46"/>
    <mergeCell ref="D37:E37"/>
    <mergeCell ref="B21:E21"/>
    <mergeCell ref="B22:E22"/>
    <mergeCell ref="B23:E23"/>
    <mergeCell ref="B25:E25"/>
    <mergeCell ref="B26:E26"/>
    <mergeCell ref="A29:E31"/>
    <mergeCell ref="D34:E34"/>
    <mergeCell ref="D35:E35"/>
    <mergeCell ref="D36:E36"/>
  </mergeCells>
  <pageMargins left="0.39370078740157483" right="0.39370078740157483" top="0.74803149606299213" bottom="0.74803149606299213" header="0.31496062992125984" footer="0.31496062992125984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CB2A-0326-45EA-ABCE-C97A15A7140F}">
  <sheetPr codeName="Hoja2">
    <tabColor theme="9" tint="-0.249977111117893"/>
  </sheetPr>
  <dimension ref="B1:AI68"/>
  <sheetViews>
    <sheetView workbookViewId="0">
      <pane ySplit="5" topLeftCell="A20" activePane="bottomLeft" state="frozen"/>
      <selection pane="bottomLeft" activeCell="AF14" sqref="AF14"/>
    </sheetView>
  </sheetViews>
  <sheetFormatPr defaultColWidth="11.453125" defaultRowHeight="14.5" outlineLevelCol="1" x14ac:dyDescent="0.35"/>
  <cols>
    <col min="1" max="1" width="2.81640625" style="4" customWidth="1"/>
    <col min="2" max="2" width="25.453125" style="4" customWidth="1"/>
    <col min="3" max="3" width="5.7265625" style="4" bestFit="1" customWidth="1"/>
    <col min="4" max="9" width="12" style="4" hidden="1" customWidth="1" outlineLevel="1"/>
    <col min="10" max="10" width="12" style="4" customWidth="1" collapsed="1"/>
    <col min="11" max="20" width="12" style="4" customWidth="1"/>
    <col min="21" max="21" width="1" style="4" customWidth="1"/>
    <col min="22" max="22" width="12.7265625" style="4" customWidth="1"/>
    <col min="23" max="23" width="1.26953125" style="4" customWidth="1"/>
    <col min="24" max="24" width="12.54296875" style="4" hidden="1" customWidth="1" outlineLevel="1"/>
    <col min="25" max="25" width="12.1796875" style="4" hidden="1" customWidth="1" outlineLevel="1"/>
    <col min="26" max="26" width="13.453125" style="4" customWidth="1" collapsed="1"/>
    <col min="27" max="27" width="7.26953125" style="4" customWidth="1"/>
    <col min="28" max="28" width="12.81640625" style="4" bestFit="1" customWidth="1"/>
    <col min="29" max="29" width="8.7265625" style="4" customWidth="1"/>
    <col min="30" max="30" width="12.453125" style="4" customWidth="1"/>
    <col min="31" max="31" width="9.7265625" style="4" bestFit="1" customWidth="1"/>
    <col min="32" max="32" width="7.26953125" style="4" bestFit="1" customWidth="1"/>
    <col min="33" max="33" width="14.1796875" style="4" bestFit="1" customWidth="1"/>
    <col min="34" max="34" width="11.453125" style="4"/>
    <col min="35" max="35" width="13.81640625" style="4" bestFit="1" customWidth="1"/>
    <col min="36" max="16384" width="11.453125" style="4"/>
  </cols>
  <sheetData>
    <row r="1" spans="2:35" ht="21.5" thickBot="1" x14ac:dyDescent="0.55000000000000004">
      <c r="B1" s="59"/>
      <c r="C1" s="59"/>
      <c r="AE1" s="193" t="s">
        <v>226</v>
      </c>
      <c r="AF1" s="192">
        <v>46174</v>
      </c>
    </row>
    <row r="2" spans="2:35" ht="7.15" customHeight="1" x14ac:dyDescent="0.5">
      <c r="B2" s="59"/>
      <c r="C2" s="59"/>
      <c r="AD2" s="206"/>
      <c r="AE2" s="4" t="s">
        <v>88</v>
      </c>
    </row>
    <row r="3" spans="2:35" x14ac:dyDescent="0.35">
      <c r="B3" s="60" t="s">
        <v>238</v>
      </c>
      <c r="C3" s="60"/>
    </row>
    <row r="4" spans="2:35" ht="13.9" customHeight="1" x14ac:dyDescent="0.35">
      <c r="B4" s="60" t="s">
        <v>32</v>
      </c>
      <c r="C4" s="6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</row>
    <row r="5" spans="2:35" ht="25.15" customHeight="1" x14ac:dyDescent="0.35">
      <c r="B5" s="1"/>
      <c r="C5" s="1"/>
      <c r="D5" s="925">
        <v>45658</v>
      </c>
      <c r="E5" s="925">
        <v>45689</v>
      </c>
      <c r="F5" s="925">
        <v>45717</v>
      </c>
      <c r="G5" s="925">
        <v>45748</v>
      </c>
      <c r="H5" s="925">
        <v>45778</v>
      </c>
      <c r="I5" s="925">
        <v>45809</v>
      </c>
      <c r="J5" s="925">
        <v>45839</v>
      </c>
      <c r="K5" s="925">
        <v>45870</v>
      </c>
      <c r="L5" s="925">
        <v>45901</v>
      </c>
      <c r="M5" s="925">
        <v>45931</v>
      </c>
      <c r="N5" s="925">
        <v>45962</v>
      </c>
      <c r="O5" s="925">
        <v>45992</v>
      </c>
      <c r="P5" s="925">
        <v>46023</v>
      </c>
      <c r="Q5" s="925">
        <v>46054</v>
      </c>
      <c r="R5" s="925">
        <v>46082</v>
      </c>
      <c r="S5" s="925">
        <v>46113</v>
      </c>
      <c r="T5" s="925">
        <v>46143</v>
      </c>
      <c r="U5" s="2"/>
      <c r="V5" s="187" t="s">
        <v>601</v>
      </c>
      <c r="X5" s="925" t="s">
        <v>572</v>
      </c>
      <c r="Y5" s="925" t="s">
        <v>573</v>
      </c>
      <c r="Z5" s="188" t="s">
        <v>613</v>
      </c>
      <c r="AA5" s="948" t="s">
        <v>602</v>
      </c>
      <c r="AB5" s="187" t="s">
        <v>603</v>
      </c>
      <c r="AC5" s="948" t="s">
        <v>604</v>
      </c>
      <c r="AD5" s="187" t="s">
        <v>605</v>
      </c>
      <c r="AE5" s="2"/>
      <c r="AF5" s="2"/>
      <c r="AG5" s="2"/>
      <c r="AH5" s="2"/>
      <c r="AI5" s="3"/>
    </row>
    <row r="6" spans="2:35" ht="17.5" customHeight="1" x14ac:dyDescent="0.35">
      <c r="B6" s="195" t="s">
        <v>33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</row>
    <row r="7" spans="2:35" ht="17.5" customHeight="1" x14ac:dyDescent="0.35">
      <c r="B7" s="66" t="s">
        <v>225</v>
      </c>
      <c r="C7" s="1020"/>
      <c r="D7" s="1018">
        <f>SUM(VLOOKUP($B7,'Resumen Pto #1'!$B$5:$U$10,MATCH('Resumen General'!D$5,'Resumen Pto #1'!$B$5:$U$5,0),0))</f>
        <v>0</v>
      </c>
      <c r="E7" s="1018">
        <f>SUM(VLOOKUP($B7,'Resumen Pto #1'!$B$5:$U$10,MATCH('Resumen General'!E$5,'Resumen Pto #1'!$B$5:$U$5,0),0))</f>
        <v>11515000</v>
      </c>
      <c r="F7" s="1018">
        <f>SUM(VLOOKUP($B7,'Resumen Pto #1'!$B$5:$U$10,MATCH('Resumen General'!F$5,'Resumen Pto #1'!$B$5:$U$5,0),0))</f>
        <v>72746210.400000006</v>
      </c>
      <c r="G7" s="1018">
        <f>SUM(VLOOKUP($B7,'Resumen Pto #1'!$B$5:$U$10,MATCH('Resumen General'!G$5,'Resumen Pto #1'!$B$5:$U$5,0),0))</f>
        <v>28390040</v>
      </c>
      <c r="H7" s="1018">
        <f>SUM(VLOOKUP($B7,'Resumen Pto #1'!$B$5:$U$10,MATCH('Resumen General'!H$5,'Resumen Pto #1'!$B$5:$U$5,0),0))</f>
        <v>28932599.59</v>
      </c>
      <c r="I7" s="1018">
        <f>SUM(VLOOKUP($B7,'Resumen Pto #1'!$B$5:$U$10,MATCH('Resumen General'!I$5,'Resumen Pto #1'!$B$5:$U$5,0),0))</f>
        <v>23665294.390000001</v>
      </c>
      <c r="J7" s="1018">
        <f>SUM(VLOOKUP($B7,'Resumen Pto #1'!$B$5:$U$10,MATCH('Resumen General'!J$5,'Resumen Pto #1'!$B$5:$U$5,0),0),VLOOKUP($B7,'Resumen Pto #2'!$B$5:$Q$10,MATCH('Resumen General'!J$5,'Resumen Pto #2'!$B$5:$O$5,0),0))</f>
        <v>24611608.609999999</v>
      </c>
      <c r="K7" s="1018">
        <f>SUM(VLOOKUP($B7,'Resumen Pto #1'!$B$5:$U$10,MATCH('Resumen General'!K$5,'Resumen Pto #1'!$B$5:$U$5,0),0),VLOOKUP($B7,'Resumen Pto #2'!$B$5:$Q$10,MATCH('Resumen General'!K$5,'Resumen Pto #2'!$B$5:$O$5,0),0))</f>
        <v>32566741</v>
      </c>
      <c r="L7" s="1018">
        <f>SUM(VLOOKUP($B7,'Resumen Pto #1'!$B$5:$U$10,MATCH('Resumen General'!L$5,'Resumen Pto #1'!$B$5:$U$5,0),0),VLOOKUP($B7,'Resumen Pto #2'!$B$5:$Q$10,MATCH('Resumen General'!L$5,'Resumen Pto #2'!$B$5:$O$5,0),0))</f>
        <v>48704739</v>
      </c>
      <c r="M7" s="1018">
        <f>SUM(VLOOKUP($B7,'Resumen Pto #1'!$B$5:$U$10,MATCH('Resumen General'!M$5,'Resumen Pto #1'!$B$5:$U$5,0),0),VLOOKUP($B7,'Resumen Pto #2'!$B$5:$Q$10,MATCH('Resumen General'!M$5,'Resumen Pto #2'!$B$5:$O$5,0),0))</f>
        <v>329887734.20999998</v>
      </c>
      <c r="N7" s="1018">
        <f>SUM(VLOOKUP($B7,'Resumen Pto #1'!$B$5:$U$10,MATCH('Resumen General'!N$5,'Resumen Pto #1'!$B$5:$U$5,0),0),VLOOKUP($B7,'Resumen Pto #2'!$B$5:$Q$10,MATCH('Resumen General'!N$5,'Resumen Pto #2'!$B$5:$O$5,0),0))</f>
        <v>52221422.746800005</v>
      </c>
      <c r="O7" s="1018">
        <f>SUM(VLOOKUP($B7,'Resumen Pto #1'!$B$5:$U$10,MATCH('Resumen General'!O$5,'Resumen Pto #1'!$B$5:$U$5,0),0),VLOOKUP($B7,'Resumen Pto #2'!$B$5:$Q$10,MATCH('Resumen General'!O$5,'Resumen Pto #2'!$B$5:$O$5,0),0))</f>
        <v>58087412</v>
      </c>
      <c r="P7" s="1018">
        <f>SUM(VLOOKUP($B7,'Resumen Pto #1'!$B$5:$U$10,MATCH('Resumen General'!P$5,'Resumen Pto #1'!$B$5:$U$5,0),0),VLOOKUP($B7,'Resumen Pto #2'!$B$5:$Q$10,MATCH('Resumen General'!P$5,'Resumen Pto #2'!$B$5:$O$5,0),0))</f>
        <v>27947358</v>
      </c>
      <c r="Q7" s="1018">
        <f>SUM(VLOOKUP($B7,'Resumen Pto #1'!$B$5:$U$10,MATCH('Resumen General'!Q$5,'Resumen Pto #1'!$B$5:$U$5,0),0),VLOOKUP($B7,'Resumen Pto #2'!$B$5:$Q$10,MATCH('Resumen General'!Q$5,'Resumen Pto #2'!$B$5:$O$5,0),0))</f>
        <v>40981161</v>
      </c>
      <c r="R7" s="1018">
        <f>SUM(VLOOKUP($B7,'Resumen Pto #1'!$B$5:$U$10,MATCH('Resumen General'!R$5,'Resumen Pto #1'!$B$5:$U$5,0),0),VLOOKUP($B7,'Resumen Pto #2'!$B$5:$Q$10,MATCH('Resumen General'!R$5,'Resumen Pto #2'!$B$5:$O$5,0),0))</f>
        <v>22262095</v>
      </c>
      <c r="S7" s="1018">
        <f>SUM(VLOOKUP($B7,'Resumen Pto #1'!$B$5:$U$10,MATCH('Resumen General'!S$5,'Resumen Pto #1'!$B$5:$U$5,0),0),VLOOKUP($B7,'Resumen Pto #2'!$B$5:$Q$10,MATCH('Resumen General'!S$5,'Resumen Pto #2'!$B$5:$O$5,0),0))</f>
        <v>27219231</v>
      </c>
      <c r="T7" s="1018">
        <f>SUM(VLOOKUP($B7,'Resumen Pto #1'!$B$5:$U$10,MATCH('Resumen General'!T$5,'Resumen Pto #1'!$B$5:$U$5,0),0),VLOOKUP($B7,'Resumen Pto #2'!$B$5:$Q$10,MATCH('Resumen General'!T$5,'Resumen Pto #2'!$B$5:$O$5,0),0))</f>
        <v>41422349</v>
      </c>
      <c r="U7" s="2"/>
      <c r="V7" s="261">
        <f>SUM(D7:U7)</f>
        <v>871160995.94679999</v>
      </c>
      <c r="W7" s="2"/>
      <c r="X7" s="197">
        <f>'Resumen Pto #1'!X7</f>
        <v>421306052</v>
      </c>
      <c r="Y7" s="197">
        <f>'Resumen Pto #2'!R7</f>
        <v>736857133.01950002</v>
      </c>
      <c r="Z7" s="146">
        <f>SUM(X7:Y7)</f>
        <v>1158163185.0195</v>
      </c>
      <c r="AA7" s="978">
        <f>SUM('Pto. 01 Cert.'!$S$58,'Pto. 02 Cert.'!$S$186)/SUM('Pto. 01 Cert.'!$L$58,'Pto. Vta.'!$L$239)</f>
        <v>0.64279412668102087</v>
      </c>
      <c r="AB7" s="323">
        <f>IF(AA7=100%,0,IF(OR(V7&lt;&gt;0,Z7),Z7-V7))</f>
        <v>287002189.07270002</v>
      </c>
      <c r="AC7" s="311">
        <f>IF(OR(AB7&lt;0,Z7),AB7/Z7,0%)</f>
        <v>0.24780807470396995</v>
      </c>
      <c r="AD7" s="323">
        <f>IF(AA7=100%,IF(OR(V7&lt;&gt;0,Z7),Z7-V7),0)</f>
        <v>0</v>
      </c>
      <c r="AE7" s="2"/>
      <c r="AF7" s="2"/>
      <c r="AG7" s="2"/>
      <c r="AH7" s="2"/>
      <c r="AI7" s="3"/>
    </row>
    <row r="8" spans="2:35" ht="17.5" customHeight="1" x14ac:dyDescent="0.35">
      <c r="B8" s="198" t="s">
        <v>35</v>
      </c>
      <c r="C8" s="1021"/>
      <c r="D8" s="1019">
        <f>SUM(D7)</f>
        <v>0</v>
      </c>
      <c r="E8" s="199">
        <f t="shared" ref="E8:J8" si="0">SUM(E7)</f>
        <v>11515000</v>
      </c>
      <c r="F8" s="199">
        <f t="shared" si="0"/>
        <v>72746210.400000006</v>
      </c>
      <c r="G8" s="199">
        <f t="shared" si="0"/>
        <v>28390040</v>
      </c>
      <c r="H8" s="199">
        <f t="shared" si="0"/>
        <v>28932599.59</v>
      </c>
      <c r="I8" s="199">
        <f t="shared" si="0"/>
        <v>23665294.390000001</v>
      </c>
      <c r="J8" s="199">
        <f t="shared" si="0"/>
        <v>24611608.609999999</v>
      </c>
      <c r="K8" s="199">
        <f t="shared" ref="K8:L8" si="1">SUM(K7)</f>
        <v>32566741</v>
      </c>
      <c r="L8" s="199">
        <f t="shared" si="1"/>
        <v>48704739</v>
      </c>
      <c r="M8" s="199">
        <f t="shared" ref="M8:N8" si="2">SUM(M7)</f>
        <v>329887734.20999998</v>
      </c>
      <c r="N8" s="199">
        <f t="shared" si="2"/>
        <v>52221422.746800005</v>
      </c>
      <c r="O8" s="199">
        <f t="shared" ref="O8:P8" si="3">SUM(O7)</f>
        <v>58087412</v>
      </c>
      <c r="P8" s="199">
        <f t="shared" si="3"/>
        <v>27947358</v>
      </c>
      <c r="Q8" s="199">
        <f t="shared" ref="Q8:R8" si="4">SUM(Q7)</f>
        <v>40981161</v>
      </c>
      <c r="R8" s="199">
        <f t="shared" si="4"/>
        <v>22262095</v>
      </c>
      <c r="S8" s="199">
        <f t="shared" ref="S8:T8" si="5">SUM(S7)</f>
        <v>27219231</v>
      </c>
      <c r="T8" s="199">
        <f t="shared" si="5"/>
        <v>41422349</v>
      </c>
      <c r="U8" s="2"/>
      <c r="V8" s="295">
        <f>SUM(V7)</f>
        <v>871160995.94679999</v>
      </c>
      <c r="W8" s="2"/>
      <c r="X8" s="300">
        <f>SUM(X7)</f>
        <v>421306052</v>
      </c>
      <c r="Y8" s="300">
        <f>SUM(Y7)</f>
        <v>736857133.01950002</v>
      </c>
      <c r="Z8" s="300">
        <f>SUM(Z7)</f>
        <v>1158163185.0195</v>
      </c>
      <c r="AA8" s="989"/>
      <c r="AB8" s="300">
        <f>SUM(AB7)</f>
        <v>287002189.07270002</v>
      </c>
      <c r="AC8" s="311">
        <f>IF(OR(AB8&lt;0,Z8),AB8/Z8,0%)</f>
        <v>0.24780807470396995</v>
      </c>
      <c r="AD8" s="300">
        <f>IF(OR(V8&lt;&gt;0,Z8),Z8-V8,)</f>
        <v>287002189.07270002</v>
      </c>
      <c r="AE8" s="2"/>
      <c r="AF8" s="2"/>
      <c r="AG8" s="2"/>
      <c r="AH8" s="2"/>
      <c r="AI8" s="3"/>
    </row>
    <row r="9" spans="2:35" x14ac:dyDescent="0.35">
      <c r="B9" s="66" t="s">
        <v>34</v>
      </c>
      <c r="C9" s="1020"/>
      <c r="D9" s="1018">
        <f>SUM(VLOOKUP($B9,'Resumen Pto #1'!$B$5:$U$10,MATCH('Resumen General'!D$5,'Resumen Pto #1'!$B$5:$U$5,0),0))</f>
        <v>0</v>
      </c>
      <c r="E9" s="1018">
        <f>SUM(VLOOKUP($B9,'Resumen Pto #1'!$B$5:$U$10,MATCH('Resumen General'!E$5,'Resumen Pto #1'!$B$5:$U$5,0),0))</f>
        <v>735000</v>
      </c>
      <c r="F9" s="1018">
        <f>SUM(VLOOKUP($B9,'Resumen Pto #1'!$B$5:$U$10,MATCH('Resumen General'!F$5,'Resumen Pto #1'!$B$5:$U$5,0),0))</f>
        <v>5068372.17</v>
      </c>
      <c r="G9" s="1018">
        <f>SUM(VLOOKUP($B9,'Resumen Pto #1'!$B$5:$U$10,MATCH('Resumen General'!G$5,'Resumen Pto #1'!$B$5:$U$5,0),0))</f>
        <v>2935456.11</v>
      </c>
      <c r="H9" s="1018">
        <f>SUM(VLOOKUP($B9,'Resumen Pto #1'!$B$5:$U$10,MATCH('Resumen General'!H$5,'Resumen Pto #1'!$B$5:$U$5,0),0))</f>
        <v>3370711.74</v>
      </c>
      <c r="I9" s="1018">
        <f>SUM(VLOOKUP($B9,'Resumen Pto #1'!$B$5:$U$10,MATCH('Resumen General'!I$5,'Resumen Pto #1'!$B$5:$U$5,0),0))</f>
        <v>3338429.2800000003</v>
      </c>
      <c r="J9" s="1018">
        <f>SUM(VLOOKUP($B9,'Resumen Pto #1'!$B$5:$U$10,MATCH('Resumen General'!J$5,'Resumen Pto #1'!$B$5:$U$5,0),0),VLOOKUP($B9,'Resumen Pto #2'!$B$5:$Q$10,MATCH('Resumen General'!J$5,'Resumen Pto #2'!$B$5:$O$5,0),0))</f>
        <v>3690653.4799999995</v>
      </c>
      <c r="K9" s="1018">
        <f>SUM(VLOOKUP($B9,'Resumen Pto #1'!$B$5:$U$10,MATCH('Resumen General'!K$5,'Resumen Pto #1'!$B$5:$U$5,0),0),VLOOKUP($B9,'Resumen Pto #2'!$B$5:$Q$10,MATCH('Resumen General'!K$5,'Resumen Pto #2'!$B$5:$O$5,0),0))</f>
        <v>5160346.76</v>
      </c>
      <c r="L9" s="1018">
        <f>SUM(VLOOKUP($B9,'Resumen Pto #1'!$B$5:$U$10,MATCH('Resumen General'!L$5,'Resumen Pto #1'!$B$5:$U$5,0),0),VLOOKUP($B9,'Resumen Pto #2'!$B$5:$Q$10,MATCH('Resumen General'!L$5,'Resumen Pto #2'!$B$5:$O$5,0),0))</f>
        <v>8721283.75</v>
      </c>
      <c r="M9" s="1018">
        <f>SUM(VLOOKUP($B9,'Resumen Pto #1'!$B$5:$U$10,MATCH('Resumen General'!M$5,'Resumen Pto #1'!$B$5:$U$5,0),0),VLOOKUP($B9,'Resumen Pto #2'!$B$5:$Q$10,MATCH('Resumen General'!M$5,'Resumen Pto #2'!$B$5:$O$5,0),0))</f>
        <v>59686342.780000001</v>
      </c>
      <c r="N9" s="1018">
        <f>SUM(VLOOKUP($B9,'Resumen Pto #1'!$B$5:$U$10,MATCH('Resumen General'!N$5,'Resumen Pto #1'!$B$5:$U$5,0),0),VLOOKUP($B9,'Resumen Pto #2'!$B$5:$Q$10,MATCH('Resumen General'!N$5,'Resumen Pto #2'!$B$5:$O$5,0),0))</f>
        <v>12249469.533199999</v>
      </c>
      <c r="O9" s="1018">
        <f>SUM(VLOOKUP($B9,'Resumen Pto #1'!$B$5:$U$10,MATCH('Resumen General'!O$5,'Resumen Pto #1'!$B$5:$U$5,0),0),VLOOKUP($B9,'Resumen Pto #2'!$B$5:$Q$10,MATCH('Resumen General'!O$5,'Resumen Pto #2'!$B$5:$O$5,0),0))</f>
        <v>14332313.812876219</v>
      </c>
      <c r="P9" s="1018">
        <f>SUM(VLOOKUP($B9,'Resumen Pto #1'!$B$5:$U$10,MATCH('Resumen General'!P$5,'Resumen Pto #1'!$B$5:$U$5,0),0),VLOOKUP($B9,'Resumen Pto #2'!$B$5:$Q$10,MATCH('Resumen General'!P$5,'Resumen Pto #2'!$B$5:$O$5,0),0))</f>
        <v>8107844.3009743951</v>
      </c>
      <c r="Q9" s="1018">
        <f>SUM(VLOOKUP($B9,'Resumen Pto #1'!$B$5:$U$10,MATCH('Resumen General'!Q$5,'Resumen Pto #1'!$B$5:$U$5,0),0),VLOOKUP($B9,'Resumen Pto #2'!$B$5:$Q$10,MATCH('Resumen General'!Q$5,'Resumen Pto #2'!$B$5:$O$5,0),0))</f>
        <v>12717754.716</v>
      </c>
      <c r="R9" s="1018">
        <f>SUM(VLOOKUP($B9,'Resumen Pto #1'!$B$5:$U$10,MATCH('Resumen General'!R$5,'Resumen Pto #1'!$B$5:$U$5,0),0),VLOOKUP($B9,'Resumen Pto #2'!$B$5:$Q$10,MATCH('Resumen General'!R$5,'Resumen Pto #2'!$B$5:$O$5,0),0))</f>
        <v>7503650.4000000004</v>
      </c>
      <c r="S9" s="1018">
        <f>SUM(VLOOKUP($B9,'Resumen Pto #1'!$B$5:$U$10,MATCH('Resumen General'!S$5,'Resumen Pto #1'!$B$5:$U$5,0),0),VLOOKUP($B9,'Resumen Pto #2'!$B$5:$Q$10,MATCH('Resumen General'!S$5,'Resumen Pto #2'!$B$5:$O$5,0),0))</f>
        <v>9636019.6555345971</v>
      </c>
      <c r="T9" s="1018">
        <f>SUM(VLOOKUP($B9,'Resumen Pto #1'!$B$5:$U$10,MATCH('Resumen General'!T$5,'Resumen Pto #1'!$B$5:$U$5,0),0),VLOOKUP($B9,'Resumen Pto #2'!$B$5:$Q$10,MATCH('Resumen General'!T$5,'Resumen Pto #2'!$B$5:$O$5,0),0))</f>
        <v>15732588.282000681</v>
      </c>
      <c r="U9" s="2"/>
      <c r="V9" s="261">
        <f>SUM(D9:U9)</f>
        <v>172986236.77058589</v>
      </c>
      <c r="W9" s="2"/>
      <c r="X9" s="146">
        <f>'Resumen Pto #1'!Y9</f>
        <v>0</v>
      </c>
      <c r="Y9" s="146">
        <f>'Resumen Pto #2'!T9</f>
        <v>0</v>
      </c>
      <c r="Z9" s="146">
        <v>0</v>
      </c>
      <c r="AA9" s="978">
        <v>0</v>
      </c>
      <c r="AB9" s="323">
        <f>IF(AA9=100%,0,IF(Z9=0,Z9,Z9-V9))</f>
        <v>0</v>
      </c>
      <c r="AC9" s="311">
        <f>IF(OR(AB9&lt;0,Z9),AB9/Z9,0%)</f>
        <v>0</v>
      </c>
      <c r="AD9" s="323">
        <f>IF(AA9=100%,IF(OR(U9&lt;&gt;0,Z9),Z9-U9),0)</f>
        <v>0</v>
      </c>
      <c r="AE9" s="2"/>
      <c r="AF9" s="2"/>
      <c r="AG9" s="2"/>
      <c r="AH9" s="2"/>
      <c r="AI9" s="3"/>
    </row>
    <row r="10" spans="2:35" ht="17.5" customHeight="1" x14ac:dyDescent="0.35">
      <c r="B10" s="198" t="s">
        <v>633</v>
      </c>
      <c r="C10" s="1021"/>
      <c r="D10" s="1019">
        <f>SUM(D9)</f>
        <v>0</v>
      </c>
      <c r="E10" s="199">
        <f t="shared" ref="E10:J10" si="6">SUM(E9)</f>
        <v>735000</v>
      </c>
      <c r="F10" s="199">
        <f t="shared" si="6"/>
        <v>5068372.17</v>
      </c>
      <c r="G10" s="199">
        <f t="shared" si="6"/>
        <v>2935456.11</v>
      </c>
      <c r="H10" s="199">
        <f t="shared" si="6"/>
        <v>3370711.74</v>
      </c>
      <c r="I10" s="199">
        <f t="shared" si="6"/>
        <v>3338429.2800000003</v>
      </c>
      <c r="J10" s="199">
        <f t="shared" si="6"/>
        <v>3690653.4799999995</v>
      </c>
      <c r="K10" s="199">
        <f t="shared" ref="K10:L10" si="7">SUM(K9)</f>
        <v>5160346.76</v>
      </c>
      <c r="L10" s="199">
        <f t="shared" si="7"/>
        <v>8721283.75</v>
      </c>
      <c r="M10" s="199">
        <f t="shared" ref="M10:N10" si="8">SUM(M9)</f>
        <v>59686342.780000001</v>
      </c>
      <c r="N10" s="199">
        <f t="shared" si="8"/>
        <v>12249469.533199999</v>
      </c>
      <c r="O10" s="199">
        <f t="shared" ref="O10:P10" si="9">SUM(O9)</f>
        <v>14332313.812876219</v>
      </c>
      <c r="P10" s="199">
        <f t="shared" si="9"/>
        <v>8107844.3009743951</v>
      </c>
      <c r="Q10" s="199">
        <f t="shared" ref="Q10:R10" si="10">SUM(Q9)</f>
        <v>12717754.716</v>
      </c>
      <c r="R10" s="199">
        <f t="shared" si="10"/>
        <v>7503650.4000000004</v>
      </c>
      <c r="S10" s="199">
        <f t="shared" ref="S10:T10" si="11">SUM(S9)</f>
        <v>9636019.6555345971</v>
      </c>
      <c r="T10" s="199">
        <f t="shared" si="11"/>
        <v>15732588.282000681</v>
      </c>
      <c r="U10" s="2"/>
      <c r="V10" s="295">
        <f>SUM(V9)</f>
        <v>172986236.77058589</v>
      </c>
      <c r="W10" s="2"/>
      <c r="X10" s="300">
        <f>SUM(X9)</f>
        <v>0</v>
      </c>
      <c r="Y10" s="300">
        <f>SUM(Y9)</f>
        <v>0</v>
      </c>
      <c r="Z10" s="300">
        <f>SUM(Z9)</f>
        <v>0</v>
      </c>
      <c r="AA10" s="989"/>
      <c r="AB10" s="300">
        <f>SUM(AB9)</f>
        <v>0</v>
      </c>
      <c r="AC10" s="311">
        <f>IF(OR(AB10&lt;0,Z10),AB10/Z10,0%)</f>
        <v>0</v>
      </c>
      <c r="AD10" s="306">
        <f>SUM(AD9)</f>
        <v>0</v>
      </c>
      <c r="AE10" s="2"/>
      <c r="AF10" s="2"/>
      <c r="AG10" s="2"/>
      <c r="AH10" s="2"/>
      <c r="AI10" s="3"/>
    </row>
    <row r="11" spans="2:35" ht="17.5" customHeight="1" x14ac:dyDescent="0.35"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21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/>
    </row>
    <row r="12" spans="2:35" x14ac:dyDescent="0.35">
      <c r="B12" s="195" t="s">
        <v>36</v>
      </c>
      <c r="AE12" s="4" t="s">
        <v>37</v>
      </c>
    </row>
    <row r="13" spans="2:35" x14ac:dyDescent="0.35">
      <c r="B13" s="66" t="s">
        <v>221</v>
      </c>
      <c r="C13" s="196"/>
      <c r="D13" s="197">
        <f>IFERROR(SUM(VLOOKUP($B13&amp;$C13,'C. Gestión Pto #1'!$B$4:C$17,MATCH(D$5,'C. Gestión Pto #1'!$B$4:C$4,0),FALSE),0),0)</f>
        <v>0</v>
      </c>
      <c r="E13" s="197">
        <f>IFERROR(SUM(VLOOKUP($B13&amp;$C13,'C. Gestión Pto #1'!$B$4:D$17,MATCH(E$5,'C. Gestión Pto #1'!$B$4:D$4,0),FALSE),0),0)</f>
        <v>0</v>
      </c>
      <c r="F13" s="197">
        <f>IFERROR(SUM(VLOOKUP($B13&amp;$C13,'C. Gestión Pto #1'!$B$4:E$17,MATCH(F$5,'C. Gestión Pto #1'!$B$4:E$4,0),FALSE),0),0)</f>
        <v>964000</v>
      </c>
      <c r="G13" s="197">
        <f>IFERROR(SUM(VLOOKUP($B13&amp;$C13,'C. Gestión Pto #1'!$B$4:F$17,MATCH(G$5,'C. Gestión Pto #1'!$B$4:F$4,0),FALSE),0),0)</f>
        <v>1763514.09</v>
      </c>
      <c r="H13" s="197">
        <f>IFERROR(SUM(VLOOKUP($B13&amp;$C13,'C. Gestión Pto #1'!$B$4:G$17,MATCH(H$5,'C. Gestión Pto #1'!$B$4:G$4,0),FALSE),0),0)</f>
        <v>1757000</v>
      </c>
      <c r="I13" s="197">
        <f>IFERROR(SUM(VLOOKUP($B13&amp;$C13,'C. Gestión Pto #1'!$B$4:H$17,MATCH(I$5,'C. Gestión Pto #1'!$B$4:H$4,0),FALSE),0),0)</f>
        <v>1902500.02</v>
      </c>
      <c r="J13" s="197">
        <f>SUM(IFERROR(VLOOKUP($B13&amp;$C13,'C. Gestión Pto #1'!$B$4:I$17,MATCH(J$5,'C. Gestión Pto #1'!$B$4:I$4,0),FALSE),0),IFERROR(VLOOKUP($B13&amp;$C13,'C. Gestión Pto #2'!$B$4:C$23,MATCH(J$5,'C. Gestión Pto #2'!$B$4:C$4,0),FALSE),0))</f>
        <v>1961406</v>
      </c>
      <c r="K13" s="197">
        <f>SUM(IFERROR(VLOOKUP($B13&amp;$C13,'C. Gestión Pto #1'!$B$4:J$17,MATCH(K$5,'C. Gestión Pto #1'!$B$4:J$4,0),FALSE),0),IFERROR(VLOOKUP($B13&amp;$C13,'C. Gestión Pto #2'!$B$4:D$23,MATCH(K$5,'C. Gestión Pto #2'!$B$4:D$4,0),FALSE),0))</f>
        <v>1951450</v>
      </c>
      <c r="L13" s="197">
        <f>SUM(IFERROR(VLOOKUP($B13&amp;$C13,'C. Gestión Pto #1'!$B$4:K$17,MATCH(L$5,'C. Gestión Pto #1'!$B$4:K$4,0),FALSE),0),IFERROR(VLOOKUP($B13&amp;$C13,'C. Gestión Pto #2'!$B$4:E$23,MATCH(L$5,'C. Gestión Pto #2'!$B$4:E$4,0),FALSE),0))</f>
        <v>853846</v>
      </c>
      <c r="M13" s="197">
        <f>SUM(IFERROR(VLOOKUP($B13&amp;$C13,'C. Gestión Pto #1'!$B$4:L$17,MATCH(M$5,'C. Gestión Pto #1'!$B$4:L$4,0),FALSE),0),IFERROR(VLOOKUP($B13&amp;$C13,'C. Gestión Pto #2'!$B$4:F$23,MATCH(M$5,'C. Gestión Pto #2'!$B$4:F$4,0),FALSE),0))</f>
        <v>622493.01</v>
      </c>
      <c r="N13" s="197">
        <f>SUM(IFERROR(VLOOKUP($B13&amp;$C13,'C. Gestión Pto #1'!$B$4:M$17,MATCH(N$5,'C. Gestión Pto #1'!$B$4:M$4,0),FALSE),0),IFERROR(VLOOKUP($B13&amp;$C13,'C. Gestión Pto #2'!$B$4:G$23,MATCH(N$5,'C. Gestión Pto #2'!$B$4:G$4,0),FALSE),0))</f>
        <v>907500</v>
      </c>
      <c r="O13" s="197">
        <f>SUM(IFERROR(VLOOKUP($B13&amp;$C13,'C. Gestión Pto #1'!$B$4:N$17,MATCH(O$5,'C. Gestión Pto #1'!$B$4:N$4,0),FALSE),0),IFERROR(VLOOKUP($B13&amp;$C13,'C. Gestión Pto #2'!$B$4:H$23,MATCH(O$5,'C. Gestión Pto #2'!$B$4:H$4,0),FALSE),0))</f>
        <v>625825</v>
      </c>
      <c r="P13" s="197">
        <f>SUM(IFERROR(VLOOKUP($B13&amp;$C13,'C. Gestión Pto #1'!$B$4:O$17,MATCH(P$5,'C. Gestión Pto #1'!$B$4:O$4,0),FALSE),0),IFERROR(VLOOKUP($B13&amp;$C13,'C. Gestión Pto #2'!$B$4:I$23,MATCH(P$5,'C. Gestión Pto #2'!$B$4:I$4,0),FALSE),0))</f>
        <v>1020778</v>
      </c>
      <c r="Q13" s="197">
        <f>SUM(IFERROR(VLOOKUP($B13&amp;$C13,'C. Gestión Pto #1'!$B$4:P$17,MATCH(Q$5,'C. Gestión Pto #1'!$B$4:P$4,0),FALSE),0),IFERROR(VLOOKUP($B13&amp;$C13,'C. Gestión Pto #2'!$B$4:J$23,MATCH(Q$5,'C. Gestión Pto #2'!$B$4:J$4,0),FALSE),0))</f>
        <v>659001</v>
      </c>
      <c r="R13" s="197">
        <f>SUM(IFERROR(VLOOKUP($B13&amp;$C13,'C. Gestión Pto #1'!$B$4:Q$17,MATCH(R$5,'C. Gestión Pto #1'!$B$4:Q$4,0),FALSE),0),IFERROR(VLOOKUP($B13&amp;$C13,'C. Gestión Pto #2'!$B$4:K$23,MATCH(R$5,'C. Gestión Pto #2'!$B$4:K$4,0),FALSE),0))</f>
        <v>1051000</v>
      </c>
      <c r="S13" s="197">
        <f>SUM(IFERROR(VLOOKUP($B13&amp;$C13,'C. Gestión Pto #1'!$B$4:R$17,MATCH(S$5,'C. Gestión Pto #1'!$B$4:R$4,0),FALSE),0),IFERROR(VLOOKUP($B13&amp;$C13,'C. Gestión Pto #2'!$B$4:L$23,MATCH(S$5,'C. Gestión Pto #2'!$B$4:L$4,0),FALSE),0))</f>
        <v>1227000</v>
      </c>
      <c r="T13" s="197">
        <f>SUM(IFERROR(VLOOKUP($B13&amp;$C13,'C. Gestión Pto #1'!$B$4:S$17,MATCH(T$5,'C. Gestión Pto #1'!$B$4:S$4,0),FALSE),0),IFERROR(VLOOKUP($B13&amp;$C13,'C. Gestión Pto #2'!$B$4:M$23,MATCH(T$5,'C. Gestión Pto #2'!$B$4:M$4,0),FALSE),0))</f>
        <v>1407000</v>
      </c>
      <c r="U13" s="189"/>
      <c r="V13" s="261" cm="1">
        <f t="array" ref="V13">SUMPRODUCT($D13:$U13,TRANSPOSE('Indice CAC'!$C$10:$C$27))</f>
        <v>15129875.166137436</v>
      </c>
      <c r="W13" s="147"/>
      <c r="X13" s="146">
        <f>'Resumen Pto #1'!X13</f>
        <v>7389505.3967999993</v>
      </c>
      <c r="Y13" s="146">
        <f>'Resumen Pto #2'!R13</f>
        <v>900000</v>
      </c>
      <c r="Z13" s="146">
        <f>SUM(X13:Y13)</f>
        <v>8289505.3967999993</v>
      </c>
      <c r="AA13" s="978">
        <f>SUM(IF(C13="MAT",SUMIF('Pto. 01 Cert.'!$A$10:$A$57,$B13,'Pto. 01 Cert.'!$T$10:$T$57),IF(C13="MO",SUMIF('Pto. 01 Cert.'!$A$10:$A$57,$B13,'Pto. 01 Cert.'!$U$10:$U$57),SUMIF('Pto. 01 Cert.'!$A$10:$A$57,$B13,'Pto. 01 Cert.'!$V$10:$V$57))),IF(C13="MAT",SUMIF('Pto. 02 Cert.'!$A$10:$A$185,$B13,'Pto. 02 Cert.'!$T$10:$T$185),IF(C13="MO",SUMIF('Pto. 02 Cert.'!$A$10:$A$185,$B13,'Pto. 02 Cert.'!$U$10:$U$185),SUMIF('Pto. 02 Cert.'!$A$10:$A$185,$B13,'Pto. 02 Cert.'!$V$10:$V$185))))/SUM(IF(C13="MAT",SUMIF('Pto. 01 Cert.'!$A$10:$A$57,$B13,'Pto. 01 Cert.'!$I$10:$I$57),IF(C13="MO",SUMIF('Pto. 01 Cert.'!$A$10:$A$57,$B13,'Pto. 01 Cert.'!$J$10:$J$57),SUMIF('Pto. 01 Cert.'!$A$10:$A$57,$B13,'Pto. 01 Cert.'!$K$10:$K$57))),IF(C13="MAT",SUMIF('Pto. 02 Cert.'!$A$10:$A$185,$B13,'Pto. 02 Cert.'!$I$10:$I$185),IF(C13="MO",SUMIF('Pto. 02 Cert.'!$A$10:$A$185,$B13,'Pto. 02 Cert.'!$J$10:$J$185),SUMIF('Pto. 02 Cert.'!$A$10:$A$185,$B13,'Pto. 02 Cert.'!$K$10:$K$185))))</f>
        <v>0.94571437456341556</v>
      </c>
      <c r="AB13" s="323">
        <f>IF(AA13=100%,0,IF(OR(V13&lt;&gt;0,Z13),Z13-V13))</f>
        <v>-6840369.7693374371</v>
      </c>
      <c r="AC13" s="311">
        <f t="shared" ref="AC13:AC36" si="12">IF(OR(AB13&lt;0,Z13),AB13/Z13,0%)</f>
        <v>-0.82518430737472315</v>
      </c>
      <c r="AD13" s="323">
        <f>IF(AA13=100%,IF(OR(V13&lt;&gt;0,Z13),Z13-V13),0)</f>
        <v>0</v>
      </c>
      <c r="AG13" s="996"/>
      <c r="AI13" s="997"/>
    </row>
    <row r="14" spans="2:35" x14ac:dyDescent="0.35">
      <c r="B14" s="66" t="s">
        <v>100</v>
      </c>
      <c r="C14" s="196"/>
      <c r="D14" s="197">
        <f>IFERROR(SUM(VLOOKUP($B14&amp;$C14,'C. Gestión Pto #1'!$B$4:C$17,MATCH(D$5,'C. Gestión Pto #1'!$B$4:C$4,0),FALSE),0),0)</f>
        <v>2240048.4</v>
      </c>
      <c r="E14" s="197">
        <f>IFERROR(SUM(VLOOKUP($B14&amp;$C14,'C. Gestión Pto #1'!$B$4:D$17,MATCH(E$5,'C. Gestión Pto #1'!$B$4:D$4,0),FALSE),0),0)</f>
        <v>1806402.83</v>
      </c>
      <c r="F14" s="197">
        <f>IFERROR(SUM(VLOOKUP($B14&amp;$C14,'C. Gestión Pto #1'!$B$4:E$17,MATCH(F$5,'C. Gestión Pto #1'!$B$4:E$4,0),FALSE),0),0)</f>
        <v>2447085</v>
      </c>
      <c r="G14" s="197">
        <f>IFERROR(SUM(VLOOKUP($B14&amp;$C14,'C. Gestión Pto #1'!$B$4:F$17,MATCH(G$5,'C. Gestión Pto #1'!$B$4:F$4,0),FALSE),0),0)</f>
        <v>2817108</v>
      </c>
      <c r="H14" s="197">
        <f>IFERROR(SUM(VLOOKUP($B14&amp;$C14,'C. Gestión Pto #1'!$B$4:G$17,MATCH(H$5,'C. Gestión Pto #1'!$B$4:G$4,0),FALSE),0),0)</f>
        <v>2817108</v>
      </c>
      <c r="I14" s="197">
        <f>IFERROR(SUM(VLOOKUP($B14&amp;$C14,'C. Gestión Pto #1'!$B$4:H$17,MATCH(I$5,'C. Gestión Pto #1'!$B$4:H$4,0),FALSE),0),0)</f>
        <v>2987662.5</v>
      </c>
      <c r="J14" s="197">
        <f>SUM(IFERROR(VLOOKUP($B14&amp;$C14,'C. Gestión Pto #1'!$B$4:I$17,MATCH(J$5,'C. Gestión Pto #1'!$B$4:I$4,0),FALSE),0),IFERROR(VLOOKUP($B14&amp;$C14,'C. Gestión Pto #2'!$B$4:C$23,MATCH(J$5,'C. Gestión Pto #2'!$B$4:C$4,0),FALSE),0))</f>
        <v>3018848</v>
      </c>
      <c r="K14" s="197">
        <f>SUM(IFERROR(VLOOKUP($B14&amp;$C14,'C. Gestión Pto #1'!$B$4:J$17,MATCH(K$5,'C. Gestión Pto #1'!$B$4:J$4,0),FALSE),0),IFERROR(VLOOKUP($B14&amp;$C14,'C. Gestión Pto #2'!$B$4:D$23,MATCH(K$5,'C. Gestión Pto #2'!$B$4:D$4,0),FALSE),0))</f>
        <v>3253763</v>
      </c>
      <c r="L14" s="197">
        <f>SUM(IFERROR(VLOOKUP($B14&amp;$C14,'C. Gestión Pto #1'!$B$4:K$17,MATCH(L$5,'C. Gestión Pto #1'!$B$4:K$4,0),FALSE),0),IFERROR(VLOOKUP($B14&amp;$C14,'C. Gestión Pto #2'!$B$4:E$23,MATCH(L$5,'C. Gestión Pto #2'!$B$4:E$4,0),FALSE),0))</f>
        <v>3252503</v>
      </c>
      <c r="M14" s="197">
        <f>SUM(IFERROR(VLOOKUP($B14&amp;$C14,'C. Gestión Pto #1'!$B$4:L$17,MATCH(M$5,'C. Gestión Pto #1'!$B$4:L$4,0),FALSE),0),IFERROR(VLOOKUP($B14&amp;$C14,'C. Gestión Pto #2'!$B$4:F$23,MATCH(M$5,'C. Gestión Pto #2'!$B$4:F$4,0),FALSE),0))</f>
        <v>3374035.2899999996</v>
      </c>
      <c r="N14" s="197">
        <f>SUM(IFERROR(VLOOKUP($B14&amp;$C14,'C. Gestión Pto #1'!$B$4:M$17,MATCH(N$5,'C. Gestión Pto #1'!$B$4:M$4,0),FALSE),0),IFERROR(VLOOKUP($B14&amp;$C14,'C. Gestión Pto #2'!$B$4:G$23,MATCH(N$5,'C. Gestión Pto #2'!$B$4:G$4,0),FALSE),0))</f>
        <v>3275352.8</v>
      </c>
      <c r="O14" s="197">
        <f>SUM(IFERROR(VLOOKUP($B14&amp;$C14,'C. Gestión Pto #1'!$B$4:N$17,MATCH(O$5,'C. Gestión Pto #1'!$B$4:N$4,0),FALSE),0),IFERROR(VLOOKUP($B14&amp;$C14,'C. Gestión Pto #2'!$B$4:H$23,MATCH(O$5,'C. Gestión Pto #2'!$B$4:H$4,0),FALSE),0))</f>
        <v>4921623.7399999993</v>
      </c>
      <c r="P14" s="197">
        <f>SUM(IFERROR(VLOOKUP($B14&amp;$C14,'C. Gestión Pto #1'!$B$4:O$17,MATCH(P$5,'C. Gestión Pto #1'!$B$4:O$4,0),FALSE),0),IFERROR(VLOOKUP($B14&amp;$C14,'C. Gestión Pto #2'!$B$4:I$23,MATCH(P$5,'C. Gestión Pto #2'!$B$4:I$4,0),FALSE),0))</f>
        <v>3399806.5099999993</v>
      </c>
      <c r="Q14" s="197">
        <f>SUM(IFERROR(VLOOKUP($B14&amp;$C14,'C. Gestión Pto #1'!$B$4:P$17,MATCH(Q$5,'C. Gestión Pto #1'!$B$4:P$4,0),FALSE),0),IFERROR(VLOOKUP($B14&amp;$C14,'C. Gestión Pto #2'!$B$4:J$23,MATCH(Q$5,'C. Gestión Pto #2'!$B$4:J$4,0),FALSE),0))</f>
        <v>3458743.6231999998</v>
      </c>
      <c r="R14" s="197">
        <f>SUM(IFERROR(VLOOKUP($B14&amp;$C14,'C. Gestión Pto #1'!$B$4:Q$17,MATCH(R$5,'C. Gestión Pto #1'!$B$4:Q$4,0),FALSE),0),IFERROR(VLOOKUP($B14&amp;$C14,'C. Gestión Pto #2'!$B$4:K$23,MATCH(R$5,'C. Gestión Pto #2'!$B$4:K$4,0),FALSE),0))</f>
        <v>3333288.8032</v>
      </c>
      <c r="S14" s="197">
        <f>SUM(IFERROR(VLOOKUP($B14&amp;$C14,'C. Gestión Pto #1'!$B$4:R$17,MATCH(S$5,'C. Gestión Pto #1'!$B$4:R$4,0),FALSE),0),IFERROR(VLOOKUP($B14&amp;$C14,'C. Gestión Pto #2'!$B$4:L$23,MATCH(S$5,'C. Gestión Pto #2'!$B$4:L$4,0),FALSE),0))</f>
        <v>3958811.9777828003</v>
      </c>
      <c r="T14" s="197">
        <f>SUM(IFERROR(VLOOKUP($B14&amp;$C14,'C. Gestión Pto #1'!$B$4:S$17,MATCH(T$5,'C. Gestión Pto #1'!$B$4:S$4,0),FALSE),0),IFERROR(VLOOKUP($B14&amp;$C14,'C. Gestión Pto #2'!$B$4:M$23,MATCH(T$5,'C. Gestión Pto #2'!$B$4:M$4,0),FALSE),0))</f>
        <v>3838186.8462220905</v>
      </c>
      <c r="U14" s="189"/>
      <c r="V14" s="261" cm="1">
        <f t="array" ref="V14">SUMPRODUCT($D14:$U14,TRANSPOSE('Indice CAC'!$C$10:$C$27))</f>
        <v>43333785.637667298</v>
      </c>
      <c r="W14" s="147"/>
      <c r="X14" s="146">
        <f>'Resumen Pto #1'!X14</f>
        <v>30386964.655999999</v>
      </c>
      <c r="Y14" s="146">
        <f>'Resumen Pto #2'!R14</f>
        <v>22790223.491999999</v>
      </c>
      <c r="Z14" s="146">
        <f t="shared" ref="Z14:Z35" si="13">SUM(X14:Y14)</f>
        <v>53177188.148000002</v>
      </c>
      <c r="AA14" s="978">
        <f>SUM(IF(C14="MAT",SUMIF('Pto. 01 Cert.'!$A$10:$A$57,$B14,'Pto. 01 Cert.'!$T$10:$T$57),IF(C14="MO",SUMIF('Pto. 01 Cert.'!$A$10:$A$57,$B14,'Pto. 01 Cert.'!$U$10:$U$57),SUMIF('Pto. 01 Cert.'!$A$10:$A$57,$B14,'Pto. 01 Cert.'!$V$10:$V$57))),IF(C14="MAT",SUMIF('Pto. 02 Cert.'!$A$10:$A$185,$B14,'Pto. 02 Cert.'!$T$10:$T$185),IF(C14="MO",SUMIF('Pto. 02 Cert.'!$A$10:$A$185,$B14,'Pto. 02 Cert.'!$U$10:$U$185),SUMIF('Pto. 02 Cert.'!$A$10:$A$185,$B14,'Pto. 02 Cert.'!$V$10:$V$185))))/SUM(IF(C14="MAT",SUMIF('Pto. 01 Cert.'!$A$10:$A$57,$B14,'Pto. 01 Cert.'!$I$10:$I$57),IF(C14="MO",SUMIF('Pto. 01 Cert.'!$A$10:$A$57,$B14,'Pto. 01 Cert.'!$J$10:$J$57),SUMIF('Pto. 01 Cert.'!$A$10:$A$57,$B14,'Pto. 01 Cert.'!$K$10:$K$57))),IF(C14="MAT",SUMIF('Pto. 02 Cert.'!$A$10:$A$185,$B14,'Pto. 02 Cert.'!$I$10:$I$185),IF(C14="MO",SUMIF('Pto. 02 Cert.'!$A$10:$A$185,$B14,'Pto. 02 Cert.'!$J$10:$J$185),SUMIF('Pto. 02 Cert.'!$A$10:$A$185,$B14,'Pto. 02 Cert.'!$K$10:$K$185))))</f>
        <v>0.7857142857142857</v>
      </c>
      <c r="AB14" s="323">
        <f t="shared" ref="AB14:AB35" si="14">IF(AA14=100%,0,IF(OR(V14&lt;&gt;0,Z14),Z14-V14))</f>
        <v>9843402.5103327036</v>
      </c>
      <c r="AC14" s="311">
        <f>IF(OR(AB14&lt;0,Z14),AB14/Z14,0%)</f>
        <v>0.18510573524378637</v>
      </c>
      <c r="AD14" s="323">
        <f t="shared" ref="AD14:AD35" si="15">IF(AA14=100%,IF(OR(V14&lt;&gt;0,Z14),Z14-V14),0)</f>
        <v>0</v>
      </c>
      <c r="AI14" s="998"/>
    </row>
    <row r="15" spans="2:35" x14ac:dyDescent="0.35">
      <c r="B15" s="66" t="s">
        <v>218</v>
      </c>
      <c r="C15" s="196"/>
      <c r="D15" s="197">
        <f>IFERROR(SUM(VLOOKUP($B15&amp;$C15,'C. Gestión Pto #1'!$B$4:C$17,MATCH(D$5,'C. Gestión Pto #1'!$B$4:C$4,0),FALSE),0),0)</f>
        <v>83133.290000000008</v>
      </c>
      <c r="E15" s="197">
        <f>IFERROR(SUM(VLOOKUP($B15&amp;$C15,'C. Gestión Pto #1'!$B$4:D$17,MATCH(E$5,'C. Gestión Pto #1'!$B$4:D$4,0),FALSE),0),0)</f>
        <v>108153.67</v>
      </c>
      <c r="F15" s="197">
        <f>IFERROR(SUM(VLOOKUP($B15&amp;$C15,'C. Gestión Pto #1'!$B$4:E$17,MATCH(F$5,'C. Gestión Pto #1'!$B$4:E$4,0),FALSE),0),0)</f>
        <v>111838.72999999998</v>
      </c>
      <c r="G15" s="197">
        <f>IFERROR(SUM(VLOOKUP($B15&amp;$C15,'C. Gestión Pto #1'!$B$4:F$17,MATCH(G$5,'C. Gestión Pto #1'!$B$4:F$4,0),FALSE),0),0)</f>
        <v>273194.45999999996</v>
      </c>
      <c r="H15" s="197">
        <f>IFERROR(SUM(VLOOKUP($B15&amp;$C15,'C. Gestión Pto #1'!$B$4:G$17,MATCH(H$5,'C. Gestión Pto #1'!$B$4:G$4,0),FALSE),0),0)</f>
        <v>382880.04</v>
      </c>
      <c r="I15" s="197">
        <f>IFERROR(SUM(VLOOKUP($B15&amp;$C15,'C. Gestión Pto #1'!$B$4:H$17,MATCH(I$5,'C. Gestión Pto #1'!$B$4:H$4,0),FALSE),0),0)</f>
        <v>245052.88999999998</v>
      </c>
      <c r="J15" s="197">
        <f>SUM(IFERROR(VLOOKUP($B15&amp;$C15,'C. Gestión Pto #1'!$B$4:I$17,MATCH(J$5,'C. Gestión Pto #1'!$B$4:I$4,0),FALSE),0),IFERROR(VLOOKUP($B15&amp;$C15,'C. Gestión Pto #2'!$B$4:C$23,MATCH(J$5,'C. Gestión Pto #2'!$B$4:C$4,0),FALSE),0))</f>
        <v>567556.66000000015</v>
      </c>
      <c r="K15" s="197">
        <f>SUM(IFERROR(VLOOKUP($B15&amp;$C15,'C. Gestión Pto #1'!$B$4:J$17,MATCH(K$5,'C. Gestión Pto #1'!$B$4:J$4,0),FALSE),0),IFERROR(VLOOKUP($B15&amp;$C15,'C. Gestión Pto #2'!$B$4:D$23,MATCH(K$5,'C. Gestión Pto #2'!$B$4:D$4,0),FALSE),0))</f>
        <v>322994.82</v>
      </c>
      <c r="L15" s="197">
        <f>SUM(IFERROR(VLOOKUP($B15&amp;$C15,'C. Gestión Pto #1'!$B$4:K$17,MATCH(L$5,'C. Gestión Pto #1'!$B$4:K$4,0),FALSE),0),IFERROR(VLOOKUP($B15&amp;$C15,'C. Gestión Pto #2'!$B$4:E$23,MATCH(L$5,'C. Gestión Pto #2'!$B$4:E$4,0),FALSE),0))</f>
        <v>567394.81999999983</v>
      </c>
      <c r="M15" s="197">
        <f>SUM(IFERROR(VLOOKUP($B15&amp;$C15,'C. Gestión Pto #1'!$B$4:L$17,MATCH(M$5,'C. Gestión Pto #1'!$B$4:L$4,0),FALSE),0),IFERROR(VLOOKUP($B15&amp;$C15,'C. Gestión Pto #2'!$B$4:F$23,MATCH(M$5,'C. Gestión Pto #2'!$B$4:F$4,0),FALSE),0))</f>
        <v>603374.92000000004</v>
      </c>
      <c r="N15" s="197">
        <f>SUM(IFERROR(VLOOKUP($B15&amp;$C15,'C. Gestión Pto #1'!$B$4:M$17,MATCH(N$5,'C. Gestión Pto #1'!$B$4:M$4,0),FALSE),0),IFERROR(VLOOKUP($B15&amp;$C15,'C. Gestión Pto #2'!$B$4:G$23,MATCH(N$5,'C. Gestión Pto #2'!$B$4:G$4,0),FALSE),0))</f>
        <v>447563.67999999993</v>
      </c>
      <c r="O15" s="197">
        <f>SUM(IFERROR(VLOOKUP($B15&amp;$C15,'C. Gestión Pto #1'!$B$4:N$17,MATCH(O$5,'C. Gestión Pto #1'!$B$4:N$4,0),FALSE),0),IFERROR(VLOOKUP($B15&amp;$C15,'C. Gestión Pto #2'!$B$4:H$23,MATCH(O$5,'C. Gestión Pto #2'!$B$4:H$4,0),FALSE),0))</f>
        <v>881403.34</v>
      </c>
      <c r="P15" s="197">
        <f>SUM(IFERROR(VLOOKUP($B15&amp;$C15,'C. Gestión Pto #1'!$B$4:O$17,MATCH(P$5,'C. Gestión Pto #1'!$B$4:O$4,0),FALSE),0),IFERROR(VLOOKUP($B15&amp;$C15,'C. Gestión Pto #2'!$B$4:I$23,MATCH(P$5,'C. Gestión Pto #2'!$B$4:I$4,0),FALSE),0))</f>
        <v>667797.87</v>
      </c>
      <c r="Q15" s="197">
        <f>SUM(IFERROR(VLOOKUP($B15&amp;$C15,'C. Gestión Pto #1'!$B$4:P$17,MATCH(Q$5,'C. Gestión Pto #1'!$B$4:P$4,0),FALSE),0),IFERROR(VLOOKUP($B15&amp;$C15,'C. Gestión Pto #2'!$B$4:J$23,MATCH(Q$5,'C. Gestión Pto #2'!$B$4:J$4,0),FALSE),0))</f>
        <v>1489831.8699999999</v>
      </c>
      <c r="R15" s="197">
        <f>SUM(IFERROR(VLOOKUP($B15&amp;$C15,'C. Gestión Pto #1'!$B$4:Q$17,MATCH(R$5,'C. Gestión Pto #1'!$B$4:Q$4,0),FALSE),0),IFERROR(VLOOKUP($B15&amp;$C15,'C. Gestión Pto #2'!$B$4:K$23,MATCH(R$5,'C. Gestión Pto #2'!$B$4:K$4,0),FALSE),0))</f>
        <v>869578.73</v>
      </c>
      <c r="S15" s="197">
        <f>SUM(IFERROR(VLOOKUP($B15&amp;$C15,'C. Gestión Pto #1'!$B$4:R$17,MATCH(S$5,'C. Gestión Pto #1'!$B$4:R$4,0),FALSE),0),IFERROR(VLOOKUP($B15&amp;$C15,'C. Gestión Pto #2'!$B$4:L$23,MATCH(S$5,'C. Gestión Pto #2'!$B$4:L$4,0),FALSE),0))</f>
        <v>660407.42000000004</v>
      </c>
      <c r="T15" s="197">
        <f>SUM(IFERROR(VLOOKUP($B15&amp;$C15,'C. Gestión Pto #1'!$B$4:S$17,MATCH(T$5,'C. Gestión Pto #1'!$B$4:S$4,0),FALSE),0),IFERROR(VLOOKUP($B15&amp;$C15,'C. Gestión Pto #2'!$B$4:M$23,MATCH(T$5,'C. Gestión Pto #2'!$B$4:M$4,0),FALSE),0))</f>
        <v>324436.07</v>
      </c>
      <c r="U15" s="189"/>
      <c r="V15" s="261" cm="1">
        <f t="array" ref="V15">SUMPRODUCT($D15:$U15,TRANSPOSE('Indice CAC'!$C$10:$C$27))</f>
        <v>6699010.2007400934</v>
      </c>
      <c r="W15" s="147"/>
      <c r="X15" s="146">
        <f>'Resumen Pto #1'!X15</f>
        <v>6000000</v>
      </c>
      <c r="Y15" s="146">
        <f>'Resumen Pto #2'!R15</f>
        <v>4500000</v>
      </c>
      <c r="Z15" s="146">
        <f t="shared" si="13"/>
        <v>10500000</v>
      </c>
      <c r="AA15" s="978">
        <f>SUM(IF(C15="MAT",SUMIF('Pto. 01 Cert.'!$A$10:$A$57,$B15,'Pto. 01 Cert.'!$T$10:$T$57),IF(C15="MO",SUMIF('Pto. 01 Cert.'!$A$10:$A$57,$B15,'Pto. 01 Cert.'!$U$10:$U$57),SUMIF('Pto. 01 Cert.'!$A$10:$A$57,$B15,'Pto. 01 Cert.'!$V$10:$V$57))),IF(C15="MAT",SUMIF('Pto. 02 Cert.'!$A$10:$A$185,$B15,'Pto. 02 Cert.'!$T$10:$T$185),IF(C15="MO",SUMIF('Pto. 02 Cert.'!$A$10:$A$185,$B15,'Pto. 02 Cert.'!$U$10:$U$185),SUMIF('Pto. 02 Cert.'!$A$10:$A$185,$B15,'Pto. 02 Cert.'!$V$10:$V$185))))/SUM(IF(C15="MAT",SUMIF('Pto. 01 Cert.'!$A$10:$A$57,$B15,'Pto. 01 Cert.'!$I$10:$I$57),IF(C15="MO",SUMIF('Pto. 01 Cert.'!$A$10:$A$57,$B15,'Pto. 01 Cert.'!$J$10:$J$57),SUMIF('Pto. 01 Cert.'!$A$10:$A$57,$B15,'Pto. 01 Cert.'!$K$10:$K$57))),IF(C15="MAT",SUMIF('Pto. 02 Cert.'!$A$10:$A$185,$B15,'Pto. 02 Cert.'!$I$10:$I$185),IF(C15="MO",SUMIF('Pto. 02 Cert.'!$A$10:$A$185,$B15,'Pto. 02 Cert.'!$J$10:$J$185),SUMIF('Pto. 02 Cert.'!$A$10:$A$185,$B15,'Pto. 02 Cert.'!$K$10:$K$185))))</f>
        <v>0.77142857142857146</v>
      </c>
      <c r="AB15" s="323">
        <f t="shared" si="14"/>
        <v>3800989.7992599066</v>
      </c>
      <c r="AC15" s="311">
        <f t="shared" si="12"/>
        <v>0.36199902850094351</v>
      </c>
      <c r="AD15" s="323">
        <f t="shared" si="15"/>
        <v>0</v>
      </c>
    </row>
    <row r="16" spans="2:35" x14ac:dyDescent="0.35">
      <c r="B16" s="66" t="s">
        <v>106</v>
      </c>
      <c r="C16" s="196"/>
      <c r="D16" s="197">
        <f>IFERROR(SUM(VLOOKUP($B16&amp;$C16,'C. Gestión Pto #1'!$B$4:C$17,MATCH(D$5,'C. Gestión Pto #1'!$B$4:C$4,0),FALSE),0),0)</f>
        <v>0</v>
      </c>
      <c r="E16" s="197">
        <f>IFERROR(SUM(VLOOKUP($B16&amp;$C16,'C. Gestión Pto #1'!$B$4:D$17,MATCH(E$5,'C. Gestión Pto #1'!$B$4:D$4,0),FALSE),0),0)</f>
        <v>3076445.84</v>
      </c>
      <c r="F16" s="197">
        <f>IFERROR(SUM(VLOOKUP($B16&amp;$C16,'C. Gestión Pto #1'!$B$4:E$17,MATCH(F$5,'C. Gestión Pto #1'!$B$4:E$4,0),FALSE),0),0)</f>
        <v>4065955.33</v>
      </c>
      <c r="G16" s="197">
        <f>IFERROR(SUM(VLOOKUP($B16&amp;$C16,'C. Gestión Pto #1'!$B$4:F$17,MATCH(G$5,'C. Gestión Pto #1'!$B$4:F$4,0),FALSE),0),0)</f>
        <v>2170465.7999999998</v>
      </c>
      <c r="H16" s="197">
        <f>IFERROR(SUM(VLOOKUP($B16&amp;$C16,'C. Gestión Pto #1'!$B$4:G$17,MATCH(H$5,'C. Gestión Pto #1'!$B$4:G$4,0),FALSE),0),0)</f>
        <v>452739.93</v>
      </c>
      <c r="I16" s="197">
        <f>IFERROR(SUM(VLOOKUP($B16&amp;$C16,'C. Gestión Pto #1'!$B$4:H$17,MATCH(I$5,'C. Gestión Pto #1'!$B$4:H$4,0),FALSE),0),0)</f>
        <v>333787.7</v>
      </c>
      <c r="J16" s="197">
        <f>SUM(IFERROR(VLOOKUP($B16&amp;$C16,'C. Gestión Pto #1'!$B$4:I$17,MATCH(J$5,'C. Gestión Pto #1'!$B$4:I$4,0),FALSE),0),IFERROR(VLOOKUP($B16&amp;$C16,'C. Gestión Pto #2'!$B$4:C$23,MATCH(J$5,'C. Gestión Pto #2'!$B$4:C$4,0),FALSE),0))</f>
        <v>0</v>
      </c>
      <c r="K16" s="197">
        <f>SUM(IFERROR(VLOOKUP($B16&amp;$C16,'C. Gestión Pto #1'!$B$4:J$17,MATCH(K$5,'C. Gestión Pto #1'!$B$4:J$4,0),FALSE),0),IFERROR(VLOOKUP($B16&amp;$C16,'C. Gestión Pto #2'!$B$4:D$23,MATCH(K$5,'C. Gestión Pto #2'!$B$4:D$4,0),FALSE),0))</f>
        <v>0</v>
      </c>
      <c r="L16" s="197">
        <f>SUM(IFERROR(VLOOKUP($B16&amp;$C16,'C. Gestión Pto #1'!$B$4:K$17,MATCH(L$5,'C. Gestión Pto #1'!$B$4:K$4,0),FALSE),0),IFERROR(VLOOKUP($B16&amp;$C16,'C. Gestión Pto #2'!$B$4:E$23,MATCH(L$5,'C. Gestión Pto #2'!$B$4:E$4,0),FALSE),0))</f>
        <v>0</v>
      </c>
      <c r="M16" s="197">
        <f>SUM(IFERROR(VLOOKUP($B16&amp;$C16,'C. Gestión Pto #1'!$B$4:L$17,MATCH(M$5,'C. Gestión Pto #1'!$B$4:L$4,0),FALSE),0),IFERROR(VLOOKUP($B16&amp;$C16,'C. Gestión Pto #2'!$B$4:F$23,MATCH(M$5,'C. Gestión Pto #2'!$B$4:F$4,0),FALSE),0))</f>
        <v>562822.19999999995</v>
      </c>
      <c r="N16" s="197">
        <f>SUM(IFERROR(VLOOKUP($B16&amp;$C16,'C. Gestión Pto #1'!$B$4:M$17,MATCH(N$5,'C. Gestión Pto #1'!$B$4:M$4,0),FALSE),0),IFERROR(VLOOKUP($B16&amp;$C16,'C. Gestión Pto #2'!$B$4:G$23,MATCH(N$5,'C. Gestión Pto #2'!$B$4:G$4,0),FALSE),0))</f>
        <v>202741.83</v>
      </c>
      <c r="O16" s="197">
        <f>SUM(IFERROR(VLOOKUP($B16&amp;$C16,'C. Gestión Pto #1'!$B$4:N$17,MATCH(O$5,'C. Gestión Pto #1'!$B$4:N$4,0),FALSE),0),IFERROR(VLOOKUP($B16&amp;$C16,'C. Gestión Pto #2'!$B$4:H$23,MATCH(O$5,'C. Gestión Pto #2'!$B$4:H$4,0),FALSE),0))</f>
        <v>0</v>
      </c>
      <c r="P16" s="197">
        <f>SUM(IFERROR(VLOOKUP($B16&amp;$C16,'C. Gestión Pto #1'!$B$4:O$17,MATCH(P$5,'C. Gestión Pto #1'!$B$4:O$4,0),FALSE),0),IFERROR(VLOOKUP($B16&amp;$C16,'C. Gestión Pto #2'!$B$4:I$23,MATCH(P$5,'C. Gestión Pto #2'!$B$4:I$4,0),FALSE),0))</f>
        <v>0</v>
      </c>
      <c r="Q16" s="197">
        <f>SUM(IFERROR(VLOOKUP($B16&amp;$C16,'C. Gestión Pto #1'!$B$4:P$17,MATCH(Q$5,'C. Gestión Pto #1'!$B$4:P$4,0),FALSE),0),IFERROR(VLOOKUP($B16&amp;$C16,'C. Gestión Pto #2'!$B$4:J$23,MATCH(Q$5,'C. Gestión Pto #2'!$B$4:J$4,0),FALSE),0))</f>
        <v>0</v>
      </c>
      <c r="R16" s="197">
        <f>SUM(IFERROR(VLOOKUP($B16&amp;$C16,'C. Gestión Pto #1'!$B$4:Q$17,MATCH(R$5,'C. Gestión Pto #1'!$B$4:Q$4,0),FALSE),0),IFERROR(VLOOKUP($B16&amp;$C16,'C. Gestión Pto #2'!$B$4:K$23,MATCH(R$5,'C. Gestión Pto #2'!$B$4:K$4,0),FALSE),0))</f>
        <v>0</v>
      </c>
      <c r="S16" s="197">
        <f>SUM(IFERROR(VLOOKUP($B16&amp;$C16,'C. Gestión Pto #1'!$B$4:R$17,MATCH(S$5,'C. Gestión Pto #1'!$B$4:R$4,0),FALSE),0),IFERROR(VLOOKUP($B16&amp;$C16,'C. Gestión Pto #2'!$B$4:L$23,MATCH(S$5,'C. Gestión Pto #2'!$B$4:L$4,0),FALSE),0))</f>
        <v>0</v>
      </c>
      <c r="T16" s="197">
        <f>SUM(IFERROR(VLOOKUP($B16&amp;$C16,'C. Gestión Pto #1'!$B$4:S$17,MATCH(T$5,'C. Gestión Pto #1'!$B$4:S$4,0),FALSE),0),IFERROR(VLOOKUP($B16&amp;$C16,'C. Gestión Pto #2'!$B$4:M$23,MATCH(T$5,'C. Gestión Pto #2'!$B$4:M$4,0),FALSE),0))</f>
        <v>0</v>
      </c>
      <c r="U16" s="189"/>
      <c r="V16" s="261" cm="1">
        <f t="array" ref="V16">SUMPRODUCT($D16:$U16,TRANSPOSE('Indice CAC'!$C$10:$C$27))</f>
        <v>9642624.0773297884</v>
      </c>
      <c r="W16" s="147"/>
      <c r="X16" s="146">
        <f>'Resumen Pto #1'!X16</f>
        <v>9593785.2900963146</v>
      </c>
      <c r="Y16" s="146">
        <v>0</v>
      </c>
      <c r="Z16" s="146">
        <f t="shared" si="13"/>
        <v>9593785.2900963146</v>
      </c>
      <c r="AA16" s="978">
        <f>IF(C16="MAT",SUMIF('Pto. 01 Cert.'!$A$10:$A$57,$B16,'Pto. 01 Cert.'!$T$10:$T$57),IF(C16="MO",SUMIF('Pto. 01 Cert.'!$A$10:$A$57,$B16,'Pto. 01 Cert.'!$U$10:$U$57),SUMIF('Pto. 01 Cert.'!$A$10:$A$57,$B16,'Pto. 01 Cert.'!$V$10:$V$57)))/IF(C16="MAT",SUMIF('Pto. 01 Cert.'!$A$10:$A$57,$B16,'Pto. 01 Cert.'!$I$10:$I$57),IF(C16="MO",SUMIF('Pto. 01 Cert.'!$A$10:$A$57,$B16,'Pto. 01 Cert.'!$J$10:$J$57),SUMIF('Pto. 01 Cert.'!$A$10:$A$57,$B16,'Pto. 01 Cert.'!$K$10:$K$57)))</f>
        <v>1</v>
      </c>
      <c r="AB16" s="323">
        <f t="shared" si="14"/>
        <v>0</v>
      </c>
      <c r="AC16" s="311">
        <f t="shared" si="12"/>
        <v>0</v>
      </c>
      <c r="AD16" s="323">
        <f t="shared" si="15"/>
        <v>-48838.787233473733</v>
      </c>
    </row>
    <row r="17" spans="2:33" x14ac:dyDescent="0.35">
      <c r="B17" s="66" t="s">
        <v>574</v>
      </c>
      <c r="C17" s="196"/>
      <c r="D17" s="197">
        <f>IFERROR(SUM(VLOOKUP($B17&amp;$C17,'C. Gestión Pto #1'!$B$4:C$17,MATCH(D$5,'C. Gestión Pto #1'!$B$4:C$4,0),FALSE),0),0)</f>
        <v>0</v>
      </c>
      <c r="E17" s="197">
        <f>IFERROR(SUM(VLOOKUP($B17&amp;$C17,'C. Gestión Pto #1'!$B$4:D$17,MATCH(E$5,'C. Gestión Pto #1'!$B$4:D$4,0),FALSE),0),0)</f>
        <v>3900000</v>
      </c>
      <c r="F17" s="197">
        <f>IFERROR(SUM(VLOOKUP($B17&amp;$C17,'C. Gestión Pto #1'!$B$4:E$17,MATCH(F$5,'C. Gestión Pto #1'!$B$4:E$4,0),FALSE),0),0)</f>
        <v>3900000</v>
      </c>
      <c r="G17" s="197">
        <f>IFERROR(SUM(VLOOKUP($B17&amp;$C17,'C. Gestión Pto #1'!$B$4:F$17,MATCH(G$5,'C. Gestión Pto #1'!$B$4:F$4,0),FALSE),0),0)</f>
        <v>0</v>
      </c>
      <c r="H17" s="197">
        <f>IFERROR(SUM(VLOOKUP($B17&amp;$C17,'C. Gestión Pto #1'!$B$4:G$17,MATCH(H$5,'C. Gestión Pto #1'!$B$4:G$4,0),FALSE),0),0)</f>
        <v>0</v>
      </c>
      <c r="I17" s="197">
        <f>IFERROR(SUM(VLOOKUP($B17&amp;$C17,'C. Gestión Pto #1'!$B$4:H$17,MATCH(I$5,'C. Gestión Pto #1'!$B$4:H$4,0),FALSE),0),0)</f>
        <v>0</v>
      </c>
      <c r="J17" s="197">
        <f>SUM(IFERROR(VLOOKUP($B17&amp;$C17,'C. Gestión Pto #1'!$B$4:I$17,MATCH(J$5,'C. Gestión Pto #1'!$B$4:I$4,0),FALSE),0),IFERROR(VLOOKUP($B17&amp;$C17,'C. Gestión Pto #2'!$B$4:C$23,MATCH(J$5,'C. Gestión Pto #2'!$B$4:C$4,0),FALSE),0))</f>
        <v>0</v>
      </c>
      <c r="K17" s="197">
        <f>SUM(IFERROR(VLOOKUP($B17&amp;$C17,'C. Gestión Pto #1'!$B$4:J$17,MATCH(K$5,'C. Gestión Pto #1'!$B$4:J$4,0),FALSE),0),IFERROR(VLOOKUP($B17&amp;$C17,'C. Gestión Pto #2'!$B$4:D$23,MATCH(K$5,'C. Gestión Pto #2'!$B$4:D$4,0),FALSE),0))</f>
        <v>0</v>
      </c>
      <c r="L17" s="197">
        <f>SUM(IFERROR(VLOOKUP($B17&amp;$C17,'C. Gestión Pto #1'!$B$4:K$17,MATCH(L$5,'C. Gestión Pto #1'!$B$4:K$4,0),FALSE),0),IFERROR(VLOOKUP($B17&amp;$C17,'C. Gestión Pto #2'!$B$4:E$23,MATCH(L$5,'C. Gestión Pto #2'!$B$4:E$4,0),FALSE),0))</f>
        <v>0</v>
      </c>
      <c r="M17" s="197">
        <f>SUM(IFERROR(VLOOKUP($B17&amp;$C17,'C. Gestión Pto #1'!$B$4:L$17,MATCH(M$5,'C. Gestión Pto #1'!$B$4:L$4,0),FALSE),0),IFERROR(VLOOKUP($B17&amp;$C17,'C. Gestión Pto #2'!$B$4:F$23,MATCH(M$5,'C. Gestión Pto #2'!$B$4:F$4,0),FALSE),0))</f>
        <v>0</v>
      </c>
      <c r="N17" s="197">
        <f>SUM(IFERROR(VLOOKUP($B17&amp;$C17,'C. Gestión Pto #1'!$B$4:M$17,MATCH(N$5,'C. Gestión Pto #1'!$B$4:M$4,0),FALSE),0),IFERROR(VLOOKUP($B17&amp;$C17,'C. Gestión Pto #2'!$B$4:G$23,MATCH(N$5,'C. Gestión Pto #2'!$B$4:G$4,0),FALSE),0))</f>
        <v>0</v>
      </c>
      <c r="O17" s="197">
        <f>SUM(IFERROR(VLOOKUP($B17&amp;$C17,'C. Gestión Pto #1'!$B$4:N$17,MATCH(O$5,'C. Gestión Pto #1'!$B$4:N$4,0),FALSE),0),IFERROR(VLOOKUP($B17&amp;$C17,'C. Gestión Pto #2'!$B$4:H$23,MATCH(O$5,'C. Gestión Pto #2'!$B$4:H$4,0),FALSE),0))</f>
        <v>0</v>
      </c>
      <c r="P17" s="197">
        <f>SUM(IFERROR(VLOOKUP($B17&amp;$C17,'C. Gestión Pto #1'!$B$4:O$17,MATCH(P$5,'C. Gestión Pto #1'!$B$4:O$4,0),FALSE),0),IFERROR(VLOOKUP($B17&amp;$C17,'C. Gestión Pto #2'!$B$4:I$23,MATCH(P$5,'C. Gestión Pto #2'!$B$4:I$4,0),FALSE),0))</f>
        <v>0</v>
      </c>
      <c r="Q17" s="197">
        <f>SUM(IFERROR(VLOOKUP($B17&amp;$C17,'C. Gestión Pto #1'!$B$4:P$17,MATCH(Q$5,'C. Gestión Pto #1'!$B$4:P$4,0),FALSE),0),IFERROR(VLOOKUP($B17&amp;$C17,'C. Gestión Pto #2'!$B$4:J$23,MATCH(Q$5,'C. Gestión Pto #2'!$B$4:J$4,0),FALSE),0))</f>
        <v>0</v>
      </c>
      <c r="R17" s="197">
        <f>SUM(IFERROR(VLOOKUP($B17&amp;$C17,'C. Gestión Pto #1'!$B$4:Q$17,MATCH(R$5,'C. Gestión Pto #1'!$B$4:Q$4,0),FALSE),0),IFERROR(VLOOKUP($B17&amp;$C17,'C. Gestión Pto #2'!$B$4:K$23,MATCH(R$5,'C. Gestión Pto #2'!$B$4:K$4,0),FALSE),0))</f>
        <v>0</v>
      </c>
      <c r="S17" s="197">
        <f>SUM(IFERROR(VLOOKUP($B17&amp;$C17,'C. Gestión Pto #1'!$B$4:R$17,MATCH(S$5,'C. Gestión Pto #1'!$B$4:R$4,0),FALSE),0),IFERROR(VLOOKUP($B17&amp;$C17,'C. Gestión Pto #2'!$B$4:L$23,MATCH(S$5,'C. Gestión Pto #2'!$B$4:L$4,0),FALSE),0))</f>
        <v>0</v>
      </c>
      <c r="T17" s="197">
        <f>SUM(IFERROR(VLOOKUP($B17&amp;$C17,'C. Gestión Pto #1'!$B$4:S$17,MATCH(T$5,'C. Gestión Pto #1'!$B$4:S$4,0),FALSE),0),IFERROR(VLOOKUP($B17&amp;$C17,'C. Gestión Pto #2'!$B$4:M$23,MATCH(T$5,'C. Gestión Pto #2'!$B$4:M$4,0),FALSE),0))</f>
        <v>0</v>
      </c>
      <c r="U17" s="189"/>
      <c r="V17" s="261" cm="1">
        <f t="array" ref="V17">SUMPRODUCT($D17:$U17,TRANSPOSE('Indice CAC'!$C$10:$C$27))</f>
        <v>7037476.9578925967</v>
      </c>
      <c r="W17" s="147"/>
      <c r="X17" s="146">
        <f>'Resumen Pto #1'!X17</f>
        <v>7800000</v>
      </c>
      <c r="Y17" s="146">
        <v>0</v>
      </c>
      <c r="Z17" s="146">
        <f t="shared" si="13"/>
        <v>7800000</v>
      </c>
      <c r="AA17" s="978">
        <f>IF(C17="MAT",SUMIF('Pto. 01 Cert.'!$A$10:$A$57,$B17,'Pto. 01 Cert.'!$T$10:$T$57),IF(C17="MO",SUMIF('Pto. 01 Cert.'!$A$10:$A$57,$B17,'Pto. 01 Cert.'!$U$10:$U$57),SUMIF('Pto. 01 Cert.'!$A$10:$A$57,$B17,'Pto. 01 Cert.'!$V$10:$V$57)))/IF(C17="MAT",SUMIF('Pto. 01 Cert.'!$A$10:$A$57,$B17,'Pto. 01 Cert.'!$I$10:$I$57),IF(C17="MO",SUMIF('Pto. 01 Cert.'!$A$10:$A$57,$B17,'Pto. 01 Cert.'!$J$10:$J$57),SUMIF('Pto. 01 Cert.'!$A$10:$A$57,$B17,'Pto. 01 Cert.'!$K$10:$K$57)))</f>
        <v>1</v>
      </c>
      <c r="AB17" s="323">
        <f t="shared" si="14"/>
        <v>0</v>
      </c>
      <c r="AC17" s="311">
        <f t="shared" si="12"/>
        <v>0</v>
      </c>
      <c r="AD17" s="323">
        <f t="shared" si="15"/>
        <v>762523.04210740328</v>
      </c>
    </row>
    <row r="18" spans="2:33" x14ac:dyDescent="0.35">
      <c r="B18" s="66" t="s">
        <v>216</v>
      </c>
      <c r="C18" s="196"/>
      <c r="D18" s="197">
        <f>IFERROR(SUM(VLOOKUP($B18&amp;$C18,'C. Gestión Pto #1'!$B$4:C$17,MATCH(D$5,'C. Gestión Pto #1'!$B$4:C$4,0),FALSE),0),0)</f>
        <v>150000</v>
      </c>
      <c r="E18" s="197">
        <f>IFERROR(SUM(VLOOKUP($B18&amp;$C18,'C. Gestión Pto #1'!$B$4:D$17,MATCH(E$5,'C. Gestión Pto #1'!$B$4:D$4,0),FALSE),0),0)</f>
        <v>0</v>
      </c>
      <c r="F18" s="197">
        <f>IFERROR(SUM(VLOOKUP($B18&amp;$C18,'C. Gestión Pto #1'!$B$4:E$17,MATCH(F$5,'C. Gestión Pto #1'!$B$4:E$4,0),FALSE),0),0)</f>
        <v>150000</v>
      </c>
      <c r="G18" s="197">
        <f>IFERROR(SUM(VLOOKUP($B18&amp;$C18,'C. Gestión Pto #1'!$B$4:F$17,MATCH(G$5,'C. Gestión Pto #1'!$B$4:F$4,0),FALSE),0),0)</f>
        <v>0</v>
      </c>
      <c r="H18" s="197">
        <f>IFERROR(SUM(VLOOKUP($B18&amp;$C18,'C. Gestión Pto #1'!$B$4:G$17,MATCH(H$5,'C. Gestión Pto #1'!$B$4:G$4,0),FALSE),0),0)</f>
        <v>0</v>
      </c>
      <c r="I18" s="197">
        <f>IFERROR(SUM(VLOOKUP($B18&amp;$C18,'C. Gestión Pto #1'!$B$4:H$17,MATCH(I$5,'C. Gestión Pto #1'!$B$4:H$4,0),FALSE),0),0)</f>
        <v>0</v>
      </c>
      <c r="J18" s="197">
        <f>SUM(IFERROR(VLOOKUP($B18&amp;$C18,'C. Gestión Pto #1'!$B$4:I$17,MATCH(J$5,'C. Gestión Pto #1'!$B$4:I$4,0),FALSE),0),IFERROR(VLOOKUP($B18&amp;$C18,'C. Gestión Pto #2'!$B$4:C$23,MATCH(J$5,'C. Gestión Pto #2'!$B$4:C$4,0),FALSE),0))</f>
        <v>0</v>
      </c>
      <c r="K18" s="197">
        <f>SUM(IFERROR(VLOOKUP($B18&amp;$C18,'C. Gestión Pto #1'!$B$4:J$17,MATCH(K$5,'C. Gestión Pto #1'!$B$4:J$4,0),FALSE),0),IFERROR(VLOOKUP($B18&amp;$C18,'C. Gestión Pto #2'!$B$4:D$23,MATCH(K$5,'C. Gestión Pto #2'!$B$4:D$4,0),FALSE),0))</f>
        <v>0</v>
      </c>
      <c r="L18" s="197">
        <f>SUM(IFERROR(VLOOKUP($B18&amp;$C18,'C. Gestión Pto #1'!$B$4:K$17,MATCH(L$5,'C. Gestión Pto #1'!$B$4:K$4,0),FALSE),0),IFERROR(VLOOKUP($B18&amp;$C18,'C. Gestión Pto #2'!$B$4:E$23,MATCH(L$5,'C. Gestión Pto #2'!$B$4:E$4,0),FALSE),0))</f>
        <v>0</v>
      </c>
      <c r="M18" s="197">
        <f>SUM(IFERROR(VLOOKUP($B18&amp;$C18,'C. Gestión Pto #1'!$B$4:L$17,MATCH(M$5,'C. Gestión Pto #1'!$B$4:L$4,0),FALSE),0),IFERROR(VLOOKUP($B18&amp;$C18,'C. Gestión Pto #2'!$B$4:F$23,MATCH(M$5,'C. Gestión Pto #2'!$B$4:F$4,0),FALSE),0))</f>
        <v>0</v>
      </c>
      <c r="N18" s="197">
        <f>SUM(IFERROR(VLOOKUP($B18&amp;$C18,'C. Gestión Pto #1'!$B$4:M$17,MATCH(N$5,'C. Gestión Pto #1'!$B$4:M$4,0),FALSE),0),IFERROR(VLOOKUP($B18&amp;$C18,'C. Gestión Pto #2'!$B$4:G$23,MATCH(N$5,'C. Gestión Pto #2'!$B$4:G$4,0),FALSE),0))</f>
        <v>0</v>
      </c>
      <c r="O18" s="197">
        <f>SUM(IFERROR(VLOOKUP($B18&amp;$C18,'C. Gestión Pto #1'!$B$4:N$17,MATCH(O$5,'C. Gestión Pto #1'!$B$4:N$4,0),FALSE),0),IFERROR(VLOOKUP($B18&amp;$C18,'C. Gestión Pto #2'!$B$4:H$23,MATCH(O$5,'C. Gestión Pto #2'!$B$4:H$4,0),FALSE),0))</f>
        <v>0</v>
      </c>
      <c r="P18" s="197">
        <f>SUM(IFERROR(VLOOKUP($B18&amp;$C18,'C. Gestión Pto #1'!$B$4:O$17,MATCH(P$5,'C. Gestión Pto #1'!$B$4:O$4,0),FALSE),0),IFERROR(VLOOKUP($B18&amp;$C18,'C. Gestión Pto #2'!$B$4:I$23,MATCH(P$5,'C. Gestión Pto #2'!$B$4:I$4,0),FALSE),0))</f>
        <v>0</v>
      </c>
      <c r="Q18" s="197">
        <f>SUM(IFERROR(VLOOKUP($B18&amp;$C18,'C. Gestión Pto #1'!$B$4:P$17,MATCH(Q$5,'C. Gestión Pto #1'!$B$4:P$4,0),FALSE),0),IFERROR(VLOOKUP($B18&amp;$C18,'C. Gestión Pto #2'!$B$4:J$23,MATCH(Q$5,'C. Gestión Pto #2'!$B$4:J$4,0),FALSE),0))</f>
        <v>0</v>
      </c>
      <c r="R18" s="197">
        <f>SUM(IFERROR(VLOOKUP($B18&amp;$C18,'C. Gestión Pto #1'!$B$4:Q$17,MATCH(R$5,'C. Gestión Pto #1'!$B$4:Q$4,0),FALSE),0),IFERROR(VLOOKUP($B18&amp;$C18,'C. Gestión Pto #2'!$B$4:K$23,MATCH(R$5,'C. Gestión Pto #2'!$B$4:K$4,0),FALSE),0))</f>
        <v>0</v>
      </c>
      <c r="S18" s="197">
        <f>SUM(IFERROR(VLOOKUP($B18&amp;$C18,'C. Gestión Pto #1'!$B$4:R$17,MATCH(S$5,'C. Gestión Pto #1'!$B$4:R$4,0),FALSE),0),IFERROR(VLOOKUP($B18&amp;$C18,'C. Gestión Pto #2'!$B$4:L$23,MATCH(S$5,'C. Gestión Pto #2'!$B$4:L$4,0),FALSE),0))</f>
        <v>0</v>
      </c>
      <c r="T18" s="197">
        <f>SUM(IFERROR(VLOOKUP($B18&amp;$C18,'C. Gestión Pto #1'!$B$4:S$17,MATCH(T$5,'C. Gestión Pto #1'!$B$4:S$4,0),FALSE),0),IFERROR(VLOOKUP($B18&amp;$C18,'C. Gestión Pto #2'!$B$4:M$23,MATCH(T$5,'C. Gestión Pto #2'!$B$4:M$4,0),FALSE),0))</f>
        <v>0</v>
      </c>
      <c r="U18" s="189"/>
      <c r="V18" s="261" cm="1">
        <f t="array" ref="V18">SUMPRODUCT($D18:$U18,TRANSPOSE('Indice CAC'!$C$10:$C$27))</f>
        <v>272938.13813101861</v>
      </c>
      <c r="W18" s="147"/>
      <c r="X18" s="146">
        <f>'Resumen Pto #1'!X18</f>
        <v>892630.81095104152</v>
      </c>
      <c r="Y18" s="146">
        <v>0</v>
      </c>
      <c r="Z18" s="146">
        <f t="shared" si="13"/>
        <v>892630.81095104152</v>
      </c>
      <c r="AA18" s="978">
        <f>IF(C18="MAT",SUMIF('Pto. 01 Cert.'!$A$10:$A$57,$B18,'Pto. 01 Cert.'!$T$10:$T$57),IF(C18="MO",SUMIF('Pto. 01 Cert.'!$A$10:$A$57,$B18,'Pto. 01 Cert.'!$U$10:$U$57),SUMIF('Pto. 01 Cert.'!$A$10:$A$57,$B18,'Pto. 01 Cert.'!$V$10:$V$57)))/IF(C18="MAT",SUMIF('Pto. 01 Cert.'!$A$10:$A$57,$B18,'Pto. 01 Cert.'!$I$10:$I$57),IF(C18="MO",SUMIF('Pto. 01 Cert.'!$A$10:$A$57,$B18,'Pto. 01 Cert.'!$J$10:$J$57),SUMIF('Pto. 01 Cert.'!$A$10:$A$57,$B18,'Pto. 01 Cert.'!$K$10:$K$57)))</f>
        <v>1</v>
      </c>
      <c r="AB18" s="323">
        <f t="shared" si="14"/>
        <v>0</v>
      </c>
      <c r="AC18" s="311">
        <f t="shared" si="12"/>
        <v>0</v>
      </c>
      <c r="AD18" s="323">
        <f t="shared" si="15"/>
        <v>619692.67282002291</v>
      </c>
    </row>
    <row r="19" spans="2:33" x14ac:dyDescent="0.35">
      <c r="B19" s="66" t="s">
        <v>161</v>
      </c>
      <c r="C19" s="196"/>
      <c r="D19" s="197">
        <f>IFERROR(SUM(VLOOKUP($B19&amp;$C19,'C. Gestión Pto #1'!$B$4:C$17,MATCH(D$5,'C. Gestión Pto #1'!$B$4:C$4,0),FALSE),0),0)</f>
        <v>0</v>
      </c>
      <c r="E19" s="197">
        <f>IFERROR(SUM(VLOOKUP($B19&amp;$C19,'C. Gestión Pto #1'!$B$4:D$17,MATCH(E$5,'C. Gestión Pto #1'!$B$4:D$4,0),FALSE),0),0)</f>
        <v>2555627</v>
      </c>
      <c r="F19" s="197">
        <f>IFERROR(SUM(VLOOKUP($B19&amp;$C19,'C. Gestión Pto #1'!$B$4:E$17,MATCH(F$5,'C. Gestión Pto #1'!$B$4:E$4,0),FALSE),0),0)</f>
        <v>0</v>
      </c>
      <c r="G19" s="197">
        <f>IFERROR(SUM(VLOOKUP($B19&amp;$C19,'C. Gestión Pto #1'!$B$4:F$17,MATCH(G$5,'C. Gestión Pto #1'!$B$4:F$4,0),FALSE),0),0)</f>
        <v>5000000</v>
      </c>
      <c r="H19" s="197">
        <f>IFERROR(SUM(VLOOKUP($B19&amp;$C19,'C. Gestión Pto #1'!$B$4:G$17,MATCH(H$5,'C. Gestión Pto #1'!$B$4:G$4,0),FALSE),0),0)</f>
        <v>5000000</v>
      </c>
      <c r="I19" s="197">
        <f>IFERROR(SUM(VLOOKUP($B19&amp;$C19,'C. Gestión Pto #1'!$B$4:H$17,MATCH(I$5,'C. Gestión Pto #1'!$B$4:H$4,0),FALSE),0),0)</f>
        <v>5812500</v>
      </c>
      <c r="J19" s="197">
        <f>SUM(IFERROR(VLOOKUP($B19&amp;$C19,'C. Gestión Pto #1'!$B$4:I$17,MATCH(J$5,'C. Gestión Pto #1'!$B$4:I$4,0),FALSE),0),IFERROR(VLOOKUP($B19&amp;$C19,'C. Gestión Pto #2'!$B$4:C$23,MATCH(J$5,'C. Gestión Pto #2'!$B$4:C$4,0),FALSE),0))</f>
        <v>0</v>
      </c>
      <c r="K19" s="197">
        <f>SUM(IFERROR(VLOOKUP($B19&amp;$C19,'C. Gestión Pto #1'!$B$4:J$17,MATCH(K$5,'C. Gestión Pto #1'!$B$4:J$4,0),FALSE),0),IFERROR(VLOOKUP($B19&amp;$C19,'C. Gestión Pto #2'!$B$4:D$23,MATCH(K$5,'C. Gestión Pto #2'!$B$4:D$4,0),FALSE),0))</f>
        <v>6430886.3700000001</v>
      </c>
      <c r="L19" s="197">
        <f>SUM(IFERROR(VLOOKUP($B19&amp;$C19,'C. Gestión Pto #1'!$B$4:K$17,MATCH(L$5,'C. Gestión Pto #1'!$B$4:K$4,0),FALSE),0),IFERROR(VLOOKUP($B19&amp;$C19,'C. Gestión Pto #2'!$B$4:E$23,MATCH(L$5,'C. Gestión Pto #2'!$B$4:E$4,0),FALSE),0))</f>
        <v>0</v>
      </c>
      <c r="M19" s="197">
        <f>SUM(IFERROR(VLOOKUP($B19&amp;$C19,'C. Gestión Pto #1'!$B$4:L$17,MATCH(M$5,'C. Gestión Pto #1'!$B$4:L$4,0),FALSE),0),IFERROR(VLOOKUP($B19&amp;$C19,'C. Gestión Pto #2'!$B$4:F$23,MATCH(M$5,'C. Gestión Pto #2'!$B$4:F$4,0),FALSE),0))</f>
        <v>0</v>
      </c>
      <c r="N19" s="197">
        <f>SUM(IFERROR(VLOOKUP($B19&amp;$C19,'C. Gestión Pto #1'!$B$4:M$17,MATCH(N$5,'C. Gestión Pto #1'!$B$4:M$4,0),FALSE),0),IFERROR(VLOOKUP($B19&amp;$C19,'C. Gestión Pto #2'!$B$4:G$23,MATCH(N$5,'C. Gestión Pto #2'!$B$4:G$4,0),FALSE),0))</f>
        <v>0</v>
      </c>
      <c r="O19" s="197">
        <f>SUM(IFERROR(VLOOKUP($B19&amp;$C19,'C. Gestión Pto #1'!$B$4:N$17,MATCH(O$5,'C. Gestión Pto #1'!$B$4:N$4,0),FALSE),0),IFERROR(VLOOKUP($B19&amp;$C19,'C. Gestión Pto #2'!$B$4:H$23,MATCH(O$5,'C. Gestión Pto #2'!$B$4:H$4,0),FALSE),0))</f>
        <v>0</v>
      </c>
      <c r="P19" s="197">
        <f>SUM(IFERROR(VLOOKUP($B19&amp;$C19,'C. Gestión Pto #1'!$B$4:O$17,MATCH(P$5,'C. Gestión Pto #1'!$B$4:O$4,0),FALSE),0),IFERROR(VLOOKUP($B19&amp;$C19,'C. Gestión Pto #2'!$B$4:I$23,MATCH(P$5,'C. Gestión Pto #2'!$B$4:I$4,0),FALSE),0))</f>
        <v>0</v>
      </c>
      <c r="Q19" s="197">
        <f>SUM(IFERROR(VLOOKUP($B19&amp;$C19,'C. Gestión Pto #1'!$B$4:P$17,MATCH(Q$5,'C. Gestión Pto #1'!$B$4:P$4,0),FALSE),0),IFERROR(VLOOKUP($B19&amp;$C19,'C. Gestión Pto #2'!$B$4:J$23,MATCH(Q$5,'C. Gestión Pto #2'!$B$4:J$4,0),FALSE),0))</f>
        <v>0</v>
      </c>
      <c r="R19" s="197">
        <f>SUM(IFERROR(VLOOKUP($B19&amp;$C19,'C. Gestión Pto #1'!$B$4:Q$17,MATCH(R$5,'C. Gestión Pto #1'!$B$4:Q$4,0),FALSE),0),IFERROR(VLOOKUP($B19&amp;$C19,'C. Gestión Pto #2'!$B$4:K$23,MATCH(R$5,'C. Gestión Pto #2'!$B$4:K$4,0),FALSE),0))</f>
        <v>0</v>
      </c>
      <c r="S19" s="197">
        <f>SUM(IFERROR(VLOOKUP($B19&amp;$C19,'C. Gestión Pto #1'!$B$4:R$17,MATCH(S$5,'C. Gestión Pto #1'!$B$4:R$4,0),FALSE),0),IFERROR(VLOOKUP($B19&amp;$C19,'C. Gestión Pto #2'!$B$4:L$23,MATCH(S$5,'C. Gestión Pto #2'!$B$4:L$4,0),FALSE),0))</f>
        <v>0</v>
      </c>
      <c r="T19" s="197">
        <f>SUM(IFERROR(VLOOKUP($B19&amp;$C19,'C. Gestión Pto #1'!$B$4:S$17,MATCH(T$5,'C. Gestión Pto #1'!$B$4:S$4,0),FALSE),0),IFERROR(VLOOKUP($B19&amp;$C19,'C. Gestión Pto #2'!$B$4:M$23,MATCH(T$5,'C. Gestión Pto #2'!$B$4:M$4,0),FALSE),0))</f>
        <v>0</v>
      </c>
      <c r="U19" s="189"/>
      <c r="V19" s="261" cm="1">
        <f t="array" ref="V19">SUMPRODUCT($D19:$U19,TRANSPOSE('Indice CAC'!$C$10:$C$27))</f>
        <v>21476727.946788512</v>
      </c>
      <c r="W19" s="147"/>
      <c r="X19" s="146">
        <f>'Resumen Pto #1'!X19</f>
        <v>23294399.999999996</v>
      </c>
      <c r="Y19" s="146">
        <v>0</v>
      </c>
      <c r="Z19" s="146">
        <f t="shared" si="13"/>
        <v>23294399.999999996</v>
      </c>
      <c r="AA19" s="978">
        <f>IF(C19="MAT",SUMIF('Pto. 01 Cert.'!$A$10:$A$57,$B19,'Pto. 01 Cert.'!$T$10:$T$57),IF(C19="MO",SUMIF('Pto. 01 Cert.'!$A$10:$A$57,$B19,'Pto. 01 Cert.'!$U$10:$U$57),SUMIF('Pto. 01 Cert.'!$A$10:$A$57,$B19,'Pto. 01 Cert.'!$V$10:$V$57)))/IF(C19="MAT",SUMIF('Pto. 01 Cert.'!$A$10:$A$57,$B19,'Pto. 01 Cert.'!$I$10:$I$57),IF(C19="MO",SUMIF('Pto. 01 Cert.'!$A$10:$A$57,$B19,'Pto. 01 Cert.'!$J$10:$J$57),SUMIF('Pto. 01 Cert.'!$A$10:$A$57,$B19,'Pto. 01 Cert.'!$K$10:$K$57)))</f>
        <v>0.99999999999999978</v>
      </c>
      <c r="AB19" s="323">
        <f t="shared" si="14"/>
        <v>0</v>
      </c>
      <c r="AC19" s="311">
        <f t="shared" si="12"/>
        <v>0</v>
      </c>
      <c r="AD19" s="323">
        <f t="shared" si="15"/>
        <v>1817672.0532114841</v>
      </c>
    </row>
    <row r="20" spans="2:33" x14ac:dyDescent="0.35">
      <c r="B20" s="66" t="s">
        <v>110</v>
      </c>
      <c r="C20" s="196" t="s">
        <v>38</v>
      </c>
      <c r="D20" s="197">
        <f>IFERROR(SUM(VLOOKUP($B20&amp;$C20,'C. Gestión Pto #1'!$B$4:C$17,MATCH(D$5,'C. Gestión Pto #1'!$B$4:C$4,0),FALSE),0),0)</f>
        <v>0</v>
      </c>
      <c r="E20" s="197">
        <f>IFERROR(SUM(VLOOKUP($B20&amp;$C20,'C. Gestión Pto #1'!$B$4:D$17,MATCH(E$5,'C. Gestión Pto #1'!$B$4:D$4,0),FALSE),0),0)</f>
        <v>7421307.1600000001</v>
      </c>
      <c r="F20" s="197">
        <f>IFERROR(SUM(VLOOKUP($B20&amp;$C20,'C. Gestión Pto #1'!$B$4:E$17,MATCH(F$5,'C. Gestión Pto #1'!$B$4:E$4,0),FALSE),0),0)</f>
        <v>934481.37</v>
      </c>
      <c r="G20" s="197">
        <f>IFERROR(SUM(VLOOKUP($B20&amp;$C20,'C. Gestión Pto #1'!$B$4:F$17,MATCH(G$5,'C. Gestión Pto #1'!$B$4:F$4,0),FALSE),0),0)</f>
        <v>6221403.1100000003</v>
      </c>
      <c r="H20" s="197">
        <f>IFERROR(SUM(VLOOKUP($B20&amp;$C20,'C. Gestión Pto #1'!$B$4:G$17,MATCH(H$5,'C. Gestión Pto #1'!$B$4:G$4,0),FALSE),0),0)</f>
        <v>3385750.4400000023</v>
      </c>
      <c r="I20" s="197">
        <f>IFERROR(SUM(VLOOKUP($B20&amp;$C20,'C. Gestión Pto #1'!$B$4:H$17,MATCH(I$5,'C. Gestión Pto #1'!$B$4:H$4,0),FALSE),0),0)</f>
        <v>3530590.83</v>
      </c>
      <c r="J20" s="197">
        <f>SUM(IFERROR(VLOOKUP($B20&amp;$C20,'C. Gestión Pto #1'!$B$4:I$17,MATCH(J$5,'C. Gestión Pto #1'!$B$4:I$4,0),FALSE),0),IFERROR(VLOOKUP($B20&amp;$C20,'C. Gestión Pto #2'!$B$4:C$23,MATCH(J$5,'C. Gestión Pto #2'!$B$4:C$4,0),FALSE),0))</f>
        <v>0</v>
      </c>
      <c r="K20" s="197">
        <f>SUM(IFERROR(VLOOKUP($B20&amp;$C20,'C. Gestión Pto #1'!$B$4:J$17,MATCH(K$5,'C. Gestión Pto #1'!$B$4:J$4,0),FALSE),0),IFERROR(VLOOKUP($B20&amp;$C20,'C. Gestión Pto #2'!$B$4:D$23,MATCH(K$5,'C. Gestión Pto #2'!$B$4:D$4,0),FALSE),0))</f>
        <v>3744037.29</v>
      </c>
      <c r="L20" s="197">
        <f>SUM(IFERROR(VLOOKUP($B20&amp;$C20,'C. Gestión Pto #1'!$B$4:K$17,MATCH(L$5,'C. Gestión Pto #1'!$B$4:K$4,0),FALSE),0),IFERROR(VLOOKUP($B20&amp;$C20,'C. Gestión Pto #2'!$B$4:E$23,MATCH(L$5,'C. Gestión Pto #2'!$B$4:E$4,0),FALSE),0))</f>
        <v>1646601.2200000002</v>
      </c>
      <c r="M20" s="197">
        <f>SUM(IFERROR(VLOOKUP($B20&amp;$C20,'C. Gestión Pto #1'!$B$4:L$17,MATCH(M$5,'C. Gestión Pto #1'!$B$4:L$4,0),FALSE),0),IFERROR(VLOOKUP($B20&amp;$C20,'C. Gestión Pto #2'!$B$4:F$23,MATCH(M$5,'C. Gestión Pto #2'!$B$4:F$4,0),FALSE),0))</f>
        <v>4258986.68</v>
      </c>
      <c r="N20" s="197">
        <f>SUM(IFERROR(VLOOKUP($B20&amp;$C20,'C. Gestión Pto #1'!$B$4:M$17,MATCH(N$5,'C. Gestión Pto #1'!$B$4:M$4,0),FALSE),0),IFERROR(VLOOKUP($B20&amp;$C20,'C. Gestión Pto #2'!$B$4:G$23,MATCH(N$5,'C. Gestión Pto #2'!$B$4:G$4,0),FALSE),0))</f>
        <v>1572093.6</v>
      </c>
      <c r="O20" s="197">
        <f>SUM(IFERROR(VLOOKUP($B20&amp;$C20,'C. Gestión Pto #1'!$B$4:N$17,MATCH(O$5,'C. Gestión Pto #1'!$B$4:N$4,0),FALSE),0),IFERROR(VLOOKUP($B20&amp;$C20,'C. Gestión Pto #2'!$B$4:H$23,MATCH(O$5,'C. Gestión Pto #2'!$B$4:H$4,0),FALSE),0))</f>
        <v>190000</v>
      </c>
      <c r="P20" s="197">
        <f>SUM(IFERROR(VLOOKUP($B20&amp;$C20,'C. Gestión Pto #1'!$B$4:O$17,MATCH(P$5,'C. Gestión Pto #1'!$B$4:O$4,0),FALSE),0),IFERROR(VLOOKUP($B20&amp;$C20,'C. Gestión Pto #2'!$B$4:I$23,MATCH(P$5,'C. Gestión Pto #2'!$B$4:I$4,0),FALSE),0))</f>
        <v>475000</v>
      </c>
      <c r="Q20" s="197">
        <f>SUM(IFERROR(VLOOKUP($B20&amp;$C20,'C. Gestión Pto #1'!$B$4:P$17,MATCH(Q$5,'C. Gestión Pto #1'!$B$4:P$4,0),FALSE),0),IFERROR(VLOOKUP($B20&amp;$C20,'C. Gestión Pto #2'!$B$4:J$23,MATCH(Q$5,'C. Gestión Pto #2'!$B$4:J$4,0),FALSE),0))</f>
        <v>0</v>
      </c>
      <c r="R20" s="197">
        <f>SUM(IFERROR(VLOOKUP($B20&amp;$C20,'C. Gestión Pto #1'!$B$4:Q$17,MATCH(R$5,'C. Gestión Pto #1'!$B$4:Q$4,0),FALSE),0),IFERROR(VLOOKUP($B20&amp;$C20,'C. Gestión Pto #2'!$B$4:K$23,MATCH(R$5,'C. Gestión Pto #2'!$B$4:K$4,0),FALSE),0))</f>
        <v>223140.49</v>
      </c>
      <c r="S20" s="197">
        <f>SUM(IFERROR(VLOOKUP($B20&amp;$C20,'C. Gestión Pto #1'!$B$4:R$17,MATCH(S$5,'C. Gestión Pto #1'!$B$4:R$4,0),FALSE),0),IFERROR(VLOOKUP($B20&amp;$C20,'C. Gestión Pto #2'!$B$4:L$23,MATCH(S$5,'C. Gestión Pto #2'!$B$4:L$4,0),FALSE),0))</f>
        <v>83123.600000000006</v>
      </c>
      <c r="T20" s="197">
        <f>SUM(IFERROR(VLOOKUP($B20&amp;$C20,'C. Gestión Pto #1'!$B$4:S$17,MATCH(T$5,'C. Gestión Pto #1'!$B$4:S$4,0),FALSE),0),IFERROR(VLOOKUP($B20&amp;$C20,'C. Gestión Pto #2'!$B$4:M$23,MATCH(T$5,'C. Gestión Pto #2'!$B$4:M$4,0),FALSE),0))</f>
        <v>0</v>
      </c>
      <c r="U20" s="189"/>
      <c r="V20" s="261" cm="1">
        <f t="array" ref="V20">SUMPRODUCT($D20:$U20,TRANSPOSE('Indice CAC'!$C$10:$C$27))</f>
        <v>28825228.644158389</v>
      </c>
      <c r="W20" s="147"/>
      <c r="X20" s="146">
        <f>'Resumen Pto #1'!X20</f>
        <v>39767922.338113993</v>
      </c>
      <c r="Y20" s="146">
        <v>0</v>
      </c>
      <c r="Z20" s="146">
        <f t="shared" si="13"/>
        <v>39767922.338113993</v>
      </c>
      <c r="AA20" s="978">
        <f>IF(C20="MAT",SUMIF('Pto. 01 Cert.'!$A$10:$A$57,$B20,'Pto. 01 Cert.'!$T$10:$T$57),IF(C20="MO",SUMIF('Pto. 01 Cert.'!$A$10:$A$57,$B20,'Pto. 01 Cert.'!$U$10:$U$57),SUMIF('Pto. 01 Cert.'!$A$10:$A$57,$B20,'Pto. 01 Cert.'!$V$10:$V$57)))/IF(C20="MAT",SUMIF('Pto. 01 Cert.'!$A$10:$A$57,$B20,'Pto. 01 Cert.'!$I$10:$I$57),IF(C20="MO",SUMIF('Pto. 01 Cert.'!$A$10:$A$57,$B20,'Pto. 01 Cert.'!$J$10:$J$57),SUMIF('Pto. 01 Cert.'!$A$10:$A$57,$B20,'Pto. 01 Cert.'!$K$10:$K$57)))</f>
        <v>1</v>
      </c>
      <c r="AB20" s="323">
        <f t="shared" si="14"/>
        <v>0</v>
      </c>
      <c r="AC20" s="311">
        <f t="shared" si="12"/>
        <v>0</v>
      </c>
      <c r="AD20" s="323">
        <f t="shared" si="15"/>
        <v>10942693.693955604</v>
      </c>
    </row>
    <row r="21" spans="2:33" x14ac:dyDescent="0.35">
      <c r="B21" s="66" t="s">
        <v>110</v>
      </c>
      <c r="C21" s="196" t="s">
        <v>39</v>
      </c>
      <c r="D21" s="197">
        <f>IFERROR(SUM(VLOOKUP($B21&amp;$C21,'C. Gestión Pto #1'!$B$4:C$17,MATCH(D$5,'C. Gestión Pto #1'!$B$4:C$4,0),FALSE),0),0)</f>
        <v>0</v>
      </c>
      <c r="E21" s="197">
        <f>IFERROR(SUM(VLOOKUP($B21&amp;$C21,'C. Gestión Pto #1'!$B$4:D$17,MATCH(E$5,'C. Gestión Pto #1'!$B$4:D$4,0),FALSE),0),0)</f>
        <v>0</v>
      </c>
      <c r="F21" s="197">
        <f>IFERROR(SUM(VLOOKUP($B21&amp;$C21,'C. Gestión Pto #1'!$B$4:E$17,MATCH(F$5,'C. Gestión Pto #1'!$B$4:E$4,0),FALSE),0),0)</f>
        <v>2102991.6</v>
      </c>
      <c r="G21" s="197">
        <f>IFERROR(SUM(VLOOKUP($B21&amp;$C21,'C. Gestión Pto #1'!$B$4:F$17,MATCH(G$5,'C. Gestión Pto #1'!$B$4:F$4,0),FALSE),0),0)</f>
        <v>17862837</v>
      </c>
      <c r="H21" s="197">
        <f>IFERROR(SUM(VLOOKUP($B21&amp;$C21,'C. Gestión Pto #1'!$B$4:G$17,MATCH(H$5,'C. Gestión Pto #1'!$B$4:G$4,0),FALSE),0),0)</f>
        <v>18399394.009191982</v>
      </c>
      <c r="I21" s="197">
        <f>IFERROR(SUM(VLOOKUP($B21&amp;$C21,'C. Gestión Pto #1'!$B$4:H$17,MATCH(I$5,'C. Gestión Pto #1'!$B$4:H$4,0),FALSE),0),0)</f>
        <v>21489374.760149814</v>
      </c>
      <c r="J21" s="197">
        <f>SUM(IFERROR(VLOOKUP($B21&amp;$C21,'C. Gestión Pto #1'!$B$4:I$17,MATCH(J$5,'C. Gestión Pto #1'!$B$4:I$4,0),FALSE),0),IFERROR(VLOOKUP($B21&amp;$C21,'C. Gestión Pto #2'!$B$4:C$23,MATCH(J$5,'C. Gestión Pto #2'!$B$4:C$4,0),FALSE),0))</f>
        <v>26401198</v>
      </c>
      <c r="K21" s="197">
        <f>SUM(IFERROR(VLOOKUP($B21&amp;$C21,'C. Gestión Pto #1'!$B$4:J$17,MATCH(K$5,'C. Gestión Pto #1'!$B$4:J$4,0),FALSE),0),IFERROR(VLOOKUP($B21&amp;$C21,'C. Gestión Pto #2'!$B$4:D$23,MATCH(K$5,'C. Gestión Pto #2'!$B$4:D$4,0),FALSE),0))</f>
        <v>22702900.739999998</v>
      </c>
      <c r="L21" s="197">
        <f>SUM(IFERROR(VLOOKUP($B21&amp;$C21,'C. Gestión Pto #1'!$B$4:K$17,MATCH(L$5,'C. Gestión Pto #1'!$B$4:K$4,0),FALSE),0),IFERROR(VLOOKUP($B21&amp;$C21,'C. Gestión Pto #2'!$B$4:E$23,MATCH(L$5,'C. Gestión Pto #2'!$B$4:E$4,0),FALSE),0))</f>
        <v>26719160.39979323</v>
      </c>
      <c r="M21" s="197">
        <f>SUM(IFERROR(VLOOKUP($B21&amp;$C21,'C. Gestión Pto #1'!$B$4:L$17,MATCH(M$5,'C. Gestión Pto #1'!$B$4:L$4,0),FALSE),0),IFERROR(VLOOKUP($B21&amp;$C21,'C. Gestión Pto #2'!$B$4:F$23,MATCH(M$5,'C. Gestión Pto #2'!$B$4:F$4,0),FALSE),0))</f>
        <v>31168841.275886506</v>
      </c>
      <c r="N21" s="197">
        <f>SUM(IFERROR(VLOOKUP($B21&amp;$C21,'C. Gestión Pto #1'!$B$4:M$17,MATCH(N$5,'C. Gestión Pto #1'!$B$4:M$4,0),FALSE),0),IFERROR(VLOOKUP($B21&amp;$C21,'C. Gestión Pto #2'!$B$4:G$23,MATCH(N$5,'C. Gestión Pto #2'!$B$4:G$4,0),FALSE),0))</f>
        <v>30645861.5633334</v>
      </c>
      <c r="O21" s="197">
        <f>SUM(IFERROR(VLOOKUP($B21&amp;$C21,'C. Gestión Pto #1'!$B$4:N$17,MATCH(O$5,'C. Gestión Pto #1'!$B$4:N$4,0),FALSE),0),IFERROR(VLOOKUP($B21&amp;$C21,'C. Gestión Pto #2'!$B$4:H$23,MATCH(O$5,'C. Gestión Pto #2'!$B$4:H$4,0),FALSE),0))</f>
        <v>29665402.632109251</v>
      </c>
      <c r="P21" s="197">
        <f>SUM(IFERROR(VLOOKUP($B21&amp;$C21,'C. Gestión Pto #1'!$B$4:O$17,MATCH(P$5,'C. Gestión Pto #1'!$B$4:O$4,0),FALSE),0),IFERROR(VLOOKUP($B21&amp;$C21,'C. Gestión Pto #2'!$B$4:I$23,MATCH(P$5,'C. Gestión Pto #2'!$B$4:I$4,0),FALSE),0))</f>
        <v>26268531.441198006</v>
      </c>
      <c r="Q21" s="197">
        <f>SUM(IFERROR(VLOOKUP($B21&amp;$C21,'C. Gestión Pto #1'!$B$4:P$17,MATCH(Q$5,'C. Gestión Pto #1'!$B$4:P$4,0),FALSE),0),IFERROR(VLOOKUP($B21&amp;$C21,'C. Gestión Pto #2'!$B$4:J$23,MATCH(Q$5,'C. Gestión Pto #2'!$B$4:J$4,0),FALSE),0))</f>
        <v>17271364.254189882</v>
      </c>
      <c r="R21" s="197">
        <f>SUM(IFERROR(VLOOKUP($B21&amp;$C21,'C. Gestión Pto #1'!$B$4:Q$17,MATCH(R$5,'C. Gestión Pto #1'!$B$4:Q$4,0),FALSE),0),IFERROR(VLOOKUP($B21&amp;$C21,'C. Gestión Pto #2'!$B$4:K$23,MATCH(R$5,'C. Gestión Pto #2'!$B$4:K$4,0),FALSE),0))</f>
        <v>10692908.057170907</v>
      </c>
      <c r="S21" s="197">
        <f>SUM(IFERROR(VLOOKUP($B21&amp;$C21,'C. Gestión Pto #1'!$B$4:R$17,MATCH(S$5,'C. Gestión Pto #1'!$B$4:R$4,0),FALSE),0),IFERROR(VLOOKUP($B21&amp;$C21,'C. Gestión Pto #2'!$B$4:L$23,MATCH(S$5,'C. Gestión Pto #2'!$B$4:L$4,0),FALSE),0))</f>
        <v>8760556.9012859296</v>
      </c>
      <c r="T21" s="197">
        <f>SUM(IFERROR(VLOOKUP($B21&amp;$C21,'C. Gestión Pto #1'!$B$4:S$17,MATCH(T$5,'C. Gestión Pto #1'!$B$4:S$4,0),FALSE),0),IFERROR(VLOOKUP($B21&amp;$C21,'C. Gestión Pto #2'!$B$4:M$23,MATCH(T$5,'C. Gestión Pto #2'!$B$4:M$4,0),FALSE),0))</f>
        <v>7793473.3095860975</v>
      </c>
      <c r="U21" s="189"/>
      <c r="V21" s="261" cm="1">
        <f t="array" ref="V21">SUMPRODUCT($D21:$U21,TRANSPOSE('Indice CAC'!$C$10:$C$27))</f>
        <v>238180701.40241623</v>
      </c>
      <c r="W21" s="147"/>
      <c r="X21" s="146">
        <f>'Resumen Pto #1'!X21</f>
        <v>160015233.31694609</v>
      </c>
      <c r="Y21" s="146">
        <v>0</v>
      </c>
      <c r="Z21" s="146">
        <f t="shared" si="13"/>
        <v>160015233.31694609</v>
      </c>
      <c r="AA21" s="978">
        <f>IF(C21="MAT",SUMIF('Pto. 01 Cert.'!$A$10:$A$57,$B21,'Pto. 01 Cert.'!$T$10:$T$57),IF(C21="MO",SUMIF('Pto. 01 Cert.'!$A$10:$A$57,$B21,'Pto. 01 Cert.'!$U$10:$U$57),SUMIF('Pto. 01 Cert.'!$A$10:$A$57,$B21,'Pto. 01 Cert.'!$V$10:$V$57)))/IF(C21="MAT",SUMIF('Pto. 01 Cert.'!$A$10:$A$57,$B21,'Pto. 01 Cert.'!$I$10:$I$57),IF(C21="MO",SUMIF('Pto. 01 Cert.'!$A$10:$A$57,$B21,'Pto. 01 Cert.'!$J$10:$J$57),SUMIF('Pto. 01 Cert.'!$A$10:$A$57,$B21,'Pto. 01 Cert.'!$K$10:$K$57)))</f>
        <v>1</v>
      </c>
      <c r="AB21" s="323">
        <f t="shared" si="14"/>
        <v>0</v>
      </c>
      <c r="AC21" s="311">
        <f t="shared" si="12"/>
        <v>0</v>
      </c>
      <c r="AD21" s="323">
        <f t="shared" si="15"/>
        <v>-78165468.08547014</v>
      </c>
    </row>
    <row r="22" spans="2:33" x14ac:dyDescent="0.35">
      <c r="B22" s="66" t="s">
        <v>113</v>
      </c>
      <c r="C22" s="196" t="s">
        <v>38</v>
      </c>
      <c r="D22" s="197">
        <f>IFERROR(SUM(VLOOKUP($B22&amp;$C22,'C. Gestión Pto #1'!$B$4:C$17,MATCH(D$5,'C. Gestión Pto #1'!$B$4:C$4,0),FALSE),0),0)</f>
        <v>22000</v>
      </c>
      <c r="E22" s="197">
        <f>IFERROR(SUM(VLOOKUP($B22&amp;$C22,'C. Gestión Pto #1'!$B$4:D$17,MATCH(E$5,'C. Gestión Pto #1'!$B$4:D$4,0),FALSE),0),0)</f>
        <v>0</v>
      </c>
      <c r="F22" s="197">
        <f>IFERROR(SUM(VLOOKUP($B22&amp;$C22,'C. Gestión Pto #1'!$B$4:E$17,MATCH(F$5,'C. Gestión Pto #1'!$B$4:E$4,0),FALSE),0),0)</f>
        <v>0</v>
      </c>
      <c r="G22" s="197">
        <f>IFERROR(SUM(VLOOKUP($B22&amp;$C22,'C. Gestión Pto #1'!$B$4:F$17,MATCH(G$5,'C. Gestión Pto #1'!$B$4:F$4,0),FALSE),0),0)</f>
        <v>0</v>
      </c>
      <c r="H22" s="197">
        <f>IFERROR(SUM(VLOOKUP($B22&amp;$C22,'C. Gestión Pto #1'!$B$4:G$17,MATCH(H$5,'C. Gestión Pto #1'!$B$4:G$4,0),FALSE),0),0)</f>
        <v>0</v>
      </c>
      <c r="I22" s="197">
        <f>IFERROR(SUM(VLOOKUP($B22&amp;$C22,'C. Gestión Pto #1'!$B$4:H$17,MATCH(I$5,'C. Gestión Pto #1'!$B$4:H$4,0),FALSE),0),0)</f>
        <v>0</v>
      </c>
      <c r="J22" s="197">
        <f>SUM(IFERROR(VLOOKUP($B22&amp;$C22,'C. Gestión Pto #1'!$B$4:I$17,MATCH(J$5,'C. Gestión Pto #1'!$B$4:I$4,0),FALSE),0),IFERROR(VLOOKUP($B22&amp;$C22,'C. Gestión Pto #2'!$B$4:C$23,MATCH(J$5,'C. Gestión Pto #2'!$B$4:C$4,0),FALSE),0))</f>
        <v>203018.10999999987</v>
      </c>
      <c r="K22" s="197">
        <f>SUM(IFERROR(VLOOKUP($B22&amp;$C22,'C. Gestión Pto #1'!$B$4:J$17,MATCH(K$5,'C. Gestión Pto #1'!$B$4:J$4,0),FALSE),0),IFERROR(VLOOKUP($B22&amp;$C22,'C. Gestión Pto #2'!$B$4:D$23,MATCH(K$5,'C. Gestión Pto #2'!$B$4:D$4,0),FALSE),0))</f>
        <v>955956.22</v>
      </c>
      <c r="L22" s="197">
        <f>SUM(IFERROR(VLOOKUP($B22&amp;$C22,'C. Gestión Pto #1'!$B$4:K$17,MATCH(L$5,'C. Gestión Pto #1'!$B$4:K$4,0),FALSE),0),IFERROR(VLOOKUP($B22&amp;$C22,'C. Gestión Pto #2'!$B$4:E$23,MATCH(L$5,'C. Gestión Pto #2'!$B$4:E$4,0),FALSE),0))</f>
        <v>404650.26</v>
      </c>
      <c r="M22" s="197">
        <f>SUM(IFERROR(VLOOKUP($B22&amp;$C22,'C. Gestión Pto #1'!$B$4:L$17,MATCH(M$5,'C. Gestión Pto #1'!$B$4:L$4,0),FALSE),0),IFERROR(VLOOKUP($B22&amp;$C22,'C. Gestión Pto #2'!$B$4:F$23,MATCH(M$5,'C. Gestión Pto #2'!$B$4:F$4,0),FALSE),0))</f>
        <v>21548948.260000002</v>
      </c>
      <c r="N22" s="197">
        <f>SUM(IFERROR(VLOOKUP($B22&amp;$C22,'C. Gestión Pto #1'!$B$4:M$17,MATCH(N$5,'C. Gestión Pto #1'!$B$4:M$4,0),FALSE),0),IFERROR(VLOOKUP($B22&amp;$C22,'C. Gestión Pto #2'!$B$4:G$23,MATCH(N$5,'C. Gestión Pto #2'!$B$4:G$4,0),FALSE),0))</f>
        <v>5653260.9299999997</v>
      </c>
      <c r="O22" s="197">
        <f>SUM(IFERROR(VLOOKUP($B22&amp;$C22,'C. Gestión Pto #1'!$B$4:N$17,MATCH(O$5,'C. Gestión Pto #1'!$B$4:N$4,0),FALSE),0),IFERROR(VLOOKUP($B22&amp;$C22,'C. Gestión Pto #2'!$B$4:H$23,MATCH(O$5,'C. Gestión Pto #2'!$B$4:H$4,0),FALSE),0))</f>
        <v>524503.91</v>
      </c>
      <c r="P22" s="197">
        <f>SUM(IFERROR(VLOOKUP($B22&amp;$C22,'C. Gestión Pto #1'!$B$4:O$17,MATCH(P$5,'C. Gestión Pto #1'!$B$4:O$4,0),FALSE),0),IFERROR(VLOOKUP($B22&amp;$C22,'C. Gestión Pto #2'!$B$4:I$23,MATCH(P$5,'C. Gestión Pto #2'!$B$4:I$4,0),FALSE),0))</f>
        <v>4059472.75</v>
      </c>
      <c r="Q22" s="197">
        <f>SUM(IFERROR(VLOOKUP($B22&amp;$C22,'C. Gestión Pto #1'!$B$4:P$17,MATCH(Q$5,'C. Gestión Pto #1'!$B$4:P$4,0),FALSE),0),IFERROR(VLOOKUP($B22&amp;$C22,'C. Gestión Pto #2'!$B$4:J$23,MATCH(Q$5,'C. Gestión Pto #2'!$B$4:J$4,0),FALSE),0))</f>
        <v>3330609.25</v>
      </c>
      <c r="R22" s="197">
        <f>SUM(IFERROR(VLOOKUP($B22&amp;$C22,'C. Gestión Pto #1'!$B$4:Q$17,MATCH(R$5,'C. Gestión Pto #1'!$B$4:Q$4,0),FALSE),0),IFERROR(VLOOKUP($B22&amp;$C22,'C. Gestión Pto #2'!$B$4:K$23,MATCH(R$5,'C. Gestión Pto #2'!$B$4:K$4,0),FALSE),0))</f>
        <v>3645438.85</v>
      </c>
      <c r="S22" s="197">
        <f>SUM(IFERROR(VLOOKUP($B22&amp;$C22,'C. Gestión Pto #1'!$B$4:R$17,MATCH(S$5,'C. Gestión Pto #1'!$B$4:R$4,0),FALSE),0),IFERROR(VLOOKUP($B22&amp;$C22,'C. Gestión Pto #2'!$B$4:L$23,MATCH(S$5,'C. Gestión Pto #2'!$B$4:L$4,0),FALSE),0))</f>
        <v>21275900.309999999</v>
      </c>
      <c r="T22" s="197">
        <f>SUM(IFERROR(VLOOKUP($B22&amp;$C22,'C. Gestión Pto #1'!$B$4:S$17,MATCH(T$5,'C. Gestión Pto #1'!$B$4:S$4,0),FALSE),0),IFERROR(VLOOKUP($B22&amp;$C22,'C. Gestión Pto #2'!$B$4:M$23,MATCH(T$5,'C. Gestión Pto #2'!$B$4:M$4,0),FALSE),0))</f>
        <v>23833773.690000001</v>
      </c>
      <c r="U22" s="189"/>
      <c r="V22" s="261" cm="1">
        <f t="array" ref="V22">SUMPRODUCT($D22:$U22,TRANSPOSE('Indice CAC'!$C$10:$C$27))</f>
        <v>63183131.905729041</v>
      </c>
      <c r="W22" s="147"/>
      <c r="X22" s="146">
        <f>'Resumen Pto #1'!X22</f>
        <v>2988097.2693333332</v>
      </c>
      <c r="Y22" s="146">
        <f>'Resumen Pto #2'!R16</f>
        <v>61725810.72321599</v>
      </c>
      <c r="Z22" s="146">
        <f t="shared" si="13"/>
        <v>64713907.992549323</v>
      </c>
      <c r="AA22" s="978">
        <f>SUM(IF(C22="MAT",SUMIF('Pto. 01 Cert.'!$A$10:$A$57,$B22,'Pto. 01 Cert.'!$T$10:$T$57),IF(C22="MO",SUMIF('Pto. 01 Cert.'!$A$10:$A$57,$B22,'Pto. 01 Cert.'!$U$10:$U$57),SUMIF('Pto. 01 Cert.'!$A$10:$A$57,$B22,'Pto. 01 Cert.'!$V$10:$V$57))),IF(C22="MAT",SUMIF('Pto. 02 Cert.'!$A$10:$A$185,$B22,'Pto. 02 Cert.'!$T$10:$T$185),IF(C22="MO",SUMIF('Pto. 02 Cert.'!$A$10:$A$185,$B22,'Pto. 02 Cert.'!$U$10:$U$185),SUMIF('Pto. 02 Cert.'!$A$10:$A$185,$B22,'Pto. 02 Cert.'!$V$10:$V$185))))/SUM(IF(C22="MAT",SUMIF('Pto. 01 Cert.'!$A$10:$A$57,$B22,'Pto. 01 Cert.'!$I$10:$I$57),IF(C22="MO",SUMIF('Pto. 01 Cert.'!$A$10:$A$57,$B22,'Pto. 01 Cert.'!$J$10:$J$57),SUMIF('Pto. 01 Cert.'!$A$10:$A$57,$B22,'Pto. 01 Cert.'!$K$10:$K$57))),IF(C22="MAT",SUMIF('Pto. 02 Cert.'!$A$10:$A$185,$B22,'Pto. 02 Cert.'!$I$10:$I$185),IF(C22="MO",SUMIF('Pto. 02 Cert.'!$A$10:$A$185,$B22,'Pto. 02 Cert.'!$J$10:$J$185),SUMIF('Pto. 02 Cert.'!$A$10:$A$185,$B22,'Pto. 02 Cert.'!$K$10:$K$185))))</f>
        <v>0.48486162742143285</v>
      </c>
      <c r="AB22" s="323">
        <f t="shared" si="14"/>
        <v>1530776.086820282</v>
      </c>
      <c r="AC22" s="311">
        <f t="shared" si="12"/>
        <v>2.3654514683250534E-2</v>
      </c>
      <c r="AD22" s="323">
        <f t="shared" si="15"/>
        <v>0</v>
      </c>
    </row>
    <row r="23" spans="2:33" x14ac:dyDescent="0.35">
      <c r="B23" s="66" t="s">
        <v>113</v>
      </c>
      <c r="C23" s="196" t="s">
        <v>39</v>
      </c>
      <c r="D23" s="197">
        <f>IFERROR(SUM(VLOOKUP($B23&amp;$C23,'C. Gestión Pto #1'!$B$4:C$17,MATCH(D$5,'C. Gestión Pto #1'!$B$4:C$4,0),FALSE),0),0)</f>
        <v>0</v>
      </c>
      <c r="E23" s="197">
        <f>IFERROR(SUM(VLOOKUP($B23&amp;$C23,'C. Gestión Pto #1'!$B$4:D$17,MATCH(E$5,'C. Gestión Pto #1'!$B$4:D$4,0),FALSE),0),0)</f>
        <v>0</v>
      </c>
      <c r="F23" s="197">
        <f>IFERROR(SUM(VLOOKUP($B23&amp;$C23,'C. Gestión Pto #1'!$B$4:E$17,MATCH(F$5,'C. Gestión Pto #1'!$B$4:E$4,0),FALSE),0),0)</f>
        <v>67000</v>
      </c>
      <c r="G23" s="197">
        <f>IFERROR(SUM(VLOOKUP($B23&amp;$C23,'C. Gestión Pto #1'!$B$4:F$17,MATCH(G$5,'C. Gestión Pto #1'!$B$4:F$4,0),FALSE),0),0)</f>
        <v>240500</v>
      </c>
      <c r="H23" s="197">
        <f>IFERROR(SUM(VLOOKUP($B23&amp;$C23,'C. Gestión Pto #1'!$B$4:G$17,MATCH(H$5,'C. Gestión Pto #1'!$B$4:G$4,0),FALSE),0),0)</f>
        <v>497357.68</v>
      </c>
      <c r="I23" s="197">
        <f>IFERROR(SUM(VLOOKUP($B23&amp;$C23,'C. Gestión Pto #1'!$B$4:H$17,MATCH(I$5,'C. Gestión Pto #1'!$B$4:H$4,0),FALSE),0),0)</f>
        <v>100000</v>
      </c>
      <c r="J23" s="197">
        <f>SUM(IFERROR(VLOOKUP($B23&amp;$C23,'C. Gestión Pto #1'!$B$4:I$17,MATCH(J$5,'C. Gestión Pto #1'!$B$4:I$4,0),FALSE),0),IFERROR(VLOOKUP($B23&amp;$C23,'C. Gestión Pto #2'!$B$4:C$23,MATCH(J$5,'C. Gestión Pto #2'!$B$4:C$4,0),FALSE),0))</f>
        <v>0</v>
      </c>
      <c r="K23" s="197">
        <f>SUM(IFERROR(VLOOKUP($B23&amp;$C23,'C. Gestión Pto #1'!$B$4:J$17,MATCH(K$5,'C. Gestión Pto #1'!$B$4:J$4,0),FALSE),0),IFERROR(VLOOKUP($B23&amp;$C23,'C. Gestión Pto #2'!$B$4:D$23,MATCH(K$5,'C. Gestión Pto #2'!$B$4:D$4,0),FALSE),0))</f>
        <v>0</v>
      </c>
      <c r="L23" s="197">
        <f>SUM(IFERROR(VLOOKUP($B23&amp;$C23,'C. Gestión Pto #1'!$B$4:K$17,MATCH(L$5,'C. Gestión Pto #1'!$B$4:K$4,0),FALSE),0),IFERROR(VLOOKUP($B23&amp;$C23,'C. Gestión Pto #2'!$B$4:E$23,MATCH(L$5,'C. Gestión Pto #2'!$B$4:E$4,0),FALSE),0))</f>
        <v>2134429.8361698673</v>
      </c>
      <c r="M23" s="197">
        <f>SUM(IFERROR(VLOOKUP($B23&amp;$C23,'C. Gestión Pto #1'!$B$4:L$17,MATCH(M$5,'C. Gestión Pto #1'!$B$4:L$4,0),FALSE),0),IFERROR(VLOOKUP($B23&amp;$C23,'C. Gestión Pto #2'!$B$4:F$23,MATCH(M$5,'C. Gestión Pto #2'!$B$4:F$4,0),FALSE),0))</f>
        <v>10224408.09419016</v>
      </c>
      <c r="N23" s="197">
        <f>SUM(IFERROR(VLOOKUP($B23&amp;$C23,'C. Gestión Pto #1'!$B$4:M$17,MATCH(N$5,'C. Gestión Pto #1'!$B$4:M$4,0),FALSE),0),IFERROR(VLOOKUP($B23&amp;$C23,'C. Gestión Pto #2'!$B$4:G$23,MATCH(N$5,'C. Gestión Pto #2'!$B$4:G$4,0),FALSE),0))</f>
        <v>9687819.9101137407</v>
      </c>
      <c r="O23" s="197">
        <f>SUM(IFERROR(VLOOKUP($B23&amp;$C23,'C. Gestión Pto #1'!$B$4:N$17,MATCH(O$5,'C. Gestión Pto #1'!$B$4:N$4,0),FALSE),0),IFERROR(VLOOKUP($B23&amp;$C23,'C. Gestión Pto #2'!$B$4:H$23,MATCH(O$5,'C. Gestión Pto #2'!$B$4:H$4,0),FALSE),0))</f>
        <v>15241735.310235361</v>
      </c>
      <c r="P23" s="197">
        <f>SUM(IFERROR(VLOOKUP($B23&amp;$C23,'C. Gestión Pto #1'!$B$4:O$17,MATCH(P$5,'C. Gestión Pto #1'!$B$4:O$4,0),FALSE),0),IFERROR(VLOOKUP($B23&amp;$C23,'C. Gestión Pto #2'!$B$4:I$23,MATCH(P$5,'C. Gestión Pto #2'!$B$4:I$4,0),FALSE),0))</f>
        <v>23120863.1291482</v>
      </c>
      <c r="Q23" s="197">
        <f>SUM(IFERROR(VLOOKUP($B23&amp;$C23,'C. Gestión Pto #1'!$B$4:P$17,MATCH(Q$5,'C. Gestión Pto #1'!$B$4:P$4,0),FALSE),0),IFERROR(VLOOKUP($B23&amp;$C23,'C. Gestión Pto #2'!$B$4:J$23,MATCH(Q$5,'C. Gestión Pto #2'!$B$4:J$4,0),FALSE),0))</f>
        <v>23725838.653781451</v>
      </c>
      <c r="R23" s="197">
        <f>SUM(IFERROR(VLOOKUP($B23&amp;$C23,'C. Gestión Pto #1'!$B$4:Q$17,MATCH(R$5,'C. Gestión Pto #1'!$B$4:Q$4,0),FALSE),0),IFERROR(VLOOKUP($B23&amp;$C23,'C. Gestión Pto #2'!$B$4:K$23,MATCH(R$5,'C. Gestión Pto #2'!$B$4:K$4,0),FALSE),0))</f>
        <v>26071566.495779902</v>
      </c>
      <c r="S23" s="197">
        <f>SUM(IFERROR(VLOOKUP($B23&amp;$C23,'C. Gestión Pto #1'!$B$4:R$17,MATCH(S$5,'C. Gestión Pto #1'!$B$4:R$4,0),FALSE),0),IFERROR(VLOOKUP($B23&amp;$C23,'C. Gestión Pto #2'!$B$4:L$23,MATCH(S$5,'C. Gestión Pto #2'!$B$4:L$4,0),FALSE),0))</f>
        <v>31653420.821541026</v>
      </c>
      <c r="T23" s="197">
        <f>SUM(IFERROR(VLOOKUP($B23&amp;$C23,'C. Gestión Pto #1'!$B$4:S$17,MATCH(T$5,'C. Gestión Pto #1'!$B$4:S$4,0),FALSE),0),IFERROR(VLOOKUP($B23&amp;$C23,'C. Gestión Pto #2'!$B$4:M$23,MATCH(T$5,'C. Gestión Pto #2'!$B$4:M$4,0),FALSE),0))</f>
        <v>34129759.93553669</v>
      </c>
      <c r="U23" s="189"/>
      <c r="V23" s="261" cm="1">
        <f t="array" ref="V23">SUMPRODUCT($D23:$U23,TRANSPOSE('Indice CAC'!$C$10:$C$27))</f>
        <v>130032997.32049038</v>
      </c>
      <c r="W23" s="147"/>
      <c r="X23" s="146">
        <f>'Resumen Pto #1'!X23</f>
        <v>13017985.820531104</v>
      </c>
      <c r="Y23" s="146">
        <f>'Resumen Pto #2'!R17</f>
        <v>128383057.32055999</v>
      </c>
      <c r="Z23" s="146">
        <f t="shared" si="13"/>
        <v>141401043.14109111</v>
      </c>
      <c r="AA23" s="978">
        <f>SUM(IF(C23="MAT",SUMIF('Pto. 01 Cert.'!$A$10:$A$57,$B23,'Pto. 01 Cert.'!$T$10:$T$57),IF(C23="MO",SUMIF('Pto. 01 Cert.'!$A$10:$A$57,$B23,'Pto. 01 Cert.'!$U$10:$U$57),SUMIF('Pto. 01 Cert.'!$A$10:$A$57,$B23,'Pto. 01 Cert.'!$V$10:$V$57))),IF(C23="MAT",SUMIF('Pto. 02 Cert.'!$A$10:$A$185,$B23,'Pto. 02 Cert.'!$T$10:$T$185),IF(C23="MO",SUMIF('Pto. 02 Cert.'!$A$10:$A$185,$B23,'Pto. 02 Cert.'!$U$10:$U$185),SUMIF('Pto. 02 Cert.'!$A$10:$A$185,$B23,'Pto. 02 Cert.'!$V$10:$V$185))))/SUM(IF(C23="MAT",SUMIF('Pto. 01 Cert.'!$A$10:$A$57,$B23,'Pto. 01 Cert.'!$I$10:$I$57),IF(C23="MO",SUMIF('Pto. 01 Cert.'!$A$10:$A$57,$B23,'Pto. 01 Cert.'!$J$10:$J$57),SUMIF('Pto. 01 Cert.'!$A$10:$A$57,$B23,'Pto. 01 Cert.'!$K$10:$K$57))),IF(C23="MAT",SUMIF('Pto. 02 Cert.'!$A$10:$A$185,$B23,'Pto. 02 Cert.'!$I$10:$I$185),IF(C23="MO",SUMIF('Pto. 02 Cert.'!$A$10:$A$185,$B23,'Pto. 02 Cert.'!$J$10:$J$185),SUMIF('Pto. 02 Cert.'!$A$10:$A$185,$B23,'Pto. 02 Cert.'!$K$10:$K$185))))</f>
        <v>0.57339097841769693</v>
      </c>
      <c r="AB23" s="323">
        <f t="shared" si="14"/>
        <v>11368045.820600733</v>
      </c>
      <c r="AC23" s="311">
        <f t="shared" si="12"/>
        <v>8.0395770554942833E-2</v>
      </c>
      <c r="AD23" s="323">
        <f t="shared" si="15"/>
        <v>0</v>
      </c>
      <c r="AG23" s="61"/>
    </row>
    <row r="24" spans="2:33" x14ac:dyDescent="0.35">
      <c r="B24" s="66" t="s">
        <v>127</v>
      </c>
      <c r="C24" s="196" t="s">
        <v>38</v>
      </c>
      <c r="D24" s="197">
        <f>IFERROR(SUM(VLOOKUP($B24&amp;$C24,'C. Gestión Pto #1'!$B$4:C$17,MATCH(D$5,'C. Gestión Pto #1'!$B$4:C$4,0),FALSE),0),0)</f>
        <v>0</v>
      </c>
      <c r="E24" s="197">
        <f>IFERROR(SUM(VLOOKUP($B24&amp;$C24,'C. Gestión Pto #1'!$B$4:D$17,MATCH(E$5,'C. Gestión Pto #1'!$B$4:D$4,0),FALSE),0),0)</f>
        <v>0</v>
      </c>
      <c r="F24" s="197">
        <f>IFERROR(SUM(VLOOKUP($B24&amp;$C24,'C. Gestión Pto #1'!$B$4:E$17,MATCH(F$5,'C. Gestión Pto #1'!$B$4:E$4,0),FALSE),0),0)</f>
        <v>0</v>
      </c>
      <c r="G24" s="197">
        <f>IFERROR(SUM(VLOOKUP($B24&amp;$C24,'C. Gestión Pto #1'!$B$4:F$17,MATCH(G$5,'C. Gestión Pto #1'!$B$4:F$4,0),FALSE),0),0)</f>
        <v>0</v>
      </c>
      <c r="H24" s="197">
        <f>IFERROR(SUM(VLOOKUP($B24&amp;$C24,'C. Gestión Pto #1'!$B$4:G$17,MATCH(H$5,'C. Gestión Pto #1'!$B$4:G$4,0),FALSE),0),0)</f>
        <v>0</v>
      </c>
      <c r="I24" s="197">
        <f>IFERROR(SUM(VLOOKUP($B24&amp;$C24,'C. Gestión Pto #1'!$B$4:H$17,MATCH(I$5,'C. Gestión Pto #1'!$B$4:H$4,0),FALSE),0),0)</f>
        <v>0</v>
      </c>
      <c r="J24" s="197">
        <f>SUM(IFERROR(VLOOKUP($B24&amp;$C24,'C. Gestión Pto #1'!$B$4:I$17,MATCH(J$5,'C. Gestión Pto #1'!$B$4:I$4,0),FALSE),0),IFERROR(VLOOKUP($B24&amp;$C24,'C. Gestión Pto #2'!$B$4:C$23,MATCH(J$5,'C. Gestión Pto #2'!$B$4:C$4,0),FALSE),0))</f>
        <v>0</v>
      </c>
      <c r="K24" s="197">
        <f>SUM(IFERROR(VLOOKUP($B24&amp;$C24,'C. Gestión Pto #1'!$B$4:J$17,MATCH(K$5,'C. Gestión Pto #1'!$B$4:J$4,0),FALSE),0),IFERROR(VLOOKUP($B24&amp;$C24,'C. Gestión Pto #2'!$B$4:D$23,MATCH(K$5,'C. Gestión Pto #2'!$B$4:D$4,0),FALSE),0))</f>
        <v>0</v>
      </c>
      <c r="L24" s="197">
        <f>SUM(IFERROR(VLOOKUP($B24&amp;$C24,'C. Gestión Pto #1'!$B$4:K$17,MATCH(L$5,'C. Gestión Pto #1'!$B$4:K$4,0),FALSE),0),IFERROR(VLOOKUP($B24&amp;$C24,'C. Gestión Pto #2'!$B$4:E$23,MATCH(L$5,'C. Gestión Pto #2'!$B$4:E$4,0),FALSE),0))</f>
        <v>14055.62</v>
      </c>
      <c r="M24" s="197">
        <f>SUM(IFERROR(VLOOKUP($B24&amp;$C24,'C. Gestión Pto #1'!$B$4:L$17,MATCH(M$5,'C. Gestión Pto #1'!$B$4:L$4,0),FALSE),0),IFERROR(VLOOKUP($B24&amp;$C24,'C. Gestión Pto #2'!$B$4:F$23,MATCH(M$5,'C. Gestión Pto #2'!$B$4:F$4,0),FALSE),0))</f>
        <v>0</v>
      </c>
      <c r="N24" s="197">
        <f>SUM(IFERROR(VLOOKUP($B24&amp;$C24,'C. Gestión Pto #1'!$B$4:M$17,MATCH(N$5,'C. Gestión Pto #1'!$B$4:M$4,0),FALSE),0),IFERROR(VLOOKUP($B24&amp;$C24,'C. Gestión Pto #2'!$B$4:G$23,MATCH(N$5,'C. Gestión Pto #2'!$B$4:G$4,0),FALSE),0))</f>
        <v>0</v>
      </c>
      <c r="O24" s="197">
        <f>SUM(IFERROR(VLOOKUP($B24&amp;$C24,'C. Gestión Pto #1'!$B$4:N$17,MATCH(O$5,'C. Gestión Pto #1'!$B$4:N$4,0),FALSE),0),IFERROR(VLOOKUP($B24&amp;$C24,'C. Gestión Pto #2'!$B$4:H$23,MATCH(O$5,'C. Gestión Pto #2'!$B$4:H$4,0),FALSE),0))</f>
        <v>0</v>
      </c>
      <c r="P24" s="197">
        <f>SUM(IFERROR(VLOOKUP($B24&amp;$C24,'C. Gestión Pto #1'!$B$4:O$17,MATCH(P$5,'C. Gestión Pto #1'!$B$4:O$4,0),FALSE),0),IFERROR(VLOOKUP($B24&amp;$C24,'C. Gestión Pto #2'!$B$4:I$23,MATCH(P$5,'C. Gestión Pto #2'!$B$4:I$4,0),FALSE),0))</f>
        <v>0</v>
      </c>
      <c r="Q24" s="197">
        <f>SUM(IFERROR(VLOOKUP($B24&amp;$C24,'C. Gestión Pto #1'!$B$4:P$17,MATCH(Q$5,'C. Gestión Pto #1'!$B$4:P$4,0),FALSE),0),IFERROR(VLOOKUP($B24&amp;$C24,'C. Gestión Pto #2'!$B$4:J$23,MATCH(Q$5,'C. Gestión Pto #2'!$B$4:J$4,0),FALSE),0))</f>
        <v>6856283.7000000002</v>
      </c>
      <c r="R24" s="197">
        <f>SUM(IFERROR(VLOOKUP($B24&amp;$C24,'C. Gestión Pto #1'!$B$4:Q$17,MATCH(R$5,'C. Gestión Pto #1'!$B$4:Q$4,0),FALSE),0),IFERROR(VLOOKUP($B24&amp;$C24,'C. Gestión Pto #2'!$B$4:K$23,MATCH(R$5,'C. Gestión Pto #2'!$B$4:K$4,0),FALSE),0))</f>
        <v>1071902.3</v>
      </c>
      <c r="S24" s="197">
        <f>SUM(IFERROR(VLOOKUP($B24&amp;$C24,'C. Gestión Pto #1'!$B$4:R$17,MATCH(S$5,'C. Gestión Pto #1'!$B$4:R$4,0),FALSE),0),IFERROR(VLOOKUP($B24&amp;$C24,'C. Gestión Pto #2'!$B$4:L$23,MATCH(S$5,'C. Gestión Pto #2'!$B$4:L$4,0),FALSE),0))</f>
        <v>491875.55</v>
      </c>
      <c r="T24" s="197">
        <f>SUM(IFERROR(VLOOKUP($B24&amp;$C24,'C. Gestión Pto #1'!$B$4:S$17,MATCH(T$5,'C. Gestión Pto #1'!$B$4:S$4,0),FALSE),0),IFERROR(VLOOKUP($B24&amp;$C24,'C. Gestión Pto #2'!$B$4:M$23,MATCH(T$5,'C. Gestión Pto #2'!$B$4:M$4,0),FALSE),0))</f>
        <v>12647942.870000001</v>
      </c>
      <c r="U24" s="189"/>
      <c r="V24" s="261" cm="1">
        <f t="array" ref="V24">SUMPRODUCT($D24:$U24,TRANSPOSE('Indice CAC'!$C$10:$C$27))</f>
        <v>15079860.548198057</v>
      </c>
      <c r="W24" s="147"/>
      <c r="X24" s="146">
        <v>0</v>
      </c>
      <c r="Y24" s="146">
        <f>'Resumen Pto #2'!R18</f>
        <v>24596469.423380598</v>
      </c>
      <c r="Z24" s="146">
        <f t="shared" si="13"/>
        <v>24596469.423380598</v>
      </c>
      <c r="AA24" s="978">
        <f>IF(C24="MAT",SUMIF('Pto. 02 Cert.'!$A$10:$A$185,$B24,'Pto. 02 Cert.'!$T$10:$T$185),IF(C24="MO",SUMIF('Pto. 02 Cert.'!$A$10:$A$185,$B24,'Pto. 02 Cert.'!$U$10:$U$185),SUMIF('Pto. 02 Cert.'!$A$10:$A$185,$B24,'Pto. 02 Cert.'!$V$10:$V$185)))/IF(C24="MAT",SUMIF('Pto. 02 Cert.'!$A$10:$A$185,$B24,'Pto. 02 Cert.'!$I$10:$I$185),IF(C24="MO",SUMIF('Pto. 02 Cert.'!$A$10:$A$185,$B24,'Pto. 02 Cert.'!$J$10:$J$185),SUMIF('Pto. 02 Cert.'!$A$10:$A$185,$B24,'Pto. 02 Cert.'!$K$10:$K$185)))</f>
        <v>0.56143985629782223</v>
      </c>
      <c r="AB24" s="323">
        <f t="shared" si="14"/>
        <v>9516608.8751825411</v>
      </c>
      <c r="AC24" s="311">
        <f t="shared" si="12"/>
        <v>0.38690954833283364</v>
      </c>
      <c r="AD24" s="323">
        <f t="shared" si="15"/>
        <v>0</v>
      </c>
    </row>
    <row r="25" spans="2:33" x14ac:dyDescent="0.35">
      <c r="B25" s="66" t="s">
        <v>127</v>
      </c>
      <c r="C25" s="196" t="s">
        <v>39</v>
      </c>
      <c r="D25" s="197">
        <f>IFERROR(SUM(VLOOKUP($B25&amp;$C25,'C. Gestión Pto #1'!$B$4:C$17,MATCH(D$5,'C. Gestión Pto #1'!$B$4:C$4,0),FALSE),0),0)</f>
        <v>0</v>
      </c>
      <c r="E25" s="197">
        <f>IFERROR(SUM(VLOOKUP($B25&amp;$C25,'C. Gestión Pto #1'!$B$4:D$17,MATCH(E$5,'C. Gestión Pto #1'!$B$4:D$4,0),FALSE),0),0)</f>
        <v>0</v>
      </c>
      <c r="F25" s="197">
        <f>IFERROR(SUM(VLOOKUP($B25&amp;$C25,'C. Gestión Pto #1'!$B$4:E$17,MATCH(F$5,'C. Gestión Pto #1'!$B$4:E$4,0),FALSE),0),0)</f>
        <v>0</v>
      </c>
      <c r="G25" s="197">
        <f>IFERROR(SUM(VLOOKUP($B25&amp;$C25,'C. Gestión Pto #1'!$B$4:F$17,MATCH(G$5,'C. Gestión Pto #1'!$B$4:F$4,0),FALSE),0),0)</f>
        <v>0</v>
      </c>
      <c r="H25" s="197">
        <f>IFERROR(SUM(VLOOKUP($B25&amp;$C25,'C. Gestión Pto #1'!$B$4:G$17,MATCH(H$5,'C. Gestión Pto #1'!$B$4:G$4,0),FALSE),0),0)</f>
        <v>0</v>
      </c>
      <c r="I25" s="197">
        <f>IFERROR(SUM(VLOOKUP($B25&amp;$C25,'C. Gestión Pto #1'!$B$4:H$17,MATCH(I$5,'C. Gestión Pto #1'!$B$4:H$4,0),FALSE),0),0)</f>
        <v>0</v>
      </c>
      <c r="J25" s="197">
        <f>SUM(IFERROR(VLOOKUP($B25&amp;$C25,'C. Gestión Pto #1'!$B$4:I$17,MATCH(J$5,'C. Gestión Pto #1'!$B$4:I$4,0),FALSE),0),IFERROR(VLOOKUP($B25&amp;$C25,'C. Gestión Pto #2'!$B$4:C$23,MATCH(J$5,'C. Gestión Pto #2'!$B$4:C$4,0),FALSE),0))</f>
        <v>0</v>
      </c>
      <c r="K25" s="197">
        <f>SUM(IFERROR(VLOOKUP($B25&amp;$C25,'C. Gestión Pto #1'!$B$4:J$17,MATCH(K$5,'C. Gestión Pto #1'!$B$4:J$4,0),FALSE),0),IFERROR(VLOOKUP($B25&amp;$C25,'C. Gestión Pto #2'!$B$4:D$23,MATCH(K$5,'C. Gestión Pto #2'!$B$4:D$4,0),FALSE),0))</f>
        <v>0</v>
      </c>
      <c r="L25" s="197">
        <f>SUM(IFERROR(VLOOKUP($B25&amp;$C25,'C. Gestión Pto #1'!$B$4:K$17,MATCH(L$5,'C. Gestión Pto #1'!$B$4:K$4,0),FALSE),0),IFERROR(VLOOKUP($B25&amp;$C25,'C. Gestión Pto #2'!$B$4:E$23,MATCH(L$5,'C. Gestión Pto #2'!$B$4:E$4,0),FALSE),0))</f>
        <v>0</v>
      </c>
      <c r="M25" s="197">
        <f>SUM(IFERROR(VLOOKUP($B25&amp;$C25,'C. Gestión Pto #1'!$B$4:L$17,MATCH(M$5,'C. Gestión Pto #1'!$B$4:L$4,0),FALSE),0),IFERROR(VLOOKUP($B25&amp;$C25,'C. Gestión Pto #2'!$B$4:F$23,MATCH(M$5,'C. Gestión Pto #2'!$B$4:F$4,0),FALSE),0))</f>
        <v>0</v>
      </c>
      <c r="N25" s="197">
        <f>SUM(IFERROR(VLOOKUP($B25&amp;$C25,'C. Gestión Pto #1'!$B$4:M$17,MATCH(N$5,'C. Gestión Pto #1'!$B$4:M$4,0),FALSE),0),IFERROR(VLOOKUP($B25&amp;$C25,'C. Gestión Pto #2'!$B$4:G$23,MATCH(N$5,'C. Gestión Pto #2'!$B$4:G$4,0),FALSE),0))</f>
        <v>0</v>
      </c>
      <c r="O25" s="197">
        <f>SUM(IFERROR(VLOOKUP($B25&amp;$C25,'C. Gestión Pto #1'!$B$4:N$17,MATCH(O$5,'C. Gestión Pto #1'!$B$4:N$4,0),FALSE),0),IFERROR(VLOOKUP($B25&amp;$C25,'C. Gestión Pto #2'!$B$4:H$23,MATCH(O$5,'C. Gestión Pto #2'!$B$4:H$4,0),FALSE),0))</f>
        <v>0</v>
      </c>
      <c r="P25" s="197">
        <f>SUM(IFERROR(VLOOKUP($B25&amp;$C25,'C. Gestión Pto #1'!$B$4:O$17,MATCH(P$5,'C. Gestión Pto #1'!$B$4:O$4,0),FALSE),0),IFERROR(VLOOKUP($B25&amp;$C25,'C. Gestión Pto #2'!$B$4:I$23,MATCH(P$5,'C. Gestión Pto #2'!$B$4:I$4,0),FALSE),0))</f>
        <v>1027500</v>
      </c>
      <c r="Q25" s="197">
        <f>SUM(IFERROR(VLOOKUP($B25&amp;$C25,'C. Gestión Pto #1'!$B$4:P$17,MATCH(Q$5,'C. Gestión Pto #1'!$B$4:P$4,0),FALSE),0),IFERROR(VLOOKUP($B25&amp;$C25,'C. Gestión Pto #2'!$B$4:J$23,MATCH(Q$5,'C. Gestión Pto #2'!$B$4:J$4,0),FALSE),0))</f>
        <v>1288504.57</v>
      </c>
      <c r="R25" s="197">
        <f>SUM(IFERROR(VLOOKUP($B25&amp;$C25,'C. Gestión Pto #1'!$B$4:Q$17,MATCH(R$5,'C. Gestión Pto #1'!$B$4:Q$4,0),FALSE),0),IFERROR(VLOOKUP($B25&amp;$C25,'C. Gestión Pto #2'!$B$4:K$23,MATCH(R$5,'C. Gestión Pto #2'!$B$4:K$4,0),FALSE),0))</f>
        <v>943540.89</v>
      </c>
      <c r="S25" s="197">
        <f>SUM(IFERROR(VLOOKUP($B25&amp;$C25,'C. Gestión Pto #1'!$B$4:R$17,MATCH(S$5,'C. Gestión Pto #1'!$B$4:R$4,0),FALSE),0),IFERROR(VLOOKUP($B25&amp;$C25,'C. Gestión Pto #2'!$B$4:L$23,MATCH(S$5,'C. Gestión Pto #2'!$B$4:L$4,0),FALSE),0))</f>
        <v>5822807.1900000004</v>
      </c>
      <c r="T25" s="197">
        <f>SUM(IFERROR(VLOOKUP($B25&amp;$C25,'C. Gestión Pto #1'!$B$4:S$17,MATCH(T$5,'C. Gestión Pto #1'!$B$4:S$4,0),FALSE),0),IFERROR(VLOOKUP($B25&amp;$C25,'C. Gestión Pto #2'!$B$4:M$23,MATCH(T$5,'C. Gestión Pto #2'!$B$4:M$4,0),FALSE),0))</f>
        <v>0</v>
      </c>
      <c r="U25" s="189"/>
      <c r="V25" s="261" cm="1">
        <f t="array" ref="V25">SUMPRODUCT($D25:$U25,TRANSPOSE('Indice CAC'!$C$10:$C$27))</f>
        <v>6558470.7979510473</v>
      </c>
      <c r="W25" s="147"/>
      <c r="X25" s="146">
        <v>0</v>
      </c>
      <c r="Y25" s="146">
        <f>'Resumen Pto #2'!R19</f>
        <v>66185630.335113637</v>
      </c>
      <c r="Z25" s="146">
        <f t="shared" si="13"/>
        <v>66185630.335113637</v>
      </c>
      <c r="AA25" s="978">
        <f>IF(C25="MAT",SUMIF('Pto. 02 Cert.'!$A$10:$A$185,$B25,'Pto. 02 Cert.'!$T$10:$T$185),IF(C25="MO",SUMIF('Pto. 02 Cert.'!$A$10:$A$185,$B25,'Pto. 02 Cert.'!$U$10:$U$185),SUMIF('Pto. 02 Cert.'!$A$10:$A$185,$B25,'Pto. 02 Cert.'!$V$10:$V$185)))/IF(C25="MAT",SUMIF('Pto. 02 Cert.'!$A$10:$A$185,$B25,'Pto. 02 Cert.'!$I$10:$I$185),IF(C25="MO",SUMIF('Pto. 02 Cert.'!$A$10:$A$185,$B25,'Pto. 02 Cert.'!$J$10:$J$185),SUMIF('Pto. 02 Cert.'!$A$10:$A$185,$B25,'Pto. 02 Cert.'!$K$10:$K$185)))</f>
        <v>0.54645467526517189</v>
      </c>
      <c r="AB25" s="323">
        <f t="shared" si="14"/>
        <v>59627159.537162587</v>
      </c>
      <c r="AC25" s="311">
        <f t="shared" si="12"/>
        <v>0.90090793477762543</v>
      </c>
      <c r="AD25" s="323">
        <f t="shared" si="15"/>
        <v>0</v>
      </c>
    </row>
    <row r="26" spans="2:33" x14ac:dyDescent="0.35">
      <c r="B26" s="66" t="s">
        <v>130</v>
      </c>
      <c r="C26" s="203" t="s">
        <v>38</v>
      </c>
      <c r="D26" s="197">
        <f>IFERROR(SUM(VLOOKUP($B26&amp;$C26,'C. Gestión Pto #1'!$B$4:C$17,MATCH(D$5,'C. Gestión Pto #1'!$B$4:C$4,0),FALSE),0),0)</f>
        <v>0</v>
      </c>
      <c r="E26" s="197">
        <f>IFERROR(SUM(VLOOKUP($B26&amp;$C26,'C. Gestión Pto #1'!$B$4:D$17,MATCH(E$5,'C. Gestión Pto #1'!$B$4:D$4,0),FALSE),0),0)</f>
        <v>0</v>
      </c>
      <c r="F26" s="197">
        <f>IFERROR(SUM(VLOOKUP($B26&amp;$C26,'C. Gestión Pto #1'!$B$4:E$17,MATCH(F$5,'C. Gestión Pto #1'!$B$4:E$4,0),FALSE),0),0)</f>
        <v>0</v>
      </c>
      <c r="G26" s="197">
        <f>IFERROR(SUM(VLOOKUP($B26&amp;$C26,'C. Gestión Pto #1'!$B$4:F$17,MATCH(G$5,'C. Gestión Pto #1'!$B$4:F$4,0),FALSE),0),0)</f>
        <v>0</v>
      </c>
      <c r="H26" s="197">
        <f>IFERROR(SUM(VLOOKUP($B26&amp;$C26,'C. Gestión Pto #1'!$B$4:G$17,MATCH(H$5,'C. Gestión Pto #1'!$B$4:G$4,0),FALSE),0),0)</f>
        <v>0</v>
      </c>
      <c r="I26" s="197">
        <f>IFERROR(SUM(VLOOKUP($B26&amp;$C26,'C. Gestión Pto #1'!$B$4:H$17,MATCH(I$5,'C. Gestión Pto #1'!$B$4:H$4,0),FALSE),0),0)</f>
        <v>0</v>
      </c>
      <c r="J26" s="197">
        <f>SUM(IFERROR(VLOOKUP($B26&amp;$C26,'C. Gestión Pto #1'!$B$4:I$17,MATCH(J$5,'C. Gestión Pto #1'!$B$4:I$4,0),FALSE),0),IFERROR(VLOOKUP($B26&amp;$C26,'C. Gestión Pto #2'!$B$4:C$23,MATCH(J$5,'C. Gestión Pto #2'!$B$4:C$4,0),FALSE),0))</f>
        <v>0</v>
      </c>
      <c r="K26" s="197">
        <f>SUM(IFERROR(VLOOKUP($B26&amp;$C26,'C. Gestión Pto #1'!$B$4:J$17,MATCH(K$5,'C. Gestión Pto #1'!$B$4:J$4,0),FALSE),0),IFERROR(VLOOKUP($B26&amp;$C26,'C. Gestión Pto #2'!$B$4:D$23,MATCH(K$5,'C. Gestión Pto #2'!$B$4:D$4,0),FALSE),0))</f>
        <v>278030.38</v>
      </c>
      <c r="L26" s="197">
        <f>SUM(IFERROR(VLOOKUP($B26&amp;$C26,'C. Gestión Pto #1'!$B$4:K$17,MATCH(L$5,'C. Gestión Pto #1'!$B$4:K$4,0),FALSE),0),IFERROR(VLOOKUP($B26&amp;$C26,'C. Gestión Pto #2'!$B$4:E$23,MATCH(L$5,'C. Gestión Pto #2'!$B$4:E$4,0),FALSE),0))</f>
        <v>1035273.8300000001</v>
      </c>
      <c r="M26" s="197">
        <f>SUM(IFERROR(VLOOKUP($B26&amp;$C26,'C. Gestión Pto #1'!$B$4:L$17,MATCH(M$5,'C. Gestión Pto #1'!$B$4:L$4,0),FALSE),0),IFERROR(VLOOKUP($B26&amp;$C26,'C. Gestión Pto #2'!$B$4:F$23,MATCH(M$5,'C. Gestión Pto #2'!$B$4:F$4,0),FALSE),0))</f>
        <v>2959054.59</v>
      </c>
      <c r="N26" s="197">
        <f>SUM(IFERROR(VLOOKUP($B26&amp;$C26,'C. Gestión Pto #1'!$B$4:M$17,MATCH(N$5,'C. Gestión Pto #1'!$B$4:M$4,0),FALSE),0),IFERROR(VLOOKUP($B26&amp;$C26,'C. Gestión Pto #2'!$B$4:G$23,MATCH(N$5,'C. Gestión Pto #2'!$B$4:G$4,0),FALSE),0))</f>
        <v>1344156.8900000001</v>
      </c>
      <c r="O26" s="197">
        <f>SUM(IFERROR(VLOOKUP($B26&amp;$C26,'C. Gestión Pto #1'!$B$4:N$17,MATCH(O$5,'C. Gestión Pto #1'!$B$4:N$4,0),FALSE),0),IFERROR(VLOOKUP($B26&amp;$C26,'C. Gestión Pto #2'!$B$4:H$23,MATCH(O$5,'C. Gestión Pto #2'!$B$4:H$4,0),FALSE),0))</f>
        <v>48067.03</v>
      </c>
      <c r="P26" s="197">
        <f>SUM(IFERROR(VLOOKUP($B26&amp;$C26,'C. Gestión Pto #1'!$B$4:O$17,MATCH(P$5,'C. Gestión Pto #1'!$B$4:O$4,0),FALSE),0),IFERROR(VLOOKUP($B26&amp;$C26,'C. Gestión Pto #2'!$B$4:I$23,MATCH(P$5,'C. Gestión Pto #2'!$B$4:I$4,0),FALSE),0))</f>
        <v>529125.51</v>
      </c>
      <c r="Q26" s="197">
        <f>SUM(IFERROR(VLOOKUP($B26&amp;$C26,'C. Gestión Pto #1'!$B$4:P$17,MATCH(Q$5,'C. Gestión Pto #1'!$B$4:P$4,0),FALSE),0),IFERROR(VLOOKUP($B26&amp;$C26,'C. Gestión Pto #2'!$B$4:J$23,MATCH(Q$5,'C. Gestión Pto #2'!$B$4:J$4,0),FALSE),0))</f>
        <v>0</v>
      </c>
      <c r="R26" s="197">
        <f>SUM(IFERROR(VLOOKUP($B26&amp;$C26,'C. Gestión Pto #1'!$B$4:Q$17,MATCH(R$5,'C. Gestión Pto #1'!$B$4:Q$4,0),FALSE),0),IFERROR(VLOOKUP($B26&amp;$C26,'C. Gestión Pto #2'!$B$4:K$23,MATCH(R$5,'C. Gestión Pto #2'!$B$4:K$4,0),FALSE),0))</f>
        <v>0</v>
      </c>
      <c r="S26" s="197">
        <f>SUM(IFERROR(VLOOKUP($B26&amp;$C26,'C. Gestión Pto #1'!$B$4:R$17,MATCH(S$5,'C. Gestión Pto #1'!$B$4:R$4,0),FALSE),0),IFERROR(VLOOKUP($B26&amp;$C26,'C. Gestión Pto #2'!$B$4:L$23,MATCH(S$5,'C. Gestión Pto #2'!$B$4:L$4,0),FALSE),0))</f>
        <v>157662.81</v>
      </c>
      <c r="T26" s="197">
        <f>SUM(IFERROR(VLOOKUP($B26&amp;$C26,'C. Gestión Pto #1'!$B$4:S$17,MATCH(T$5,'C. Gestión Pto #1'!$B$4:S$4,0),FALSE),0),IFERROR(VLOOKUP($B26&amp;$C26,'C. Gestión Pto #2'!$B$4:M$23,MATCH(T$5,'C. Gestión Pto #2'!$B$4:M$4,0),FALSE),0))</f>
        <v>6134204.3799999999</v>
      </c>
      <c r="U26" s="189"/>
      <c r="V26" s="261" cm="1">
        <f t="array" ref="V26">SUMPRODUCT($D26:$U26,TRANSPOSE('Indice CAC'!$C$10:$C$27))</f>
        <v>9301022.1434490923</v>
      </c>
      <c r="W26" s="147"/>
      <c r="X26" s="146">
        <v>0</v>
      </c>
      <c r="Y26" s="146">
        <f>'Resumen Pto #2'!R20</f>
        <v>31495173.240417514</v>
      </c>
      <c r="Z26" s="146">
        <f t="shared" si="13"/>
        <v>31495173.240417514</v>
      </c>
      <c r="AA26" s="978">
        <f>IF(C26="MAT",SUMIF('Pto. 02 Cert.'!$A$10:$A$185,$B26,'Pto. 02 Cert.'!$T$10:$T$185),IF(C26="MO",SUMIF('Pto. 02 Cert.'!$A$10:$A$185,$B26,'Pto. 02 Cert.'!$U$10:$U$185),SUMIF('Pto. 02 Cert.'!$A$10:$A$185,$B26,'Pto. 02 Cert.'!$V$10:$V$185)))/IF(C26="MAT",SUMIF('Pto. 02 Cert.'!$A$10:$A$185,$B26,'Pto. 02 Cert.'!$I$10:$I$185),IF(C26="MO",SUMIF('Pto. 02 Cert.'!$A$10:$A$185,$B26,'Pto. 02 Cert.'!$J$10:$J$185),SUMIF('Pto. 02 Cert.'!$A$10:$A$185,$B26,'Pto. 02 Cert.'!$K$10:$K$185)))</f>
        <v>0.17450680095026125</v>
      </c>
      <c r="AB26" s="323">
        <f t="shared" si="14"/>
        <v>22194151.09696842</v>
      </c>
      <c r="AC26" s="311">
        <f t="shared" si="12"/>
        <v>0.70468420438744672</v>
      </c>
      <c r="AD26" s="323">
        <f t="shared" si="15"/>
        <v>0</v>
      </c>
    </row>
    <row r="27" spans="2:33" x14ac:dyDescent="0.35">
      <c r="B27" s="66" t="s">
        <v>130</v>
      </c>
      <c r="C27" s="203" t="s">
        <v>39</v>
      </c>
      <c r="D27" s="197">
        <f>IFERROR(SUM(VLOOKUP($B27&amp;$C27,'C. Gestión Pto #1'!$B$4:C$17,MATCH(D$5,'C. Gestión Pto #1'!$B$4:C$4,0),FALSE),0),0)</f>
        <v>0</v>
      </c>
      <c r="E27" s="197">
        <f>IFERROR(SUM(VLOOKUP($B27&amp;$C27,'C. Gestión Pto #1'!$B$4:D$17,MATCH(E$5,'C. Gestión Pto #1'!$B$4:D$4,0),FALSE),0),0)</f>
        <v>0</v>
      </c>
      <c r="F27" s="197">
        <f>IFERROR(SUM(VLOOKUP($B27&amp;$C27,'C. Gestión Pto #1'!$B$4:E$17,MATCH(F$5,'C. Gestión Pto #1'!$B$4:E$4,0),FALSE),0),0)</f>
        <v>0</v>
      </c>
      <c r="G27" s="197">
        <f>IFERROR(SUM(VLOOKUP($B27&amp;$C27,'C. Gestión Pto #1'!$B$4:F$17,MATCH(G$5,'C. Gestión Pto #1'!$B$4:F$4,0),FALSE),0),0)</f>
        <v>0</v>
      </c>
      <c r="H27" s="197">
        <f>IFERROR(SUM(VLOOKUP($B27&amp;$C27,'C. Gestión Pto #1'!$B$4:G$17,MATCH(H$5,'C. Gestión Pto #1'!$B$4:G$4,0),FALSE),0),0)</f>
        <v>0</v>
      </c>
      <c r="I27" s="197">
        <f>IFERROR(SUM(VLOOKUP($B27&amp;$C27,'C. Gestión Pto #1'!$B$4:H$17,MATCH(I$5,'C. Gestión Pto #1'!$B$4:H$4,0),FALSE),0),0)</f>
        <v>0</v>
      </c>
      <c r="J27" s="197">
        <f>SUM(IFERROR(VLOOKUP($B27&amp;$C27,'C. Gestión Pto #1'!$B$4:I$17,MATCH(J$5,'C. Gestión Pto #1'!$B$4:I$4,0),FALSE),0),IFERROR(VLOOKUP($B27&amp;$C27,'C. Gestión Pto #2'!$B$4:C$23,MATCH(J$5,'C. Gestión Pto #2'!$B$4:C$4,0),FALSE),0))</f>
        <v>550000</v>
      </c>
      <c r="K27" s="197">
        <f>SUM(IFERROR(VLOOKUP($B27&amp;$C27,'C. Gestión Pto #1'!$B$4:J$17,MATCH(K$5,'C. Gestión Pto #1'!$B$4:J$4,0),FALSE),0),IFERROR(VLOOKUP($B27&amp;$C27,'C. Gestión Pto #2'!$B$4:D$23,MATCH(K$5,'C. Gestión Pto #2'!$B$4:D$4,0),FALSE),0))</f>
        <v>0</v>
      </c>
      <c r="L27" s="197">
        <f>SUM(IFERROR(VLOOKUP($B27&amp;$C27,'C. Gestión Pto #1'!$B$4:K$17,MATCH(L$5,'C. Gestión Pto #1'!$B$4:K$4,0),FALSE),0),IFERROR(VLOOKUP($B27&amp;$C27,'C. Gestión Pto #2'!$B$4:E$23,MATCH(L$5,'C. Gestión Pto #2'!$B$4:E$4,0),FALSE),0))</f>
        <v>163802.48000000001</v>
      </c>
      <c r="M27" s="197">
        <f>SUM(IFERROR(VLOOKUP($B27&amp;$C27,'C. Gestión Pto #1'!$B$4:L$17,MATCH(M$5,'C. Gestión Pto #1'!$B$4:L$4,0),FALSE),0),IFERROR(VLOOKUP($B27&amp;$C27,'C. Gestión Pto #2'!$B$4:F$23,MATCH(M$5,'C. Gestión Pto #2'!$B$4:F$4,0),FALSE),0))</f>
        <v>0</v>
      </c>
      <c r="N27" s="197">
        <f>SUM(IFERROR(VLOOKUP($B27&amp;$C27,'C. Gestión Pto #1'!$B$4:M$17,MATCH(N$5,'C. Gestión Pto #1'!$B$4:M$4,0),FALSE),0),IFERROR(VLOOKUP($B27&amp;$C27,'C. Gestión Pto #2'!$B$4:G$23,MATCH(N$5,'C. Gestión Pto #2'!$B$4:G$4,0),FALSE),0))</f>
        <v>0</v>
      </c>
      <c r="O27" s="197">
        <f>SUM(IFERROR(VLOOKUP($B27&amp;$C27,'C. Gestión Pto #1'!$B$4:N$17,MATCH(O$5,'C. Gestión Pto #1'!$B$4:N$4,0),FALSE),0),IFERROR(VLOOKUP($B27&amp;$C27,'C. Gestión Pto #2'!$B$4:H$23,MATCH(O$5,'C. Gestión Pto #2'!$B$4:H$4,0),FALSE),0))</f>
        <v>605000</v>
      </c>
      <c r="P27" s="197">
        <f>SUM(IFERROR(VLOOKUP($B27&amp;$C27,'C. Gestión Pto #1'!$B$4:O$17,MATCH(P$5,'C. Gestión Pto #1'!$B$4:O$4,0),FALSE),0),IFERROR(VLOOKUP($B27&amp;$C27,'C. Gestión Pto #2'!$B$4:I$23,MATCH(P$5,'C. Gestión Pto #2'!$B$4:I$4,0),FALSE),0))</f>
        <v>2580200</v>
      </c>
      <c r="Q27" s="197">
        <f>SUM(IFERROR(VLOOKUP($B27&amp;$C27,'C. Gestión Pto #1'!$B$4:P$17,MATCH(Q$5,'C. Gestión Pto #1'!$B$4:P$4,0),FALSE),0),IFERROR(VLOOKUP($B27&amp;$C27,'C. Gestión Pto #2'!$B$4:J$23,MATCH(Q$5,'C. Gestión Pto #2'!$B$4:J$4,0),FALSE),0))</f>
        <v>0</v>
      </c>
      <c r="R27" s="197">
        <f>SUM(IFERROR(VLOOKUP($B27&amp;$C27,'C. Gestión Pto #1'!$B$4:Q$17,MATCH(R$5,'C. Gestión Pto #1'!$B$4:Q$4,0),FALSE),0),IFERROR(VLOOKUP($B27&amp;$C27,'C. Gestión Pto #2'!$B$4:K$23,MATCH(R$5,'C. Gestión Pto #2'!$B$4:K$4,0),FALSE),0))</f>
        <v>1111287.06</v>
      </c>
      <c r="S27" s="197">
        <f>SUM(IFERROR(VLOOKUP($B27&amp;$C27,'C. Gestión Pto #1'!$B$4:R$17,MATCH(S$5,'C. Gestión Pto #1'!$B$4:R$4,0),FALSE),0),IFERROR(VLOOKUP($B27&amp;$C27,'C. Gestión Pto #2'!$B$4:L$23,MATCH(S$5,'C. Gestión Pto #2'!$B$4:L$4,0),FALSE),0))</f>
        <v>1406504.05</v>
      </c>
      <c r="T27" s="197">
        <f>SUM(IFERROR(VLOOKUP($B27&amp;$C27,'C. Gestión Pto #1'!$B$4:S$17,MATCH(T$5,'C. Gestión Pto #1'!$B$4:S$4,0),FALSE),0),IFERROR(VLOOKUP($B27&amp;$C27,'C. Gestión Pto #2'!$B$4:M$23,MATCH(T$5,'C. Gestión Pto #2'!$B$4:M$4,0),FALSE),0))</f>
        <v>6915189.5338380989</v>
      </c>
      <c r="U27" s="189"/>
      <c r="V27" s="261" cm="1">
        <f t="array" ref="V27">SUMPRODUCT($D27:$U27,TRANSPOSE('Indice CAC'!$C$10:$C$27))</f>
        <v>9654242.5207932852</v>
      </c>
      <c r="W27" s="147"/>
      <c r="X27" s="146">
        <v>0</v>
      </c>
      <c r="Y27" s="146">
        <f>'Resumen Pto #2'!R21</f>
        <v>47599190.6439339</v>
      </c>
      <c r="Z27" s="146">
        <f t="shared" si="13"/>
        <v>47599190.6439339</v>
      </c>
      <c r="AA27" s="978">
        <f>IF(C27="MAT",SUMIF('Pto. 02 Cert.'!$A$10:$A$185,$B27,'Pto. 02 Cert.'!$T$10:$T$185),IF(C27="MO",SUMIF('Pto. 02 Cert.'!$A$10:$A$185,$B27,'Pto. 02 Cert.'!$U$10:$U$185),SUMIF('Pto. 02 Cert.'!$A$10:$A$185,$B27,'Pto. 02 Cert.'!$V$10:$V$185)))/IF(C27="MAT",SUMIF('Pto. 02 Cert.'!$A$10:$A$185,$B27,'Pto. 02 Cert.'!$I$10:$I$185),IF(C27="MO",SUMIF('Pto. 02 Cert.'!$A$10:$A$185,$B27,'Pto. 02 Cert.'!$J$10:$J$185),SUMIF('Pto. 02 Cert.'!$A$10:$A$185,$B27,'Pto. 02 Cert.'!$K$10:$K$185)))</f>
        <v>0.29819712971265128</v>
      </c>
      <c r="AB27" s="323">
        <f t="shared" si="14"/>
        <v>37944948.123140618</v>
      </c>
      <c r="AC27" s="311">
        <f t="shared" si="12"/>
        <v>0.79717633030754842</v>
      </c>
      <c r="AD27" s="323">
        <f t="shared" si="15"/>
        <v>0</v>
      </c>
    </row>
    <row r="28" spans="2:33" x14ac:dyDescent="0.35">
      <c r="B28" s="66" t="s">
        <v>131</v>
      </c>
      <c r="C28" s="203" t="s">
        <v>38</v>
      </c>
      <c r="D28" s="197">
        <f>IFERROR(SUM(VLOOKUP($B28&amp;$C28,'C. Gestión Pto #1'!$B$4:C$17,MATCH(D$5,'C. Gestión Pto #1'!$B$4:C$4,0),FALSE),0),0)</f>
        <v>0</v>
      </c>
      <c r="E28" s="197">
        <f>IFERROR(SUM(VLOOKUP($B28&amp;$C28,'C. Gestión Pto #1'!$B$4:D$17,MATCH(E$5,'C. Gestión Pto #1'!$B$4:D$4,0),FALSE),0),0)</f>
        <v>0</v>
      </c>
      <c r="F28" s="197">
        <f>IFERROR(SUM(VLOOKUP($B28&amp;$C28,'C. Gestión Pto #1'!$B$4:E$17,MATCH(F$5,'C. Gestión Pto #1'!$B$4:E$4,0),FALSE),0),0)</f>
        <v>0</v>
      </c>
      <c r="G28" s="197">
        <f>IFERROR(SUM(VLOOKUP($B28&amp;$C28,'C. Gestión Pto #1'!$B$4:F$17,MATCH(G$5,'C. Gestión Pto #1'!$B$4:F$4,0),FALSE),0),0)</f>
        <v>0</v>
      </c>
      <c r="H28" s="197">
        <f>IFERROR(SUM(VLOOKUP($B28&amp;$C28,'C. Gestión Pto #1'!$B$4:G$17,MATCH(H$5,'C. Gestión Pto #1'!$B$4:G$4,0),FALSE),0),0)</f>
        <v>0</v>
      </c>
      <c r="I28" s="197">
        <f>IFERROR(SUM(VLOOKUP($B28&amp;$C28,'C. Gestión Pto #1'!$B$4:H$17,MATCH(I$5,'C. Gestión Pto #1'!$B$4:H$4,0),FALSE),0),0)</f>
        <v>0</v>
      </c>
      <c r="J28" s="197">
        <f>SUM(IFERROR(VLOOKUP($B28&amp;$C28,'C. Gestión Pto #1'!$B$4:I$17,MATCH(J$5,'C. Gestión Pto #1'!$B$4:I$4,0),FALSE),0),IFERROR(VLOOKUP($B28&amp;$C28,'C. Gestión Pto #2'!$B$4:C$23,MATCH(J$5,'C. Gestión Pto #2'!$B$4:C$4,0),FALSE),0))</f>
        <v>0</v>
      </c>
      <c r="K28" s="197">
        <f>SUM(IFERROR(VLOOKUP($B28&amp;$C28,'C. Gestión Pto #1'!$B$4:J$17,MATCH(K$5,'C. Gestión Pto #1'!$B$4:J$4,0),FALSE),0),IFERROR(VLOOKUP($B28&amp;$C28,'C. Gestión Pto #2'!$B$4:D$23,MATCH(K$5,'C. Gestión Pto #2'!$B$4:D$4,0),FALSE),0))</f>
        <v>1350839.15</v>
      </c>
      <c r="L28" s="197">
        <f>SUM(IFERROR(VLOOKUP($B28&amp;$C28,'C. Gestión Pto #1'!$B$4:K$17,MATCH(L$5,'C. Gestión Pto #1'!$B$4:K$4,0),FALSE),0),IFERROR(VLOOKUP($B28&amp;$C28,'C. Gestión Pto #2'!$B$4:E$23,MATCH(L$5,'C. Gestión Pto #2'!$B$4:E$4,0),FALSE),0))</f>
        <v>261266.49</v>
      </c>
      <c r="M28" s="197">
        <f>SUM(IFERROR(VLOOKUP($B28&amp;$C28,'C. Gestión Pto #1'!$B$4:L$17,MATCH(M$5,'C. Gestión Pto #1'!$B$4:L$4,0),FALSE),0),IFERROR(VLOOKUP($B28&amp;$C28,'C. Gestión Pto #2'!$B$4:F$23,MATCH(M$5,'C. Gestión Pto #2'!$B$4:F$4,0),FALSE),0))</f>
        <v>950806.06</v>
      </c>
      <c r="N28" s="197">
        <f>SUM(IFERROR(VLOOKUP($B28&amp;$C28,'C. Gestión Pto #1'!$B$4:M$17,MATCH(N$5,'C. Gestión Pto #1'!$B$4:M$4,0),FALSE),0),IFERROR(VLOOKUP($B28&amp;$C28,'C. Gestión Pto #2'!$B$4:G$23,MATCH(N$5,'C. Gestión Pto #2'!$B$4:G$4,0),FALSE),0))</f>
        <v>230784.75</v>
      </c>
      <c r="O28" s="197">
        <f>SUM(IFERROR(VLOOKUP($B28&amp;$C28,'C. Gestión Pto #1'!$B$4:N$17,MATCH(O$5,'C. Gestión Pto #1'!$B$4:N$4,0),FALSE),0),IFERROR(VLOOKUP($B28&amp;$C28,'C. Gestión Pto #2'!$B$4:H$23,MATCH(O$5,'C. Gestión Pto #2'!$B$4:H$4,0),FALSE),0))</f>
        <v>6006212.0999999996</v>
      </c>
      <c r="P28" s="197">
        <f>SUM(IFERROR(VLOOKUP($B28&amp;$C28,'C. Gestión Pto #1'!$B$4:O$17,MATCH(P$5,'C. Gestión Pto #1'!$B$4:O$4,0),FALSE),0),IFERROR(VLOOKUP($B28&amp;$C28,'C. Gestión Pto #2'!$B$4:I$23,MATCH(P$5,'C. Gestión Pto #2'!$B$4:I$4,0),FALSE),0))</f>
        <v>13136482.760000002</v>
      </c>
      <c r="Q28" s="197">
        <f>SUM(IFERROR(VLOOKUP($B28&amp;$C28,'C. Gestión Pto #1'!$B$4:P$17,MATCH(Q$5,'C. Gestión Pto #1'!$B$4:P$4,0),FALSE),0),IFERROR(VLOOKUP($B28&amp;$C28,'C. Gestión Pto #2'!$B$4:J$23,MATCH(Q$5,'C. Gestión Pto #2'!$B$4:J$4,0),FALSE),0))</f>
        <v>3423387.6999999997</v>
      </c>
      <c r="R28" s="197">
        <f>SUM(IFERROR(VLOOKUP($B28&amp;$C28,'C. Gestión Pto #1'!$B$4:Q$17,MATCH(R$5,'C. Gestión Pto #1'!$B$4:Q$4,0),FALSE),0),IFERROR(VLOOKUP($B28&amp;$C28,'C. Gestión Pto #2'!$B$4:K$23,MATCH(R$5,'C. Gestión Pto #2'!$B$4:K$4,0),FALSE),0))</f>
        <v>19034834.049999997</v>
      </c>
      <c r="S28" s="197">
        <f>SUM(IFERROR(VLOOKUP($B28&amp;$C28,'C. Gestión Pto #1'!$B$4:R$17,MATCH(S$5,'C. Gestión Pto #1'!$B$4:R$4,0),FALSE),0),IFERROR(VLOOKUP($B28&amp;$C28,'C. Gestión Pto #2'!$B$4:L$23,MATCH(S$5,'C. Gestión Pto #2'!$B$4:L$4,0),FALSE),0))</f>
        <v>657082.75</v>
      </c>
      <c r="T28" s="197">
        <f>SUM(IFERROR(VLOOKUP($B28&amp;$C28,'C. Gestión Pto #1'!$B$4:S$17,MATCH(T$5,'C. Gestión Pto #1'!$B$4:S$4,0),FALSE),0),IFERROR(VLOOKUP($B28&amp;$C28,'C. Gestión Pto #2'!$B$4:M$23,MATCH(T$5,'C. Gestión Pto #2'!$B$4:M$4,0),FALSE),0))</f>
        <v>934654.5199999999</v>
      </c>
      <c r="U28" s="189"/>
      <c r="V28" s="261" cm="1">
        <f t="array" ref="V28">SUMPRODUCT($D28:$U28,TRANSPOSE('Indice CAC'!$C$10:$C$27))</f>
        <v>34151989.310508579</v>
      </c>
      <c r="W28" s="147"/>
      <c r="X28" s="146">
        <v>0</v>
      </c>
      <c r="Y28" s="146">
        <f>'Resumen Pto #2'!R22</f>
        <v>31719694.494504731</v>
      </c>
      <c r="Z28" s="146">
        <f t="shared" si="13"/>
        <v>31719694.494504731</v>
      </c>
      <c r="AA28" s="978">
        <f>IF(C28="MAT",SUMIF('Pto. 02 Cert.'!$A$10:$A$185,$B28,'Pto. 02 Cert.'!$T$10:$T$185),IF(C28="MO",SUMIF('Pto. 02 Cert.'!$A$10:$A$185,$B28,'Pto. 02 Cert.'!$U$10:$U$185),SUMIF('Pto. 02 Cert.'!$A$10:$A$185,$B28,'Pto. 02 Cert.'!$V$10:$V$185)))/IF(C28="MAT",SUMIF('Pto. 02 Cert.'!$A$10:$A$185,$B28,'Pto. 02 Cert.'!$I$10:$I$185),IF(C28="MO",SUMIF('Pto. 02 Cert.'!$A$10:$A$185,$B28,'Pto. 02 Cert.'!$J$10:$J$185),SUMIF('Pto. 02 Cert.'!$A$10:$A$185,$B28,'Pto. 02 Cert.'!$K$10:$K$185)))</f>
        <v>0.44230624150504388</v>
      </c>
      <c r="AB28" s="323">
        <f t="shared" si="14"/>
        <v>-2432294.8160038479</v>
      </c>
      <c r="AC28" s="311">
        <f t="shared" si="12"/>
        <v>-7.6680902977335735E-2</v>
      </c>
      <c r="AD28" s="323">
        <f t="shared" si="15"/>
        <v>0</v>
      </c>
    </row>
    <row r="29" spans="2:33" x14ac:dyDescent="0.35">
      <c r="B29" s="66" t="s">
        <v>131</v>
      </c>
      <c r="C29" s="203" t="s">
        <v>39</v>
      </c>
      <c r="D29" s="197">
        <f>IFERROR(SUM(VLOOKUP($B29&amp;$C29,'C. Gestión Pto #1'!$B$4:C$17,MATCH(D$5,'C. Gestión Pto #1'!$B$4:C$4,0),FALSE),0),0)</f>
        <v>0</v>
      </c>
      <c r="E29" s="197">
        <f>IFERROR(SUM(VLOOKUP($B29&amp;$C29,'C. Gestión Pto #1'!$B$4:D$17,MATCH(E$5,'C. Gestión Pto #1'!$B$4:D$4,0),FALSE),0),0)</f>
        <v>0</v>
      </c>
      <c r="F29" s="197">
        <f>IFERROR(SUM(VLOOKUP($B29&amp;$C29,'C. Gestión Pto #1'!$B$4:E$17,MATCH(F$5,'C. Gestión Pto #1'!$B$4:E$4,0),FALSE),0),0)</f>
        <v>0</v>
      </c>
      <c r="G29" s="197">
        <f>IFERROR(SUM(VLOOKUP($B29&amp;$C29,'C. Gestión Pto #1'!$B$4:F$17,MATCH(G$5,'C. Gestión Pto #1'!$B$4:F$4,0),FALSE),0),0)</f>
        <v>0</v>
      </c>
      <c r="H29" s="197">
        <f>IFERROR(SUM(VLOOKUP($B29&amp;$C29,'C. Gestión Pto #1'!$B$4:G$17,MATCH(H$5,'C. Gestión Pto #1'!$B$4:G$4,0),FALSE),0),0)</f>
        <v>0</v>
      </c>
      <c r="I29" s="197">
        <f>IFERROR(SUM(VLOOKUP($B29&amp;$C29,'C. Gestión Pto #1'!$B$4:H$17,MATCH(I$5,'C. Gestión Pto #1'!$B$4:H$4,0),FALSE),0),0)</f>
        <v>0</v>
      </c>
      <c r="J29" s="197">
        <f>SUM(IFERROR(VLOOKUP($B29&amp;$C29,'C. Gestión Pto #1'!$B$4:I$17,MATCH(J$5,'C. Gestión Pto #1'!$B$4:I$4,0),FALSE),0),IFERROR(VLOOKUP($B29&amp;$C29,'C. Gestión Pto #2'!$B$4:C$23,MATCH(J$5,'C. Gestión Pto #2'!$B$4:C$4,0),FALSE),0))</f>
        <v>0</v>
      </c>
      <c r="K29" s="197">
        <f>SUM(IFERROR(VLOOKUP($B29&amp;$C29,'C. Gestión Pto #1'!$B$4:J$17,MATCH(K$5,'C. Gestión Pto #1'!$B$4:J$4,0),FALSE),0),IFERROR(VLOOKUP($B29&amp;$C29,'C. Gestión Pto #2'!$B$4:D$23,MATCH(K$5,'C. Gestión Pto #2'!$B$4:D$4,0),FALSE),0))</f>
        <v>0</v>
      </c>
      <c r="L29" s="197">
        <f>SUM(IFERROR(VLOOKUP($B29&amp;$C29,'C. Gestión Pto #1'!$B$4:K$17,MATCH(L$5,'C. Gestión Pto #1'!$B$4:K$4,0),FALSE),0),IFERROR(VLOOKUP($B29&amp;$C29,'C. Gestión Pto #2'!$B$4:E$23,MATCH(L$5,'C. Gestión Pto #2'!$B$4:E$4,0),FALSE),0))</f>
        <v>709198.4632325758</v>
      </c>
      <c r="M29" s="197">
        <f>SUM(IFERROR(VLOOKUP($B29&amp;$C29,'C. Gestión Pto #1'!$B$4:L$17,MATCH(M$5,'C. Gestión Pto #1'!$B$4:L$4,0),FALSE),0),IFERROR(VLOOKUP($B29&amp;$C29,'C. Gestión Pto #2'!$B$4:F$23,MATCH(M$5,'C. Gestión Pto #2'!$B$4:F$4,0),FALSE),0))</f>
        <v>177942.14548814393</v>
      </c>
      <c r="N29" s="197">
        <f>SUM(IFERROR(VLOOKUP($B29&amp;$C29,'C. Gestión Pto #1'!$B$4:M$17,MATCH(N$5,'C. Gestión Pto #1'!$B$4:M$4,0),FALSE),0),IFERROR(VLOOKUP($B29&amp;$C29,'C. Gestión Pto #2'!$B$4:G$23,MATCH(N$5,'C. Gestión Pto #2'!$B$4:G$4,0),FALSE),0))</f>
        <v>390000</v>
      </c>
      <c r="O29" s="197">
        <f>SUM(IFERROR(VLOOKUP($B29&amp;$C29,'C. Gestión Pto #1'!$B$4:N$17,MATCH(O$5,'C. Gestión Pto #1'!$B$4:N$4,0),FALSE),0),IFERROR(VLOOKUP($B29&amp;$C29,'C. Gestión Pto #2'!$B$4:H$23,MATCH(O$5,'C. Gestión Pto #2'!$B$4:H$4,0),FALSE),0))</f>
        <v>523583.09882154985</v>
      </c>
      <c r="P29" s="197">
        <f>SUM(IFERROR(VLOOKUP($B29&amp;$C29,'C. Gestión Pto #1'!$B$4:O$17,MATCH(P$5,'C. Gestión Pto #1'!$B$4:O$4,0),FALSE),0),IFERROR(VLOOKUP($B29&amp;$C29,'C. Gestión Pto #2'!$B$4:I$23,MATCH(P$5,'C. Gestión Pto #2'!$B$4:I$4,0),FALSE),0))</f>
        <v>6425606.5015986627</v>
      </c>
      <c r="Q29" s="197">
        <f>SUM(IFERROR(VLOOKUP($B29&amp;$C29,'C. Gestión Pto #1'!$B$4:P$17,MATCH(Q$5,'C. Gestión Pto #1'!$B$4:P$4,0),FALSE),0),IFERROR(VLOOKUP($B29&amp;$C29,'C. Gestión Pto #2'!$B$4:J$23,MATCH(Q$5,'C. Gestión Pto #2'!$B$4:J$4,0),FALSE),0))</f>
        <v>7858885.0801549889</v>
      </c>
      <c r="R29" s="197">
        <f>SUM(IFERROR(VLOOKUP($B29&amp;$C29,'C. Gestión Pto #1'!$B$4:Q$17,MATCH(R$5,'C. Gestión Pto #1'!$B$4:Q$4,0),FALSE),0),IFERROR(VLOOKUP($B29&amp;$C29,'C. Gestión Pto #2'!$B$4:K$23,MATCH(R$5,'C. Gestión Pto #2'!$B$4:K$4,0),FALSE),0))</f>
        <v>12737400.82528547</v>
      </c>
      <c r="S29" s="197">
        <f>SUM(IFERROR(VLOOKUP($B29&amp;$C29,'C. Gestión Pto #1'!$B$4:R$17,MATCH(S$5,'C. Gestión Pto #1'!$B$4:R$4,0),FALSE),0),IFERROR(VLOOKUP($B29&amp;$C29,'C. Gestión Pto #2'!$B$4:L$23,MATCH(S$5,'C. Gestión Pto #2'!$B$4:L$4,0),FALSE),0))</f>
        <v>11243672.649399186</v>
      </c>
      <c r="T29" s="197">
        <f>SUM(IFERROR(VLOOKUP($B29&amp;$C29,'C. Gestión Pto #1'!$B$4:S$17,MATCH(T$5,'C. Gestión Pto #1'!$B$4:S$4,0),FALSE),0),IFERROR(VLOOKUP($B29&amp;$C29,'C. Gestión Pto #2'!$B$4:M$23,MATCH(T$5,'C. Gestión Pto #2'!$B$4:M$4,0),FALSE),0))</f>
        <v>10832621.700179478</v>
      </c>
      <c r="U29" s="189"/>
      <c r="V29" s="261" cm="1">
        <f t="array" ref="V29">SUMPRODUCT($D29:$U29,TRANSPOSE('Indice CAC'!$C$10:$C$27))</f>
        <v>36890057.266796693</v>
      </c>
      <c r="W29" s="147"/>
      <c r="X29" s="146">
        <v>0</v>
      </c>
      <c r="Y29" s="146">
        <f>'Resumen Pto #2'!R23</f>
        <v>61809616.928692363</v>
      </c>
      <c r="Z29" s="146">
        <f t="shared" si="13"/>
        <v>61809616.928692363</v>
      </c>
      <c r="AA29" s="978">
        <f>IF(C29="MAT",SUMIF('Pto. 02 Cert.'!$A$10:$A$185,$B29,'Pto. 02 Cert.'!$T$10:$T$185),IF(C29="MO",SUMIF('Pto. 02 Cert.'!$A$10:$A$185,$B29,'Pto. 02 Cert.'!$U$10:$U$185),SUMIF('Pto. 02 Cert.'!$A$10:$A$185,$B29,'Pto. 02 Cert.'!$V$10:$V$185)))/IF(C29="MAT",SUMIF('Pto. 02 Cert.'!$A$10:$A$185,$B29,'Pto. 02 Cert.'!$I$10:$I$185),IF(C29="MO",SUMIF('Pto. 02 Cert.'!$A$10:$A$185,$B29,'Pto. 02 Cert.'!$J$10:$J$185),SUMIF('Pto. 02 Cert.'!$A$10:$A$185,$B29,'Pto. 02 Cert.'!$K$10:$K$185)))</f>
        <v>0.43165447703966942</v>
      </c>
      <c r="AB29" s="323">
        <f t="shared" si="14"/>
        <v>24919559.66189567</v>
      </c>
      <c r="AC29" s="311">
        <f t="shared" si="12"/>
        <v>0.40316638251689074</v>
      </c>
      <c r="AD29" s="323">
        <f t="shared" si="15"/>
        <v>0</v>
      </c>
    </row>
    <row r="30" spans="2:33" x14ac:dyDescent="0.35">
      <c r="B30" s="66" t="s">
        <v>128</v>
      </c>
      <c r="C30" s="203" t="s">
        <v>39</v>
      </c>
      <c r="D30" s="197">
        <f>IFERROR(SUM(VLOOKUP($B30&amp;$C30,'C. Gestión Pto #1'!$B$4:C$17,MATCH(D$5,'C. Gestión Pto #1'!$B$4:C$4,0),FALSE),0),0)</f>
        <v>0</v>
      </c>
      <c r="E30" s="197">
        <f>IFERROR(SUM(VLOOKUP($B30&amp;$C30,'C. Gestión Pto #1'!$B$4:D$17,MATCH(E$5,'C. Gestión Pto #1'!$B$4:D$4,0),FALSE),0),0)</f>
        <v>0</v>
      </c>
      <c r="F30" s="197">
        <f>IFERROR(SUM(VLOOKUP($B30&amp;$C30,'C. Gestión Pto #1'!$B$4:E$17,MATCH(F$5,'C. Gestión Pto #1'!$B$4:E$4,0),FALSE),0),0)</f>
        <v>0</v>
      </c>
      <c r="G30" s="197">
        <f>IFERROR(SUM(VLOOKUP($B30&amp;$C30,'C. Gestión Pto #1'!$B$4:F$17,MATCH(G$5,'C. Gestión Pto #1'!$B$4:F$4,0),FALSE),0),0)</f>
        <v>0</v>
      </c>
      <c r="H30" s="197">
        <f>IFERROR(SUM(VLOOKUP($B30&amp;$C30,'C. Gestión Pto #1'!$B$4:G$17,MATCH(H$5,'C. Gestión Pto #1'!$B$4:G$4,0),FALSE),0),0)</f>
        <v>0</v>
      </c>
      <c r="I30" s="197">
        <f>IFERROR(SUM(VLOOKUP($B30&amp;$C30,'C. Gestión Pto #1'!$B$4:H$17,MATCH(I$5,'C. Gestión Pto #1'!$B$4:H$4,0),FALSE),0),0)</f>
        <v>0</v>
      </c>
      <c r="J30" s="197">
        <f>SUM(IFERROR(VLOOKUP($B30&amp;$C30,'C. Gestión Pto #1'!$B$4:I$17,MATCH(J$5,'C. Gestión Pto #1'!$B$4:I$4,0),FALSE),0),IFERROR(VLOOKUP($B30&amp;$C30,'C. Gestión Pto #2'!$B$4:C$23,MATCH(J$5,'C. Gestión Pto #2'!$B$4:C$4,0),FALSE),0))</f>
        <v>0</v>
      </c>
      <c r="K30" s="197">
        <f>SUM(IFERROR(VLOOKUP($B30&amp;$C30,'C. Gestión Pto #1'!$B$4:J$17,MATCH(K$5,'C. Gestión Pto #1'!$B$4:J$4,0),FALSE),0),IFERROR(VLOOKUP($B30&amp;$C30,'C. Gestión Pto #2'!$B$4:D$23,MATCH(K$5,'C. Gestión Pto #2'!$B$4:D$4,0),FALSE),0))</f>
        <v>0</v>
      </c>
      <c r="L30" s="197">
        <f>SUM(IFERROR(VLOOKUP($B30&amp;$C30,'C. Gestión Pto #1'!$B$4:K$17,MATCH(L$5,'C. Gestión Pto #1'!$B$4:K$4,0),FALSE),0),IFERROR(VLOOKUP($B30&amp;$C30,'C. Gestión Pto #2'!$B$4:E$23,MATCH(L$5,'C. Gestión Pto #2'!$B$4:E$4,0),FALSE),0))</f>
        <v>0</v>
      </c>
      <c r="M30" s="197">
        <f>SUM(IFERROR(VLOOKUP($B30&amp;$C30,'C. Gestión Pto #1'!$B$4:L$17,MATCH(M$5,'C. Gestión Pto #1'!$B$4:L$4,0),FALSE),0),IFERROR(VLOOKUP($B30&amp;$C30,'C. Gestión Pto #2'!$B$4:F$23,MATCH(M$5,'C. Gestión Pto #2'!$B$4:F$4,0),FALSE),0))</f>
        <v>0</v>
      </c>
      <c r="N30" s="197">
        <f>SUM(IFERROR(VLOOKUP($B30&amp;$C30,'C. Gestión Pto #1'!$B$4:M$17,MATCH(N$5,'C. Gestión Pto #1'!$B$4:M$4,0),FALSE),0),IFERROR(VLOOKUP($B30&amp;$C30,'C. Gestión Pto #2'!$B$4:G$23,MATCH(N$5,'C. Gestión Pto #2'!$B$4:G$4,0),FALSE),0))</f>
        <v>0</v>
      </c>
      <c r="O30" s="197">
        <f>SUM(IFERROR(VLOOKUP($B30&amp;$C30,'C. Gestión Pto #1'!$B$4:N$17,MATCH(O$5,'C. Gestión Pto #1'!$B$4:N$4,0),FALSE),0),IFERROR(VLOOKUP($B30&amp;$C30,'C. Gestión Pto #2'!$B$4:H$23,MATCH(O$5,'C. Gestión Pto #2'!$B$4:H$4,0),FALSE),0))</f>
        <v>0</v>
      </c>
      <c r="P30" s="197">
        <f>SUM(IFERROR(VLOOKUP($B30&amp;$C30,'C. Gestión Pto #1'!$B$4:O$17,MATCH(P$5,'C. Gestión Pto #1'!$B$4:O$4,0),FALSE),0),IFERROR(VLOOKUP($B30&amp;$C30,'C. Gestión Pto #2'!$B$4:I$23,MATCH(P$5,'C. Gestión Pto #2'!$B$4:I$4,0),FALSE),0))</f>
        <v>0</v>
      </c>
      <c r="Q30" s="197">
        <f>SUM(IFERROR(VLOOKUP($B30&amp;$C30,'C. Gestión Pto #1'!$B$4:P$17,MATCH(Q$5,'C. Gestión Pto #1'!$B$4:P$4,0),FALSE),0),IFERROR(VLOOKUP($B30&amp;$C30,'C. Gestión Pto #2'!$B$4:J$23,MATCH(Q$5,'C. Gestión Pto #2'!$B$4:J$4,0),FALSE),0))</f>
        <v>0</v>
      </c>
      <c r="R30" s="197">
        <f>SUM(IFERROR(VLOOKUP($B30&amp;$C30,'C. Gestión Pto #1'!$B$4:Q$17,MATCH(R$5,'C. Gestión Pto #1'!$B$4:Q$4,0),FALSE),0),IFERROR(VLOOKUP($B30&amp;$C30,'C. Gestión Pto #2'!$B$4:K$23,MATCH(R$5,'C. Gestión Pto #2'!$B$4:K$4,0),FALSE),0))</f>
        <v>0</v>
      </c>
      <c r="S30" s="197">
        <f>SUM(IFERROR(VLOOKUP($B30&amp;$C30,'C. Gestión Pto #1'!$B$4:R$17,MATCH(S$5,'C. Gestión Pto #1'!$B$4:R$4,0),FALSE),0),IFERROR(VLOOKUP($B30&amp;$C30,'C. Gestión Pto #2'!$B$4:L$23,MATCH(S$5,'C. Gestión Pto #2'!$B$4:L$4,0),FALSE),0))</f>
        <v>4011700</v>
      </c>
      <c r="T30" s="197">
        <f>SUM(IFERROR(VLOOKUP($B30&amp;$C30,'C. Gestión Pto #1'!$B$4:S$17,MATCH(T$5,'C. Gestión Pto #1'!$B$4:S$4,0),FALSE),0),IFERROR(VLOOKUP($B30&amp;$C30,'C. Gestión Pto #2'!$B$4:M$23,MATCH(T$5,'C. Gestión Pto #2'!$B$4:M$4,0),FALSE),0))</f>
        <v>350000</v>
      </c>
      <c r="U30" s="189"/>
      <c r="V30" s="261" cm="1">
        <f t="array" ref="V30">SUMPRODUCT($D30:$U30,TRANSPOSE('Indice CAC'!$C$10:$C$27))</f>
        <v>3107555.6961538102</v>
      </c>
      <c r="W30" s="147"/>
      <c r="X30" s="146">
        <v>0</v>
      </c>
      <c r="Y30" s="146">
        <f>'Resumen Pto #2'!R24</f>
        <v>29057104.645157233</v>
      </c>
      <c r="Z30" s="146">
        <f t="shared" ref="Z30:Z31" si="16">SUM(X30:Y30)</f>
        <v>29057104.645157233</v>
      </c>
      <c r="AA30" s="978">
        <f>IF(C30="MAT",SUMIF('Pto. 02 Cert.'!$A$10:$A$185,$B30,'Pto. 02 Cert.'!$T$10:$T$185),IF(C30="MO",SUMIF('Pto. 02 Cert.'!$A$10:$A$185,$B30,'Pto. 02 Cert.'!$U$10:$U$185),SUMIF('Pto. 02 Cert.'!$A$10:$A$185,$B30,'Pto. 02 Cert.'!$V$10:$V$185)))/IF(C30="MAT",SUMIF('Pto. 02 Cert.'!$A$10:$A$185,$B30,'Pto. 02 Cert.'!$I$10:$I$185),IF(C30="MO",SUMIF('Pto. 02 Cert.'!$A$10:$A$185,$B30,'Pto. 02 Cert.'!$J$10:$J$185),SUMIF('Pto. 02 Cert.'!$A$10:$A$185,$B30,'Pto. 02 Cert.'!$K$10:$K$185)))</f>
        <v>9.7485725356296585E-2</v>
      </c>
      <c r="AB30" s="323">
        <f t="shared" si="14"/>
        <v>25949548.949003421</v>
      </c>
      <c r="AC30" s="311">
        <f t="shared" ref="AC30:AC31" si="17">IF(OR(AB30&lt;0,Z30),AB30/Z30,0%)</f>
        <v>0.89305349813400181</v>
      </c>
      <c r="AD30" s="323">
        <f t="shared" ref="AD30:AD31" si="18">IF(AA30=100%,IF(OR(V30&lt;&gt;0,Z30),Z30-V30),0)</f>
        <v>0</v>
      </c>
    </row>
    <row r="31" spans="2:33" x14ac:dyDescent="0.35">
      <c r="B31" s="66" t="s">
        <v>128</v>
      </c>
      <c r="C31" s="203" t="s">
        <v>38</v>
      </c>
      <c r="D31" s="197">
        <f>IFERROR(SUM(VLOOKUP($B31&amp;$C31,'C. Gestión Pto #1'!$B$4:C$17,MATCH(D$5,'C. Gestión Pto #1'!$B$4:C$4,0),FALSE),0),0)</f>
        <v>0</v>
      </c>
      <c r="E31" s="197">
        <f>IFERROR(SUM(VLOOKUP($B31&amp;$C31,'C. Gestión Pto #1'!$B$4:D$17,MATCH(E$5,'C. Gestión Pto #1'!$B$4:D$4,0),FALSE),0),0)</f>
        <v>0</v>
      </c>
      <c r="F31" s="197">
        <f>IFERROR(SUM(VLOOKUP($B31&amp;$C31,'C. Gestión Pto #1'!$B$4:E$17,MATCH(F$5,'C. Gestión Pto #1'!$B$4:E$4,0),FALSE),0),0)</f>
        <v>0</v>
      </c>
      <c r="G31" s="197">
        <f>IFERROR(SUM(VLOOKUP($B31&amp;$C31,'C. Gestión Pto #1'!$B$4:F$17,MATCH(G$5,'C. Gestión Pto #1'!$B$4:F$4,0),FALSE),0),0)</f>
        <v>0</v>
      </c>
      <c r="H31" s="197">
        <f>IFERROR(SUM(VLOOKUP($B31&amp;$C31,'C. Gestión Pto #1'!$B$4:G$17,MATCH(H$5,'C. Gestión Pto #1'!$B$4:G$4,0),FALSE),0),0)</f>
        <v>0</v>
      </c>
      <c r="I31" s="197">
        <f>IFERROR(SUM(VLOOKUP($B31&amp;$C31,'C. Gestión Pto #1'!$B$4:H$17,MATCH(I$5,'C. Gestión Pto #1'!$B$4:H$4,0),FALSE),0),0)</f>
        <v>0</v>
      </c>
      <c r="J31" s="197">
        <f>SUM(IFERROR(VLOOKUP($B31&amp;$C31,'C. Gestión Pto #1'!$B$4:I$17,MATCH(J$5,'C. Gestión Pto #1'!$B$4:I$4,0),FALSE),0),IFERROR(VLOOKUP($B31&amp;$C31,'C. Gestión Pto #2'!$B$4:C$23,MATCH(J$5,'C. Gestión Pto #2'!$B$4:C$4,0),FALSE),0))</f>
        <v>0</v>
      </c>
      <c r="K31" s="197">
        <f>SUM(IFERROR(VLOOKUP($B31&amp;$C31,'C. Gestión Pto #1'!$B$4:J$17,MATCH(K$5,'C. Gestión Pto #1'!$B$4:J$4,0),FALSE),0),IFERROR(VLOOKUP($B31&amp;$C31,'C. Gestión Pto #2'!$B$4:D$23,MATCH(K$5,'C. Gestión Pto #2'!$B$4:D$4,0),FALSE),0))</f>
        <v>0</v>
      </c>
      <c r="L31" s="197">
        <f>SUM(IFERROR(VLOOKUP($B31&amp;$C31,'C. Gestión Pto #1'!$B$4:K$17,MATCH(L$5,'C. Gestión Pto #1'!$B$4:K$4,0),FALSE),0),IFERROR(VLOOKUP($B31&amp;$C31,'C. Gestión Pto #2'!$B$4:E$23,MATCH(L$5,'C. Gestión Pto #2'!$B$4:E$4,0),FALSE),0))</f>
        <v>0</v>
      </c>
      <c r="M31" s="197">
        <f>SUM(IFERROR(VLOOKUP($B31&amp;$C31,'C. Gestión Pto #1'!$B$4:L$17,MATCH(M$5,'C. Gestión Pto #1'!$B$4:L$4,0),FALSE),0),IFERROR(VLOOKUP($B31&amp;$C31,'C. Gestión Pto #2'!$B$4:F$23,MATCH(M$5,'C. Gestión Pto #2'!$B$4:F$4,0),FALSE),0))</f>
        <v>0</v>
      </c>
      <c r="N31" s="197">
        <f>SUM(IFERROR(VLOOKUP($B31&amp;$C31,'C. Gestión Pto #1'!$B$4:M$17,MATCH(N$5,'C. Gestión Pto #1'!$B$4:M$4,0),FALSE),0),IFERROR(VLOOKUP($B31&amp;$C31,'C. Gestión Pto #2'!$B$4:G$23,MATCH(N$5,'C. Gestión Pto #2'!$B$4:G$4,0),FALSE),0))</f>
        <v>0</v>
      </c>
      <c r="O31" s="197">
        <f>SUM(IFERROR(VLOOKUP($B31&amp;$C31,'C. Gestión Pto #1'!$B$4:N$17,MATCH(O$5,'C. Gestión Pto #1'!$B$4:N$4,0),FALSE),0),IFERROR(VLOOKUP($B31&amp;$C31,'C. Gestión Pto #2'!$B$4:H$23,MATCH(O$5,'C. Gestión Pto #2'!$B$4:H$4,0),FALSE),0))</f>
        <v>4076500</v>
      </c>
      <c r="P31" s="197">
        <f>SUM(IFERROR(VLOOKUP($B31&amp;$C31,'C. Gestión Pto #1'!$B$4:O$17,MATCH(P$5,'C. Gestión Pto #1'!$B$4:O$4,0),FALSE),0),IFERROR(VLOOKUP($B31&amp;$C31,'C. Gestión Pto #2'!$B$4:I$23,MATCH(P$5,'C. Gestión Pto #2'!$B$4:I$4,0),FALSE),0))</f>
        <v>0</v>
      </c>
      <c r="Q31" s="197">
        <f>SUM(IFERROR(VLOOKUP($B31&amp;$C31,'C. Gestión Pto #1'!$B$4:P$17,MATCH(Q$5,'C. Gestión Pto #1'!$B$4:P$4,0),FALSE),0),IFERROR(VLOOKUP($B31&amp;$C31,'C. Gestión Pto #2'!$B$4:J$23,MATCH(Q$5,'C. Gestión Pto #2'!$B$4:J$4,0),FALSE),0))</f>
        <v>0</v>
      </c>
      <c r="R31" s="197">
        <f>SUM(IFERROR(VLOOKUP($B31&amp;$C31,'C. Gestión Pto #1'!$B$4:Q$17,MATCH(R$5,'C. Gestión Pto #1'!$B$4:Q$4,0),FALSE),0),IFERROR(VLOOKUP($B31&amp;$C31,'C. Gestión Pto #2'!$B$4:K$23,MATCH(R$5,'C. Gestión Pto #2'!$B$4:K$4,0),FALSE),0))</f>
        <v>0</v>
      </c>
      <c r="S31" s="197">
        <f>SUM(IFERROR(VLOOKUP($B31&amp;$C31,'C. Gestión Pto #1'!$B$4:R$17,MATCH(S$5,'C. Gestión Pto #1'!$B$4:R$4,0),FALSE),0),IFERROR(VLOOKUP($B31&amp;$C31,'C. Gestión Pto #2'!$B$4:L$23,MATCH(S$5,'C. Gestión Pto #2'!$B$4:L$4,0),FALSE),0))</f>
        <v>8541597.5099999998</v>
      </c>
      <c r="T31" s="197">
        <f>SUM(IFERROR(VLOOKUP($B31&amp;$C31,'C. Gestión Pto #1'!$B$4:S$17,MATCH(T$5,'C. Gestión Pto #1'!$B$4:S$4,0),FALSE),0),IFERROR(VLOOKUP($B31&amp;$C31,'C. Gestión Pto #2'!$B$4:M$23,MATCH(T$5,'C. Gestión Pto #2'!$B$4:M$4,0),FALSE),0))</f>
        <v>0</v>
      </c>
      <c r="U31" s="189"/>
      <c r="V31" s="261" cm="1">
        <f t="array" ref="V31">SUMPRODUCT($D31:$U31,TRANSPOSE('Indice CAC'!$C$10:$C$27))</f>
        <v>9212674.0203790478</v>
      </c>
      <c r="W31" s="147"/>
      <c r="X31" s="146">
        <v>0</v>
      </c>
      <c r="Y31" s="146">
        <f>'Resumen Pto #2'!R25</f>
        <v>32520619.477365639</v>
      </c>
      <c r="Z31" s="146">
        <f t="shared" si="16"/>
        <v>32520619.477365639</v>
      </c>
      <c r="AA31" s="978">
        <f>IF(C31="MAT",SUMIF('Pto. 02 Cert.'!$A$10:$A$185,$B31,'Pto. 02 Cert.'!$T$10:$T$185),IF(C31="MO",SUMIF('Pto. 02 Cert.'!$A$10:$A$185,$B31,'Pto. 02 Cert.'!$U$10:$U$185),SUMIF('Pto. 02 Cert.'!$A$10:$A$185,$B31,'Pto. 02 Cert.'!$V$10:$V$185)))/IF(C31="MAT",SUMIF('Pto. 02 Cert.'!$A$10:$A$185,$B31,'Pto. 02 Cert.'!$I$10:$I$185),IF(C31="MO",SUMIF('Pto. 02 Cert.'!$A$10:$A$185,$B31,'Pto. 02 Cert.'!$J$10:$J$185),SUMIF('Pto. 02 Cert.'!$A$10:$A$185,$B31,'Pto. 02 Cert.'!$K$10:$K$185)))</f>
        <v>0.34515040181993784</v>
      </c>
      <c r="AB31" s="323">
        <f t="shared" si="14"/>
        <v>23307945.456986591</v>
      </c>
      <c r="AC31" s="311">
        <f t="shared" si="17"/>
        <v>0.71671283731876412</v>
      </c>
      <c r="AD31" s="323">
        <f t="shared" si="18"/>
        <v>0</v>
      </c>
    </row>
    <row r="32" spans="2:33" x14ac:dyDescent="0.35">
      <c r="B32" s="66" t="s">
        <v>132</v>
      </c>
      <c r="C32" s="203" t="s">
        <v>38</v>
      </c>
      <c r="D32" s="197">
        <f>IFERROR(SUM(VLOOKUP($B32&amp;$C32,'C. Gestión Pto #1'!$B$4:C$17,MATCH(D$5,'C. Gestión Pto #1'!$B$4:C$4,0),FALSE),0),0)</f>
        <v>0</v>
      </c>
      <c r="E32" s="197">
        <f>IFERROR(SUM(VLOOKUP($B32&amp;$C32,'C. Gestión Pto #1'!$B$4:D$17,MATCH(E$5,'C. Gestión Pto #1'!$B$4:D$4,0),FALSE),0),0)</f>
        <v>0</v>
      </c>
      <c r="F32" s="197">
        <f>IFERROR(SUM(VLOOKUP($B32&amp;$C32,'C. Gestión Pto #1'!$B$4:E$17,MATCH(F$5,'C. Gestión Pto #1'!$B$4:E$4,0),FALSE),0),0)</f>
        <v>0</v>
      </c>
      <c r="G32" s="197">
        <f>IFERROR(SUM(VLOOKUP($B32&amp;$C32,'C. Gestión Pto #1'!$B$4:F$17,MATCH(G$5,'C. Gestión Pto #1'!$B$4:F$4,0),FALSE),0),0)</f>
        <v>0</v>
      </c>
      <c r="H32" s="197">
        <f>IFERROR(SUM(VLOOKUP($B32&amp;$C32,'C. Gestión Pto #1'!$B$4:G$17,MATCH(H$5,'C. Gestión Pto #1'!$B$4:G$4,0),FALSE),0),0)</f>
        <v>0</v>
      </c>
      <c r="I32" s="197">
        <f>IFERROR(SUM(VLOOKUP($B32&amp;$C32,'C. Gestión Pto #1'!$B$4:H$17,MATCH(I$5,'C. Gestión Pto #1'!$B$4:H$4,0),FALSE),0),0)</f>
        <v>0</v>
      </c>
      <c r="J32" s="197">
        <f>SUM(IFERROR(VLOOKUP($B32&amp;$C32,'C. Gestión Pto #1'!$B$4:I$17,MATCH(J$5,'C. Gestión Pto #1'!$B$4:I$4,0),FALSE),0),IFERROR(VLOOKUP($B32&amp;$C32,'C. Gestión Pto #2'!$B$4:C$23,MATCH(J$5,'C. Gestión Pto #2'!$B$4:C$4,0),FALSE),0))</f>
        <v>0</v>
      </c>
      <c r="K32" s="197">
        <f>SUM(IFERROR(VLOOKUP($B32&amp;$C32,'C. Gestión Pto #1'!$B$4:J$17,MATCH(K$5,'C. Gestión Pto #1'!$B$4:J$4,0),FALSE),0),IFERROR(VLOOKUP($B32&amp;$C32,'C. Gestión Pto #2'!$B$4:D$23,MATCH(K$5,'C. Gestión Pto #2'!$B$4:D$4,0),FALSE),0))</f>
        <v>0</v>
      </c>
      <c r="L32" s="197">
        <f>SUM(IFERROR(VLOOKUP($B32&amp;$C32,'C. Gestión Pto #1'!$B$4:K$17,MATCH(L$5,'C. Gestión Pto #1'!$B$4:K$4,0),FALSE),0),IFERROR(VLOOKUP($B32&amp;$C32,'C. Gestión Pto #2'!$B$4:E$23,MATCH(L$5,'C. Gestión Pto #2'!$B$4:E$4,0),FALSE),0))</f>
        <v>0</v>
      </c>
      <c r="M32" s="197">
        <f>SUM(IFERROR(VLOOKUP($B32&amp;$C32,'C. Gestión Pto #1'!$B$4:L$17,MATCH(M$5,'C. Gestión Pto #1'!$B$4:L$4,0),FALSE),0),IFERROR(VLOOKUP($B32&amp;$C32,'C. Gestión Pto #2'!$B$4:F$23,MATCH(M$5,'C. Gestión Pto #2'!$B$4:F$4,0),FALSE),0))</f>
        <v>0</v>
      </c>
      <c r="N32" s="197">
        <f>SUM(IFERROR(VLOOKUP($B32&amp;$C32,'C. Gestión Pto #1'!$B$4:M$17,MATCH(N$5,'C. Gestión Pto #1'!$B$4:M$4,0),FALSE),0),IFERROR(VLOOKUP($B32&amp;$C32,'C. Gestión Pto #2'!$B$4:G$23,MATCH(N$5,'C. Gestión Pto #2'!$B$4:G$4,0),FALSE),0))</f>
        <v>0</v>
      </c>
      <c r="O32" s="197">
        <f>SUM(IFERROR(VLOOKUP($B32&amp;$C32,'C. Gestión Pto #1'!$B$4:N$17,MATCH(O$5,'C. Gestión Pto #1'!$B$4:N$4,0),FALSE),0),IFERROR(VLOOKUP($B32&amp;$C32,'C. Gestión Pto #2'!$B$4:H$23,MATCH(O$5,'C. Gestión Pto #2'!$B$4:H$4,0),FALSE),0))</f>
        <v>0</v>
      </c>
      <c r="P32" s="197">
        <f>SUM(IFERROR(VLOOKUP($B32&amp;$C32,'C. Gestión Pto #1'!$B$4:O$17,MATCH(P$5,'C. Gestión Pto #1'!$B$4:O$4,0),FALSE),0),IFERROR(VLOOKUP($B32&amp;$C32,'C. Gestión Pto #2'!$B$4:I$23,MATCH(P$5,'C. Gestión Pto #2'!$B$4:I$4,0),FALSE),0))</f>
        <v>0</v>
      </c>
      <c r="Q32" s="197">
        <f>SUM(IFERROR(VLOOKUP($B32&amp;$C32,'C. Gestión Pto #1'!$B$4:P$17,MATCH(Q$5,'C. Gestión Pto #1'!$B$4:P$4,0),FALSE),0),IFERROR(VLOOKUP($B32&amp;$C32,'C. Gestión Pto #2'!$B$4:J$23,MATCH(Q$5,'C. Gestión Pto #2'!$B$4:J$4,0),FALSE),0))</f>
        <v>0</v>
      </c>
      <c r="R32" s="197">
        <f>SUM(IFERROR(VLOOKUP($B32&amp;$C32,'C. Gestión Pto #1'!$B$4:Q$17,MATCH(R$5,'C. Gestión Pto #1'!$B$4:Q$4,0),FALSE),0),IFERROR(VLOOKUP($B32&amp;$C32,'C. Gestión Pto #2'!$B$4:K$23,MATCH(R$5,'C. Gestión Pto #2'!$B$4:K$4,0),FALSE),0))</f>
        <v>0</v>
      </c>
      <c r="S32" s="197">
        <f>SUM(IFERROR(VLOOKUP($B32&amp;$C32,'C. Gestión Pto #1'!$B$4:R$17,MATCH(S$5,'C. Gestión Pto #1'!$B$4:R$4,0),FALSE),0),IFERROR(VLOOKUP($B32&amp;$C32,'C. Gestión Pto #2'!$B$4:L$23,MATCH(S$5,'C. Gestión Pto #2'!$B$4:L$4,0),FALSE),0))</f>
        <v>0</v>
      </c>
      <c r="T32" s="197">
        <f>SUM(IFERROR(VLOOKUP($B32&amp;$C32,'C. Gestión Pto #1'!$B$4:S$17,MATCH(T$5,'C. Gestión Pto #1'!$B$4:S$4,0),FALSE),0),IFERROR(VLOOKUP($B32&amp;$C32,'C. Gestión Pto #2'!$B$4:M$23,MATCH(T$5,'C. Gestión Pto #2'!$B$4:M$4,0),FALSE),0))</f>
        <v>0</v>
      </c>
      <c r="U32" s="189"/>
      <c r="V32" s="261" cm="1">
        <f t="array" ref="V32">SUMPRODUCT($D32:$U32,TRANSPOSE('Indice CAC'!$C$10:$C$27))</f>
        <v>0</v>
      </c>
      <c r="W32" s="147"/>
      <c r="X32" s="146">
        <v>0</v>
      </c>
      <c r="Y32" s="146">
        <f>'Resumen Pto #2'!R26</f>
        <v>13500000</v>
      </c>
      <c r="Z32" s="146">
        <f t="shared" si="13"/>
        <v>13500000</v>
      </c>
      <c r="AA32" s="978">
        <f>IF(C32="MAT",SUMIF('Pto. 02 Cert.'!$A$10:$A$185,$B32,'Pto. 02 Cert.'!$T$10:$T$185),IF(C32="MO",SUMIF('Pto. 02 Cert.'!$A$10:$A$185,$B32,'Pto. 02 Cert.'!$U$10:$U$185),SUMIF('Pto. 02 Cert.'!$A$10:$A$185,$B32,'Pto. 02 Cert.'!$V$10:$V$185)))/IF(C32="MAT",SUMIF('Pto. 02 Cert.'!$A$10:$A$185,$B32,'Pto. 02 Cert.'!$I$10:$I$185),IF(C32="MO",SUMIF('Pto. 02 Cert.'!$A$10:$A$185,$B32,'Pto. 02 Cert.'!$J$10:$J$185),SUMIF('Pto. 02 Cert.'!$A$10:$A$185,$B32,'Pto. 02 Cert.'!$K$10:$K$185)))</f>
        <v>0.8</v>
      </c>
      <c r="AB32" s="323">
        <f t="shared" si="14"/>
        <v>13500000</v>
      </c>
      <c r="AC32" s="311">
        <f t="shared" si="12"/>
        <v>1</v>
      </c>
      <c r="AD32" s="323">
        <f t="shared" si="15"/>
        <v>0</v>
      </c>
    </row>
    <row r="33" spans="2:30" x14ac:dyDescent="0.35">
      <c r="B33" s="66" t="s">
        <v>132</v>
      </c>
      <c r="C33" s="203" t="s">
        <v>39</v>
      </c>
      <c r="D33" s="197">
        <f>IFERROR(SUM(VLOOKUP($B33&amp;$C33,'C. Gestión Pto #1'!$B$4:C$17,MATCH(D$5,'C. Gestión Pto #1'!$B$4:C$4,0),FALSE),0),0)</f>
        <v>0</v>
      </c>
      <c r="E33" s="197">
        <f>IFERROR(SUM(VLOOKUP($B33&amp;$C33,'C. Gestión Pto #1'!$B$4:D$17,MATCH(E$5,'C. Gestión Pto #1'!$B$4:D$4,0),FALSE),0),0)</f>
        <v>0</v>
      </c>
      <c r="F33" s="197">
        <f>IFERROR(SUM(VLOOKUP($B33&amp;$C33,'C. Gestión Pto #1'!$B$4:E$17,MATCH(F$5,'C. Gestión Pto #1'!$B$4:E$4,0),FALSE),0),0)</f>
        <v>0</v>
      </c>
      <c r="G33" s="197">
        <f>IFERROR(SUM(VLOOKUP($B33&amp;$C33,'C. Gestión Pto #1'!$B$4:F$17,MATCH(G$5,'C. Gestión Pto #1'!$B$4:F$4,0),FALSE),0),0)</f>
        <v>0</v>
      </c>
      <c r="H33" s="197">
        <f>IFERROR(SUM(VLOOKUP($B33&amp;$C33,'C. Gestión Pto #1'!$B$4:G$17,MATCH(H$5,'C. Gestión Pto #1'!$B$4:G$4,0),FALSE),0),0)</f>
        <v>0</v>
      </c>
      <c r="I33" s="197">
        <f>IFERROR(SUM(VLOOKUP($B33&amp;$C33,'C. Gestión Pto #1'!$B$4:H$17,MATCH(I$5,'C. Gestión Pto #1'!$B$4:H$4,0),FALSE),0),0)</f>
        <v>0</v>
      </c>
      <c r="J33" s="197">
        <f>SUM(IFERROR(VLOOKUP($B33&amp;$C33,'C. Gestión Pto #1'!$B$4:I$17,MATCH(J$5,'C. Gestión Pto #1'!$B$4:I$4,0),FALSE),0),IFERROR(VLOOKUP($B33&amp;$C33,'C. Gestión Pto #2'!$B$4:C$23,MATCH(J$5,'C. Gestión Pto #2'!$B$4:C$4,0),FALSE),0))</f>
        <v>0</v>
      </c>
      <c r="K33" s="197">
        <f>SUM(IFERROR(VLOOKUP($B33&amp;$C33,'C. Gestión Pto #1'!$B$4:J$17,MATCH(K$5,'C. Gestión Pto #1'!$B$4:J$4,0),FALSE),0),IFERROR(VLOOKUP($B33&amp;$C33,'C. Gestión Pto #2'!$B$4:D$23,MATCH(K$5,'C. Gestión Pto #2'!$B$4:D$4,0),FALSE),0))</f>
        <v>0</v>
      </c>
      <c r="L33" s="197">
        <f>SUM(IFERROR(VLOOKUP($B33&amp;$C33,'C. Gestión Pto #1'!$B$4:K$17,MATCH(L$5,'C. Gestión Pto #1'!$B$4:K$4,0),FALSE),0),IFERROR(VLOOKUP($B33&amp;$C33,'C. Gestión Pto #2'!$B$4:E$23,MATCH(L$5,'C. Gestión Pto #2'!$B$4:E$4,0),FALSE),0))</f>
        <v>0</v>
      </c>
      <c r="M33" s="197">
        <f>SUM(IFERROR(VLOOKUP($B33&amp;$C33,'C. Gestión Pto #1'!$B$4:L$17,MATCH(M$5,'C. Gestión Pto #1'!$B$4:L$4,0),FALSE),0),IFERROR(VLOOKUP($B33&amp;$C33,'C. Gestión Pto #2'!$B$4:F$23,MATCH(M$5,'C. Gestión Pto #2'!$B$4:F$4,0),FALSE),0))</f>
        <v>0</v>
      </c>
      <c r="N33" s="197">
        <f>SUM(IFERROR(VLOOKUP($B33&amp;$C33,'C. Gestión Pto #1'!$B$4:M$17,MATCH(N$5,'C. Gestión Pto #1'!$B$4:M$4,0),FALSE),0),IFERROR(VLOOKUP($B33&amp;$C33,'C. Gestión Pto #2'!$B$4:G$23,MATCH(N$5,'C. Gestión Pto #2'!$B$4:G$4,0),FALSE),0))</f>
        <v>0</v>
      </c>
      <c r="O33" s="197">
        <f>SUM(IFERROR(VLOOKUP($B33&amp;$C33,'C. Gestión Pto #1'!$B$4:N$17,MATCH(O$5,'C. Gestión Pto #1'!$B$4:N$4,0),FALSE),0),IFERROR(VLOOKUP($B33&amp;$C33,'C. Gestión Pto #2'!$B$4:H$23,MATCH(O$5,'C. Gestión Pto #2'!$B$4:H$4,0),FALSE),0))</f>
        <v>0</v>
      </c>
      <c r="P33" s="197">
        <f>SUM(IFERROR(VLOOKUP($B33&amp;$C33,'C. Gestión Pto #1'!$B$4:O$17,MATCH(P$5,'C. Gestión Pto #1'!$B$4:O$4,0),FALSE),0),IFERROR(VLOOKUP($B33&amp;$C33,'C. Gestión Pto #2'!$B$4:I$23,MATCH(P$5,'C. Gestión Pto #2'!$B$4:I$4,0),FALSE),0))</f>
        <v>4235000</v>
      </c>
      <c r="Q33" s="197">
        <f>SUM(IFERROR(VLOOKUP($B33&amp;$C33,'C. Gestión Pto #1'!$B$4:P$17,MATCH(Q$5,'C. Gestión Pto #1'!$B$4:P$4,0),FALSE),0),IFERROR(VLOOKUP($B33&amp;$C33,'C. Gestión Pto #2'!$B$4:J$23,MATCH(Q$5,'C. Gestión Pto #2'!$B$4:J$4,0),FALSE),0))</f>
        <v>0</v>
      </c>
      <c r="R33" s="197">
        <f>SUM(IFERROR(VLOOKUP($B33&amp;$C33,'C. Gestión Pto #1'!$B$4:Q$17,MATCH(R$5,'C. Gestión Pto #1'!$B$4:Q$4,0),FALSE),0),IFERROR(VLOOKUP($B33&amp;$C33,'C. Gestión Pto #2'!$B$4:K$23,MATCH(R$5,'C. Gestión Pto #2'!$B$4:K$4,0),FALSE),0))</f>
        <v>1944000</v>
      </c>
      <c r="S33" s="197">
        <f>SUM(IFERROR(VLOOKUP($B33&amp;$C33,'C. Gestión Pto #1'!$B$4:R$17,MATCH(S$5,'C. Gestión Pto #1'!$B$4:R$4,0),FALSE),0),IFERROR(VLOOKUP($B33&amp;$C33,'C. Gestión Pto #2'!$B$4:L$23,MATCH(S$5,'C. Gestión Pto #2'!$B$4:L$4,0),FALSE),0))</f>
        <v>5040000</v>
      </c>
      <c r="T33" s="197">
        <f>SUM(IFERROR(VLOOKUP($B33&amp;$C33,'C. Gestión Pto #1'!$B$4:S$17,MATCH(T$5,'C. Gestión Pto #1'!$B$4:S$4,0),FALSE),0),IFERROR(VLOOKUP($B33&amp;$C33,'C. Gestión Pto #2'!$B$4:M$23,MATCH(T$5,'C. Gestión Pto #2'!$B$4:M$4,0),FALSE),0))</f>
        <v>0</v>
      </c>
      <c r="U33" s="189"/>
      <c r="V33" s="261" cm="1">
        <f t="array" ref="V33">SUMPRODUCT($D33:$U33,TRANSPOSE('Indice CAC'!$C$10:$C$27))</f>
        <v>8173029.4154223725</v>
      </c>
      <c r="W33" s="147"/>
      <c r="X33" s="146">
        <v>0</v>
      </c>
      <c r="Y33" s="146">
        <f>'Resumen Pto #2'!R27</f>
        <v>14504000</v>
      </c>
      <c r="Z33" s="146">
        <f t="shared" si="13"/>
        <v>14504000</v>
      </c>
      <c r="AA33" s="978">
        <f>IF(C33="MAT",SUMIF('Pto. 02 Cert.'!$A$10:$A$185,$B33,'Pto. 02 Cert.'!$T$10:$T$185),IF(C33="MO",SUMIF('Pto. 02 Cert.'!$A$10:$A$185,$B33,'Pto. 02 Cert.'!$U$10:$U$185),SUMIF('Pto. 02 Cert.'!$A$10:$A$185,$B33,'Pto. 02 Cert.'!$V$10:$V$185)))/IF(C33="MAT",SUMIF('Pto. 02 Cert.'!$A$10:$A$185,$B33,'Pto. 02 Cert.'!$I$10:$I$185),IF(C33="MO",SUMIF('Pto. 02 Cert.'!$A$10:$A$185,$B33,'Pto. 02 Cert.'!$J$10:$J$185),SUMIF('Pto. 02 Cert.'!$A$10:$A$185,$B33,'Pto. 02 Cert.'!$K$10:$K$185)))</f>
        <v>0.42471086953495885</v>
      </c>
      <c r="AB33" s="323">
        <f t="shared" si="14"/>
        <v>6330970.5845776275</v>
      </c>
      <c r="AC33" s="311">
        <f t="shared" si="12"/>
        <v>0.43649824769564449</v>
      </c>
      <c r="AD33" s="323">
        <f t="shared" si="15"/>
        <v>0</v>
      </c>
    </row>
    <row r="34" spans="2:30" x14ac:dyDescent="0.35">
      <c r="B34" s="66" t="s">
        <v>177</v>
      </c>
      <c r="C34" s="203"/>
      <c r="D34" s="197">
        <f>IFERROR(SUM(VLOOKUP($B34&amp;$C34,'C. Gestión Pto #1'!$B$4:C$17,MATCH(D$5,'C. Gestión Pto #1'!$B$4:C$4,0),FALSE),0),0)</f>
        <v>296509.21399999998</v>
      </c>
      <c r="E34" s="197">
        <f>IFERROR(SUM(VLOOKUP($B34&amp;$C34,'C. Gestión Pto #1'!$B$4:D$17,MATCH(E$5,'C. Gestión Pto #1'!$B$4:D$4,0),FALSE),0),0)</f>
        <v>257327.67300000001</v>
      </c>
      <c r="F34" s="197">
        <f>IFERROR(SUM(VLOOKUP($B34&amp;$C34,'C. Gestión Pto #1'!$B$4:E$17,MATCH(F$5,'C. Gestión Pto #1'!$B$4:E$4,0),FALSE),0),0)</f>
        <v>257327.67300000001</v>
      </c>
      <c r="G34" s="197">
        <f>IFERROR(SUM(VLOOKUP($B34&amp;$C34,'C. Gestión Pto #1'!$B$4:F$17,MATCH(G$5,'C. Gestión Pto #1'!$B$4:F$4,0),FALSE),0),0)</f>
        <v>290739.62964016676</v>
      </c>
      <c r="H34" s="197">
        <f>IFERROR(SUM(VLOOKUP($B34&amp;$C34,'C. Gestión Pto #1'!$B$4:G$17,MATCH(H$5,'C. Gestión Pto #1'!$B$4:G$4,0),FALSE),0),0)</f>
        <v>296307.18208431051</v>
      </c>
      <c r="I34" s="197">
        <f>IFERROR(SUM(VLOOKUP($B34&amp;$C34,'C. Gestión Pto #1'!$B$4:H$17,MATCH(I$5,'C. Gestión Pto #1'!$B$4:H$4,0),FALSE),0),0)</f>
        <v>301650.01405171939</v>
      </c>
      <c r="J34" s="197">
        <f>SUM(IFERROR(VLOOKUP($B34&amp;$C34,'C. Gestión Pto #1'!$B$4:I$17,MATCH(J$5,'C. Gestión Pto #1'!$B$4:I$4,0),FALSE),0),IFERROR(VLOOKUP($B34&amp;$C34,'C. Gestión Pto #2'!$B$4:C$23,MATCH(J$5,'C. Gestión Pto #2'!$B$4:C$4,0),FALSE),0))</f>
        <v>315509.70330748591</v>
      </c>
      <c r="K34" s="197">
        <f>SUM(IFERROR(VLOOKUP($B34&amp;$C34,'C. Gestión Pto #1'!$B$4:J$17,MATCH(K$5,'C. Gestión Pto #1'!$B$4:J$4,0),FALSE),0),IFERROR(VLOOKUP($B34&amp;$C34,'C. Gestión Pto #2'!$B$4:D$23,MATCH(K$5,'C. Gestión Pto #2'!$B$4:D$4,0),FALSE),0))</f>
        <v>525701.05021261831</v>
      </c>
      <c r="L34" s="197">
        <f>SUM(IFERROR(VLOOKUP($B34&amp;$C34,'C. Gestión Pto #1'!$B$4:K$17,MATCH(L$5,'C. Gestión Pto #1'!$B$4:K$4,0),FALSE),0),IFERROR(VLOOKUP($B34&amp;$C34,'C. Gestión Pto #2'!$B$4:E$23,MATCH(L$5,'C. Gestión Pto #2'!$B$4:E$4,0),FALSE),0))</f>
        <v>562300.63181674632</v>
      </c>
      <c r="M34" s="197">
        <f>SUM(IFERROR(VLOOKUP($B34&amp;$C34,'C. Gestión Pto #1'!$B$4:L$17,MATCH(M$5,'C. Gestión Pto #1'!$B$4:L$4,0),FALSE),0),IFERROR(VLOOKUP($B34&amp;$C34,'C. Gestión Pto #2'!$B$4:F$23,MATCH(M$5,'C. Gestión Pto #2'!$B$4:F$4,0),FALSE),0))</f>
        <v>589101.03886858781</v>
      </c>
      <c r="N34" s="197">
        <f>SUM(IFERROR(VLOOKUP($B34&amp;$C34,'C. Gestión Pto #1'!$B$4:M$17,MATCH(N$5,'C. Gestión Pto #1'!$B$4:M$4,0),FALSE),0),IFERROR(VLOOKUP($B34&amp;$C34,'C. Gestión Pto #2'!$B$4:G$23,MATCH(N$5,'C. Gestión Pto #2'!$B$4:G$4,0),FALSE),0))</f>
        <v>574796.93957693304</v>
      </c>
      <c r="O34" s="197">
        <f>SUM(IFERROR(VLOOKUP($B34&amp;$C34,'C. Gestión Pto #1'!$B$4:N$17,MATCH(O$5,'C. Gestión Pto #1'!$B$4:N$4,0),FALSE),0),IFERROR(VLOOKUP($B34&amp;$C34,'C. Gestión Pto #2'!$B$4:H$23,MATCH(O$5,'C. Gestión Pto #2'!$B$4:H$4,0),FALSE),0))</f>
        <v>594839.98861811135</v>
      </c>
      <c r="P34" s="197">
        <f>SUM(IFERROR(VLOOKUP($B34&amp;$C34,'C. Gestión Pto #1'!$B$4:O$17,MATCH(P$5,'C. Gestión Pto #1'!$B$4:O$4,0),FALSE),0),IFERROR(VLOOKUP($B34&amp;$C34,'C. Gestión Pto #2'!$B$4:I$23,MATCH(P$5,'C. Gestión Pto #2'!$B$4:I$4,0),FALSE),0))</f>
        <v>617445.22659030394</v>
      </c>
      <c r="Q34" s="197">
        <f>SUM(IFERROR(VLOOKUP($B34&amp;$C34,'C. Gestión Pto #1'!$B$4:P$17,MATCH(Q$5,'C. Gestión Pto #1'!$B$4:P$4,0),FALSE),0),IFERROR(VLOOKUP($B34&amp;$C34,'C. Gestión Pto #2'!$B$4:J$23,MATCH(Q$5,'C. Gestión Pto #2'!$B$4:J$4,0),FALSE),0))</f>
        <v>637742.1293521357</v>
      </c>
      <c r="R34" s="197">
        <f>SUM(IFERROR(VLOOKUP($B34&amp;$C34,'C. Gestión Pto #1'!$B$4:Q$17,MATCH(R$5,'C. Gestión Pto #1'!$B$4:Q$4,0),FALSE),0),IFERROR(VLOOKUP($B34&amp;$C34,'C. Gestión Pto #2'!$B$4:K$23,MATCH(R$5,'C. Gestión Pto #2'!$B$4:K$4,0),FALSE),0))</f>
        <v>659477.43565845408</v>
      </c>
      <c r="S34" s="197">
        <f>SUM(IFERROR(VLOOKUP($B34&amp;$C34,'C. Gestión Pto #1'!$B$4:R$17,MATCH(S$5,'C. Gestión Pto #1'!$B$4:R$4,0),FALSE),0),IFERROR(VLOOKUP($B34&amp;$C34,'C. Gestión Pto #2'!$B$4:L$23,MATCH(S$5,'C. Gestión Pto #2'!$B$4:L$4,0),FALSE),0))</f>
        <v>676623.84898557386</v>
      </c>
      <c r="T34" s="197">
        <f>SUM(IFERROR(VLOOKUP($B34&amp;$C34,'C. Gestión Pto #1'!$B$4:S$17,MATCH(T$5,'C. Gestión Pto #1'!$B$4:S$4,0),FALSE),0),IFERROR(VLOOKUP($B34&amp;$C34,'C. Gestión Pto #2'!$B$4:M$23,MATCH(T$5,'C. Gestión Pto #2'!$B$4:M$4,0),FALSE),0))</f>
        <v>702737.42243214278</v>
      </c>
      <c r="U34" s="189"/>
      <c r="V34" s="261" cm="1">
        <f t="array" ref="V34">SUMPRODUCT($D34:$U34,TRANSPOSE('Indice CAC'!$C$10:$C$27))</f>
        <v>6427885.7961665345</v>
      </c>
      <c r="W34" s="147"/>
      <c r="X34" s="146">
        <f>'Resumen Pto #1'!X24</f>
        <v>12019074.06731751</v>
      </c>
      <c r="Y34" s="146">
        <f>'Resumen Pto #2'!R28</f>
        <v>8515663.8929975666</v>
      </c>
      <c r="Z34" s="146">
        <f t="shared" si="13"/>
        <v>20534737.960315078</v>
      </c>
      <c r="AA34" s="978">
        <f>SUM('Pto. 01 Cert.'!$S$58,'Pto. 02 Cert.'!$S$186)/SUM('Pto. 01 Cert.'!$L$58,'Pto. Vta.'!$L$239)</f>
        <v>0.64279412668102087</v>
      </c>
      <c r="AB34" s="323">
        <f t="shared" si="14"/>
        <v>14106852.164148543</v>
      </c>
      <c r="AC34" s="311">
        <f t="shared" si="12"/>
        <v>0.68697502697190937</v>
      </c>
      <c r="AD34" s="323">
        <f t="shared" si="15"/>
        <v>0</v>
      </c>
    </row>
    <row r="35" spans="2:30" x14ac:dyDescent="0.35">
      <c r="B35" s="66" t="s">
        <v>103</v>
      </c>
      <c r="C35" s="203"/>
      <c r="D35" s="197">
        <f>IFERROR(SUM(VLOOKUP($B35&amp;$C35,'C. Gestión Pto #1'!$B$4:C$17,MATCH(D$5,'C. Gestión Pto #1'!$B$4:C$4,0),FALSE),0),0)</f>
        <v>0</v>
      </c>
      <c r="E35" s="197">
        <f>IFERROR(SUM(VLOOKUP($B35&amp;$C35,'C. Gestión Pto #1'!$B$4:D$17,MATCH(E$5,'C. Gestión Pto #1'!$B$4:D$4,0),FALSE),0),0)</f>
        <v>165000</v>
      </c>
      <c r="F35" s="197">
        <f>IFERROR(SUM(VLOOKUP($B35&amp;$C35,'C. Gestión Pto #1'!$B$4:E$17,MATCH(F$5,'C. Gestión Pto #1'!$B$4:E$4,0),FALSE),0),0)</f>
        <v>80000</v>
      </c>
      <c r="G35" s="197">
        <f>IFERROR(SUM(VLOOKUP($B35&amp;$C35,'C. Gestión Pto #1'!$B$4:F$17,MATCH(G$5,'C. Gestión Pto #1'!$B$4:F$4,0),FALSE),0),0)</f>
        <v>237000</v>
      </c>
      <c r="H35" s="197">
        <f>IFERROR(SUM(VLOOKUP($B35&amp;$C35,'C. Gestión Pto #1'!$B$4:G$17,MATCH(H$5,'C. Gestión Pto #1'!$B$4:G$4,0),FALSE),0),0)</f>
        <v>337000</v>
      </c>
      <c r="I35" s="197">
        <f>IFERROR(SUM(VLOOKUP($B35&amp;$C35,'C. Gestión Pto #1'!$B$4:H$17,MATCH(I$5,'C. Gestión Pto #1'!$B$4:H$4,0),FALSE),0),0)</f>
        <v>543000</v>
      </c>
      <c r="J35" s="197">
        <f>SUM(IFERROR(VLOOKUP($B35&amp;$C35,'C. Gestión Pto #1'!$B$4:I$17,MATCH(J$5,'C. Gestión Pto #1'!$B$4:I$4,0),FALSE),0),IFERROR(VLOOKUP($B35&amp;$C35,'C. Gestión Pto #2'!$B$4:C$23,MATCH(J$5,'C. Gestión Pto #2'!$B$4:C$4,0),FALSE),0))</f>
        <v>256958.68</v>
      </c>
      <c r="K35" s="197">
        <f>SUM(IFERROR(VLOOKUP($B35&amp;$C35,'C. Gestión Pto #1'!$B$4:J$17,MATCH(K$5,'C. Gestión Pto #1'!$B$4:J$4,0),FALSE),0),IFERROR(VLOOKUP($B35&amp;$C35,'C. Gestión Pto #2'!$B$4:D$23,MATCH(K$5,'C. Gestión Pto #2'!$B$4:D$4,0),FALSE),0))</f>
        <v>425200</v>
      </c>
      <c r="L35" s="197">
        <f>SUM(IFERROR(VLOOKUP($B35&amp;$C35,'C. Gestión Pto #1'!$B$4:K$17,MATCH(L$5,'C. Gestión Pto #1'!$B$4:K$4,0),FALSE),0),IFERROR(VLOOKUP($B35&amp;$C35,'C. Gestión Pto #2'!$B$4:E$23,MATCH(L$5,'C. Gestión Pto #2'!$B$4:E$4,0),FALSE),0))</f>
        <v>246000</v>
      </c>
      <c r="M35" s="197">
        <f>SUM(IFERROR(VLOOKUP($B35&amp;$C35,'C. Gestión Pto #1'!$B$4:L$17,MATCH(M$5,'C. Gestión Pto #1'!$B$4:L$4,0),FALSE),0),IFERROR(VLOOKUP($B35&amp;$C35,'C. Gestión Pto #2'!$B$4:F$23,MATCH(M$5,'C. Gestión Pto #2'!$B$4:F$4,0),FALSE),0))</f>
        <v>479500</v>
      </c>
      <c r="N35" s="197">
        <f>SUM(IFERROR(VLOOKUP($B35&amp;$C35,'C. Gestión Pto #1'!$B$4:M$17,MATCH(N$5,'C. Gestión Pto #1'!$B$4:M$4,0),FALSE),0),IFERROR(VLOOKUP($B35&amp;$C35,'C. Gestión Pto #2'!$B$4:G$23,MATCH(N$5,'C. Gestión Pto #2'!$B$4:G$4,0),FALSE),0))</f>
        <v>0</v>
      </c>
      <c r="O35" s="197">
        <f>SUM(IFERROR(VLOOKUP($B35&amp;$C35,'C. Gestión Pto #1'!$B$4:N$17,MATCH(O$5,'C. Gestión Pto #1'!$B$4:N$4,0),FALSE),0),IFERROR(VLOOKUP($B35&amp;$C35,'C. Gestión Pto #2'!$B$4:H$23,MATCH(O$5,'C. Gestión Pto #2'!$B$4:H$4,0),FALSE),0))</f>
        <v>0</v>
      </c>
      <c r="P35" s="197">
        <f>SUM(IFERROR(VLOOKUP($B35&amp;$C35,'C. Gestión Pto #1'!$B$4:O$17,MATCH(P$5,'C. Gestión Pto #1'!$B$4:O$4,0),FALSE),0),IFERROR(VLOOKUP($B35&amp;$C35,'C. Gestión Pto #2'!$B$4:I$23,MATCH(P$5,'C. Gestión Pto #2'!$B$4:I$4,0),FALSE),0))</f>
        <v>1142857.1400000001</v>
      </c>
      <c r="Q35" s="197">
        <f>SUM(IFERROR(VLOOKUP($B35&amp;$C35,'C. Gestión Pto #1'!$B$4:P$17,MATCH(Q$5,'C. Gestión Pto #1'!$B$4:P$4,0),FALSE),0),IFERROR(VLOOKUP($B35&amp;$C35,'C. Gestión Pto #2'!$B$4:J$23,MATCH(Q$5,'C. Gestión Pto #2'!$B$4:J$4,0),FALSE),0))</f>
        <v>26363.64</v>
      </c>
      <c r="R35" s="197">
        <f>SUM(IFERROR(VLOOKUP($B35&amp;$C35,'C. Gestión Pto #1'!$B$4:Q$17,MATCH(R$5,'C. Gestión Pto #1'!$B$4:Q$4,0),FALSE),0),IFERROR(VLOOKUP($B35&amp;$C35,'C. Gestión Pto #2'!$B$4:K$23,MATCH(R$5,'C. Gestión Pto #2'!$B$4:K$4,0),FALSE),0))</f>
        <v>925142.86</v>
      </c>
      <c r="S35" s="197">
        <f>SUM(IFERROR(VLOOKUP($B35&amp;$C35,'C. Gestión Pto #1'!$B$4:R$17,MATCH(S$5,'C. Gestión Pto #1'!$B$4:R$4,0),FALSE),0),IFERROR(VLOOKUP($B35&amp;$C35,'C. Gestión Pto #2'!$B$4:L$23,MATCH(S$5,'C. Gestión Pto #2'!$B$4:L$4,0),FALSE),0))</f>
        <v>600000</v>
      </c>
      <c r="T35" s="197">
        <f>SUM(IFERROR(VLOOKUP($B35&amp;$C35,'C. Gestión Pto #1'!$B$4:S$17,MATCH(T$5,'C. Gestión Pto #1'!$B$4:S$4,0),FALSE),0),IFERROR(VLOOKUP($B35&amp;$C35,'C. Gestión Pto #2'!$B$4:M$23,MATCH(T$5,'C. Gestión Pto #2'!$B$4:M$4,0),FALSE),0))</f>
        <v>120000</v>
      </c>
      <c r="U35" s="189"/>
      <c r="V35" s="261" cm="1">
        <f t="array" ref="V35">SUMPRODUCT($D35:$U35,TRANSPOSE('Indice CAC'!$C$10:$C$27))</f>
        <v>4401625.7930816207</v>
      </c>
      <c r="W35" s="147"/>
      <c r="X35" s="146">
        <f>'Resumen Pto #1'!X25</f>
        <v>2875034.6117211282</v>
      </c>
      <c r="Y35" s="146">
        <f>'Resumen Pto #2'!R29</f>
        <v>1200000</v>
      </c>
      <c r="Z35" s="146">
        <f t="shared" si="13"/>
        <v>4075034.6117211282</v>
      </c>
      <c r="AA35" s="978">
        <f>SUM(IF(C35="MAT",SUMIF('Pto. 01 Cert.'!$A$10:$A$57,$B35,'Pto. 01 Cert.'!$T$10:$T$57),IF(C35="MO",SUMIF('Pto. 01 Cert.'!$A$10:$A$57,$B35,'Pto. 01 Cert.'!$U$10:$U$57),SUMIF('Pto. 01 Cert.'!$A$10:$A$57,$B35,'Pto. 01 Cert.'!$V$10:$V$57))),IF(C35="MAT",SUMIF('Pto. 02 Cert.'!$A$10:$A$185,$B35,'Pto. 02 Cert.'!$T$10:$T$185),IF(C35="MO",SUMIF('Pto. 02 Cert.'!$A$10:$A$185,$B35,'Pto. 02 Cert.'!$U$10:$U$185),SUMIF('Pto. 02 Cert.'!$A$10:$A$185,$B35,'Pto. 02 Cert.'!$V$10:$V$185))))/SUM(IF(C35="MAT",SUMIF('Pto. 01 Cert.'!$A$10:$A$57,$B35,'Pto. 01 Cert.'!$I$10:$I$57),IF(C35="MO",SUMIF('Pto. 01 Cert.'!$A$10:$A$57,$B35,'Pto. 01 Cert.'!$J$10:$J$57),SUMIF('Pto. 01 Cert.'!$A$10:$A$57,$B35,'Pto. 01 Cert.'!$K$10:$K$57))),IF(C35="MAT",SUMIF('Pto. 02 Cert.'!$A$10:$A$185,$B35,'Pto. 02 Cert.'!$I$10:$I$185),IF(C35="MO",SUMIF('Pto. 02 Cert.'!$A$10:$A$185,$B35,'Pto. 02 Cert.'!$J$10:$J$185),SUMIF('Pto. 02 Cert.'!$A$10:$A$185,$B35,'Pto. 02 Cert.'!$K$10:$K$185))))</f>
        <v>0.79282792198022911</v>
      </c>
      <c r="AB35" s="323">
        <f t="shared" si="14"/>
        <v>-326591.18136049248</v>
      </c>
      <c r="AC35" s="311">
        <f t="shared" si="12"/>
        <v>-8.0144394460137783E-2</v>
      </c>
      <c r="AD35" s="323">
        <f t="shared" si="15"/>
        <v>0</v>
      </c>
    </row>
    <row r="36" spans="2:30" x14ac:dyDescent="0.35">
      <c r="B36" s="298" t="s">
        <v>40</v>
      </c>
      <c r="C36" s="299"/>
      <c r="D36" s="297">
        <f>SUM(D13:D35)</f>
        <v>2791690.9040000001</v>
      </c>
      <c r="E36" s="297">
        <f>SUM(E13:E35)</f>
        <v>19290264.173</v>
      </c>
      <c r="F36" s="297">
        <f>SUM(F13:F35)</f>
        <v>15080679.703</v>
      </c>
      <c r="G36" s="297">
        <f t="shared" ref="G36:H36" si="19">SUM(G13:G35)</f>
        <v>36876762.08964017</v>
      </c>
      <c r="H36" s="297">
        <f t="shared" si="19"/>
        <v>33325537.281276293</v>
      </c>
      <c r="I36" s="297">
        <f t="shared" ref="I36:J36" si="20">SUM(I13:I35)</f>
        <v>37246118.714201532</v>
      </c>
      <c r="J36" s="297">
        <f t="shared" si="20"/>
        <v>33274495.153307486</v>
      </c>
      <c r="K36" s="297">
        <f t="shared" ref="K36:L36" si="21">SUM(K13:K35)</f>
        <v>41941759.02021262</v>
      </c>
      <c r="L36" s="297">
        <f t="shared" si="21"/>
        <v>38570483.051012412</v>
      </c>
      <c r="M36" s="297">
        <f t="shared" ref="M36:N36" si="22">SUM(M13:M35)</f>
        <v>77520313.564433411</v>
      </c>
      <c r="N36" s="297">
        <f t="shared" si="22"/>
        <v>54931932.89302408</v>
      </c>
      <c r="O36" s="297">
        <f t="shared" ref="O36:P36" si="23">SUM(O13:O35)</f>
        <v>63904696.149784274</v>
      </c>
      <c r="P36" s="297">
        <f t="shared" si="23"/>
        <v>88706466.83853516</v>
      </c>
      <c r="Q36" s="297">
        <f t="shared" ref="Q36:R36" si="24">SUM(Q13:Q35)</f>
        <v>70026555.470678464</v>
      </c>
      <c r="R36" s="297">
        <f t="shared" si="24"/>
        <v>84314506.84709473</v>
      </c>
      <c r="S36" s="297">
        <f t="shared" ref="S36:T36" si="25">SUM(S13:S35)</f>
        <v>106268747.38899451</v>
      </c>
      <c r="T36" s="297">
        <f t="shared" si="25"/>
        <v>109963980.27779458</v>
      </c>
      <c r="U36" s="301"/>
      <c r="V36" s="297">
        <f>SUM(V13:V35)</f>
        <v>706772910.70638108</v>
      </c>
      <c r="W36" s="147"/>
      <c r="X36" s="297">
        <f>SUM(X13:X35)</f>
        <v>316040633.57781053</v>
      </c>
      <c r="Y36" s="297">
        <f>SUM(Y13:Y35)</f>
        <v>581002254.61733925</v>
      </c>
      <c r="Z36" s="297">
        <f>SUM(Z13:Z35)</f>
        <v>897042888.19514954</v>
      </c>
      <c r="AA36" s="981"/>
      <c r="AB36" s="296">
        <f>SUM(AB13:AB35)</f>
        <v>254341702.89937785</v>
      </c>
      <c r="AC36" s="311">
        <f t="shared" si="12"/>
        <v>0.28353349237416442</v>
      </c>
      <c r="AD36" s="1303">
        <f>SUM(AD13:AD35)</f>
        <v>-64071725.410609096</v>
      </c>
    </row>
    <row r="37" spans="2:30" x14ac:dyDescent="0.35">
      <c r="B37" s="6"/>
      <c r="C37" s="6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2"/>
      <c r="W37" s="61"/>
      <c r="X37" s="62"/>
      <c r="Y37" s="62"/>
      <c r="Z37" s="62"/>
      <c r="AA37" s="62"/>
      <c r="AB37" s="62"/>
      <c r="AC37" s="62"/>
      <c r="AD37" s="61"/>
    </row>
    <row r="38" spans="2:30" x14ac:dyDescent="0.35">
      <c r="B38" s="195" t="s">
        <v>72</v>
      </c>
      <c r="C38" s="6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2"/>
      <c r="W38" s="61"/>
      <c r="X38" s="62"/>
      <c r="Y38" s="62"/>
      <c r="Z38" s="62"/>
      <c r="AA38" s="62"/>
      <c r="AB38" s="62"/>
      <c r="AC38" s="62"/>
      <c r="AD38" s="61"/>
    </row>
    <row r="39" spans="2:30" x14ac:dyDescent="0.35">
      <c r="B39" s="66" t="s">
        <v>41</v>
      </c>
      <c r="C39" s="196"/>
      <c r="D39" s="197">
        <f>SUM(VLOOKUP($B39,'C. Gestión Pto #1'!$B$34:L$34,MATCH('Resumen Pto #1'!D$5,'C. Gestión Pto #1'!$B$20:L$20,0),0),0)</f>
        <v>966547.1399999999</v>
      </c>
      <c r="E39" s="197">
        <f>SUM(VLOOKUP($B39,'C. Gestión Pto #1'!$B$34:M$34,MATCH('Resumen Pto #1'!E$5,'C. Gestión Pto #1'!$B$20:M$20,0),0),0)</f>
        <v>724628.2356713491</v>
      </c>
      <c r="F39" s="197">
        <f>SUM(VLOOKUP($B39,'C. Gestión Pto #1'!$B$34:N$34,MATCH('Resumen Pto #1'!F$5,'C. Gestión Pto #1'!$B$20:N$20,0),0),0)</f>
        <v>2047489.7001451103</v>
      </c>
      <c r="G39" s="197">
        <f>SUM(VLOOKUP($B39,'C. Gestión Pto #1'!$B$34:O$34,MATCH('Resumen Pto #1'!G$5,'C. Gestión Pto #1'!$B$20:O$20,0),0),0)</f>
        <v>1556001.8016557195</v>
      </c>
      <c r="H39" s="197">
        <f>SUM(VLOOKUP($B39,'C. Gestión Pto #1'!$B$34:P$34,MATCH('Resumen Pto #1'!H$5,'C. Gestión Pto #1'!$B$20:P$20,0),0),0)</f>
        <v>1451425.433598517</v>
      </c>
      <c r="I39" s="197">
        <f>SUM(VLOOKUP($B39,'C. Gestión Pto #1'!$B$34:Q$34,MATCH('Resumen Pto #1'!I$5,'C. Gestión Pto #1'!$B$20:Q$20,0),0),0)</f>
        <v>1216663.4111168066</v>
      </c>
      <c r="J39" s="197">
        <f>SUM(VLOOKUP($B39,'C. Gestión Pto #1'!$B$34:R$34,MATCH('Resumen Pto #1'!J$5,'C. Gestión Pto #1'!$B$20:R$20,0),0),VLOOKUP($B39,'C. Gestión Pto #2'!$B$41:J$41,MATCH('Resumen Pto #2'!D$5,'C. Gestión Pto #2'!$B$27:J$27,0),0))</f>
        <v>2128961.2764487746</v>
      </c>
      <c r="K39" s="197">
        <f>SUM(VLOOKUP($B39,'C. Gestión Pto #1'!$B$34:S$34,MATCH('Resumen Pto #1'!K$5,'C. Gestión Pto #1'!$B$20:S$20,0),0),VLOOKUP($B39,'C. Gestión Pto #2'!$B$41:K$41,MATCH('Resumen Pto #2'!E$5,'C. Gestión Pto #2'!$B$27:K$27,0),0))</f>
        <v>3072710.2924198997</v>
      </c>
      <c r="L39" s="197">
        <f>SUM(VLOOKUP($B39,'C. Gestión Pto #1'!$B$34:T$34,MATCH('Resumen Pto #1'!L$5,'C. Gestión Pto #1'!$B$20:T$20,0),0),VLOOKUP($B39,'C. Gestión Pto #2'!$B$41:L$41,MATCH('Resumen Pto #2'!F$5,'C. Gestión Pto #2'!$B$27:L$27,0),0))</f>
        <v>2114569.6947973249</v>
      </c>
      <c r="M39" s="197">
        <f>SUM(VLOOKUP($B39,'C. Gestión Pto #1'!$B$34:U$34,MATCH('Resumen Pto #1'!M$5,'C. Gestión Pto #1'!$B$20:U$20,0),0),VLOOKUP($B39,'C. Gestión Pto #2'!$B$41:M$41,MATCH('Resumen Pto #2'!G$5,'C. Gestión Pto #2'!$B$27:M$27,0),0))</f>
        <v>2962726.9263457083</v>
      </c>
      <c r="N39" s="197">
        <f>SUM(VLOOKUP($B39,'C. Gestión Pto #1'!$B$34:V$34,MATCH('Resumen Pto #1'!N$5,'C. Gestión Pto #1'!$B$20:V$20,0),0),VLOOKUP($B39,'C. Gestión Pto #2'!$B$41:N$41,MATCH('Resumen Pto #2'!H$5,'C. Gestión Pto #2'!$B$27:N$27,0),0))</f>
        <v>2897224.5461486001</v>
      </c>
      <c r="O39" s="197">
        <f>SUM(VLOOKUP($B39,'C. Gestión Pto #1'!$B$34:W$34,MATCH('Resumen Pto #1'!O$5,'C. Gestión Pto #1'!$B$20:W$20,0),0),VLOOKUP($B39,'C. Gestión Pto #2'!$B$41:O$41,MATCH('Resumen Pto #2'!I$5,'C. Gestión Pto #2'!$B$27:O$27,0),0))</f>
        <v>4034621.5311125824</v>
      </c>
      <c r="P39" s="197">
        <f>SUM(VLOOKUP($B39,'C. Gestión Pto #1'!$B$34:X$34,MATCH('Resumen Pto #1'!P$5,'C. Gestión Pto #1'!$B$20:X$20,0),0),VLOOKUP($B39,'C. Gestión Pto #2'!$B$41:P$41,MATCH('Resumen Pto #2'!J$5,'C. Gestión Pto #2'!$B$27:P$27,0),0))</f>
        <v>2054329.6221242617</v>
      </c>
      <c r="Q39" s="197">
        <f>SUM(VLOOKUP($B39,'C. Gestión Pto #1'!$B$34:Y$34,MATCH('Resumen Pto #1'!Q$5,'C. Gestión Pto #1'!$B$20:Y$20,0),0),VLOOKUP($B39,'C. Gestión Pto #2'!$B$41:Q$41,MATCH('Resumen Pto #2'!K$5,'C. Gestión Pto #2'!$B$27:Q$27,0),0))</f>
        <v>2194575.9691565987</v>
      </c>
      <c r="R39" s="197">
        <f>SUM(VLOOKUP($B39,'C. Gestión Pto #1'!$B$34:Z$34,MATCH('Resumen Pto #1'!R$5,'C. Gestión Pto #1'!$B$20:Z$20,0),0),VLOOKUP($B39,'C. Gestión Pto #2'!$B$41:R$41,MATCH('Resumen Pto #2'!L$5,'C. Gestión Pto #2'!$B$27:R$27,0),0))</f>
        <v>2284148.6447303374</v>
      </c>
      <c r="S39" s="197">
        <f>SUM(VLOOKUP($B39,'C. Gestión Pto #1'!$B$34:AA$34,MATCH('Resumen Pto #1'!S$5,'C. Gestión Pto #1'!$B$20:AA$20,0),0),VLOOKUP($B39,'C. Gestión Pto #2'!$B$41:S$41,MATCH('Resumen Pto #2'!M$5,'C. Gestión Pto #2'!$B$27:S$27,0),0))</f>
        <v>2323498.3663575789</v>
      </c>
      <c r="T39" s="197">
        <f>SUM(VLOOKUP($B39,'C. Gestión Pto #1'!$B$34:AB$34,MATCH('Resumen Pto #1'!T$5,'C. Gestión Pto #1'!$B$20:AB$20,0),0),VLOOKUP($B39,'C. Gestión Pto #2'!$B$41:T$41,MATCH('Resumen Pto #2'!N$5,'C. Gestión Pto #2'!$B$27:T$27,0),0))</f>
        <v>3047610.8512353715</v>
      </c>
      <c r="U39" s="189"/>
      <c r="V39" s="261" cm="1">
        <f t="array" ref="V39">SUMPRODUCT($D39:$U39,TRANSPOSE('Indice CAC'!$C$10:$C$27))</f>
        <v>29444130.139744211</v>
      </c>
      <c r="X39" s="146">
        <f>'Resumen Pto #1'!X29</f>
        <v>20045879.540102843</v>
      </c>
      <c r="Y39" s="146">
        <f>'Resumen Pto #2'!T33</f>
        <v>23362296.163960777</v>
      </c>
      <c r="Z39" s="146">
        <f>SUM(X39:Y39)*sept24</f>
        <v>43408175.704063624</v>
      </c>
      <c r="AA39" s="978">
        <f>SUM('Pto. 01 Cert.'!$S$58,'Pto. 02 Cert.'!$S$186)/SUM('Pto. 01 Cert.'!$L$58,'Pto. Vta.'!$L$239)</f>
        <v>0.64279412668102087</v>
      </c>
      <c r="AB39" s="323">
        <f>IF(AA39=100%,0,IF(OR(V39&lt;&gt;0,Z39),Z39-V39))</f>
        <v>13964045.564319413</v>
      </c>
      <c r="AC39" s="311">
        <f t="shared" ref="AC39:AC41" si="26">IF(OR(AB39&lt;0,Z39),AB39/Z39,0%)</f>
        <v>0.3216916015895176</v>
      </c>
      <c r="AD39" s="321">
        <f t="shared" ref="AD39:AD40" si="27">IF(OR(V39&lt;&gt;0,Z39),Z39-V39,)</f>
        <v>13964045.564319413</v>
      </c>
    </row>
    <row r="40" spans="2:30" x14ac:dyDescent="0.35">
      <c r="B40" s="66" t="s">
        <v>42</v>
      </c>
      <c r="C40" s="196"/>
      <c r="D40" s="197">
        <f>SUM(VLOOKUP($B40,'C. Gestión Pto #1'!$B$39:L$39,MATCH('Resumen Pto #1'!D$5,'C. Gestión Pto #1'!$B$36:L$36,0),0),0)</f>
        <v>1825790.2788300635</v>
      </c>
      <c r="E40" s="197">
        <f>SUM(VLOOKUP($B40,'C. Gestión Pto #1'!$B$39:M$39,MATCH('Resumen Pto #1'!E$5,'C. Gestión Pto #1'!$B$36:M$36,0),0),0)</f>
        <v>1368018.79</v>
      </c>
      <c r="F40" s="197">
        <f>SUM(VLOOKUP($B40,'C. Gestión Pto #1'!$B$39:N$39,MATCH('Resumen Pto #1'!F$5,'C. Gestión Pto #1'!$B$36:N$36,0),0),0)</f>
        <v>2137192</v>
      </c>
      <c r="G40" s="197">
        <f>SUM(VLOOKUP($B40,'C. Gestión Pto #1'!$B$39:O$39,MATCH('Resumen Pto #1'!G$5,'C. Gestión Pto #1'!$B$36:O$36,0),0),0)</f>
        <v>2169029.3109897091</v>
      </c>
      <c r="H40" s="197">
        <f>SUM(VLOOKUP($B40,'C. Gestión Pto #1'!$B$39:P$39,MATCH('Resumen Pto #1'!H$5,'C. Gestión Pto #1'!$B$36:P$36,0),0),0)</f>
        <v>1800256.2010195877</v>
      </c>
      <c r="I40" s="197">
        <f>SUM(VLOOKUP($B40,'C. Gestión Pto #1'!$B$39:Q$39,MATCH('Resumen Pto #1'!I$5,'C. Gestión Pto #1'!$B$36:Q$36,0),0),0)</f>
        <v>2949259.0807494661</v>
      </c>
      <c r="J40" s="197">
        <f>VLOOKUP($B40,'C. Gestión Pto #1'!$B$39:R$39,MATCH('Resumen Pto #1'!J$5,'C. Gestión Pto #1'!$B$36:R$36,0),0)</f>
        <v>1800256.2010195877</v>
      </c>
      <c r="K40" s="197">
        <f>VLOOKUP($B40,'C. Gestión Pto #1'!$B$39:S$39,MATCH('Resumen Pto #1'!K$5,'C. Gestión Pto #1'!$B$36:S$36,0),0)</f>
        <v>2235375.3423326667</v>
      </c>
      <c r="L40" s="197">
        <f>VLOOKUP($B40,'C. Gestión Pto #1'!$B$39:T$39,MATCH('Resumen Pto #1'!L$5,'C. Gestión Pto #1'!$B$36:T$36,0),0)</f>
        <v>3075477.5714285825</v>
      </c>
      <c r="M40" s="197">
        <f>VLOOKUP($B40,'C. Gestión Pto #1'!$B$39:U$39,MATCH('Resumen Pto #1'!M$5,'C. Gestión Pto #1'!$B$36:U$36,0),0)</f>
        <v>2221900.661009687</v>
      </c>
      <c r="N40" s="197">
        <f>VLOOKUP($B40,'C. Gestión Pto #1'!$B$39:V$39,MATCH('Resumen Pto #1'!N$5,'C. Gestión Pto #1'!$B$36:V$36,0),0)</f>
        <v>2220557.7548999996</v>
      </c>
      <c r="O40" s="197">
        <f>SUM(VLOOKUP($B40,'C. Gestión Pto #1'!$B$39:W$39,MATCH('Resumen Pto #1'!O$5,'C. Gestión Pto #1'!$B$36:W$36,0),0),VLOOKUP($B40,'C. Gestión Pto #2'!$B$46:$W$46,MATCH('Resumen General'!O$5,'C. Gestión Pto #2'!$B$43:$W$43,0)))</f>
        <v>3192269.4355809363</v>
      </c>
      <c r="P40" s="197">
        <f>SUM(VLOOKUP($B40,'C. Gestión Pto #1'!$B$39:X$39,MATCH('Resumen Pto #1'!P$5,'C. Gestión Pto #1'!$B$36:X$36,0),0),VLOOKUP($B40,'C. Gestión Pto #2'!$B$46:$W$46,MATCH('Resumen General'!P$5,'C. Gestión Pto #2'!$B$43:$W$43,0)))</f>
        <v>2546573.8068855698</v>
      </c>
      <c r="Q40" s="197">
        <f>SUM(VLOOKUP($B40,'C. Gestión Pto #1'!$B$39:Y$39,MATCH('Resumen Pto #1'!Q$5,'C. Gestión Pto #1'!$B$36:Y$36,0),0),VLOOKUP($B40,'C. Gestión Pto #2'!$B$46:$W$46,MATCH('Resumen General'!Q$5,'C. Gestión Pto #2'!$B$43:$W$43,0)))</f>
        <v>2601372.2904952103</v>
      </c>
      <c r="R40" s="197">
        <f>SUM(VLOOKUP($B40,'C. Gestión Pto #1'!$B$39:Z$39,MATCH('Resumen Pto #1'!R$5,'C. Gestión Pto #1'!$B$36:Z$36,0),0),VLOOKUP($B40,'C. Gestión Pto #2'!$B$46:$W$46,MATCH('Resumen General'!R$5,'C. Gestión Pto #2'!$B$43:$W$43,0)))</f>
        <v>2601372.2904952103</v>
      </c>
      <c r="S40" s="197">
        <f>SUM(VLOOKUP($B40,'C. Gestión Pto #1'!$B$39:AA$39,MATCH('Resumen Pto #1'!S$5,'C. Gestión Pto #1'!$B$36:AA$36,0),0),VLOOKUP($B40,'C. Gestión Pto #2'!$B$46:$W$46,MATCH('Resumen General'!S$5,'C. Gestión Pto #2'!$B$43:$W$43,0)))</f>
        <v>2830419.5996425427</v>
      </c>
      <c r="T40" s="197">
        <f>SUM(VLOOKUP($B40,'C. Gestión Pto #1'!$B$39:AB$39,MATCH('Resumen Pto #1'!T$5,'C. Gestión Pto #1'!$B$36:AB$36,0),0),VLOOKUP($B40,'C. Gestión Pto #2'!$B$46:$W$46,MATCH('Resumen General'!T$5,'C. Gestión Pto #2'!$B$43:$W$43,0)))</f>
        <v>2750603.86527244</v>
      </c>
      <c r="U40" s="197"/>
      <c r="V40" s="261" cm="1">
        <f t="array" ref="V40">SUMPRODUCT($D40:$U40,TRANSPOSE('Indice CAC'!$C$10:$C$27))</f>
        <v>32336031.415134575</v>
      </c>
      <c r="X40" s="146">
        <f>'Resumen Pto #1'!X30</f>
        <v>21358198.123865429</v>
      </c>
      <c r="Y40" s="146">
        <f>'Resumen Pto #2'!T34</f>
        <v>25250157.295156606</v>
      </c>
      <c r="Z40" s="146">
        <f>SUM(X40:Y40)*sept24</f>
        <v>46608355.419022039</v>
      </c>
      <c r="AA40" s="978">
        <f>SUM('Pto. 01 Cert.'!$S$58,'Pto. 02 Cert.'!$S$186)/SUM('Pto. 01 Cert.'!$L$58,'Pto. Vta.'!$L$239)</f>
        <v>0.64279412668102087</v>
      </c>
      <c r="AB40" s="323">
        <f>IF(AA40=100%,0,IF(OR(V40&lt;&gt;0,Z40),Z40-V40))</f>
        <v>14272324.003887463</v>
      </c>
      <c r="AC40" s="311">
        <f t="shared" si="26"/>
        <v>0.30621814212441767</v>
      </c>
      <c r="AD40" s="321">
        <f t="shared" si="27"/>
        <v>14272324.003887463</v>
      </c>
    </row>
    <row r="41" spans="2:30" x14ac:dyDescent="0.35">
      <c r="B41" s="298" t="s">
        <v>43</v>
      </c>
      <c r="C41" s="299"/>
      <c r="D41" s="297">
        <f>SUM(D39:D40)</f>
        <v>2792337.4188300632</v>
      </c>
      <c r="E41" s="297">
        <f>SUM(E39:E40)</f>
        <v>2092647.0256713491</v>
      </c>
      <c r="F41" s="297">
        <f>SUM(F39:F40)</f>
        <v>4184681.7001451105</v>
      </c>
      <c r="G41" s="297">
        <f t="shared" ref="G41:H41" si="28">SUM(G39:G40)</f>
        <v>3725031.1126454286</v>
      </c>
      <c r="H41" s="297">
        <f t="shared" si="28"/>
        <v>3251681.6346181044</v>
      </c>
      <c r="I41" s="297">
        <f t="shared" ref="I41:J41" si="29">SUM(I39:I40)</f>
        <v>4165922.4918662729</v>
      </c>
      <c r="J41" s="297">
        <f t="shared" si="29"/>
        <v>3929217.4774683621</v>
      </c>
      <c r="K41" s="297">
        <f t="shared" ref="K41:L41" si="30">SUM(K39:K40)</f>
        <v>5308085.634752566</v>
      </c>
      <c r="L41" s="297">
        <f t="shared" si="30"/>
        <v>5190047.266225908</v>
      </c>
      <c r="M41" s="297">
        <f t="shared" ref="M41:N41" si="31">SUM(M39:M40)</f>
        <v>5184627.5873553958</v>
      </c>
      <c r="N41" s="297">
        <f t="shared" si="31"/>
        <v>5117782.3010485992</v>
      </c>
      <c r="O41" s="297">
        <f t="shared" ref="O41:P41" si="32">SUM(O39:O40)</f>
        <v>7226890.9666935187</v>
      </c>
      <c r="P41" s="297">
        <f t="shared" si="32"/>
        <v>4600903.4290098315</v>
      </c>
      <c r="Q41" s="297">
        <f t="shared" ref="Q41:R41" si="33">SUM(Q39:Q40)</f>
        <v>4795948.259651809</v>
      </c>
      <c r="R41" s="297">
        <f t="shared" si="33"/>
        <v>4885520.9352255482</v>
      </c>
      <c r="S41" s="297">
        <f t="shared" ref="S41:T41" si="34">SUM(S39:S40)</f>
        <v>5153917.9660001211</v>
      </c>
      <c r="T41" s="297">
        <f t="shared" si="34"/>
        <v>5798214.7165078111</v>
      </c>
      <c r="U41" s="301"/>
      <c r="V41" s="297">
        <f>SUM(V39:V40)</f>
        <v>61780161.554878786</v>
      </c>
      <c r="X41" s="297">
        <f>SUM(X39:X40)</f>
        <v>41404077.663968273</v>
      </c>
      <c r="Y41" s="297">
        <f>SUM(Y39:Y40)</f>
        <v>48612453.459117383</v>
      </c>
      <c r="Z41" s="297">
        <f>SUM(Z39:Z40)</f>
        <v>90016531.123085663</v>
      </c>
      <c r="AA41" s="981"/>
      <c r="AB41" s="980">
        <f>SUM(AB39:AB40)</f>
        <v>28236369.568206877</v>
      </c>
      <c r="AC41" s="311">
        <f t="shared" si="26"/>
        <v>0.31367982320488874</v>
      </c>
      <c r="AD41" s="980">
        <f>SUM(AD39:AD40)</f>
        <v>28236369.568206877</v>
      </c>
    </row>
    <row r="43" spans="2:30" x14ac:dyDescent="0.35">
      <c r="B43" s="298" t="s">
        <v>44</v>
      </c>
      <c r="C43" s="299"/>
      <c r="D43" s="300">
        <f>D36+D41</f>
        <v>5584028.3228300633</v>
      </c>
      <c r="E43" s="300">
        <f>E36+E41</f>
        <v>21382911.198671348</v>
      </c>
      <c r="F43" s="300">
        <f>F36+F41</f>
        <v>19265361.403145112</v>
      </c>
      <c r="G43" s="300">
        <f t="shared" ref="G43" si="35">G36+G41</f>
        <v>40601793.202285603</v>
      </c>
      <c r="H43" s="300">
        <f>H36+H41</f>
        <v>36577218.915894397</v>
      </c>
      <c r="I43" s="300">
        <f t="shared" ref="I43:J43" si="36">I36+I41</f>
        <v>41412041.206067808</v>
      </c>
      <c r="J43" s="300">
        <f t="shared" si="36"/>
        <v>37203712.630775847</v>
      </c>
      <c r="K43" s="300">
        <f t="shared" ref="K43:L43" si="37">K36+K41</f>
        <v>47249844.654965185</v>
      </c>
      <c r="L43" s="300">
        <f t="shared" si="37"/>
        <v>43760530.317238316</v>
      </c>
      <c r="M43" s="300">
        <f t="shared" ref="M43:N43" si="38">M36+M41</f>
        <v>82704941.151788801</v>
      </c>
      <c r="N43" s="300">
        <f t="shared" si="38"/>
        <v>60049715.194072679</v>
      </c>
      <c r="O43" s="300">
        <f t="shared" ref="O43:P43" si="39">O36+O41</f>
        <v>71131587.116477787</v>
      </c>
      <c r="P43" s="300">
        <f t="shared" si="39"/>
        <v>93307370.267544985</v>
      </c>
      <c r="Q43" s="300">
        <f t="shared" ref="Q43:R43" si="40">Q36+Q41</f>
        <v>74822503.730330274</v>
      </c>
      <c r="R43" s="300">
        <f t="shared" si="40"/>
        <v>89200027.782320276</v>
      </c>
      <c r="S43" s="300">
        <f t="shared" ref="S43:T43" si="41">S36+S41</f>
        <v>111422665.35499464</v>
      </c>
      <c r="T43" s="300">
        <f t="shared" si="41"/>
        <v>115762194.99430239</v>
      </c>
      <c r="V43" s="300">
        <f>V36+V41</f>
        <v>768553072.26125991</v>
      </c>
      <c r="X43" s="300">
        <f>X36+X41</f>
        <v>357444711.24177879</v>
      </c>
      <c r="Y43" s="300">
        <f>Y36+Y41</f>
        <v>629614708.07645667</v>
      </c>
      <c r="Z43" s="300">
        <f>Z36+Z41</f>
        <v>987059419.31823516</v>
      </c>
    </row>
    <row r="45" spans="2:30" x14ac:dyDescent="0.35">
      <c r="B45" s="298" t="s">
        <v>45</v>
      </c>
      <c r="C45" s="299"/>
      <c r="D45" s="304">
        <f>SUM(D8,D10,-D43)</f>
        <v>-5584028.3228300633</v>
      </c>
      <c r="E45" s="304">
        <f t="shared" ref="E45:J45" si="42">SUM(E8,E10,-E43)</f>
        <v>-9132911.1986713484</v>
      </c>
      <c r="F45" s="304">
        <f t="shared" si="42"/>
        <v>58549221.166854896</v>
      </c>
      <c r="G45" s="304">
        <f t="shared" si="42"/>
        <v>-9276297.0922856033</v>
      </c>
      <c r="H45" s="304">
        <f t="shared" si="42"/>
        <v>-4273907.5858943984</v>
      </c>
      <c r="I45" s="304">
        <f t="shared" si="42"/>
        <v>-14408317.536067806</v>
      </c>
      <c r="J45" s="304">
        <f t="shared" si="42"/>
        <v>-8901450.5407758467</v>
      </c>
      <c r="K45" s="304">
        <f t="shared" ref="K45:L45" si="43">SUM(K8,K10,-K43)</f>
        <v>-9522756.8949651867</v>
      </c>
      <c r="L45" s="304">
        <f t="shared" si="43"/>
        <v>13665492.432761684</v>
      </c>
      <c r="M45" s="304">
        <f t="shared" ref="M45:N45" si="44">SUM(M8,M10,-M43)</f>
        <v>306869135.83821118</v>
      </c>
      <c r="N45" s="304">
        <f t="shared" si="44"/>
        <v>4421177.0859273225</v>
      </c>
      <c r="O45" s="304">
        <f t="shared" ref="O45:P45" si="45">SUM(O8,O10,-O43)</f>
        <v>1288138.696398437</v>
      </c>
      <c r="P45" s="304">
        <f t="shared" si="45"/>
        <v>-57252167.966570586</v>
      </c>
      <c r="Q45" s="304">
        <f t="shared" ref="Q45:R45" si="46">SUM(Q8,Q10,-Q43)</f>
        <v>-21123588.014330275</v>
      </c>
      <c r="R45" s="304">
        <f t="shared" si="46"/>
        <v>-59434282.382320277</v>
      </c>
      <c r="S45" s="304">
        <f t="shared" ref="S45:T45" si="47">SUM(S8,S10,-S43)</f>
        <v>-74567414.699460045</v>
      </c>
      <c r="T45" s="304">
        <f t="shared" si="47"/>
        <v>-58607257.712301709</v>
      </c>
      <c r="V45" s="306">
        <f>V8-V43</f>
        <v>102607923.68554008</v>
      </c>
    </row>
    <row r="46" spans="2:30" x14ac:dyDescent="0.35">
      <c r="B46" s="298" t="s">
        <v>46</v>
      </c>
      <c r="C46" s="299"/>
      <c r="D46" s="305">
        <f>D45</f>
        <v>-5584028.3228300633</v>
      </c>
      <c r="E46" s="305">
        <f>E45+D46</f>
        <v>-14716939.521501411</v>
      </c>
      <c r="F46" s="305">
        <f>F45+E46</f>
        <v>43832281.645353481</v>
      </c>
      <c r="G46" s="305">
        <f t="shared" ref="G46:N46" si="48">G45+F46</f>
        <v>34555984.553067878</v>
      </c>
      <c r="H46" s="305">
        <f t="shared" si="48"/>
        <v>30282076.967173479</v>
      </c>
      <c r="I46" s="305">
        <f t="shared" si="48"/>
        <v>15873759.431105673</v>
      </c>
      <c r="J46" s="305">
        <f t="shared" si="48"/>
        <v>6972308.8903298266</v>
      </c>
      <c r="K46" s="305">
        <f t="shared" si="48"/>
        <v>-2550448.0046353601</v>
      </c>
      <c r="L46" s="305">
        <f t="shared" si="48"/>
        <v>11115044.428126324</v>
      </c>
      <c r="M46" s="305">
        <f t="shared" si="48"/>
        <v>317984180.26633751</v>
      </c>
      <c r="N46" s="305">
        <f t="shared" si="48"/>
        <v>322405357.35226482</v>
      </c>
      <c r="O46" s="305">
        <f t="shared" ref="O46" si="49">O45+N46</f>
        <v>323693496.04866326</v>
      </c>
      <c r="P46" s="305">
        <f t="shared" ref="P46:T46" si="50">P45+O46</f>
        <v>266441328.08209267</v>
      </c>
      <c r="Q46" s="305">
        <f t="shared" si="50"/>
        <v>245317740.0677624</v>
      </c>
      <c r="R46" s="305">
        <f t="shared" si="50"/>
        <v>185883457.68544212</v>
      </c>
      <c r="S46" s="305">
        <f t="shared" si="50"/>
        <v>111316042.98598208</v>
      </c>
      <c r="T46" s="305">
        <f t="shared" si="50"/>
        <v>52708785.273680367</v>
      </c>
    </row>
    <row r="48" spans="2:30" x14ac:dyDescent="0.35">
      <c r="B48" s="298" t="s">
        <v>896</v>
      </c>
      <c r="C48" s="299"/>
      <c r="D48" s="304">
        <f>D45/VLOOKUP(EOMONTH(DATE(2025,COLUMN(A1),1),0),'TC USD MEP'!$B$6:$C$1808,2,0)</f>
        <v>-4794.0215170374604</v>
      </c>
      <c r="E48" s="304">
        <f>E45/VLOOKUP(EOMONTH(DATE(2025,COLUMN(B1),1),0),'TC USD MEP'!$B$6:$C$1808,2,0)</f>
        <v>-7434.3181807366409</v>
      </c>
      <c r="F48" s="304">
        <f>F45/VLOOKUP(EOMONTH(DATE(2025,COLUMN(C1),1),0),'TC USD MEP'!$B$6:$C$1808,2,0)</f>
        <v>44559.024305619532</v>
      </c>
      <c r="G48" s="304">
        <f>G45/VLOOKUP(EOMONTH(DATE(2025,COLUMN(D1),1),0),'TC USD MEP'!$B$6:$C$1808,2,0)</f>
        <v>-7838.8814084230662</v>
      </c>
      <c r="H48" s="304">
        <f>H45/VLOOKUP(EOMONTH(DATE(2025,COLUMN(E1),1),0),'TC USD MEP'!$B$6:$C$1808,2,0)</f>
        <v>-3586.3353689578075</v>
      </c>
      <c r="I48" s="304">
        <f>I45/VLOOKUP(EOMONTH(DATE(2025,COLUMN(F1),1),0),'TC USD MEP'!$B$6:$C$1808,2,0)</f>
        <v>-11896.885092946748</v>
      </c>
      <c r="J48" s="304">
        <f>J45/VLOOKUP(EOMONTH(DATE(2025,COLUMN(G1),1),0),'TC USD MEP'!$B$6:$C$1808,2,0)</f>
        <v>-6546.3394575335697</v>
      </c>
      <c r="K48" s="304">
        <f>K45/VLOOKUP(EOMONTH(DATE(2025,COLUMN(H1),1),0),'TC USD MEP'!$B$6:$C$1808,2,0)</f>
        <v>-7015.7491085248994</v>
      </c>
      <c r="L48" s="304">
        <f>L45/VLOOKUP(EOMONTH(DATE(2025,COLUMN(I1),1),0),'TC USD MEP'!$B$6:$C$1808,2,0)</f>
        <v>9146.7935052821813</v>
      </c>
      <c r="M48" s="304">
        <f>M45/VLOOKUP(EOMONTH(DATE(2025,COLUMN(J1),1),0),'TC USD MEP'!$B$6:$C$1808,2,0)</f>
        <v>207700.46961556398</v>
      </c>
      <c r="N48" s="304">
        <f>N45/VLOOKUP(EOMONTH(DATE(2025,COLUMN(K1),1),0),'TC USD MEP'!$B$6:$C$1808,2,0)</f>
        <v>2994.5253287867426</v>
      </c>
      <c r="O48" s="304">
        <f>O45/VLOOKUP(EOMONTH(DATE(2025,COLUMN(L1),1),0),'TC USD MEP'!$B$6:$C$1808,2,0)</f>
        <v>869.92901954322633</v>
      </c>
      <c r="P48" s="304">
        <f>P45/VLOOKUP(EOMONTH(DATE(2026,COLUMN(A1),1),0),'TC USD MEP'!$B$6:$C$1808,2,0)</f>
        <v>-39205.220750637251</v>
      </c>
      <c r="Q48" s="304">
        <f>Q45/VLOOKUP(EOMONTH(DATE(2026,COLUMN(B1),1),0),'TC USD MEP'!$B$6:$C$1808,2,0)</f>
        <v>-14880.586679015933</v>
      </c>
      <c r="R48" s="304">
        <f>R45/VLOOKUP(EOMONTH(DATE(2026,COLUMN(C1),1),0),'TC USD MEP'!$B$6:$C$1808,2,0)</f>
        <v>-41771.585267718285</v>
      </c>
      <c r="S48" s="304">
        <f>S45/VLOOKUP(EOMONTH(DATE(2026,COLUMN(D1),1),0),'TC USD MEP'!$B$6:$C$1808,2,0)</f>
        <v>-51695.690397079954</v>
      </c>
      <c r="T48" s="304" t="e">
        <f>T45/VLOOKUP(EOMONTH(DATE(2026,COLUMN(E1),1),0),'TC USD MEP'!$B$6:$C$1808,2,0)</f>
        <v>#N/A</v>
      </c>
    </row>
    <row r="49" spans="2:20" x14ac:dyDescent="0.35">
      <c r="B49" s="298" t="s">
        <v>897</v>
      </c>
      <c r="C49" s="299"/>
      <c r="D49" s="305">
        <f>D48</f>
        <v>-4794.0215170374604</v>
      </c>
      <c r="E49" s="305">
        <f>E48+D49</f>
        <v>-12228.339697774101</v>
      </c>
      <c r="F49" s="305">
        <f t="shared" ref="F49:T49" si="51">F48+E49</f>
        <v>32330.684607845433</v>
      </c>
      <c r="G49" s="305">
        <f t="shared" si="51"/>
        <v>24491.803199422367</v>
      </c>
      <c r="H49" s="305">
        <f t="shared" si="51"/>
        <v>20905.46783046456</v>
      </c>
      <c r="I49" s="305">
        <f t="shared" si="51"/>
        <v>9008.5827375178123</v>
      </c>
      <c r="J49" s="305">
        <f t="shared" si="51"/>
        <v>2462.2432799842427</v>
      </c>
      <c r="K49" s="305">
        <f t="shared" si="51"/>
        <v>-4553.5058285406567</v>
      </c>
      <c r="L49" s="305">
        <f t="shared" si="51"/>
        <v>4593.2876767415246</v>
      </c>
      <c r="M49" s="305">
        <f t="shared" si="51"/>
        <v>212293.7572923055</v>
      </c>
      <c r="N49" s="305">
        <f t="shared" si="51"/>
        <v>215288.28262109225</v>
      </c>
      <c r="O49" s="305">
        <f t="shared" si="51"/>
        <v>216158.21164063548</v>
      </c>
      <c r="P49" s="305">
        <f t="shared" si="51"/>
        <v>176952.99088999821</v>
      </c>
      <c r="Q49" s="305">
        <f t="shared" si="51"/>
        <v>162072.40421098229</v>
      </c>
      <c r="R49" s="305">
        <f t="shared" si="51"/>
        <v>120300.81894326401</v>
      </c>
      <c r="S49" s="305">
        <f t="shared" si="51"/>
        <v>68605.128546184045</v>
      </c>
      <c r="T49" s="305" t="e">
        <f t="shared" si="51"/>
        <v>#N/A</v>
      </c>
    </row>
    <row r="51" spans="2:20" x14ac:dyDescent="0.35">
      <c r="E51" s="1334"/>
      <c r="I51" s="1334"/>
      <c r="J51" s="1334"/>
    </row>
    <row r="52" spans="2:20" x14ac:dyDescent="0.35">
      <c r="H52" s="1334"/>
    </row>
    <row r="68" spans="26:29" x14ac:dyDescent="0.35">
      <c r="Z68" s="901"/>
      <c r="AA68" s="901"/>
      <c r="AB68" s="901"/>
      <c r="AC68" s="901"/>
    </row>
  </sheetData>
  <phoneticPr fontId="23" type="noConversion"/>
  <conditionalFormatting sqref="D48:T49">
    <cfRule type="cellIs" dxfId="152" priority="1" operator="greaterThan">
      <formula>0</formula>
    </cfRule>
    <cfRule type="cellIs" dxfId="151" priority="2" operator="lessThan">
      <formula>0</formula>
    </cfRule>
  </conditionalFormatting>
  <conditionalFormatting sqref="V45 D45:T46">
    <cfRule type="cellIs" dxfId="150" priority="61" operator="greaterThan">
      <formula>0</formula>
    </cfRule>
    <cfRule type="cellIs" dxfId="149" priority="62" operator="lessThan">
      <formula>0</formula>
    </cfRule>
  </conditionalFormatting>
  <conditionalFormatting sqref="AB13:AB35">
    <cfRule type="cellIs" dxfId="148" priority="8" operator="lessThan">
      <formula>0</formula>
    </cfRule>
  </conditionalFormatting>
  <conditionalFormatting sqref="AC7:AC10">
    <cfRule type="cellIs" dxfId="147" priority="11" operator="lessThan">
      <formula>0</formula>
    </cfRule>
    <cfRule type="cellIs" dxfId="146" priority="12" operator="greaterThan">
      <formula>0</formula>
    </cfRule>
  </conditionalFormatting>
  <conditionalFormatting sqref="AC13:AC36">
    <cfRule type="cellIs" dxfId="145" priority="15" operator="lessThan">
      <formula>0</formula>
    </cfRule>
    <cfRule type="cellIs" dxfId="144" priority="16" operator="greaterThan">
      <formula>0</formula>
    </cfRule>
  </conditionalFormatting>
  <conditionalFormatting sqref="AC39:AC41">
    <cfRule type="cellIs" dxfId="143" priority="13" operator="lessThan">
      <formula>0</formula>
    </cfRule>
    <cfRule type="cellIs" dxfId="142" priority="14" operator="greaterThan">
      <formula>0</formula>
    </cfRule>
  </conditionalFormatting>
  <conditionalFormatting sqref="AD13:AD35">
    <cfRule type="cellIs" dxfId="141" priority="7" operator="less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D5:T5 D45:T46 X5:Y5 U13:U38 V43 X43:Z43 AC10 V45 V36 AC8 X7:AD7 X39:AD41 X9:AD9 X13:AD36 D43:T43 D48:T49 D41:V41 D36:T38" xr:uid="{1F1F3F31-1AA0-4E32-A96E-D63B8A7A105A}"/>
  </dataValidations>
  <pageMargins left="0.7" right="0.7" top="0.75" bottom="0.75" header="0.3" footer="0.3"/>
  <pageSetup paperSize="9" orientation="portrait" r:id="rId1"/>
  <ignoredErrors>
    <ignoredError sqref="W32:W35 X13:X23 X34:X35 AD11:AD12 W36:Z36 AD37:AD40 D36:F38 U32:U39 W11:Z12 W7:Z7 W38:Z41 W37:Y37 U9:U29 D11:F12 W13:W29 U7 W9:W10 Y13:Z35 D7:I7 J7:L7 D13:I35 J13:L35 D41:F41 J40:L40 J39:L39 D39:D40 E39:I40 M7:N7 M13:N35 M39:N40 U41" unlockedFormula="1"/>
    <ignoredError sqref="AC36 AC41 V8:V9 AB9 AD9 D8:L8 AC10 M8:N8" formula="1"/>
    <ignoredError sqref="X9:Y9 D9:I9 J9:L9 M9:N9" formula="1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E2225B-F81C-4C3B-98BE-BC17CF0DE4BE}">
          <x14:formula1>
            <xm:f>Listas!$A:$A</xm:f>
          </x14:formula1>
          <xm:sqref>B13:B16 B18:B35</xm:sqref>
        </x14:dataValidation>
        <x14:dataValidation type="list" allowBlank="1" showInputMessage="1" showErrorMessage="1" xr:uid="{44EF7AE8-6D9A-403B-84C5-158A4D658CBF}">
          <x14:formula1>
            <xm:f>Listas!$C$1:$C$2</xm:f>
          </x14:formula1>
          <xm:sqref>C13:C35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F1FE-E952-4C7C-8380-192604D63DFF}">
  <sheetPr>
    <tabColor rgb="FFC6EFCE"/>
  </sheetPr>
  <dimension ref="B1:AF34"/>
  <sheetViews>
    <sheetView workbookViewId="0">
      <selection activeCell="AD1" sqref="AD1"/>
    </sheetView>
  </sheetViews>
  <sheetFormatPr defaultColWidth="11.453125" defaultRowHeight="14.5" outlineLevelCol="1" x14ac:dyDescent="0.35"/>
  <cols>
    <col min="1" max="1" width="2.81640625" style="308" customWidth="1"/>
    <col min="2" max="2" width="25.453125" style="172" customWidth="1"/>
    <col min="3" max="3" width="5.7265625" style="172" bestFit="1" customWidth="1"/>
    <col min="4" max="4" width="10.54296875" style="172" hidden="1" customWidth="1" outlineLevel="1"/>
    <col min="5" max="5" width="12.1796875" style="172" hidden="1" customWidth="1" outlineLevel="1"/>
    <col min="6" max="6" width="11.453125" style="172" hidden="1" customWidth="1" outlineLevel="1"/>
    <col min="7" max="7" width="11.81640625" style="172" hidden="1" customWidth="1" outlineLevel="1"/>
    <col min="8" max="9" width="12" style="172" hidden="1" customWidth="1" outlineLevel="1"/>
    <col min="10" max="10" width="12" style="172" customWidth="1" collapsed="1"/>
    <col min="11" max="20" width="12" style="172" customWidth="1"/>
    <col min="21" max="21" width="1" style="172" customWidth="1"/>
    <col min="22" max="22" width="12" style="172" customWidth="1"/>
    <col min="23" max="23" width="1.26953125" style="172" customWidth="1"/>
    <col min="24" max="24" width="12" style="172" bestFit="1" customWidth="1"/>
    <col min="25" max="25" width="6.7265625" style="172" customWidth="1"/>
    <col min="26" max="26" width="12" style="172" bestFit="1" customWidth="1"/>
    <col min="27" max="27" width="8" style="172" customWidth="1"/>
    <col min="28" max="28" width="11.54296875" style="308" customWidth="1"/>
    <col min="29" max="29" width="9.7265625" style="308" bestFit="1" customWidth="1"/>
    <col min="30" max="30" width="7.26953125" style="308" bestFit="1" customWidth="1"/>
    <col min="31" max="31" width="12.54296875" style="308" bestFit="1" customWidth="1"/>
    <col min="32" max="16384" width="11.453125" style="308"/>
  </cols>
  <sheetData>
    <row r="1" spans="2:32" ht="21.5" thickBot="1" x14ac:dyDescent="0.4">
      <c r="B1" s="171"/>
      <c r="C1" s="171"/>
      <c r="AC1" s="193" t="s">
        <v>226</v>
      </c>
      <c r="AD1" s="192">
        <f>'C. Gestión Pto #1'!V1</f>
        <v>46174</v>
      </c>
    </row>
    <row r="2" spans="2:32" ht="7.15" customHeight="1" x14ac:dyDescent="0.35">
      <c r="B2" s="171"/>
      <c r="C2" s="171"/>
      <c r="Z2" s="206"/>
      <c r="AA2" s="207"/>
    </row>
    <row r="3" spans="2:32" x14ac:dyDescent="0.35">
      <c r="B3" s="60" t="s">
        <v>238</v>
      </c>
      <c r="C3" s="173"/>
    </row>
    <row r="4" spans="2:32" ht="13.9" customHeight="1" x14ac:dyDescent="0.35">
      <c r="B4" s="173" t="s">
        <v>32</v>
      </c>
      <c r="C4" s="173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309"/>
      <c r="AC4" s="309"/>
      <c r="AD4" s="309"/>
      <c r="AE4" s="309"/>
      <c r="AF4" s="260"/>
    </row>
    <row r="5" spans="2:32" ht="25.15" customHeight="1" x14ac:dyDescent="0.35">
      <c r="B5" s="310"/>
      <c r="C5" s="310"/>
      <c r="D5" s="186">
        <v>45658</v>
      </c>
      <c r="E5" s="186">
        <v>45689</v>
      </c>
      <c r="F5" s="186">
        <v>45717</v>
      </c>
      <c r="G5" s="186">
        <v>45748</v>
      </c>
      <c r="H5" s="186">
        <v>45778</v>
      </c>
      <c r="I5" s="186">
        <v>45809</v>
      </c>
      <c r="J5" s="186">
        <v>45839</v>
      </c>
      <c r="K5" s="186">
        <v>45870</v>
      </c>
      <c r="L5" s="186">
        <v>45901</v>
      </c>
      <c r="M5" s="186">
        <v>45931</v>
      </c>
      <c r="N5" s="186">
        <v>45962</v>
      </c>
      <c r="O5" s="186">
        <v>45992</v>
      </c>
      <c r="P5" s="186">
        <v>46023</v>
      </c>
      <c r="Q5" s="186">
        <v>46054</v>
      </c>
      <c r="R5" s="186">
        <v>46082</v>
      </c>
      <c r="S5" s="186">
        <v>46113</v>
      </c>
      <c r="T5" s="186">
        <v>46143</v>
      </c>
      <c r="U5" s="174"/>
      <c r="V5" s="187" t="s">
        <v>601</v>
      </c>
      <c r="X5" s="320" t="s">
        <v>233</v>
      </c>
      <c r="Y5" s="948" t="s">
        <v>602</v>
      </c>
      <c r="Z5" s="187" t="s">
        <v>603</v>
      </c>
      <c r="AA5" s="948" t="s">
        <v>604</v>
      </c>
      <c r="AB5" s="187" t="s">
        <v>605</v>
      </c>
      <c r="AC5" s="309"/>
      <c r="AD5" s="309"/>
      <c r="AE5" s="309"/>
      <c r="AF5" s="260"/>
    </row>
    <row r="6" spans="2:32" ht="17.5" customHeight="1" x14ac:dyDescent="0.35">
      <c r="B6" s="195" t="s">
        <v>33</v>
      </c>
      <c r="C6" s="310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309"/>
      <c r="AD6" s="309"/>
      <c r="AE6" s="309"/>
      <c r="AF6" s="260"/>
    </row>
    <row r="7" spans="2:32" ht="17.5" customHeight="1" x14ac:dyDescent="0.35">
      <c r="B7" s="66" t="s">
        <v>232</v>
      </c>
      <c r="C7" s="196"/>
      <c r="D7" s="261">
        <f>SUM(SUMIFS(Facturacion!$E$11:$E$64,Facturacion!$A$11:$A$64,"&gt;="&amp;DATE(2024,12,1),Facturacion!$A$11:$A$64,"&lt;="&amp;DATE(2024,12,31),Facturacion!$C$11:$C$64,Facturacion!$C$4),SUMIFS(Facturacion!$E$11:$E$64,Facturacion!$A$11:$A$64,"&gt;="&amp;DATE(2024,12,1),Facturacion!$A$11:$A$64,"&lt;="&amp;DATE(2024,12,31),Facturacion!$C$11:$C$64,Facturacion!#REF!),SUMIFS(Facturacion!$E$11:$E$64,Facturacion!$A$11:$A$64,"&gt;="&amp;DATE(2024,12,1),Facturacion!$A$11:$A$64,"&lt;="&amp;DATE(2024,12,31),Facturacion!$C$11:$C$64,Facturacion!$C$5))</f>
        <v>0</v>
      </c>
      <c r="E7" s="261">
        <f>SUM(SUMIFS(Facturacion!$E$11:$E$64,Facturacion!$A$11:$A$64,"&gt;="&amp;DATE(2025,2,1),Facturacion!$A$11:$A$64,"&lt;="&amp;DATE(2025,2,28),Facturacion!$C$11:$C$64,Facturacion!$C$4),SUMIFS(Facturacion!$E$11:$E$64,Facturacion!$A$11:$A$64,"&gt;="&amp;DATE(2025,2,1),Facturacion!$A$11:$A$64,"&lt;="&amp;DATE(2025,2,28),Facturacion!$C$11:$C$64,Facturacion!#REF!),SUMIFS(Facturacion!$E$11:$E$64,Facturacion!$A$11:$A$64,"&gt;="&amp;DATE(2025,2,1),Facturacion!$A$11:$A$64,"&lt;="&amp;DATE(2025,2,28),Facturacion!$C$11:$C$64,Facturacion!$C$5))</f>
        <v>11515000</v>
      </c>
      <c r="F7" s="261">
        <f>SUM(SUMIFS(Facturacion!$E$11:$E$64,Facturacion!$A$11:$A$64,"&gt;="&amp;DATE(2025,3,1),Facturacion!$A$11:$A$64,"&lt;="&amp;DATE(2025,3,31),Facturacion!$C$11:$C$64,Facturacion!$C$4))</f>
        <v>72746210.400000006</v>
      </c>
      <c r="G7" s="261">
        <f>SUM(SUMIFS(Facturacion!$E$11:$E$64,Facturacion!$A$11:$A$64,"&gt;="&amp;DATE(2025,4,1),Facturacion!$A$11:$A$64,"&lt;="&amp;DATE(2025,4,30),Facturacion!$C$11:$C$64,Facturacion!$C$4))</f>
        <v>28390040</v>
      </c>
      <c r="H7" s="261">
        <f>SUM(SUMIFS(Facturacion!$E$11:$E$64,Facturacion!$A$11:$A$64,"&gt;="&amp;DATE(2025,5,1),Facturacion!$A$11:$A$64,"&lt;="&amp;DATE(2025,5,31),Facturacion!$C$11:$C$64,Facturacion!$C$4))</f>
        <v>28932599.59</v>
      </c>
      <c r="I7" s="261">
        <f>SUM(SUMIFS(Facturacion!$E$11:$E$64,Facturacion!$A$11:$A$64,"&gt;="&amp;DATE(2025,6,1),Facturacion!$A$11:$A$64,"&lt;="&amp;DATE(2025,6,30),Facturacion!$C$11:$C$64,Facturacion!$C$4))</f>
        <v>23665294.390000001</v>
      </c>
      <c r="J7" s="261">
        <f>SUM(SUMIFS(Facturacion!$E$11:$E$64,Facturacion!$A$11:$A$64,"&gt;="&amp;DATE(2025,7,1),Facturacion!$A$11:$A$64,"&lt;="&amp;DATE(2025,7,31),Facturacion!$C$11:$C$64,Facturacion!$C$4))</f>
        <v>24611608.609999999</v>
      </c>
      <c r="K7" s="261">
        <f>SUM(SUMIFS(Facturacion!$E$11:$E$64,Facturacion!$A$11:$A$64,"&gt;="&amp;DATE(2025,8,1),Facturacion!$A$11:$A$64,"&lt;="&amp;DATE(2025,8,31),Facturacion!$C$11:$C$64,Facturacion!$C$4))</f>
        <v>32566741</v>
      </c>
      <c r="L7" s="261">
        <f>SUM(SUMIFS(Facturacion!$E$11:$E$64,Facturacion!$A$11:$A$64,"&gt;="&amp;DATE(2025,9,1),Facturacion!$A$11:$A$64,"&lt;="&amp;DATE(2025,9,30),Facturacion!$C$11:$C$64,Facturacion!$C$4))</f>
        <v>48704739</v>
      </c>
      <c r="M7" s="261">
        <f>SUM(SUMIFS(Facturacion!$E$11:$E$64,Facturacion!$A$11:$A$64,"&gt;="&amp;DATE(2025,10,1),Facturacion!$A$11:$A$64,"&lt;="&amp;DATE(2025,10,30),Facturacion!$C$11:$C$64,Facturacion!$C$4))</f>
        <v>16380000</v>
      </c>
      <c r="N7" s="261">
        <f>SUM(SUMIFS(Facturacion!$E$11:$E$64,Facturacion!$A$11:$A$64,"&gt;="&amp;DATE(2025,11,1),Facturacion!$A$11:$A$64,"&lt;="&amp;DATE(2025,11,30),Facturacion!$C$11:$C$64,Facturacion!$C$4))</f>
        <v>35338659.280200005</v>
      </c>
      <c r="O7" s="261">
        <f>SUM(SUMIFS(Facturacion!$E$11:$E$64,Facturacion!$A$11:$A$64,"&gt;="&amp;DATE(2025,12,1),Facturacion!$A$11:$A$64,"&lt;="&amp;DATE(2025,12,31),Facturacion!$C$11:$C$64,Facturacion!$C$4))</f>
        <v>48233236</v>
      </c>
      <c r="P7" s="261">
        <f>SUM(SUMIFS(Facturacion!$E$11:$E$64,Facturacion!$A$11:$A$64,"&gt;="&amp;DATE(2026,1,1),Facturacion!$A$11:$A$64,"&lt;="&amp;DATE(2026,1,31),Facturacion!$C$11:$C$64,Facturacion!$C$4))</f>
        <v>19659972</v>
      </c>
      <c r="Q7" s="261">
        <f>SUM(SUMIFS(Facturacion!$E$11:$E$64,Facturacion!$A$11:$A$64,"&gt;="&amp;DATE(2026,2,1),Facturacion!$A$11:$A$64,"&lt;="&amp;DATE(2026,2,28),Facturacion!$C$11:$C$64,Facturacion!$C$4))</f>
        <v>24825507</v>
      </c>
      <c r="R7" s="261">
        <f>SUM(SUMIFS(Facturacion!$E$11:$E$64,Facturacion!$A$11:$A$64,"&gt;="&amp;DATE(2026,3,1),Facturacion!$A$11:$A$64,"&lt;="&amp;DATE(2026,3,31),Facturacion!$C$11:$C$64,Facturacion!$C$4))</f>
        <v>6545705</v>
      </c>
      <c r="S7" s="261">
        <f>SUM(SUMIFS(Facturacion!$E$11:$E$64,Facturacion!$A$11:$A$64,"&gt;="&amp;DATE(2026,4,1),Facturacion!$A$11:$A$64,"&lt;="&amp;DATE(2026,4,30),Facturacion!$C$11:$C$64,Facturacion!$C$4))</f>
        <v>0</v>
      </c>
      <c r="T7" s="261">
        <f>SUM(SUMIFS(Facturacion!$E$11:$E$64,Facturacion!$A$11:$A$64,"&gt;="&amp;DATE(2026,5,1),Facturacion!$A$11:$A$64,"&lt;="&amp;DATE(2026,5,31),Facturacion!$C$11:$C$64,Facturacion!$C$4))</f>
        <v>0</v>
      </c>
      <c r="U7" s="174"/>
      <c r="V7" s="261">
        <f>SUM(D7:U7)</f>
        <v>422115312.27020001</v>
      </c>
      <c r="W7" s="174"/>
      <c r="X7" s="261">
        <f>Facturacion!E4</f>
        <v>421306052</v>
      </c>
      <c r="Y7" s="978">
        <f>'Pto. 01 Cert.'!$S$58/'Pto. 01 Cert.'!$L$58</f>
        <v>1.0029914379138647</v>
      </c>
      <c r="Z7" s="323">
        <f t="shared" ref="Z7" si="0">IF(Y7=100%,0,IF(OR(V7&lt;&gt;0,X7),X7-V7))</f>
        <v>-809260.27020001411</v>
      </c>
      <c r="AA7" s="311">
        <f>IF(OR(Z7&lt;0,X7),Z7/X7,0%)</f>
        <v>-1.9208370408123501E-3</v>
      </c>
      <c r="AB7" s="323">
        <f t="shared" ref="AB7:AB9" si="1">IF(Y7=100%,IF(OR(V7&lt;&gt;0,X7),X7-V7),0)</f>
        <v>0</v>
      </c>
      <c r="AC7" s="309"/>
      <c r="AD7" s="309"/>
      <c r="AE7" s="309"/>
      <c r="AF7" s="260"/>
    </row>
    <row r="8" spans="2:32" ht="17.5" customHeight="1" x14ac:dyDescent="0.35">
      <c r="B8" s="312" t="s">
        <v>35</v>
      </c>
      <c r="C8" s="312"/>
      <c r="D8" s="1028">
        <f>SUM(D7)</f>
        <v>0</v>
      </c>
      <c r="E8" s="262">
        <f t="shared" ref="E8:J8" si="2">SUM(E7)</f>
        <v>11515000</v>
      </c>
      <c r="F8" s="262">
        <f t="shared" si="2"/>
        <v>72746210.400000006</v>
      </c>
      <c r="G8" s="262">
        <f t="shared" si="2"/>
        <v>28390040</v>
      </c>
      <c r="H8" s="262">
        <f t="shared" si="2"/>
        <v>28932599.59</v>
      </c>
      <c r="I8" s="262">
        <f t="shared" si="2"/>
        <v>23665294.390000001</v>
      </c>
      <c r="J8" s="262">
        <f t="shared" si="2"/>
        <v>24611608.609999999</v>
      </c>
      <c r="K8" s="262">
        <f t="shared" ref="K8:L8" si="3">SUM(K7)</f>
        <v>32566741</v>
      </c>
      <c r="L8" s="262">
        <f t="shared" si="3"/>
        <v>48704739</v>
      </c>
      <c r="M8" s="262">
        <f t="shared" ref="M8:N8" si="4">SUM(M7)</f>
        <v>16380000</v>
      </c>
      <c r="N8" s="262">
        <f t="shared" si="4"/>
        <v>35338659.280200005</v>
      </c>
      <c r="O8" s="262">
        <f t="shared" ref="O8:P8" si="5">SUM(O7)</f>
        <v>48233236</v>
      </c>
      <c r="P8" s="262">
        <f t="shared" si="5"/>
        <v>19659972</v>
      </c>
      <c r="Q8" s="262">
        <f t="shared" ref="Q8:R8" si="6">SUM(Q7)</f>
        <v>24825507</v>
      </c>
      <c r="R8" s="262">
        <f t="shared" si="6"/>
        <v>6545705</v>
      </c>
      <c r="S8" s="262">
        <f t="shared" ref="S8:T8" si="7">SUM(S7)</f>
        <v>0</v>
      </c>
      <c r="T8" s="262">
        <f t="shared" si="7"/>
        <v>0</v>
      </c>
      <c r="U8" s="174"/>
      <c r="V8" s="295">
        <f>SUM(V7)</f>
        <v>422115312.27020001</v>
      </c>
      <c r="W8" s="174"/>
      <c r="X8" s="295">
        <f>SUM(X7)</f>
        <v>421306052</v>
      </c>
      <c r="Z8" s="1289">
        <f>SUM(Z7)</f>
        <v>-809260.27020001411</v>
      </c>
      <c r="AA8" s="311">
        <f>IF(OR(Z8&lt;0,X8),Z8/X8,0%)</f>
        <v>-1.9208370408123501E-3</v>
      </c>
      <c r="AB8" s="296">
        <f>SUM(AB7)</f>
        <v>0</v>
      </c>
      <c r="AC8" s="309"/>
      <c r="AD8" s="309"/>
      <c r="AE8" s="309"/>
      <c r="AF8" s="260"/>
    </row>
    <row r="9" spans="2:32" x14ac:dyDescent="0.35">
      <c r="B9" s="66" t="s">
        <v>34</v>
      </c>
      <c r="C9" s="1027"/>
      <c r="D9" s="1029">
        <f>SUM(SUMIFS(Facturacion!$F$11:$F$64,Facturacion!$A$11:$A$64,"&gt;="&amp;DATE(2024,12,1),Facturacion!$A$11:$A$64,"&lt;="&amp;DATE(2024,12,31),Facturacion!$J$11:$J$64,Facturacion!$J$4),SUMIFS(Facturacion!$F$11:$F$64,Facturacion!$A$11:$A$64,"&gt;="&amp;DATE(2024,12,1),Facturacion!$A$11:$A$64,"&lt;="&amp;DATE(2024,12,31),Facturacion!$J$11:$J$64,Facturacion!$J$5))</f>
        <v>0</v>
      </c>
      <c r="E9" s="261">
        <f>SUM(SUMIFS(Facturacion!$F$11:$F$64,Facturacion!$A$11:$A$64,"&gt;="&amp;DATE(2025,2,1),Facturacion!$A$11:$A$64,"&lt;="&amp;DATE(2025,2,28),Facturacion!$J$11:$J$64,Facturacion!$J$4),SUMIFS(Facturacion!$F$11:$F$64,Facturacion!$A$11:$A$64,"&gt;="&amp;DATE(2025,2,1),Facturacion!$A$11:$A$64,"&lt;="&amp;DATE(2025,2,28),Facturacion!$J$11:$J$64,Facturacion!$J$5))</f>
        <v>735000</v>
      </c>
      <c r="F9" s="261">
        <f>SUM(SUMIFS(Facturacion!$F$11:$F$64,Facturacion!$A$11:$A$64,"&gt;="&amp;DATE(2025,3,1),Facturacion!$A$11:$A$64,"&lt;="&amp;DATE(2025,3,31),Facturacion!$J$11:$J$64,Facturacion!$J$4))</f>
        <v>5068372.17</v>
      </c>
      <c r="G9" s="261">
        <f>SUM(SUMIFS(Facturacion!$F$11:$F$64,Facturacion!$A$11:$A$64,"&gt;="&amp;DATE(2025,4,1),Facturacion!$A$11:$A$64,"&lt;="&amp;DATE(2025,4,30),Facturacion!$J$11:$J$64,Facturacion!$J$4))</f>
        <v>2935456.11</v>
      </c>
      <c r="H9" s="261">
        <f>SUM(SUMIFS(Facturacion!$F$11:$F$64,Facturacion!$A$11:$A$64,"&gt;="&amp;DATE(2025,5,1),Facturacion!$A$11:$A$64,"&lt;="&amp;DATE(2025,5,31),Facturacion!$J$11:$J$64,Facturacion!$J$4))</f>
        <v>3370711.74</v>
      </c>
      <c r="I9" s="261">
        <f>SUM(SUMIFS(Facturacion!$F$11:$F$64,Facturacion!$A$11:$A$64,"&gt;="&amp;DATE(2025,6,1),Facturacion!$A$11:$A$64,"&lt;="&amp;DATE(2025,6,30),Facturacion!$J$11:$J$64,Facturacion!$J$4))</f>
        <v>3338429.2800000003</v>
      </c>
      <c r="J9" s="261">
        <f>SUM(SUMIFS(Facturacion!$F$11:$F$64,Facturacion!$A$11:$A$64,"&gt;="&amp;DATE(2025,7,1),Facturacion!$A$11:$A$64,"&lt;="&amp;DATE(2025,7,31),Facturacion!$J$11:$J$64,Facturacion!$J$4))</f>
        <v>3690653.4799999995</v>
      </c>
      <c r="K9" s="261">
        <f>SUM(SUMIFS(Facturacion!$F$11:$F$64,Facturacion!$A$11:$A$64,"&gt;="&amp;DATE(2025,8,1),Facturacion!$A$11:$A$64,"&lt;="&amp;DATE(2025,8,31),Facturacion!$J$11:$J$64,Facturacion!$J$4))</f>
        <v>5160346.76</v>
      </c>
      <c r="L9" s="261">
        <f>SUM(SUMIFS(Facturacion!$F$11:$F$64,Facturacion!$A$11:$A$64,"&gt;="&amp;DATE(2025,9,1),Facturacion!$A$11:$A$64,"&lt;="&amp;DATE(2025,9,30),Facturacion!$J$11:$J$64,Facturacion!$J$4))</f>
        <v>8721283.75</v>
      </c>
      <c r="M9" s="261">
        <f>SUM(SUMIFS(Facturacion!$F$11:$F$64,Facturacion!$A$11:$A$64,"&gt;="&amp;DATE(2025,10,1),Facturacion!$A$11:$A$64,"&lt;="&amp;DATE(2025,10,30),Facturacion!$J$11:$J$64,Facturacion!$J$4))</f>
        <v>6994348.25</v>
      </c>
      <c r="N9" s="261">
        <f>SUM(SUMIFS(Facturacion!$F$11:$F$64,Facturacion!$A$11:$A$64,"&gt;="&amp;DATE(2025,11,1),Facturacion!$A$11:$A$64,"&lt;="&amp;DATE(2025,11,30),Facturacion!$J$11:$J$64,Facturacion!$J$4))</f>
        <v>8289315.1398</v>
      </c>
      <c r="O9" s="261">
        <f>SUM(SUMIFS(Facturacion!$F$11:$F$64,Facturacion!$A$11:$A$64,"&gt;="&amp;DATE(2025,12,1),Facturacion!$A$11:$A$64,"&lt;="&amp;DATE(2025,12,31),Facturacion!$J$11:$J$64,Facturacion!$J$4))</f>
        <v>11945757.880216746</v>
      </c>
      <c r="P9" s="261">
        <f>SUM(SUMIFS(Facturacion!$F$11:$F$64,Facturacion!$A$11:$A$64,"&gt;="&amp;DATE(2026,1,1),Facturacion!$A$11:$A$64,"&lt;="&amp;DATE(2026,1,31),Facturacion!$J$11:$J$64,Facturacion!$J$4))</f>
        <v>5703579.9956614878</v>
      </c>
      <c r="Q9" s="261">
        <f>SUM(SUMIFS(Facturacion!$F$11:$F$64,Facturacion!$A$11:$A$64,"&gt;="&amp;DATE(2026,2,1),Facturacion!$A$11:$A$64,"&lt;="&amp;DATE(2026,2,28),Facturacion!$J$11:$J$64,Facturacion!$J$4))</f>
        <v>7619636.5120000001</v>
      </c>
      <c r="R9" s="261">
        <f>SUM(SUMIFS(Facturacion!$F$11:$F$64,Facturacion!$A$11:$A$64,"&gt;="&amp;DATE(2026,3,1),Facturacion!$A$11:$A$64,"&lt;="&amp;DATE(2026,3,31),Facturacion!$J$11:$J$64,Facturacion!$J$4))</f>
        <v>2206292</v>
      </c>
      <c r="S9" s="261">
        <f>SUM(SUMIFS(Facturacion!$F$11:$F$64,Facturacion!$A$11:$A$64,"&gt;="&amp;DATE(2026,4,1),Facturacion!$A$11:$A$64,"&lt;="&amp;DATE(2026,4,30),Facturacion!$J$11:$J$64,Facturacion!$J$4))</f>
        <v>0</v>
      </c>
      <c r="T9" s="261">
        <f>SUM(SUMIFS(Facturacion!$F$11:$F$64,Facturacion!$A$11:$A$64,"&gt;="&amp;DATE(2026,5,1),Facturacion!$A$11:$A$64,"&lt;="&amp;DATE(2026,5,31),Facturacion!$J$11:$J$64,Facturacion!$J$4))</f>
        <v>0</v>
      </c>
      <c r="U9" s="174"/>
      <c r="V9" s="261">
        <f>SUM(D9:U9)</f>
        <v>75779183.067678228</v>
      </c>
      <c r="W9" s="174"/>
      <c r="X9" s="261">
        <v>0</v>
      </c>
      <c r="Y9" s="978">
        <v>0</v>
      </c>
      <c r="Z9" s="323">
        <f>IF(Y9=100%,0,IF(X9=0,X9,X9-V9))</f>
        <v>0</v>
      </c>
      <c r="AA9" s="311">
        <f>IF(OR(Z9&lt;0,X9),Z9/X9,0%)</f>
        <v>0</v>
      </c>
      <c r="AB9" s="323">
        <f t="shared" si="1"/>
        <v>0</v>
      </c>
      <c r="AC9" s="309"/>
      <c r="AD9" s="309"/>
      <c r="AE9" s="309"/>
      <c r="AF9" s="260"/>
    </row>
    <row r="10" spans="2:32" ht="17.5" customHeight="1" x14ac:dyDescent="0.35">
      <c r="B10" s="312" t="s">
        <v>633</v>
      </c>
      <c r="C10" s="312"/>
      <c r="D10" s="1028">
        <f>SUM(D9)</f>
        <v>0</v>
      </c>
      <c r="E10" s="262">
        <f t="shared" ref="E10:J10" si="8">SUM(E9)</f>
        <v>735000</v>
      </c>
      <c r="F10" s="262">
        <f t="shared" si="8"/>
        <v>5068372.17</v>
      </c>
      <c r="G10" s="262">
        <f t="shared" si="8"/>
        <v>2935456.11</v>
      </c>
      <c r="H10" s="262">
        <f t="shared" si="8"/>
        <v>3370711.74</v>
      </c>
      <c r="I10" s="262">
        <f t="shared" si="8"/>
        <v>3338429.2800000003</v>
      </c>
      <c r="J10" s="262">
        <f t="shared" si="8"/>
        <v>3690653.4799999995</v>
      </c>
      <c r="K10" s="262">
        <f t="shared" ref="K10:L10" si="9">SUM(K9)</f>
        <v>5160346.76</v>
      </c>
      <c r="L10" s="262">
        <f t="shared" si="9"/>
        <v>8721283.75</v>
      </c>
      <c r="M10" s="262">
        <f t="shared" ref="M10:N10" si="10">SUM(M9)</f>
        <v>6994348.25</v>
      </c>
      <c r="N10" s="262">
        <f t="shared" si="10"/>
        <v>8289315.1398</v>
      </c>
      <c r="O10" s="262">
        <f t="shared" ref="O10:P10" si="11">SUM(O9)</f>
        <v>11945757.880216746</v>
      </c>
      <c r="P10" s="262">
        <f t="shared" si="11"/>
        <v>5703579.9956614878</v>
      </c>
      <c r="Q10" s="262">
        <f t="shared" ref="Q10:R10" si="12">SUM(Q9)</f>
        <v>7619636.5120000001</v>
      </c>
      <c r="R10" s="262">
        <f t="shared" si="12"/>
        <v>2206292</v>
      </c>
      <c r="S10" s="262">
        <f t="shared" ref="S10:T10" si="13">SUM(S9)</f>
        <v>0</v>
      </c>
      <c r="T10" s="262">
        <f t="shared" si="13"/>
        <v>0</v>
      </c>
      <c r="U10" s="174"/>
      <c r="V10" s="295">
        <f>SUM(V9)</f>
        <v>75779183.067678228</v>
      </c>
      <c r="W10" s="174"/>
      <c r="X10" s="295">
        <f>SUM(X9)</f>
        <v>0</v>
      </c>
      <c r="Z10" s="296">
        <f>SUM(Z9)</f>
        <v>0</v>
      </c>
      <c r="AA10" s="311">
        <f>IF(OR(Z10&lt;0,X10),Z10/X10,0%)</f>
        <v>0</v>
      </c>
      <c r="AB10" s="296">
        <f>SUM(AB9)</f>
        <v>0</v>
      </c>
      <c r="AC10" s="309"/>
      <c r="AD10" s="309"/>
      <c r="AE10" s="309"/>
      <c r="AF10" s="260"/>
    </row>
    <row r="11" spans="2:32" ht="17.5" customHeight="1" x14ac:dyDescent="0.35">
      <c r="B11" s="310"/>
      <c r="C11" s="310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309"/>
      <c r="AD11" s="309"/>
      <c r="AE11" s="309"/>
      <c r="AF11" s="260"/>
    </row>
    <row r="12" spans="2:32" x14ac:dyDescent="0.35">
      <c r="B12" s="195" t="s">
        <v>36</v>
      </c>
      <c r="AB12" s="172"/>
    </row>
    <row r="13" spans="2:32" x14ac:dyDescent="0.35">
      <c r="B13" s="66" t="s">
        <v>221</v>
      </c>
      <c r="C13" s="196"/>
      <c r="D13" s="261">
        <f>IFERROR(VLOOKUP($B13&amp;$C13,'C. Gestión Pto #1'!$B$4:C$17,MATCH(D$5,'C. Gestión Pto #1'!$B$4:C$4,0),FALSE),0)</f>
        <v>0</v>
      </c>
      <c r="E13" s="261">
        <f>IFERROR(VLOOKUP($B13&amp;$C13,'C. Gestión Pto #1'!$B$4:D$17,MATCH(E$5,'C. Gestión Pto #1'!$B$4:D$4,0),FALSE),0)</f>
        <v>0</v>
      </c>
      <c r="F13" s="261">
        <f>IFERROR(VLOOKUP($B13&amp;$C13,'C. Gestión Pto #1'!$B$4:E$17,MATCH(F$5,'C. Gestión Pto #1'!$B$4:E$4,0),FALSE),0)</f>
        <v>964000</v>
      </c>
      <c r="G13" s="261">
        <f>IFERROR(VLOOKUP($B13&amp;$C13,'C. Gestión Pto #1'!$B$4:F$17,MATCH(G$5,'C. Gestión Pto #1'!$B$4:F$4,0),FALSE),0)</f>
        <v>1763514.09</v>
      </c>
      <c r="H13" s="261">
        <f>IFERROR(VLOOKUP($B13&amp;$C13,'C. Gestión Pto #1'!$B$4:G$17,MATCH(H$5,'C. Gestión Pto #1'!$B$4:G$4,0),FALSE),0)</f>
        <v>1757000</v>
      </c>
      <c r="I13" s="261">
        <f>IFERROR(VLOOKUP($B13&amp;$C13,'C. Gestión Pto #1'!$B$4:H$17,MATCH(I$5,'C. Gestión Pto #1'!$B$4:H$4,0),FALSE),0)</f>
        <v>1902500.02</v>
      </c>
      <c r="J13" s="261">
        <f>IFERROR(VLOOKUP($B13&amp;$C13,'C. Gestión Pto #1'!$B$4:I$17,MATCH(J$5,'C. Gestión Pto #1'!$B$4:I$4,0),FALSE),0)</f>
        <v>1961406</v>
      </c>
      <c r="K13" s="261">
        <f>IFERROR(VLOOKUP($B13&amp;$C13,'C. Gestión Pto #1'!$B$4:J$17,MATCH(K$5,'C. Gestión Pto #1'!$B$4:J$4,0),FALSE),0)</f>
        <v>1951450</v>
      </c>
      <c r="L13" s="261">
        <f>IFERROR(VLOOKUP($B13&amp;$C13,'C. Gestión Pto #1'!$B$4:K$17,MATCH(L$5,'C. Gestión Pto #1'!$B$4:K$4,0),FALSE),0)</f>
        <v>853846</v>
      </c>
      <c r="M13" s="261">
        <f>IFERROR(VLOOKUP($B13&amp;$C13,'C. Gestión Pto #1'!$B$4:L$17,MATCH(M$5,'C. Gestión Pto #1'!$B$4:L$4,0),FALSE),0)</f>
        <v>622493.01</v>
      </c>
      <c r="N13" s="261">
        <f>IFERROR(VLOOKUP($B13&amp;$C13,'C. Gestión Pto #1'!$B$4:M$17,MATCH(N$5,'C. Gestión Pto #1'!$B$4:M$4,0),FALSE),0)</f>
        <v>907500</v>
      </c>
      <c r="O13" s="261">
        <f>IFERROR(VLOOKUP($B13&amp;$C13,'C. Gestión Pto #1'!$B$4:N$17,MATCH(O$5,'C. Gestión Pto #1'!$B$4:N$4,0),FALSE),0)</f>
        <v>625825</v>
      </c>
      <c r="P13" s="261">
        <f>IFERROR(VLOOKUP($B13&amp;$C13,'C. Gestión Pto #1'!$B$4:O$17,MATCH(P$5,'C. Gestión Pto #1'!$B$4:O$4,0),FALSE),0)</f>
        <v>1020778</v>
      </c>
      <c r="Q13" s="261">
        <f>IFERROR(VLOOKUP($B13&amp;$C13,'C. Gestión Pto #1'!$B$4:P$17,MATCH(Q$5,'C. Gestión Pto #1'!$B$4:P$4,0),FALSE),0)</f>
        <v>659001</v>
      </c>
      <c r="R13" s="261">
        <f>IFERROR(VLOOKUP($B13&amp;$C13,'C. Gestión Pto #1'!$B$4:Q$17,MATCH(R$5,'C. Gestión Pto #1'!$B$4:Q$4,0),FALSE),0)</f>
        <v>1051000</v>
      </c>
      <c r="S13" s="261">
        <f>IFERROR(VLOOKUP($B13&amp;$C13,'C. Gestión Pto #1'!$B$4:R$17,MATCH(S$5,'C. Gestión Pto #1'!$B$4:R$4,0),FALSE),0)</f>
        <v>1227000</v>
      </c>
      <c r="T13" s="261">
        <f>IFERROR(VLOOKUP($B13&amp;$C13,'C. Gestión Pto #1'!$B$4:S$17,MATCH(T$5,'C. Gestión Pto #1'!$B$4:S$4,0),FALSE),0)</f>
        <v>0</v>
      </c>
      <c r="U13" s="313"/>
      <c r="V13" s="261" cm="1">
        <f t="array" ref="V13">SUMPRODUCT($D13:$U13,TRANSPOSE('Indice CAC'!$C$10:$C$27))</f>
        <v>14142435.05911763</v>
      </c>
      <c r="W13" s="314"/>
      <c r="X13" s="261">
        <f>IF($C13="MAT",SUMIF('Pto. Costos'!$A$9:$A$57,'Resumen Pto #1'!$B13,'Pto. Costos'!$G$9:$G$57),IF($C13="MO",SUMIF('Pto. Costos'!$A$9:$A$57,'Resumen Pto #1'!$B13,'Pto. Costos'!$I$9:$I$57),SUMIF('Pto. Costos'!$A$9:$A$57,'Resumen Pto #1'!$B13,'Pto. Costos'!$L$9:$L$57)))</f>
        <v>7389505.3967999993</v>
      </c>
      <c r="Y13" s="978">
        <f>IF(C13="MAT",SUMIF('Pto. 01 Cert.'!$A$10:$A$57,$B13,'Pto. 01 Cert.'!$T$10:$T$57),IF(C13="MO",SUMIF('Pto. 01 Cert.'!$A$10:$A$57,$B13,'Pto. 01 Cert.'!$U$10:$U$57),SUMIF('Pto. 01 Cert.'!$A$10:$A$57,$B13,'Pto. 01 Cert.'!$V$10:$V$57)))/IF(C13="MAT",SUMIF('Pto. 01 Cert.'!$A$10:$A$57,$B13,'Pto. 01 Cert.'!$I$10:$I$57),IF(C13="MO",SUMIF('Pto. 01 Cert.'!$A$10:$A$57,$B13,'Pto. 01 Cert.'!$J$10:$J$57),SUMIF('Pto. 01 Cert.'!$A$10:$A$57,$B13,'Pto. 01 Cert.'!$K$10:$K$57)))</f>
        <v>1</v>
      </c>
      <c r="Z13" s="323">
        <f t="shared" ref="Z13:Z26" si="14">IF(Y13=100%,0,IF(OR(V13&lt;&gt;0,X13),X13-V13))</f>
        <v>0</v>
      </c>
      <c r="AA13" s="311">
        <f>IF(OR(Z13&lt;0,X13),Z13/X13,0%)</f>
        <v>0</v>
      </c>
      <c r="AB13" s="323">
        <f t="shared" ref="AB13:AB25" si="15">IF(Y13=100%,IF(OR(V13&lt;&gt;0,X13),X13-V13),0)</f>
        <v>-6752929.6623176308</v>
      </c>
    </row>
    <row r="14" spans="2:32" x14ac:dyDescent="0.35">
      <c r="B14" s="66" t="s">
        <v>100</v>
      </c>
      <c r="C14" s="196"/>
      <c r="D14" s="261">
        <f>IFERROR(VLOOKUP($B14&amp;$C14,'C. Gestión Pto #1'!$B$4:C$17,MATCH(D$5,'C. Gestión Pto #1'!$B$4:C$4,0),FALSE),0)</f>
        <v>2240048.4</v>
      </c>
      <c r="E14" s="261">
        <f>IFERROR(VLOOKUP($B14&amp;$C14,'C. Gestión Pto #1'!$B$4:D$17,MATCH(E$5,'C. Gestión Pto #1'!$B$4:D$4,0),FALSE),0)</f>
        <v>1806402.83</v>
      </c>
      <c r="F14" s="261">
        <f>IFERROR(VLOOKUP($B14&amp;$C14,'C. Gestión Pto #1'!$B$4:E$17,MATCH(F$5,'C. Gestión Pto #1'!$B$4:E$4,0),FALSE),0)</f>
        <v>2447085</v>
      </c>
      <c r="G14" s="261">
        <f>IFERROR(VLOOKUP($B14&amp;$C14,'C. Gestión Pto #1'!$B$4:F$17,MATCH(G$5,'C. Gestión Pto #1'!$B$4:F$4,0),FALSE),0)</f>
        <v>2817108</v>
      </c>
      <c r="H14" s="261">
        <f>IFERROR(VLOOKUP($B14&amp;$C14,'C. Gestión Pto #1'!$B$4:G$17,MATCH(H$5,'C. Gestión Pto #1'!$B$4:G$4,0),FALSE),0)</f>
        <v>2817108</v>
      </c>
      <c r="I14" s="261">
        <f>IFERROR(VLOOKUP($B14&amp;$C14,'C. Gestión Pto #1'!$B$4:H$17,MATCH(I$5,'C. Gestión Pto #1'!$B$4:H$4,0),FALSE),0)</f>
        <v>2987662.5</v>
      </c>
      <c r="J14" s="261">
        <f>IFERROR(VLOOKUP($B14&amp;$C14,'C. Gestión Pto #1'!$B$4:I$17,MATCH(J$5,'C. Gestión Pto #1'!$B$4:I$4,0),FALSE),0)</f>
        <v>3018848</v>
      </c>
      <c r="K14" s="261">
        <f>IFERROR(VLOOKUP($B14&amp;$C14,'C. Gestión Pto #1'!$B$4:J$17,MATCH(K$5,'C. Gestión Pto #1'!$B$4:J$4,0),FALSE),0)</f>
        <v>3253763</v>
      </c>
      <c r="L14" s="261">
        <f>IFERROR(VLOOKUP($B14&amp;$C14,'C. Gestión Pto #1'!$B$4:K$17,MATCH(L$5,'C. Gestión Pto #1'!$B$4:K$4,0),FALSE),0)</f>
        <v>3252503</v>
      </c>
      <c r="M14" s="261">
        <f>IFERROR(VLOOKUP($B14&amp;$C14,'C. Gestión Pto #1'!$B$4:L$17,MATCH(M$5,'C. Gestión Pto #1'!$B$4:L$4,0),FALSE),0)</f>
        <v>3374035.2899999996</v>
      </c>
      <c r="N14" s="261">
        <f>IFERROR(VLOOKUP($B14&amp;$C14,'C. Gestión Pto #1'!$B$4:M$17,MATCH(N$5,'C. Gestión Pto #1'!$B$4:M$4,0),FALSE),0)</f>
        <v>3275352.8</v>
      </c>
      <c r="O14" s="261">
        <f>IFERROR(VLOOKUP($B14&amp;$C14,'C. Gestión Pto #1'!$B$4:N$17,MATCH(O$5,'C. Gestión Pto #1'!$B$4:N$4,0),FALSE),0)</f>
        <v>0</v>
      </c>
      <c r="P14" s="261">
        <f>IFERROR(VLOOKUP($B14&amp;$C14,'C. Gestión Pto #1'!$B$4:O$17,MATCH(P$5,'C. Gestión Pto #1'!$B$4:O$4,0),FALSE),0)</f>
        <v>0</v>
      </c>
      <c r="Q14" s="261">
        <f>IFERROR(VLOOKUP($B14&amp;$C14,'C. Gestión Pto #1'!$B$4:P$17,MATCH(Q$5,'C. Gestión Pto #1'!$B$4:P$4,0),FALSE),0)</f>
        <v>0</v>
      </c>
      <c r="R14" s="261">
        <f>IFERROR(VLOOKUP($B14&amp;$C14,'C. Gestión Pto #1'!$B$4:Q$17,MATCH(R$5,'C. Gestión Pto #1'!$B$4:Q$4,0),FALSE),0)</f>
        <v>0</v>
      </c>
      <c r="S14" s="261">
        <f>IFERROR(VLOOKUP($B14&amp;$C14,'C. Gestión Pto #1'!$B$4:R$17,MATCH(S$5,'C. Gestión Pto #1'!$B$4:R$4,0),FALSE),0)</f>
        <v>0</v>
      </c>
      <c r="T14" s="261">
        <f>IFERROR(VLOOKUP($B14&amp;$C14,'C. Gestión Pto #1'!$B$4:S$17,MATCH(T$5,'C. Gestión Pto #1'!$B$4:S$4,0),FALSE),0)</f>
        <v>0</v>
      </c>
      <c r="U14" s="313"/>
      <c r="V14" s="261" cm="1">
        <f t="array" ref="V14">SUMPRODUCT($D14:$U14,TRANSPOSE('Indice CAC'!$C$10:$C$27))</f>
        <v>26535075.905889407</v>
      </c>
      <c r="W14" s="314"/>
      <c r="X14" s="261">
        <f>IF($C14="MAT",SUMIF('Pto. Costos'!$A$9:$A$57,'Resumen Pto #1'!$B14,'Pto. Costos'!$G$9:$G$57),IF($C14="MO",SUMIF('Pto. Costos'!$A$9:$A$57,'Resumen Pto #1'!$B14,'Pto. Costos'!$I$9:$I$57),SUMIF('Pto. Costos'!$A$9:$A$57,'Resumen Pto #1'!$B14,'Pto. Costos'!$L$9:$L$57)))</f>
        <v>30386964.655999999</v>
      </c>
      <c r="Y14" s="978">
        <f>IF(C14="MAT",SUMIF('Pto. 01 Cert.'!$A$10:$A$57,$B14,'Pto. 01 Cert.'!$T$10:$T$57),IF(C14="MO",SUMIF('Pto. 01 Cert.'!$A$10:$A$57,$B14,'Pto. 01 Cert.'!$U$10:$U$57),SUMIF('Pto. 01 Cert.'!$A$10:$A$57,$B14,'Pto. 01 Cert.'!$V$10:$V$57)))/IF(C14="MAT",SUMIF('Pto. 01 Cert.'!$A$10:$A$57,$B14,'Pto. 01 Cert.'!$I$10:$I$57),IF(C14="MO",SUMIF('Pto. 01 Cert.'!$A$10:$A$57,$B14,'Pto. 01 Cert.'!$J$10:$J$57),SUMIF('Pto. 01 Cert.'!$A$10:$A$57,$B14,'Pto. 01 Cert.'!$K$10:$K$57)))</f>
        <v>1</v>
      </c>
      <c r="Z14" s="323">
        <f t="shared" si="14"/>
        <v>0</v>
      </c>
      <c r="AA14" s="311">
        <f t="shared" ref="AA14:AA25" si="16">IF(OR(Z14&lt;0,X14),Z14/X14,0%)</f>
        <v>0</v>
      </c>
      <c r="AB14" s="323">
        <f t="shared" si="15"/>
        <v>3851888.7501105927</v>
      </c>
    </row>
    <row r="15" spans="2:32" x14ac:dyDescent="0.35">
      <c r="B15" s="66" t="s">
        <v>218</v>
      </c>
      <c r="C15" s="196"/>
      <c r="D15" s="261">
        <f>IFERROR(VLOOKUP($B15&amp;$C15,'C. Gestión Pto #1'!$B$4:C$17,MATCH(D$5,'C. Gestión Pto #1'!$B$4:C$4,0),FALSE),0)</f>
        <v>83133.290000000008</v>
      </c>
      <c r="E15" s="261">
        <f>IFERROR(VLOOKUP($B15&amp;$C15,'C. Gestión Pto #1'!$B$4:D$17,MATCH(E$5,'C. Gestión Pto #1'!$B$4:D$4,0),FALSE),0)</f>
        <v>108153.67</v>
      </c>
      <c r="F15" s="261">
        <f>IFERROR(VLOOKUP($B15&amp;$C15,'C. Gestión Pto #1'!$B$4:E$17,MATCH(F$5,'C. Gestión Pto #1'!$B$4:E$4,0),FALSE),0)</f>
        <v>111838.72999999998</v>
      </c>
      <c r="G15" s="261">
        <f>IFERROR(VLOOKUP($B15&amp;$C15,'C. Gestión Pto #1'!$B$4:F$17,MATCH(G$5,'C. Gestión Pto #1'!$B$4:F$4,0),FALSE),0)</f>
        <v>273194.45999999996</v>
      </c>
      <c r="H15" s="261">
        <f>IFERROR(VLOOKUP($B15&amp;$C15,'C. Gestión Pto #1'!$B$4:G$17,MATCH(H$5,'C. Gestión Pto #1'!$B$4:G$4,0),FALSE),0)</f>
        <v>382880.04</v>
      </c>
      <c r="I15" s="261">
        <f>IFERROR(VLOOKUP($B15&amp;$C15,'C. Gestión Pto #1'!$B$4:H$17,MATCH(I$5,'C. Gestión Pto #1'!$B$4:H$4,0),FALSE),0)</f>
        <v>245052.88999999998</v>
      </c>
      <c r="J15" s="261">
        <f>IFERROR(VLOOKUP($B15&amp;$C15,'C. Gestión Pto #1'!$B$4:I$17,MATCH(J$5,'C. Gestión Pto #1'!$B$4:I$4,0),FALSE),0)</f>
        <v>567556.66000000015</v>
      </c>
      <c r="K15" s="261">
        <f>IFERROR(VLOOKUP($B15&amp;$C15,'C. Gestión Pto #1'!$B$4:J$17,MATCH(K$5,'C. Gestión Pto #1'!$B$4:J$4,0),FALSE),0)</f>
        <v>322994.82</v>
      </c>
      <c r="L15" s="261">
        <f>IFERROR(VLOOKUP($B15&amp;$C15,'C. Gestión Pto #1'!$B$4:K$17,MATCH(L$5,'C. Gestión Pto #1'!$B$4:K$4,0),FALSE),0)</f>
        <v>567394.81999999983</v>
      </c>
      <c r="M15" s="261">
        <f>IFERROR(VLOOKUP($B15&amp;$C15,'C. Gestión Pto #1'!$B$4:L$17,MATCH(M$5,'C. Gestión Pto #1'!$B$4:L$4,0),FALSE),0)</f>
        <v>603374.92000000004</v>
      </c>
      <c r="N15" s="261">
        <f>IFERROR(VLOOKUP($B15&amp;$C15,'C. Gestión Pto #1'!$B$4:M$17,MATCH(N$5,'C. Gestión Pto #1'!$B$4:M$4,0),FALSE),0)</f>
        <v>447563.67999999993</v>
      </c>
      <c r="O15" s="261">
        <f>IFERROR(VLOOKUP($B15&amp;$C15,'C. Gestión Pto #1'!$B$4:N$17,MATCH(O$5,'C. Gestión Pto #1'!$B$4:N$4,0),FALSE),0)</f>
        <v>881403.34</v>
      </c>
      <c r="P15" s="261">
        <f>IFERROR(VLOOKUP($B15&amp;$C15,'C. Gestión Pto #1'!$B$4:O$17,MATCH(P$5,'C. Gestión Pto #1'!$B$4:O$4,0),FALSE),0)</f>
        <v>667797.87</v>
      </c>
      <c r="Q15" s="261">
        <f>IFERROR(VLOOKUP($B15&amp;$C15,'C. Gestión Pto #1'!$B$4:P$17,MATCH(Q$5,'C. Gestión Pto #1'!$B$4:P$4,0),FALSE),0)</f>
        <v>1489831.8699999999</v>
      </c>
      <c r="R15" s="261">
        <f>IFERROR(VLOOKUP($B15&amp;$C15,'C. Gestión Pto #1'!$B$4:Q$17,MATCH(R$5,'C. Gestión Pto #1'!$B$4:Q$4,0),FALSE),0)</f>
        <v>869578.73</v>
      </c>
      <c r="S15" s="261">
        <f>IFERROR(VLOOKUP($B15&amp;$C15,'C. Gestión Pto #1'!$B$4:R$17,MATCH(S$5,'C. Gestión Pto #1'!$B$4:R$4,0),FALSE),0)</f>
        <v>660407.42000000004</v>
      </c>
      <c r="T15" s="261">
        <f>IFERROR(VLOOKUP($B15&amp;$C15,'C. Gestión Pto #1'!$B$4:S$17,MATCH(T$5,'C. Gestión Pto #1'!$B$4:S$4,0),FALSE),0)</f>
        <v>0</v>
      </c>
      <c r="U15" s="313"/>
      <c r="V15" s="261" cm="1">
        <f t="array" ref="V15">SUMPRODUCT($D15:$U15,TRANSPOSE('Indice CAC'!$C$10:$C$27))</f>
        <v>6471319.2357920585</v>
      </c>
      <c r="W15" s="314"/>
      <c r="X15" s="261">
        <f>IF($C15="MAT",SUMIF('Pto. Costos'!$A$9:$A$57,'Resumen Pto #1'!$B15,'Pto. Costos'!$G$9:$G$57),IF($C15="MO",SUMIF('Pto. Costos'!$A$9:$A$57,'Resumen Pto #1'!$B15,'Pto. Costos'!$I$9:$I$57),SUMIF('Pto. Costos'!$A$9:$A$57,'Resumen Pto #1'!$B15,'Pto. Costos'!$L$9:$L$57)))</f>
        <v>6000000</v>
      </c>
      <c r="Y15" s="978">
        <f>IF(C15="MAT",SUMIF('Pto. 01 Cert.'!$A$10:$A$57,$B15,'Pto. 01 Cert.'!$T$10:$T$57),IF(C15="MO",SUMIF('Pto. 01 Cert.'!$A$10:$A$57,$B15,'Pto. 01 Cert.'!$U$10:$U$57),SUMIF('Pto. 01 Cert.'!$A$10:$A$57,$B15,'Pto. 01 Cert.'!$V$10:$V$57)))/IF(C15="MAT",SUMIF('Pto. 01 Cert.'!$A$10:$A$57,$B15,'Pto. 01 Cert.'!$I$10:$I$57),IF(C15="MO",SUMIF('Pto. 01 Cert.'!$A$10:$A$57,$B15,'Pto. 01 Cert.'!$J$10:$J$57),SUMIF('Pto. 01 Cert.'!$A$10:$A$57,$B15,'Pto. 01 Cert.'!$K$10:$K$57)))</f>
        <v>1</v>
      </c>
      <c r="Z15" s="323">
        <f t="shared" si="14"/>
        <v>0</v>
      </c>
      <c r="AA15" s="311">
        <f t="shared" si="16"/>
        <v>0</v>
      </c>
      <c r="AB15" s="323">
        <f t="shared" si="15"/>
        <v>-471319.23579205852</v>
      </c>
    </row>
    <row r="16" spans="2:32" x14ac:dyDescent="0.35">
      <c r="B16" s="66" t="s">
        <v>106</v>
      </c>
      <c r="C16" s="196"/>
      <c r="D16" s="261">
        <f>IFERROR(VLOOKUP($B16&amp;$C16,'C. Gestión Pto #1'!$B$4:C$17,MATCH(D$5,'C. Gestión Pto #1'!$B$4:C$4,0),FALSE),0)</f>
        <v>0</v>
      </c>
      <c r="E16" s="261">
        <f>IFERROR(VLOOKUP($B16&amp;$C16,'C. Gestión Pto #1'!$B$4:D$17,MATCH(E$5,'C. Gestión Pto #1'!$B$4:D$4,0),FALSE),0)</f>
        <v>3076445.84</v>
      </c>
      <c r="F16" s="261">
        <f>IFERROR(VLOOKUP($B16&amp;$C16,'C. Gestión Pto #1'!$B$4:E$17,MATCH(F$5,'C. Gestión Pto #1'!$B$4:E$4,0),FALSE),0)</f>
        <v>4065955.33</v>
      </c>
      <c r="G16" s="261">
        <f>IFERROR(VLOOKUP($B16&amp;$C16,'C. Gestión Pto #1'!$B$4:F$17,MATCH(G$5,'C. Gestión Pto #1'!$B$4:F$4,0),FALSE),0)</f>
        <v>2170465.7999999998</v>
      </c>
      <c r="H16" s="261">
        <f>IFERROR(VLOOKUP($B16&amp;$C16,'C. Gestión Pto #1'!$B$4:G$17,MATCH(H$5,'C. Gestión Pto #1'!$B$4:G$4,0),FALSE),0)</f>
        <v>452739.93</v>
      </c>
      <c r="I16" s="261">
        <f>IFERROR(VLOOKUP($B16&amp;$C16,'C. Gestión Pto #1'!$B$4:H$17,MATCH(I$5,'C. Gestión Pto #1'!$B$4:H$4,0),FALSE),0)</f>
        <v>333787.7</v>
      </c>
      <c r="J16" s="261">
        <f>IFERROR(VLOOKUP($B16&amp;$C16,'C. Gestión Pto #1'!$B$4:I$17,MATCH(J$5,'C. Gestión Pto #1'!$B$4:I$4,0),FALSE),0)</f>
        <v>0</v>
      </c>
      <c r="K16" s="261">
        <f>IFERROR(VLOOKUP($B16&amp;$C16,'C. Gestión Pto #1'!$B$4:J$17,MATCH(K$5,'C. Gestión Pto #1'!$B$4:J$4,0),FALSE),0)</f>
        <v>0</v>
      </c>
      <c r="L16" s="261">
        <f>IFERROR(VLOOKUP($B16&amp;$C16,'C. Gestión Pto #1'!$B$4:K$17,MATCH(L$5,'C. Gestión Pto #1'!$B$4:K$4,0),FALSE),0)</f>
        <v>0</v>
      </c>
      <c r="M16" s="261">
        <f>IFERROR(VLOOKUP($B16&amp;$C16,'C. Gestión Pto #1'!$B$4:L$17,MATCH(M$5,'C. Gestión Pto #1'!$B$4:L$4,0),FALSE),0)</f>
        <v>562822.19999999995</v>
      </c>
      <c r="N16" s="261">
        <f>IFERROR(VLOOKUP($B16&amp;$C16,'C. Gestión Pto #1'!$B$4:M$17,MATCH(N$5,'C. Gestión Pto #1'!$B$4:M$4,0),FALSE),0)</f>
        <v>202741.83</v>
      </c>
      <c r="O16" s="261">
        <f>IFERROR(VLOOKUP($B16&amp;$C16,'C. Gestión Pto #1'!$B$4:N$17,MATCH(O$5,'C. Gestión Pto #1'!$B$4:N$4,0),FALSE),0)</f>
        <v>0</v>
      </c>
      <c r="P16" s="261">
        <f>IFERROR(VLOOKUP($B16&amp;$C16,'C. Gestión Pto #1'!$B$4:O$17,MATCH(P$5,'C. Gestión Pto #1'!$B$4:O$4,0),FALSE),0)</f>
        <v>0</v>
      </c>
      <c r="Q16" s="261">
        <f>IFERROR(VLOOKUP($B16&amp;$C16,'C. Gestión Pto #1'!$B$4:P$17,MATCH(Q$5,'C. Gestión Pto #1'!$B$4:P$4,0),FALSE),0)</f>
        <v>0</v>
      </c>
      <c r="R16" s="261">
        <f>IFERROR(VLOOKUP($B16&amp;$C16,'C. Gestión Pto #1'!$B$4:Q$17,MATCH(R$5,'C. Gestión Pto #1'!$B$4:Q$4,0),FALSE),0)</f>
        <v>0</v>
      </c>
      <c r="S16" s="261">
        <f>IFERROR(VLOOKUP($B16&amp;$C16,'C. Gestión Pto #1'!$B$4:R$17,MATCH(S$5,'C. Gestión Pto #1'!$B$4:R$4,0),FALSE),0)</f>
        <v>0</v>
      </c>
      <c r="T16" s="261">
        <f>IFERROR(VLOOKUP($B16&amp;$C16,'C. Gestión Pto #1'!$B$4:S$17,MATCH(T$5,'C. Gestión Pto #1'!$B$4:S$4,0),FALSE),0)</f>
        <v>0</v>
      </c>
      <c r="U16" s="313"/>
      <c r="V16" s="261" cm="1">
        <f t="array" ref="V16">SUMPRODUCT($D16:$U16,TRANSPOSE('Indice CAC'!$C$10:$C$27))</f>
        <v>9642624.0773297884</v>
      </c>
      <c r="W16" s="314"/>
      <c r="X16" s="261">
        <f>IF($C16="MAT",SUMIF('Pto. Costos'!$A$9:$A$57,'Resumen Pto #1'!$B16,'Pto. Costos'!$G$9:$G$57),IF($C16="MO",SUMIF('Pto. Costos'!$A$9:$A$57,'Resumen Pto #1'!$B16,'Pto. Costos'!$I$9:$I$57),SUMIF('Pto. Costos'!$A$9:$A$57,'Resumen Pto #1'!$B16,'Pto. Costos'!$L$9:$L$57)))</f>
        <v>9593785.2900963146</v>
      </c>
      <c r="Y16" s="978">
        <f>IF(C16="MAT",SUMIF('Pto. 01 Cert.'!$A$10:$A$57,$B16,'Pto. 01 Cert.'!$T$10:$T$57),IF(C16="MO",SUMIF('Pto. 01 Cert.'!$A$10:$A$57,$B16,'Pto. 01 Cert.'!$U$10:$U$57),SUMIF('Pto. 01 Cert.'!$A$10:$A$57,$B16,'Pto. 01 Cert.'!$V$10:$V$57)))/IF(C16="MAT",SUMIF('Pto. 01 Cert.'!$A$10:$A$57,$B16,'Pto. 01 Cert.'!$I$10:$I$57),IF(C16="MO",SUMIF('Pto. 01 Cert.'!$A$10:$A$57,$B16,'Pto. 01 Cert.'!$J$10:$J$57),SUMIF('Pto. 01 Cert.'!$A$10:$A$57,$B16,'Pto. 01 Cert.'!$K$10:$K$57)))</f>
        <v>1</v>
      </c>
      <c r="Z16" s="323">
        <f t="shared" si="14"/>
        <v>0</v>
      </c>
      <c r="AA16" s="311">
        <f t="shared" si="16"/>
        <v>0</v>
      </c>
      <c r="AB16" s="323">
        <f t="shared" si="15"/>
        <v>-48838.787233473733</v>
      </c>
    </row>
    <row r="17" spans="2:31" x14ac:dyDescent="0.35">
      <c r="B17" s="66" t="s">
        <v>574</v>
      </c>
      <c r="C17" s="196"/>
      <c r="D17" s="261">
        <f>IFERROR(VLOOKUP($B17&amp;$C17,'C. Gestión Pto #1'!$B$4:C$17,MATCH(D$5,'C. Gestión Pto #1'!$B$4:C$4,0),FALSE),0)</f>
        <v>0</v>
      </c>
      <c r="E17" s="261">
        <f>IFERROR(VLOOKUP($B17&amp;$C17,'C. Gestión Pto #1'!$B$4:D$17,MATCH(E$5,'C. Gestión Pto #1'!$B$4:D$4,0),FALSE),0)</f>
        <v>3900000</v>
      </c>
      <c r="F17" s="261">
        <f>IFERROR(VLOOKUP($B17&amp;$C17,'C. Gestión Pto #1'!$B$4:E$17,MATCH(F$5,'C. Gestión Pto #1'!$B$4:E$4,0),FALSE),0)</f>
        <v>3900000</v>
      </c>
      <c r="G17" s="261">
        <f>IFERROR(VLOOKUP($B17&amp;$C17,'C. Gestión Pto #1'!$B$4:F$17,MATCH(G$5,'C. Gestión Pto #1'!$B$4:F$4,0),FALSE),0)</f>
        <v>0</v>
      </c>
      <c r="H17" s="261">
        <f>IFERROR(VLOOKUP($B17&amp;$C17,'C. Gestión Pto #1'!$B$4:G$17,MATCH(H$5,'C. Gestión Pto #1'!$B$4:G$4,0),FALSE),0)</f>
        <v>0</v>
      </c>
      <c r="I17" s="261">
        <f>IFERROR(VLOOKUP($B17&amp;$C17,'C. Gestión Pto #1'!$B$4:H$17,MATCH(I$5,'C. Gestión Pto #1'!$B$4:H$4,0),FALSE),0)</f>
        <v>0</v>
      </c>
      <c r="J17" s="261">
        <f>IFERROR(VLOOKUP($B17&amp;$C17,'C. Gestión Pto #1'!$B$4:I$17,MATCH(J$5,'C. Gestión Pto #1'!$B$4:I$4,0),FALSE),0)</f>
        <v>0</v>
      </c>
      <c r="K17" s="261">
        <f>IFERROR(VLOOKUP($B17&amp;$C17,'C. Gestión Pto #1'!$B$4:J$17,MATCH(K$5,'C. Gestión Pto #1'!$B$4:J$4,0),FALSE),0)</f>
        <v>0</v>
      </c>
      <c r="L17" s="261">
        <f>IFERROR(VLOOKUP($B17&amp;$C17,'C. Gestión Pto #1'!$B$4:K$17,MATCH(L$5,'C. Gestión Pto #1'!$B$4:K$4,0),FALSE),0)</f>
        <v>0</v>
      </c>
      <c r="M17" s="261">
        <f>IFERROR(VLOOKUP($B17&amp;$C17,'C. Gestión Pto #1'!$B$4:L$17,MATCH(M$5,'C. Gestión Pto #1'!$B$4:L$4,0),FALSE),0)</f>
        <v>0</v>
      </c>
      <c r="N17" s="261">
        <f>IFERROR(VLOOKUP($B17&amp;$C17,'C. Gestión Pto #1'!$B$4:M$17,MATCH(N$5,'C. Gestión Pto #1'!$B$4:M$4,0),FALSE),0)</f>
        <v>0</v>
      </c>
      <c r="O17" s="261">
        <f>IFERROR(VLOOKUP($B17&amp;$C17,'C. Gestión Pto #1'!$B$4:N$17,MATCH(O$5,'C. Gestión Pto #1'!$B$4:N$4,0),FALSE),0)</f>
        <v>0</v>
      </c>
      <c r="P17" s="261">
        <f>IFERROR(VLOOKUP($B17&amp;$C17,'C. Gestión Pto #1'!$B$4:O$17,MATCH(P$5,'C. Gestión Pto #1'!$B$4:O$4,0),FALSE),0)</f>
        <v>0</v>
      </c>
      <c r="Q17" s="261">
        <f>IFERROR(VLOOKUP($B17&amp;$C17,'C. Gestión Pto #1'!$B$4:P$17,MATCH(Q$5,'C. Gestión Pto #1'!$B$4:P$4,0),FALSE),0)</f>
        <v>0</v>
      </c>
      <c r="R17" s="261">
        <f>IFERROR(VLOOKUP($B17&amp;$C17,'C. Gestión Pto #1'!$B$4:Q$17,MATCH(R$5,'C. Gestión Pto #1'!$B$4:Q$4,0),FALSE),0)</f>
        <v>0</v>
      </c>
      <c r="S17" s="261">
        <f>IFERROR(VLOOKUP($B17&amp;$C17,'C. Gestión Pto #1'!$B$4:R$17,MATCH(S$5,'C. Gestión Pto #1'!$B$4:R$4,0),FALSE),0)</f>
        <v>0</v>
      </c>
      <c r="T17" s="261">
        <f>IFERROR(VLOOKUP($B17&amp;$C17,'C. Gestión Pto #1'!$B$4:S$17,MATCH(T$5,'C. Gestión Pto #1'!$B$4:S$4,0),FALSE),0)</f>
        <v>0</v>
      </c>
      <c r="U17" s="313"/>
      <c r="V17" s="261" cm="1">
        <f t="array" ref="V17">SUMPRODUCT($D17:$U17,TRANSPOSE('Indice CAC'!$C$10:$C$27))</f>
        <v>7037476.9578925967</v>
      </c>
      <c r="W17" s="314"/>
      <c r="X17" s="261">
        <f>IF($C17="MAT",SUMIF('Pto. Costos'!$A$9:$A$57,'Resumen Pto #1'!$B17,'Pto. Costos'!$G$9:$G$57),IF($C17="MO",SUMIF('Pto. Costos'!$A$9:$A$57,'Resumen Pto #1'!$B17,'Pto. Costos'!$I$9:$I$57),SUMIF('Pto. Costos'!$A$9:$A$57,'Resumen Pto #1'!$B17,'Pto. Costos'!$L$9:$L$57)))</f>
        <v>7800000</v>
      </c>
      <c r="Y17" s="978">
        <f>IF(C17="MAT",SUMIF('Pto. 01 Cert.'!$A$10:$A$57,$B17,'Pto. 01 Cert.'!$T$10:$T$57),IF(C17="MO",SUMIF('Pto. 01 Cert.'!$A$10:$A$57,$B17,'Pto. 01 Cert.'!$U$10:$U$57),SUMIF('Pto. 01 Cert.'!$A$10:$A$57,$B17,'Pto. 01 Cert.'!$V$10:$V$57)))/IF(C17="MAT",SUMIF('Pto. 01 Cert.'!$A$10:$A$57,$B17,'Pto. 01 Cert.'!$I$10:$I$57),IF(C17="MO",SUMIF('Pto. 01 Cert.'!$A$10:$A$57,$B17,'Pto. 01 Cert.'!$J$10:$J$57),SUMIF('Pto. 01 Cert.'!$A$10:$A$57,$B17,'Pto. 01 Cert.'!$K$10:$K$57)))</f>
        <v>1</v>
      </c>
      <c r="Z17" s="323">
        <f t="shared" si="14"/>
        <v>0</v>
      </c>
      <c r="AA17" s="311">
        <f t="shared" si="16"/>
        <v>0</v>
      </c>
      <c r="AB17" s="323">
        <f>IF(Y17=100%,IF(OR(V17&lt;&gt;0,X17),X17-V17),0)</f>
        <v>762523.04210740328</v>
      </c>
    </row>
    <row r="18" spans="2:31" x14ac:dyDescent="0.35">
      <c r="B18" s="66" t="s">
        <v>216</v>
      </c>
      <c r="C18" s="196"/>
      <c r="D18" s="261">
        <f>IFERROR(VLOOKUP($B18&amp;$C18,'C. Gestión Pto #1'!$B$4:C$17,MATCH(D$5,'C. Gestión Pto #1'!$B$4:C$4,0),FALSE),0)</f>
        <v>150000</v>
      </c>
      <c r="E18" s="261">
        <f>IFERROR(VLOOKUP($B18&amp;$C18,'C. Gestión Pto #1'!$B$4:D$17,MATCH(E$5,'C. Gestión Pto #1'!$B$4:D$4,0),FALSE),0)</f>
        <v>0</v>
      </c>
      <c r="F18" s="261">
        <f>IFERROR(VLOOKUP($B18&amp;$C18,'C. Gestión Pto #1'!$B$4:E$17,MATCH(F$5,'C. Gestión Pto #1'!$B$4:E$4,0),FALSE),0)</f>
        <v>150000</v>
      </c>
      <c r="G18" s="261">
        <f>IFERROR(VLOOKUP($B18&amp;$C18,'C. Gestión Pto #1'!$B$4:F$17,MATCH(G$5,'C. Gestión Pto #1'!$B$4:F$4,0),FALSE),0)</f>
        <v>0</v>
      </c>
      <c r="H18" s="261">
        <f>IFERROR(VLOOKUP($B18&amp;$C18,'C. Gestión Pto #1'!$B$4:G$17,MATCH(H$5,'C. Gestión Pto #1'!$B$4:G$4,0),FALSE),0)</f>
        <v>0</v>
      </c>
      <c r="I18" s="261">
        <f>IFERROR(VLOOKUP($B18&amp;$C18,'C. Gestión Pto #1'!$B$4:H$17,MATCH(I$5,'C. Gestión Pto #1'!$B$4:H$4,0),FALSE),0)</f>
        <v>0</v>
      </c>
      <c r="J18" s="261">
        <f>IFERROR(VLOOKUP($B18&amp;$C18,'C. Gestión Pto #1'!$B$4:I$17,MATCH(J$5,'C. Gestión Pto #1'!$B$4:I$4,0),FALSE),0)</f>
        <v>0</v>
      </c>
      <c r="K18" s="261">
        <f>IFERROR(VLOOKUP($B18&amp;$C18,'C. Gestión Pto #1'!$B$4:J$17,MATCH(K$5,'C. Gestión Pto #1'!$B$4:J$4,0),FALSE),0)</f>
        <v>0</v>
      </c>
      <c r="L18" s="261">
        <f>IFERROR(VLOOKUP($B18&amp;$C18,'C. Gestión Pto #1'!$B$4:K$17,MATCH(L$5,'C. Gestión Pto #1'!$B$4:K$4,0),FALSE),0)</f>
        <v>0</v>
      </c>
      <c r="M18" s="261">
        <f>IFERROR(VLOOKUP($B18&amp;$C18,'C. Gestión Pto #1'!$B$4:L$17,MATCH(M$5,'C. Gestión Pto #1'!$B$4:L$4,0),FALSE),0)</f>
        <v>0</v>
      </c>
      <c r="N18" s="261">
        <f>IFERROR(VLOOKUP($B18&amp;$C18,'C. Gestión Pto #1'!$B$4:M$17,MATCH(N$5,'C. Gestión Pto #1'!$B$4:M$4,0),FALSE),0)</f>
        <v>0</v>
      </c>
      <c r="O18" s="261">
        <f>IFERROR(VLOOKUP($B18&amp;$C18,'C. Gestión Pto #1'!$B$4:N$17,MATCH(O$5,'C. Gestión Pto #1'!$B$4:N$4,0),FALSE),0)</f>
        <v>0</v>
      </c>
      <c r="P18" s="261">
        <f>IFERROR(VLOOKUP($B18&amp;$C18,'C. Gestión Pto #1'!$B$4:O$17,MATCH(P$5,'C. Gestión Pto #1'!$B$4:O$4,0),FALSE),0)</f>
        <v>0</v>
      </c>
      <c r="Q18" s="261">
        <f>IFERROR(VLOOKUP($B18&amp;$C18,'C. Gestión Pto #1'!$B$4:P$17,MATCH(Q$5,'C. Gestión Pto #1'!$B$4:P$4,0),FALSE),0)</f>
        <v>0</v>
      </c>
      <c r="R18" s="261">
        <f>IFERROR(VLOOKUP($B18&amp;$C18,'C. Gestión Pto #1'!$B$4:Q$17,MATCH(R$5,'C. Gestión Pto #1'!$B$4:Q$4,0),FALSE),0)</f>
        <v>0</v>
      </c>
      <c r="S18" s="261">
        <f>IFERROR(VLOOKUP($B18&amp;$C18,'C. Gestión Pto #1'!$B$4:R$17,MATCH(S$5,'C. Gestión Pto #1'!$B$4:R$4,0),FALSE),0)</f>
        <v>0</v>
      </c>
      <c r="T18" s="261">
        <f>IFERROR(VLOOKUP($B18&amp;$C18,'C. Gestión Pto #1'!$B$4:S$17,MATCH(T$5,'C. Gestión Pto #1'!$B$4:S$4,0),FALSE),0)</f>
        <v>0</v>
      </c>
      <c r="U18" s="313"/>
      <c r="V18" s="261" cm="1">
        <f t="array" ref="V18">SUMPRODUCT($D18:$U18,TRANSPOSE('Indice CAC'!$C$10:$C$27))</f>
        <v>272938.13813101861</v>
      </c>
      <c r="W18" s="314"/>
      <c r="X18" s="261">
        <f>IF($C18="MAT",SUMIF('Pto. Costos'!$A$9:$A$57,'Resumen Pto #1'!$B18,'Pto. Costos'!$G$9:$G$57),IF($C18="MO",SUMIF('Pto. Costos'!$A$9:$A$57,'Resumen Pto #1'!$B18,'Pto. Costos'!$I$9:$I$57),SUMIF('Pto. Costos'!$A$9:$A$57,'Resumen Pto #1'!$B18,'Pto. Costos'!$L$9:$L$57)))</f>
        <v>892630.81095104152</v>
      </c>
      <c r="Y18" s="978">
        <f>IF(C18="MAT",SUMIF('Pto. 01 Cert.'!$A$10:$A$57,$B18,'Pto. 01 Cert.'!$T$10:$T$57),IF(C18="MO",SUMIF('Pto. 01 Cert.'!$A$10:$A$57,$B18,'Pto. 01 Cert.'!$U$10:$U$57),SUMIF('Pto. 01 Cert.'!$A$10:$A$57,$B18,'Pto. 01 Cert.'!$V$10:$V$57)))/IF(C18="MAT",SUMIF('Pto. 01 Cert.'!$A$10:$A$57,$B18,'Pto. 01 Cert.'!$I$10:$I$57),IF(C18="MO",SUMIF('Pto. 01 Cert.'!$A$10:$A$57,$B18,'Pto. 01 Cert.'!$J$10:$J$57),SUMIF('Pto. 01 Cert.'!$A$10:$A$57,$B18,'Pto. 01 Cert.'!$K$10:$K$57)))</f>
        <v>1</v>
      </c>
      <c r="Z18" s="323">
        <f t="shared" si="14"/>
        <v>0</v>
      </c>
      <c r="AA18" s="311">
        <f t="shared" si="16"/>
        <v>0</v>
      </c>
      <c r="AB18" s="323">
        <f t="shared" si="15"/>
        <v>619692.67282002291</v>
      </c>
    </row>
    <row r="19" spans="2:31" x14ac:dyDescent="0.35">
      <c r="B19" s="66" t="s">
        <v>161</v>
      </c>
      <c r="C19" s="196"/>
      <c r="D19" s="261">
        <f>IFERROR(VLOOKUP($B19&amp;$C19,'C. Gestión Pto #1'!$B$4:C$17,MATCH(D$5,'C. Gestión Pto #1'!$B$4:C$4,0),FALSE),0)</f>
        <v>0</v>
      </c>
      <c r="E19" s="261">
        <f>IFERROR(VLOOKUP($B19&amp;$C19,'C. Gestión Pto #1'!$B$4:D$17,MATCH(E$5,'C. Gestión Pto #1'!$B$4:D$4,0),FALSE),0)</f>
        <v>2555627</v>
      </c>
      <c r="F19" s="261">
        <f>IFERROR(VLOOKUP($B19&amp;$C19,'C. Gestión Pto #1'!$B$4:E$17,MATCH(F$5,'C. Gestión Pto #1'!$B$4:E$4,0),FALSE),0)</f>
        <v>0</v>
      </c>
      <c r="G19" s="261">
        <f>IFERROR(VLOOKUP($B19&amp;$C19,'C. Gestión Pto #1'!$B$4:F$17,MATCH(G$5,'C. Gestión Pto #1'!$B$4:F$4,0),FALSE),0)</f>
        <v>5000000</v>
      </c>
      <c r="H19" s="261">
        <f>IFERROR(VLOOKUP($B19&amp;$C19,'C. Gestión Pto #1'!$B$4:G$17,MATCH(H$5,'C. Gestión Pto #1'!$B$4:G$4,0),FALSE),0)</f>
        <v>5000000</v>
      </c>
      <c r="I19" s="261">
        <f>IFERROR(VLOOKUP($B19&amp;$C19,'C. Gestión Pto #1'!$B$4:H$17,MATCH(I$5,'C. Gestión Pto #1'!$B$4:H$4,0),FALSE),0)</f>
        <v>5812500</v>
      </c>
      <c r="J19" s="261">
        <f>IFERROR(VLOOKUP($B19&amp;$C19,'C. Gestión Pto #1'!$B$4:I$17,MATCH(J$5,'C. Gestión Pto #1'!$B$4:I$4,0),FALSE),0)</f>
        <v>0</v>
      </c>
      <c r="K19" s="261">
        <f>IFERROR(VLOOKUP($B19&amp;$C19,'C. Gestión Pto #1'!$B$4:J$17,MATCH(K$5,'C. Gestión Pto #1'!$B$4:J$4,0),FALSE),0)</f>
        <v>6430886.3700000001</v>
      </c>
      <c r="L19" s="261">
        <f>IFERROR(VLOOKUP($B19&amp;$C19,'C. Gestión Pto #1'!$B$4:K$17,MATCH(L$5,'C. Gestión Pto #1'!$B$4:K$4,0),FALSE),0)</f>
        <v>0</v>
      </c>
      <c r="M19" s="261">
        <f>IFERROR(VLOOKUP($B19&amp;$C19,'C. Gestión Pto #1'!$B$4:L$17,MATCH(M$5,'C. Gestión Pto #1'!$B$4:L$4,0),FALSE),0)</f>
        <v>0</v>
      </c>
      <c r="N19" s="261">
        <f>IFERROR(VLOOKUP($B19&amp;$C19,'C. Gestión Pto #1'!$B$4:M$17,MATCH(N$5,'C. Gestión Pto #1'!$B$4:M$4,0),FALSE),0)</f>
        <v>0</v>
      </c>
      <c r="O19" s="261">
        <f>IFERROR(VLOOKUP($B19&amp;$C19,'C. Gestión Pto #1'!$B$4:N$17,MATCH(O$5,'C. Gestión Pto #1'!$B$4:N$4,0),FALSE),0)</f>
        <v>0</v>
      </c>
      <c r="P19" s="261">
        <f>IFERROR(VLOOKUP($B19&amp;$C19,'C. Gestión Pto #1'!$B$4:O$17,MATCH(P$5,'C. Gestión Pto #1'!$B$4:O$4,0),FALSE),0)</f>
        <v>0</v>
      </c>
      <c r="Q19" s="261">
        <f>IFERROR(VLOOKUP($B19&amp;$C19,'C. Gestión Pto #1'!$B$4:P$17,MATCH(Q$5,'C. Gestión Pto #1'!$B$4:P$4,0),FALSE),0)</f>
        <v>0</v>
      </c>
      <c r="R19" s="261">
        <f>IFERROR(VLOOKUP($B19&amp;$C19,'C. Gestión Pto #1'!$B$4:Q$17,MATCH(R$5,'C. Gestión Pto #1'!$B$4:Q$4,0),FALSE),0)</f>
        <v>0</v>
      </c>
      <c r="S19" s="261">
        <f>IFERROR(VLOOKUP($B19&amp;$C19,'C. Gestión Pto #1'!$B$4:R$17,MATCH(S$5,'C. Gestión Pto #1'!$B$4:R$4,0),FALSE),0)</f>
        <v>0</v>
      </c>
      <c r="T19" s="261">
        <f>IFERROR(VLOOKUP($B19&amp;$C19,'C. Gestión Pto #1'!$B$4:S$17,MATCH(T$5,'C. Gestión Pto #1'!$B$4:S$4,0),FALSE),0)</f>
        <v>0</v>
      </c>
      <c r="U19" s="313"/>
      <c r="V19" s="261" cm="1">
        <f t="array" ref="V19">SUMPRODUCT($D19:$U19,TRANSPOSE('Indice CAC'!$C$10:$C$27))</f>
        <v>21476727.946788512</v>
      </c>
      <c r="W19" s="314"/>
      <c r="X19" s="261">
        <f>IF($C19="MAT",SUMIF('Pto. Costos'!$A$9:$A$57,'Resumen Pto #1'!$B19,'Pto. Costos'!$G$9:$G$57),IF($C19="MO",SUMIF('Pto. Costos'!$A$9:$A$57,'Resumen Pto #1'!$B19,'Pto. Costos'!$I$9:$I$57),SUMIF('Pto. Costos'!$A$9:$A$57,'Resumen Pto #1'!$B19,'Pto. Costos'!$L$9:$L$57)))</f>
        <v>23294399.999999996</v>
      </c>
      <c r="Y19" s="978">
        <f>IF(C19="MAT",SUMIF('Pto. 01 Cert.'!$A$10:$A$57,$B19,'Pto. 01 Cert.'!$T$10:$T$57),IF(C19="MO",SUMIF('Pto. 01 Cert.'!$A$10:$A$57,$B19,'Pto. 01 Cert.'!$U$10:$U$57),SUMIF('Pto. 01 Cert.'!$A$10:$A$57,$B19,'Pto. 01 Cert.'!$V$10:$V$57)))/IF(C19="MAT",SUMIF('Pto. 01 Cert.'!$A$10:$A$57,$B19,'Pto. 01 Cert.'!$I$10:$I$57),IF(C19="MO",SUMIF('Pto. 01 Cert.'!$A$10:$A$57,$B19,'Pto. 01 Cert.'!$J$10:$J$57),SUMIF('Pto. 01 Cert.'!$A$10:$A$57,$B19,'Pto. 01 Cert.'!$K$10:$K$57)))</f>
        <v>0.99999999999999978</v>
      </c>
      <c r="Z19" s="323">
        <f t="shared" si="14"/>
        <v>0</v>
      </c>
      <c r="AA19" s="311">
        <f t="shared" si="16"/>
        <v>0</v>
      </c>
      <c r="AB19" s="323">
        <f t="shared" si="15"/>
        <v>1817672.0532114841</v>
      </c>
    </row>
    <row r="20" spans="2:31" x14ac:dyDescent="0.35">
      <c r="B20" s="66" t="s">
        <v>110</v>
      </c>
      <c r="C20" s="196" t="s">
        <v>38</v>
      </c>
      <c r="D20" s="261">
        <f>IFERROR(VLOOKUP($B20&amp;$C20,'C. Gestión Pto #1'!$B$4:C$17,MATCH(D$5,'C. Gestión Pto #1'!$B$4:C$4,0),FALSE),0)</f>
        <v>0</v>
      </c>
      <c r="E20" s="261">
        <f>IFERROR(VLOOKUP($B20&amp;$C20,'C. Gestión Pto #1'!$B$4:D$17,MATCH(E$5,'C. Gestión Pto #1'!$B$4:D$4,0),FALSE),0)</f>
        <v>7421307.1600000001</v>
      </c>
      <c r="F20" s="261">
        <f>IFERROR(VLOOKUP($B20&amp;$C20,'C. Gestión Pto #1'!$B$4:E$17,MATCH(F$5,'C. Gestión Pto #1'!$B$4:E$4,0),FALSE),0)</f>
        <v>934481.37</v>
      </c>
      <c r="G20" s="261">
        <f>IFERROR(VLOOKUP($B20&amp;$C20,'C. Gestión Pto #1'!$B$4:F$17,MATCH(G$5,'C. Gestión Pto #1'!$B$4:F$4,0),FALSE),0)</f>
        <v>6221403.1100000003</v>
      </c>
      <c r="H20" s="261">
        <f>IFERROR(VLOOKUP($B20&amp;$C20,'C. Gestión Pto #1'!$B$4:G$17,MATCH(H$5,'C. Gestión Pto #1'!$B$4:G$4,0),FALSE),0)</f>
        <v>3385750.4400000023</v>
      </c>
      <c r="I20" s="261">
        <f>IFERROR(VLOOKUP($B20&amp;$C20,'C. Gestión Pto #1'!$B$4:H$17,MATCH(I$5,'C. Gestión Pto #1'!$B$4:H$4,0),FALSE),0)</f>
        <v>3530590.83</v>
      </c>
      <c r="J20" s="261">
        <f>IFERROR(VLOOKUP($B20&amp;$C20,'C. Gestión Pto #1'!$B$4:I$17,MATCH(J$5,'C. Gestión Pto #1'!$B$4:I$4,0),FALSE),0)</f>
        <v>0</v>
      </c>
      <c r="K20" s="261">
        <f>IFERROR(VLOOKUP($B20&amp;$C20,'C. Gestión Pto #1'!$B$4:J$17,MATCH(K$5,'C. Gestión Pto #1'!$B$4:J$4,0),FALSE),0)</f>
        <v>3744037.29</v>
      </c>
      <c r="L20" s="261">
        <f>IFERROR(VLOOKUP($B20&amp;$C20,'C. Gestión Pto #1'!$B$4:K$17,MATCH(L$5,'C. Gestión Pto #1'!$B$4:K$4,0),FALSE),0)</f>
        <v>1646601.2200000002</v>
      </c>
      <c r="M20" s="261">
        <f>IFERROR(VLOOKUP($B20&amp;$C20,'C. Gestión Pto #1'!$B$4:L$17,MATCH(M$5,'C. Gestión Pto #1'!$B$4:L$4,0),FALSE),0)</f>
        <v>4258986.68</v>
      </c>
      <c r="N20" s="261">
        <f>IFERROR(VLOOKUP($B20&amp;$C20,'C. Gestión Pto #1'!$B$4:M$17,MATCH(N$5,'C. Gestión Pto #1'!$B$4:M$4,0),FALSE),0)</f>
        <v>1572093.6</v>
      </c>
      <c r="O20" s="261">
        <f>IFERROR(VLOOKUP($B20&amp;$C20,'C. Gestión Pto #1'!$B$4:N$17,MATCH(O$5,'C. Gestión Pto #1'!$B$4:N$4,0),FALSE),0)</f>
        <v>190000</v>
      </c>
      <c r="P20" s="261">
        <f>IFERROR(VLOOKUP($B20&amp;$C20,'C. Gestión Pto #1'!$B$4:O$17,MATCH(P$5,'C. Gestión Pto #1'!$B$4:O$4,0),FALSE),0)</f>
        <v>475000</v>
      </c>
      <c r="Q20" s="261">
        <f>IFERROR(VLOOKUP($B20&amp;$C20,'C. Gestión Pto #1'!$B$4:P$17,MATCH(Q$5,'C. Gestión Pto #1'!$B$4:P$4,0),FALSE),0)</f>
        <v>0</v>
      </c>
      <c r="R20" s="261">
        <f>IFERROR(VLOOKUP($B20&amp;$C20,'C. Gestión Pto #1'!$B$4:Q$17,MATCH(R$5,'C. Gestión Pto #1'!$B$4:Q$4,0),FALSE),0)</f>
        <v>223140.49</v>
      </c>
      <c r="S20" s="261">
        <f>IFERROR(VLOOKUP($B20&amp;$C20,'C. Gestión Pto #1'!$B$4:R$17,MATCH(S$5,'C. Gestión Pto #1'!$B$4:R$4,0),FALSE),0)</f>
        <v>83123.600000000006</v>
      </c>
      <c r="T20" s="261">
        <f>IFERROR(VLOOKUP($B20&amp;$C20,'C. Gestión Pto #1'!$B$4:S$17,MATCH(T$5,'C. Gestión Pto #1'!$B$4:S$4,0),FALSE),0)</f>
        <v>0</v>
      </c>
      <c r="U20" s="313"/>
      <c r="V20" s="261" cm="1">
        <f t="array" ref="V20">SUMPRODUCT($D20:$U20,TRANSPOSE('Indice CAC'!$C$10:$C$27))</f>
        <v>28825228.644158389</v>
      </c>
      <c r="W20" s="314"/>
      <c r="X20" s="261">
        <f>IF($C20="MAT",SUMIF('Pto. Costos'!$A$9:$A$57,'Resumen Pto #1'!$B20,'Pto. Costos'!$G$9:$G$57),IF($C20="MO",SUMIF('Pto. Costos'!$A$9:$A$57,'Resumen Pto #1'!$B20,'Pto. Costos'!$I$9:$I$57),SUMIF('Pto. Costos'!$A$9:$A$57,'Resumen Pto #1'!$B20,'Pto. Costos'!$L$9:$L$57)))</f>
        <v>39767922.338113993</v>
      </c>
      <c r="Y20" s="978">
        <f>IF(C20="MAT",SUMIF('Pto. 01 Cert.'!$A$10:$A$57,$B20,'Pto. 01 Cert.'!$T$10:$T$57),IF(C20="MO",SUMIF('Pto. 01 Cert.'!$A$10:$A$57,$B20,'Pto. 01 Cert.'!$U$10:$U$57),SUMIF('Pto. 01 Cert.'!$A$10:$A$57,$B20,'Pto. 01 Cert.'!$V$10:$V$57)))/IF(C20="MAT",SUMIF('Pto. 01 Cert.'!$A$10:$A$57,$B20,'Pto. 01 Cert.'!$I$10:$I$57),IF(C20="MO",SUMIF('Pto. 01 Cert.'!$A$10:$A$57,$B20,'Pto. 01 Cert.'!$J$10:$J$57),SUMIF('Pto. 01 Cert.'!$A$10:$A$57,$B20,'Pto. 01 Cert.'!$K$10:$K$57)))</f>
        <v>1</v>
      </c>
      <c r="Z20" s="323">
        <f t="shared" si="14"/>
        <v>0</v>
      </c>
      <c r="AA20" s="311">
        <f t="shared" si="16"/>
        <v>0</v>
      </c>
      <c r="AB20" s="323">
        <f t="shared" si="15"/>
        <v>10942693.693955604</v>
      </c>
      <c r="AD20" s="1000"/>
      <c r="AE20" s="1000"/>
    </row>
    <row r="21" spans="2:31" x14ac:dyDescent="0.35">
      <c r="B21" s="66" t="s">
        <v>110</v>
      </c>
      <c r="C21" s="196" t="s">
        <v>39</v>
      </c>
      <c r="D21" s="261">
        <f>IFERROR(VLOOKUP($B21&amp;$C21,'C. Gestión Pto #1'!$B$4:C$17,MATCH(D$5,'C. Gestión Pto #1'!$B$4:C$4,0),FALSE),0)</f>
        <v>0</v>
      </c>
      <c r="E21" s="261">
        <f>IFERROR(VLOOKUP($B21&amp;$C21,'C. Gestión Pto #1'!$B$4:D$17,MATCH(E$5,'C. Gestión Pto #1'!$B$4:D$4,0),FALSE),0)</f>
        <v>0</v>
      </c>
      <c r="F21" s="261">
        <f>IFERROR(VLOOKUP($B21&amp;$C21,'C. Gestión Pto #1'!$B$4:E$17,MATCH(F$5,'C. Gestión Pto #1'!$B$4:E$4,0),FALSE),0)</f>
        <v>2102991.6</v>
      </c>
      <c r="G21" s="261">
        <f>IFERROR(VLOOKUP($B21&amp;$C21,'C. Gestión Pto #1'!$B$4:F$17,MATCH(G$5,'C. Gestión Pto #1'!$B$4:F$4,0),FALSE),0)</f>
        <v>17862837</v>
      </c>
      <c r="H21" s="261">
        <f>IFERROR(VLOOKUP($B21&amp;$C21,'C. Gestión Pto #1'!$B$4:G$17,MATCH(H$5,'C. Gestión Pto #1'!$B$4:G$4,0),FALSE),0)</f>
        <v>18399394.009191982</v>
      </c>
      <c r="I21" s="261">
        <f>IFERROR(VLOOKUP($B21&amp;$C21,'C. Gestión Pto #1'!$B$4:H$17,MATCH(I$5,'C. Gestión Pto #1'!$B$4:H$4,0),FALSE),0)</f>
        <v>21489374.760149814</v>
      </c>
      <c r="J21" s="261">
        <f>IFERROR(VLOOKUP($B21&amp;$C21,'C. Gestión Pto #1'!$B$4:I$17,MATCH(J$5,'C. Gestión Pto #1'!$B$4:I$4,0),FALSE),0)</f>
        <v>26401198</v>
      </c>
      <c r="K21" s="261">
        <f>IFERROR(VLOOKUP($B21&amp;$C21,'C. Gestión Pto #1'!$B$4:J$17,MATCH(K$5,'C. Gestión Pto #1'!$B$4:J$4,0),FALSE),0)</f>
        <v>22702900.739999998</v>
      </c>
      <c r="L21" s="261">
        <f>IFERROR(VLOOKUP($B21&amp;$C21,'C. Gestión Pto #1'!$B$4:K$17,MATCH(L$5,'C. Gestión Pto #1'!$B$4:K$4,0),FALSE),0)</f>
        <v>26719160.39979323</v>
      </c>
      <c r="M21" s="261">
        <f>IFERROR(VLOOKUP($B21&amp;$C21,'C. Gestión Pto #1'!$B$4:L$17,MATCH(M$5,'C. Gestión Pto #1'!$B$4:L$4,0),FALSE),0)</f>
        <v>31168841.275886506</v>
      </c>
      <c r="N21" s="261">
        <f>IFERROR(VLOOKUP($B21&amp;$C21,'C. Gestión Pto #1'!$B$4:M$17,MATCH(N$5,'C. Gestión Pto #1'!$B$4:M$4,0),FALSE),0)</f>
        <v>30645861.5633334</v>
      </c>
      <c r="O21" s="261">
        <f>IFERROR(VLOOKUP($B21&amp;$C21,'C. Gestión Pto #1'!$B$4:N$17,MATCH(O$5,'C. Gestión Pto #1'!$B$4:N$4,0),FALSE),0)</f>
        <v>29665402.632109251</v>
      </c>
      <c r="P21" s="261">
        <f>IFERROR(VLOOKUP($B21&amp;$C21,'C. Gestión Pto #1'!$B$4:O$17,MATCH(P$5,'C. Gestión Pto #1'!$B$4:O$4,0),FALSE),0)</f>
        <v>26268531.441198006</v>
      </c>
      <c r="Q21" s="261">
        <f>IFERROR(VLOOKUP($B21&amp;$C21,'C. Gestión Pto #1'!$B$4:P$17,MATCH(Q$5,'C. Gestión Pto #1'!$B$4:P$4,0),FALSE),0)</f>
        <v>17271364.254189882</v>
      </c>
      <c r="R21" s="261">
        <f>IFERROR(VLOOKUP($B21&amp;$C21,'C. Gestión Pto #1'!$B$4:Q$17,MATCH(R$5,'C. Gestión Pto #1'!$B$4:Q$4,0),FALSE),0)</f>
        <v>10692908.057170907</v>
      </c>
      <c r="S21" s="261">
        <f>IFERROR(VLOOKUP($B21&amp;$C21,'C. Gestión Pto #1'!$B$4:R$17,MATCH(S$5,'C. Gestión Pto #1'!$B$4:R$4,0),FALSE),0)</f>
        <v>8760556.9012859296</v>
      </c>
      <c r="T21" s="261">
        <f>IFERROR(VLOOKUP($B21&amp;$C21,'C. Gestión Pto #1'!$B$4:S$17,MATCH(T$5,'C. Gestión Pto #1'!$B$4:S$4,0),FALSE),0)</f>
        <v>7793473.3095860975</v>
      </c>
      <c r="U21" s="313"/>
      <c r="V21" s="261" cm="1">
        <f t="array" ref="V21">SUMPRODUCT($D21:$U21,TRANSPOSE('Indice CAC'!$C$10:$C$27))</f>
        <v>238180701.40241623</v>
      </c>
      <c r="W21" s="314"/>
      <c r="X21" s="261">
        <f>IF($C21="MAT",SUMIF('Pto. Costos'!$A$9:$A$57,'Resumen Pto #1'!$B21,'Pto. Costos'!$G$9:$G$57),IF($C21="MO",SUMIF('Pto. Costos'!$A$9:$A$57,'Resumen Pto #1'!$B21,'Pto. Costos'!$I$9:$I$57),SUMIF('Pto. Costos'!$A$9:$A$57,'Resumen Pto #1'!$B21,'Pto. Costos'!$L$9:$L$57)))</f>
        <v>160015233.31694609</v>
      </c>
      <c r="Y21" s="978">
        <f>IF(C21="MAT",SUMIF('Pto. 01 Cert.'!$A$10:$A$57,$B21,'Pto. 01 Cert.'!$T$10:$T$57),IF(C21="MO",SUMIF('Pto. 01 Cert.'!$A$10:$A$57,$B21,'Pto. 01 Cert.'!$U$10:$U$57),SUMIF('Pto. 01 Cert.'!$A$10:$A$57,$B21,'Pto. 01 Cert.'!$V$10:$V$57)))/IF(C21="MAT",SUMIF('Pto. 01 Cert.'!$A$10:$A$57,$B21,'Pto. 01 Cert.'!$I$10:$I$57),IF(C21="MO",SUMIF('Pto. 01 Cert.'!$A$10:$A$57,$B21,'Pto. 01 Cert.'!$J$10:$J$57),SUMIF('Pto. 01 Cert.'!$A$10:$A$57,$B21,'Pto. 01 Cert.'!$K$10:$K$57)))</f>
        <v>1</v>
      </c>
      <c r="Z21" s="323">
        <f t="shared" si="14"/>
        <v>0</v>
      </c>
      <c r="AA21" s="311">
        <f t="shared" si="16"/>
        <v>0</v>
      </c>
      <c r="AB21" s="323">
        <f t="shared" si="15"/>
        <v>-78165468.08547014</v>
      </c>
      <c r="AD21" s="1000"/>
      <c r="AE21" s="1000"/>
    </row>
    <row r="22" spans="2:31" x14ac:dyDescent="0.35">
      <c r="B22" s="66" t="s">
        <v>113</v>
      </c>
      <c r="C22" s="196" t="s">
        <v>38</v>
      </c>
      <c r="D22" s="261">
        <f>IFERROR(VLOOKUP($B22&amp;$C22,'C. Gestión Pto #1'!$B$4:C$17,MATCH(D$5,'C. Gestión Pto #1'!$B$4:C$4,0),FALSE),0)</f>
        <v>22000</v>
      </c>
      <c r="E22" s="261">
        <f>IFERROR(VLOOKUP($B22&amp;$C22,'C. Gestión Pto #1'!$B$4:D$17,MATCH(E$5,'C. Gestión Pto #1'!$B$4:D$4,0),FALSE),0)</f>
        <v>0</v>
      </c>
      <c r="F22" s="261">
        <f>IFERROR(VLOOKUP($B22&amp;$C22,'C. Gestión Pto #1'!$B$4:E$17,MATCH(F$5,'C. Gestión Pto #1'!$B$4:E$4,0),FALSE),0)</f>
        <v>0</v>
      </c>
      <c r="G22" s="261">
        <f>IFERROR(VLOOKUP($B22&amp;$C22,'C. Gestión Pto #1'!$B$4:F$17,MATCH(G$5,'C. Gestión Pto #1'!$B$4:F$4,0),FALSE),0)</f>
        <v>0</v>
      </c>
      <c r="H22" s="261">
        <f>IFERROR(VLOOKUP($B22&amp;$C22,'C. Gestión Pto #1'!$B$4:G$17,MATCH(H$5,'C. Gestión Pto #1'!$B$4:G$4,0),FALSE),0)</f>
        <v>0</v>
      </c>
      <c r="I22" s="261">
        <f>IFERROR(VLOOKUP($B22&amp;$C22,'C. Gestión Pto #1'!$B$4:H$17,MATCH(I$5,'C. Gestión Pto #1'!$B$4:H$4,0),FALSE),0)</f>
        <v>0</v>
      </c>
      <c r="J22" s="261">
        <f>IFERROR(VLOOKUP($B22&amp;$C22,'C. Gestión Pto #1'!$B$4:I$17,MATCH(J$5,'C. Gestión Pto #1'!$B$4:I$4,0),FALSE),0)</f>
        <v>203018.10999999987</v>
      </c>
      <c r="K22" s="261">
        <f>IFERROR(VLOOKUP($B22&amp;$C22,'C. Gestión Pto #1'!$B$4:J$17,MATCH(K$5,'C. Gestión Pto #1'!$B$4:J$4,0),FALSE),0)</f>
        <v>955956.22</v>
      </c>
      <c r="L22" s="261">
        <f>IFERROR(VLOOKUP($B22&amp;$C22,'C. Gestión Pto #1'!$B$4:K$17,MATCH(L$5,'C. Gestión Pto #1'!$B$4:K$4,0),FALSE),0)</f>
        <v>404650.26</v>
      </c>
      <c r="M22" s="261">
        <f>IFERROR(VLOOKUP($B22&amp;$C22,'C. Gestión Pto #1'!$B$4:L$17,MATCH(M$5,'C. Gestión Pto #1'!$B$4:L$4,0),FALSE),0)</f>
        <v>163547.59</v>
      </c>
      <c r="N22" s="261">
        <f>IFERROR(VLOOKUP($B22&amp;$C22,'C. Gestión Pto #1'!$B$4:M$17,MATCH(N$5,'C. Gestión Pto #1'!$B$4:M$4,0),FALSE),0)</f>
        <v>0</v>
      </c>
      <c r="O22" s="261">
        <f>IFERROR(VLOOKUP($B22&amp;$C22,'C. Gestión Pto #1'!$B$4:N$17,MATCH(O$5,'C. Gestión Pto #1'!$B$4:N$4,0),FALSE),0)</f>
        <v>0</v>
      </c>
      <c r="P22" s="261">
        <f>IFERROR(VLOOKUP($B22&amp;$C22,'C. Gestión Pto #1'!$B$4:O$17,MATCH(P$5,'C. Gestión Pto #1'!$B$4:O$4,0),FALSE),0)</f>
        <v>0</v>
      </c>
      <c r="Q22" s="261">
        <f>IFERROR(VLOOKUP($B22&amp;$C22,'C. Gestión Pto #1'!$B$4:P$17,MATCH(Q$5,'C. Gestión Pto #1'!$B$4:P$4,0),FALSE),0)</f>
        <v>0</v>
      </c>
      <c r="R22" s="261">
        <f>IFERROR(VLOOKUP($B22&amp;$C22,'C. Gestión Pto #1'!$B$4:Q$17,MATCH(R$5,'C. Gestión Pto #1'!$B$4:Q$4,0),FALSE),0)</f>
        <v>0</v>
      </c>
      <c r="S22" s="261">
        <f>IFERROR(VLOOKUP($B22&amp;$C22,'C. Gestión Pto #1'!$B$4:R$17,MATCH(S$5,'C. Gestión Pto #1'!$B$4:R$4,0),FALSE),0)</f>
        <v>0</v>
      </c>
      <c r="T22" s="261">
        <f>IFERROR(VLOOKUP($B22&amp;$C22,'C. Gestión Pto #1'!$B$4:S$17,MATCH(T$5,'C. Gestión Pto #1'!$B$4:S$4,0),FALSE),0)</f>
        <v>0</v>
      </c>
      <c r="U22" s="313"/>
      <c r="V22" s="261" cm="1">
        <f t="array" ref="V22">SUMPRODUCT($D22:$U22,TRANSPOSE('Indice CAC'!$C$10:$C$27))</f>
        <v>1448122.7256785189</v>
      </c>
      <c r="W22" s="314"/>
      <c r="X22" s="261">
        <f>IF($C22="MAT",SUMIF('Pto. Costos'!$A$9:$A$57,'Resumen Pto #1'!$B22,'Pto. Costos'!$G$9:$G$57),IF($C22="MO",SUMIF('Pto. Costos'!$A$9:$A$57,'Resumen Pto #1'!$B22,'Pto. Costos'!$I$9:$I$57),SUMIF('Pto. Costos'!$A$9:$A$57,'Resumen Pto #1'!$B22,'Pto. Costos'!$L$9:$L$57)))</f>
        <v>2988097.2693333332</v>
      </c>
      <c r="Y22" s="978">
        <f>IF(C22="MAT",SUMIF('Pto. 01 Cert.'!$A$10:$A$57,$B22,'Pto. 01 Cert.'!$T$10:$T$57),IF(C22="MO",SUMIF('Pto. 01 Cert.'!$A$10:$A$57,$B22,'Pto. 01 Cert.'!$U$10:$U$57),SUMIF('Pto. 01 Cert.'!$A$10:$A$57,$B22,'Pto. 01 Cert.'!$V$10:$V$57)))/IF(C22="MAT",SUMIF('Pto. 01 Cert.'!$A$10:$A$57,$B22,'Pto. 01 Cert.'!$I$10:$I$57),IF(C22="MO",SUMIF('Pto. 01 Cert.'!$A$10:$A$57,$B22,'Pto. 01 Cert.'!$J$10:$J$57),SUMIF('Pto. 01 Cert.'!$A$10:$A$57,$B22,'Pto. 01 Cert.'!$K$10:$K$57)))</f>
        <v>1</v>
      </c>
      <c r="Z22" s="323">
        <f t="shared" si="14"/>
        <v>0</v>
      </c>
      <c r="AA22" s="311">
        <f t="shared" si="16"/>
        <v>0</v>
      </c>
      <c r="AB22" s="323">
        <f t="shared" si="15"/>
        <v>1539974.5436548144</v>
      </c>
    </row>
    <row r="23" spans="2:31" x14ac:dyDescent="0.35">
      <c r="B23" s="66" t="s">
        <v>113</v>
      </c>
      <c r="C23" s="196" t="s">
        <v>39</v>
      </c>
      <c r="D23" s="261">
        <f>IFERROR(VLOOKUP($B23&amp;$C23,'C. Gestión Pto #1'!$B$4:C$17,MATCH(D$5,'C. Gestión Pto #1'!$B$4:C$4,0),FALSE),0)</f>
        <v>0</v>
      </c>
      <c r="E23" s="261">
        <f>IFERROR(VLOOKUP($B23&amp;$C23,'C. Gestión Pto #1'!$B$4:D$17,MATCH(E$5,'C. Gestión Pto #1'!$B$4:D$4,0),FALSE),0)</f>
        <v>0</v>
      </c>
      <c r="F23" s="261">
        <f>IFERROR(VLOOKUP($B23&amp;$C23,'C. Gestión Pto #1'!$B$4:E$17,MATCH(F$5,'C. Gestión Pto #1'!$B$4:E$4,0),FALSE),0)</f>
        <v>67000</v>
      </c>
      <c r="G23" s="261">
        <f>IFERROR(VLOOKUP($B23&amp;$C23,'C. Gestión Pto #1'!$B$4:F$17,MATCH(G$5,'C. Gestión Pto #1'!$B$4:F$4,0),FALSE),0)</f>
        <v>240500</v>
      </c>
      <c r="H23" s="261">
        <f>IFERROR(VLOOKUP($B23&amp;$C23,'C. Gestión Pto #1'!$B$4:G$17,MATCH(H$5,'C. Gestión Pto #1'!$B$4:G$4,0),FALSE),0)</f>
        <v>497357.68</v>
      </c>
      <c r="I23" s="261">
        <f>IFERROR(VLOOKUP($B23&amp;$C23,'C. Gestión Pto #1'!$B$4:H$17,MATCH(I$5,'C. Gestión Pto #1'!$B$4:H$4,0),FALSE),0)</f>
        <v>100000</v>
      </c>
      <c r="J23" s="261">
        <f>IFERROR(VLOOKUP($B23&amp;$C23,'C. Gestión Pto #1'!$B$4:I$17,MATCH(J$5,'C. Gestión Pto #1'!$B$4:I$4,0),FALSE),0)</f>
        <v>0</v>
      </c>
      <c r="K23" s="261">
        <f>IFERROR(VLOOKUP($B23&amp;$C23,'C. Gestión Pto #1'!$B$4:J$17,MATCH(K$5,'C. Gestión Pto #1'!$B$4:J$4,0),FALSE),0)</f>
        <v>0</v>
      </c>
      <c r="L23" s="261">
        <f>IFERROR(VLOOKUP($B23&amp;$C23,'C. Gestión Pto #1'!$B$4:K$17,MATCH(L$5,'C. Gestión Pto #1'!$B$4:K$4,0),FALSE),0)</f>
        <v>2134429.8361698673</v>
      </c>
      <c r="M23" s="261">
        <f>IFERROR(VLOOKUP($B23&amp;$C23,'C. Gestión Pto #1'!$B$4:L$17,MATCH(M$5,'C. Gestión Pto #1'!$B$4:L$4,0),FALSE),0)</f>
        <v>0</v>
      </c>
      <c r="N23" s="261">
        <f>IFERROR(VLOOKUP($B23&amp;$C23,'C. Gestión Pto #1'!$B$4:M$17,MATCH(N$5,'C. Gestión Pto #1'!$B$4:M$4,0),FALSE),0)</f>
        <v>0</v>
      </c>
      <c r="O23" s="261">
        <f>IFERROR(VLOOKUP($B23&amp;$C23,'C. Gestión Pto #1'!$B$4:N$17,MATCH(O$5,'C. Gestión Pto #1'!$B$4:N$4,0),FALSE),0)</f>
        <v>0</v>
      </c>
      <c r="P23" s="261">
        <f>IFERROR(VLOOKUP($B23&amp;$C23,'C. Gestión Pto #1'!$B$4:O$17,MATCH(P$5,'C. Gestión Pto #1'!$B$4:O$4,0),FALSE),0)</f>
        <v>0</v>
      </c>
      <c r="Q23" s="261">
        <f>IFERROR(VLOOKUP($B23&amp;$C23,'C. Gestión Pto #1'!$B$4:P$17,MATCH(Q$5,'C. Gestión Pto #1'!$B$4:P$4,0),FALSE),0)</f>
        <v>0</v>
      </c>
      <c r="R23" s="261">
        <f>IFERROR(VLOOKUP($B23&amp;$C23,'C. Gestión Pto #1'!$B$4:Q$17,MATCH(R$5,'C. Gestión Pto #1'!$B$4:Q$4,0),FALSE),0)</f>
        <v>0</v>
      </c>
      <c r="S23" s="261">
        <f>IFERROR(VLOOKUP($B23&amp;$C23,'C. Gestión Pto #1'!$B$4:R$17,MATCH(S$5,'C. Gestión Pto #1'!$B$4:R$4,0),FALSE),0)</f>
        <v>0</v>
      </c>
      <c r="T23" s="261">
        <f>IFERROR(VLOOKUP($B23&amp;$C23,'C. Gestión Pto #1'!$B$4:S$17,MATCH(T$5,'C. Gestión Pto #1'!$B$4:S$4,0),FALSE),0)</f>
        <v>0</v>
      </c>
      <c r="U23" s="313"/>
      <c r="V23" s="261" cm="1">
        <f t="array" ref="V23">SUMPRODUCT($D23:$U23,TRANSPOSE('Indice CAC'!$C$10:$C$27))</f>
        <v>2518003.6826099157</v>
      </c>
      <c r="W23" s="314"/>
      <c r="X23" s="261">
        <f>IF($C23="MAT",SUMIF('Pto. Costos'!$A$9:$A$57,'Resumen Pto #1'!$B23,'Pto. Costos'!$G$9:$G$57),IF($C23="MO",SUMIF('Pto. Costos'!$A$9:$A$57,'Resumen Pto #1'!$B23,'Pto. Costos'!$I$9:$I$57),SUMIF('Pto. Costos'!$A$9:$A$57,'Resumen Pto #1'!$B23,'Pto. Costos'!$L$9:$L$57)))</f>
        <v>13017985.820531104</v>
      </c>
      <c r="Y23" s="978">
        <f>IF(C23="MAT",SUMIF('Pto. 01 Cert.'!$A$10:$A$57,$B23,'Pto. 01 Cert.'!$T$10:$T$57),IF(C23="MO",SUMIF('Pto. 01 Cert.'!$A$10:$A$57,$B23,'Pto. 01 Cert.'!$U$10:$U$57),SUMIF('Pto. 01 Cert.'!$A$10:$A$57,$B23,'Pto. 01 Cert.'!$V$10:$V$57)))/IF(C23="MAT",SUMIF('Pto. 01 Cert.'!$A$10:$A$57,$B23,'Pto. 01 Cert.'!$I$10:$I$57),IF(C23="MO",SUMIF('Pto. 01 Cert.'!$A$10:$A$57,$B23,'Pto. 01 Cert.'!$J$10:$J$57),SUMIF('Pto. 01 Cert.'!$A$10:$A$57,$B23,'Pto. 01 Cert.'!$K$10:$K$57)))</f>
        <v>1</v>
      </c>
      <c r="Z23" s="323">
        <f t="shared" si="14"/>
        <v>0</v>
      </c>
      <c r="AA23" s="311">
        <f t="shared" si="16"/>
        <v>0</v>
      </c>
      <c r="AB23" s="323">
        <f t="shared" si="15"/>
        <v>10499982.137921188</v>
      </c>
      <c r="AD23" s="315"/>
    </row>
    <row r="24" spans="2:31" x14ac:dyDescent="0.35">
      <c r="B24" s="66" t="s">
        <v>177</v>
      </c>
      <c r="C24" s="203"/>
      <c r="D24" s="261">
        <f>IFERROR(VLOOKUP($B24&amp;$C24,'C. Gestión Pto #1'!$B$4:C$17,MATCH(D$5,'C. Gestión Pto #1'!$B$4:C$4,0),FALSE),0)</f>
        <v>296509.21399999998</v>
      </c>
      <c r="E24" s="261">
        <f>IFERROR(VLOOKUP($B24&amp;$C24,'C. Gestión Pto #1'!$B$4:D$17,MATCH(E$5,'C. Gestión Pto #1'!$B$4:D$4,0),FALSE),0)</f>
        <v>257327.67300000001</v>
      </c>
      <c r="F24" s="261">
        <f>IFERROR(VLOOKUP($B24&amp;$C24,'C. Gestión Pto #1'!$B$4:E$17,MATCH(F$5,'C. Gestión Pto #1'!$B$4:E$4,0),FALSE),0)</f>
        <v>257327.67300000001</v>
      </c>
      <c r="G24" s="261">
        <f>IFERROR(VLOOKUP($B24&amp;$C24,'C. Gestión Pto #1'!$B$4:F$17,MATCH(G$5,'C. Gestión Pto #1'!$B$4:F$4,0),FALSE),0)</f>
        <v>290739.62964016676</v>
      </c>
      <c r="H24" s="261">
        <f>IFERROR(VLOOKUP($B24&amp;$C24,'C. Gestión Pto #1'!$B$4:G$17,MATCH(H$5,'C. Gestión Pto #1'!$B$4:G$4,0),FALSE),0)</f>
        <v>296307.18208431051</v>
      </c>
      <c r="I24" s="261">
        <f>IFERROR(VLOOKUP($B24&amp;$C24,'C. Gestión Pto #1'!$B$4:H$17,MATCH(I$5,'C. Gestión Pto #1'!$B$4:H$4,0),FALSE),0)</f>
        <v>301650.01405171939</v>
      </c>
      <c r="J24" s="261">
        <f>IFERROR(VLOOKUP($B24&amp;$C24,'C. Gestión Pto #1'!$B$4:I$17,MATCH(J$5,'C. Gestión Pto #1'!$B$4:I$4,0),FALSE),0)</f>
        <v>315509.70330748591</v>
      </c>
      <c r="K24" s="261">
        <f>IFERROR(VLOOKUP($B24&amp;$C24,'C. Gestión Pto #1'!$B$4:J$17,MATCH(K$5,'C. Gestión Pto #1'!$B$4:J$4,0),FALSE),0)</f>
        <v>525701.05021261831</v>
      </c>
      <c r="L24" s="261">
        <f>IFERROR(VLOOKUP($B24&amp;$C24,'C. Gestión Pto #1'!$B$4:K$17,MATCH(L$5,'C. Gestión Pto #1'!$B$4:K$4,0),FALSE),0)</f>
        <v>562300.63181674632</v>
      </c>
      <c r="M24" s="261">
        <f>IFERROR(VLOOKUP($B24&amp;$C24,'C. Gestión Pto #1'!$B$4:L$17,MATCH(M$5,'C. Gestión Pto #1'!$B$4:L$4,0),FALSE),0)</f>
        <v>589101.03886858781</v>
      </c>
      <c r="N24" s="261">
        <f>IFERROR(VLOOKUP($B24&amp;$C24,'C. Gestión Pto #1'!$B$4:M$17,MATCH(N$5,'C. Gestión Pto #1'!$B$4:M$4,0),FALSE),0)</f>
        <v>574796.93957693304</v>
      </c>
      <c r="O24" s="261">
        <f>IFERROR(VLOOKUP($B24&amp;$C24,'C. Gestión Pto #1'!$B$4:N$17,MATCH(O$5,'C. Gestión Pto #1'!$B$4:N$4,0),FALSE),0)</f>
        <v>0</v>
      </c>
      <c r="P24" s="261">
        <f>IFERROR(VLOOKUP($B24&amp;$C24,'C. Gestión Pto #1'!$B$4:O$17,MATCH(P$5,'C. Gestión Pto #1'!$B$4:O$4,0),FALSE),0)</f>
        <v>0</v>
      </c>
      <c r="Q24" s="261">
        <f>IFERROR(VLOOKUP($B24&amp;$C24,'C. Gestión Pto #1'!$B$4:P$17,MATCH(Q$5,'C. Gestión Pto #1'!$B$4:P$4,0),FALSE),0)</f>
        <v>0</v>
      </c>
      <c r="R24" s="261">
        <f>IFERROR(VLOOKUP($B24&amp;$C24,'C. Gestión Pto #1'!$B$4:Q$17,MATCH(R$5,'C. Gestión Pto #1'!$B$4:Q$4,0),FALSE),0)</f>
        <v>0</v>
      </c>
      <c r="S24" s="261">
        <f>IFERROR(VLOOKUP($B24&amp;$C24,'C. Gestión Pto #1'!$B$4:R$17,MATCH(S$5,'C. Gestión Pto #1'!$B$4:R$4,0),FALSE),0)</f>
        <v>0</v>
      </c>
      <c r="T24" s="261">
        <f>IFERROR(VLOOKUP($B24&amp;$C24,'C. Gestión Pto #1'!$B$4:S$17,MATCH(T$5,'C. Gestión Pto #1'!$B$4:S$4,0),FALSE),0)</f>
        <v>0</v>
      </c>
      <c r="U24" s="313"/>
      <c r="V24" s="261" cm="1">
        <f t="array" ref="V24">SUMPRODUCT($D24:$U24,TRANSPOSE('Indice CAC'!$C$10:$C$27))</f>
        <v>3585696.7452376508</v>
      </c>
      <c r="W24" s="314"/>
      <c r="X24" s="261">
        <f>IF($C24="MAT",SUMIF('Pto. Costos'!$A$9:$A$57,'Resumen Pto #1'!$B24,'Pto. Costos'!$G$9:$G$57),IF($C24="MO",SUMIF('Pto. Costos'!$A$9:$A$57,'Resumen Pto #1'!$B24,'Pto. Costos'!$I$9:$I$57),SUMIF('Pto. Costos'!$A$9:$A$57,"",'Pto. Costos'!$K$9:$K$57)))</f>
        <v>12019074.06731751</v>
      </c>
      <c r="Y24" s="978">
        <f>'Pto. 01 Cert.'!$S$58/'Pto. 01 Cert.'!$L$58</f>
        <v>1.0029914379138647</v>
      </c>
      <c r="Z24" s="323">
        <f t="shared" si="14"/>
        <v>8433377.3220798597</v>
      </c>
      <c r="AA24" s="311">
        <f t="shared" si="16"/>
        <v>0.70166614123895421</v>
      </c>
      <c r="AB24" s="323">
        <f t="shared" si="15"/>
        <v>0</v>
      </c>
    </row>
    <row r="25" spans="2:31" x14ac:dyDescent="0.35">
      <c r="B25" s="242" t="s">
        <v>103</v>
      </c>
      <c r="C25" s="942"/>
      <c r="D25" s="261">
        <f>IFERROR(VLOOKUP($B25&amp;$C25,'C. Gestión Pto #1'!$B$4:C$17,MATCH(D$5,'C. Gestión Pto #1'!$B$4:C$4,0),FALSE),0)</f>
        <v>0</v>
      </c>
      <c r="E25" s="261">
        <f>IFERROR(VLOOKUP($B25&amp;$C25,'C. Gestión Pto #1'!$B$4:D$17,MATCH(E$5,'C. Gestión Pto #1'!$B$4:D$4,0),FALSE),0)</f>
        <v>165000</v>
      </c>
      <c r="F25" s="261">
        <f>IFERROR(VLOOKUP($B25&amp;$C25,'C. Gestión Pto #1'!$B$4:E$17,MATCH(F$5,'C. Gestión Pto #1'!$B$4:E$4,0),FALSE),0)</f>
        <v>80000</v>
      </c>
      <c r="G25" s="261">
        <f>IFERROR(VLOOKUP($B25&amp;$C25,'C. Gestión Pto #1'!$B$4:F$17,MATCH(G$5,'C. Gestión Pto #1'!$B$4:F$4,0),FALSE),0)</f>
        <v>237000</v>
      </c>
      <c r="H25" s="261">
        <f>IFERROR(VLOOKUP($B25&amp;$C25,'C. Gestión Pto #1'!$B$4:G$17,MATCH(H$5,'C. Gestión Pto #1'!$B$4:G$4,0),FALSE),0)</f>
        <v>337000</v>
      </c>
      <c r="I25" s="261">
        <f>IFERROR(VLOOKUP($B25&amp;$C25,'C. Gestión Pto #1'!$B$4:H$17,MATCH(I$5,'C. Gestión Pto #1'!$B$4:H$4,0),FALSE),0)</f>
        <v>543000</v>
      </c>
      <c r="J25" s="261">
        <f>IFERROR(VLOOKUP($B25&amp;$C25,'C. Gestión Pto #1'!$B$4:I$17,MATCH(J$5,'C. Gestión Pto #1'!$B$4:I$4,0),FALSE),0)</f>
        <v>256958.68</v>
      </c>
      <c r="K25" s="261">
        <f>IFERROR(VLOOKUP($B25&amp;$C25,'C. Gestión Pto #1'!$B$4:J$17,MATCH(K$5,'C. Gestión Pto #1'!$B$4:J$4,0),FALSE),0)</f>
        <v>425200</v>
      </c>
      <c r="L25" s="261">
        <f>IFERROR(VLOOKUP($B25&amp;$C25,'C. Gestión Pto #1'!$B$4:K$17,MATCH(L$5,'C. Gestión Pto #1'!$B$4:K$4,0),FALSE),0)</f>
        <v>246000</v>
      </c>
      <c r="M25" s="261">
        <f>IFERROR(VLOOKUP($B25&amp;$C25,'C. Gestión Pto #1'!$B$4:L$17,MATCH(M$5,'C. Gestión Pto #1'!$B$4:L$4,0),FALSE),0)</f>
        <v>479500</v>
      </c>
      <c r="N25" s="261">
        <f>IFERROR(VLOOKUP($B25&amp;$C25,'C. Gestión Pto #1'!$B$4:M$17,MATCH(N$5,'C. Gestión Pto #1'!$B$4:M$4,0),FALSE),0)</f>
        <v>0</v>
      </c>
      <c r="O25" s="261">
        <f>IFERROR(VLOOKUP($B25&amp;$C25,'C. Gestión Pto #1'!$B$4:N$17,MATCH(O$5,'C. Gestión Pto #1'!$B$4:N$4,0),FALSE),0)</f>
        <v>0</v>
      </c>
      <c r="P25" s="261">
        <f>IFERROR(VLOOKUP($B25&amp;$C25,'C. Gestión Pto #1'!$B$4:O$17,MATCH(P$5,'C. Gestión Pto #1'!$B$4:O$4,0),FALSE),0)</f>
        <v>1142857.1400000001</v>
      </c>
      <c r="Q25" s="261">
        <f>IFERROR(VLOOKUP($B25&amp;$C25,'C. Gestión Pto #1'!$B$4:P$17,MATCH(Q$5,'C. Gestión Pto #1'!$B$4:P$4,0),FALSE),0)</f>
        <v>26363.64</v>
      </c>
      <c r="R25" s="261">
        <f>IFERROR(VLOOKUP($B25&amp;$C25,'C. Gestión Pto #1'!$B$4:Q$17,MATCH(R$5,'C. Gestión Pto #1'!$B$4:Q$4,0),FALSE),0)</f>
        <v>925142.86</v>
      </c>
      <c r="S25" s="261">
        <f>IFERROR(VLOOKUP($B25&amp;$C25,'C. Gestión Pto #1'!$B$4:R$17,MATCH(S$5,'C. Gestión Pto #1'!$B$4:R$4,0),FALSE),0)</f>
        <v>0</v>
      </c>
      <c r="T25" s="261">
        <f>IFERROR(VLOOKUP($B25&amp;$C25,'C. Gestión Pto #1'!$B$4:S$17,MATCH(T$5,'C. Gestión Pto #1'!$B$4:S$4,0),FALSE),0)</f>
        <v>0</v>
      </c>
      <c r="U25" s="313"/>
      <c r="V25" s="261" cm="1">
        <f t="array" ref="V25">SUMPRODUCT($D25:$U25,TRANSPOSE('Indice CAC'!$C$10:$C$27))</f>
        <v>3889372.5854731775</v>
      </c>
      <c r="W25" s="314"/>
      <c r="X25" s="261">
        <f>IF($C25="MAT",SUMIF('Pto. Costos'!$A$9:$A$57,'Resumen Pto #1'!$B25,'Pto. Costos'!$G$9:$G$57),IF($C25="MO",SUMIF('Pto. Costos'!$A$9:$A$57,'Resumen Pto #1'!$B25,'Pto. Costos'!$I$9:$I$57),SUMIF('Pto. Costos'!$A$9:$A$57,'Resumen Pto #1'!$B25,'Pto. Costos'!$L$9:$L$57)))</f>
        <v>2875034.6117211282</v>
      </c>
      <c r="Y25" s="978">
        <f>IF(C25="MAT",SUMIF('Pto. 01 Cert.'!$A$10:$A$57,$B25,'Pto. 01 Cert.'!$T$10:$T$57),IF(C25="MO",SUMIF('Pto. 01 Cert.'!$A$10:$A$57,$B25,'Pto. 01 Cert.'!$U$10:$U$57),SUMIF('Pto. 01 Cert.'!$A$10:$A$57,$B25,'Pto. 01 Cert.'!$V$10:$V$57)))/IF(C25="MAT",SUMIF('Pto. 01 Cert.'!$A$10:$A$57,$B25,'Pto. 01 Cert.'!$I$10:$I$57),IF(C25="MO",SUMIF('Pto. 01 Cert.'!$A$10:$A$57,$B25,'Pto. 01 Cert.'!$J$10:$J$57),SUMIF('Pto. 01 Cert.'!$A$10:$A$57,$B25,'Pto. 01 Cert.'!$K$10:$K$57)))</f>
        <v>1</v>
      </c>
      <c r="Z25" s="323">
        <f t="shared" si="14"/>
        <v>0</v>
      </c>
      <c r="AA25" s="311">
        <f t="shared" si="16"/>
        <v>0</v>
      </c>
      <c r="AB25" s="323">
        <f t="shared" si="15"/>
        <v>-1014337.9737520493</v>
      </c>
    </row>
    <row r="26" spans="2:31" x14ac:dyDescent="0.35">
      <c r="B26" s="897" t="s">
        <v>40</v>
      </c>
      <c r="C26" s="898"/>
      <c r="D26" s="296">
        <f>SUM(D13:D25)</f>
        <v>2791690.9040000001</v>
      </c>
      <c r="E26" s="296">
        <f>SUM(E13:E25)</f>
        <v>19290264.173</v>
      </c>
      <c r="F26" s="296">
        <f>SUM(F13:F25)</f>
        <v>15080679.703</v>
      </c>
      <c r="G26" s="296">
        <f t="shared" ref="G26:H26" si="17">SUM(G13:G25)</f>
        <v>36876762.08964017</v>
      </c>
      <c r="H26" s="296">
        <f t="shared" si="17"/>
        <v>33325537.281276293</v>
      </c>
      <c r="I26" s="296">
        <f t="shared" ref="I26:J26" si="18">SUM(I13:I25)</f>
        <v>37246118.714201532</v>
      </c>
      <c r="J26" s="296">
        <f t="shared" si="18"/>
        <v>32724495.153307486</v>
      </c>
      <c r="K26" s="296">
        <f t="shared" ref="K26:L26" si="19">SUM(K13:K25)</f>
        <v>40312889.490212619</v>
      </c>
      <c r="L26" s="296">
        <f t="shared" si="19"/>
        <v>36386886.167779841</v>
      </c>
      <c r="M26" s="296">
        <f t="shared" ref="M26:N26" si="20">SUM(M13:M25)</f>
        <v>41822702.004755102</v>
      </c>
      <c r="N26" s="296">
        <f t="shared" si="20"/>
        <v>37625910.412910335</v>
      </c>
      <c r="O26" s="296">
        <f t="shared" ref="O26:P26" si="21">SUM(O13:O25)</f>
        <v>31362630.972109251</v>
      </c>
      <c r="P26" s="296">
        <f t="shared" si="21"/>
        <v>29574964.451198008</v>
      </c>
      <c r="Q26" s="296">
        <f t="shared" ref="Q26:R26" si="22">SUM(Q13:Q25)</f>
        <v>19446560.764189884</v>
      </c>
      <c r="R26" s="296">
        <f t="shared" si="22"/>
        <v>13761770.137170907</v>
      </c>
      <c r="S26" s="296">
        <f t="shared" ref="S26:T26" si="23">SUM(S13:S25)</f>
        <v>10731087.921285929</v>
      </c>
      <c r="T26" s="296">
        <f t="shared" si="23"/>
        <v>7793473.3095860975</v>
      </c>
      <c r="U26" s="302"/>
      <c r="V26" s="303">
        <f>SUM(V13:V25)</f>
        <v>364025723.10651487</v>
      </c>
      <c r="W26" s="314"/>
      <c r="X26" s="303">
        <f>SUM(X13:X25)</f>
        <v>316040633.57781053</v>
      </c>
      <c r="Y26" s="979"/>
      <c r="Z26" s="1289">
        <f t="shared" si="14"/>
        <v>-47985089.528704345</v>
      </c>
      <c r="AA26" s="311">
        <f>IF(OR(Z26&lt;0,X26),Z26/X26,0%)</f>
        <v>-0.15183202547557928</v>
      </c>
      <c r="AB26" s="1289">
        <f>SUM(AB13:AB25)</f>
        <v>-56418466.850784257</v>
      </c>
    </row>
    <row r="27" spans="2:31" x14ac:dyDescent="0.35">
      <c r="B27" s="182"/>
      <c r="C27" s="182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8"/>
      <c r="W27" s="319"/>
      <c r="X27" s="318">
        <f>X26-'Pto. Costos'!M244</f>
        <v>0</v>
      </c>
      <c r="Y27" s="318"/>
      <c r="Z27" s="319"/>
      <c r="AA27" s="319"/>
      <c r="AB27" s="319"/>
    </row>
    <row r="28" spans="2:31" x14ac:dyDescent="0.35">
      <c r="B28" s="195" t="s">
        <v>72</v>
      </c>
      <c r="C28" s="182"/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8"/>
      <c r="W28" s="319"/>
      <c r="X28" s="318"/>
      <c r="Y28" s="318"/>
      <c r="Z28" s="319"/>
      <c r="AA28" s="319"/>
      <c r="AB28" s="319"/>
    </row>
    <row r="29" spans="2:31" x14ac:dyDescent="0.35">
      <c r="B29" s="66" t="s">
        <v>41</v>
      </c>
      <c r="C29" s="196"/>
      <c r="D29" s="261">
        <f>VLOOKUP($B29,'C. Gestión Pto #1'!$B$34:L$34,MATCH('Resumen Pto #1'!D$5,'C. Gestión Pto #1'!$B$20:L$20,0),0)</f>
        <v>966547.1399999999</v>
      </c>
      <c r="E29" s="261">
        <f>VLOOKUP($B29,'C. Gestión Pto #1'!$B$34:M$34,MATCH('Resumen Pto #1'!E$5,'C. Gestión Pto #1'!$B$20:M$20,0),0)</f>
        <v>724628.2356713491</v>
      </c>
      <c r="F29" s="261">
        <f>VLOOKUP($B29,'C. Gestión Pto #1'!$B$34:N$34,MATCH('Resumen Pto #1'!F$5,'C. Gestión Pto #1'!$B$20:N$20,0),0)</f>
        <v>2047489.7001451103</v>
      </c>
      <c r="G29" s="261">
        <f>VLOOKUP($B29,'C. Gestión Pto #1'!$B$34:O$34,MATCH('Resumen Pto #1'!G$5,'C. Gestión Pto #1'!$B$20:O$20,0),0)</f>
        <v>1556001.8016557195</v>
      </c>
      <c r="H29" s="261">
        <f>VLOOKUP($B29,'C. Gestión Pto #1'!$B$34:P$34,MATCH('Resumen Pto #1'!H$5,'C. Gestión Pto #1'!$B$20:P$20,0),0)</f>
        <v>1451425.433598517</v>
      </c>
      <c r="I29" s="261">
        <f>VLOOKUP($B29,'C. Gestión Pto #1'!$B$34:Q$34,MATCH('Resumen Pto #1'!I$5,'C. Gestión Pto #1'!$B$20:Q$20,0),0)</f>
        <v>1216663.4111168066</v>
      </c>
      <c r="J29" s="261">
        <f>VLOOKUP($B29,'C. Gestión Pto #1'!$B$34:R$34,MATCH('Resumen Pto #1'!J$5,'C. Gestión Pto #1'!$B$20:R$20,0),0)</f>
        <v>2128961.2764487746</v>
      </c>
      <c r="K29" s="261">
        <f>VLOOKUP($B29,'C. Gestión Pto #1'!$B$34:S$34,MATCH('Resumen Pto #1'!K$5,'C. Gestión Pto #1'!$B$20:S$20,0),0)</f>
        <v>3072710.2924198997</v>
      </c>
      <c r="L29" s="261">
        <f>VLOOKUP($B29,'C. Gestión Pto #1'!$B$34:T$34,MATCH('Resumen Pto #1'!L$5,'C. Gestión Pto #1'!$B$20:T$20,0),0)</f>
        <v>2114569.6947973249</v>
      </c>
      <c r="M29" s="261">
        <f>VLOOKUP($B29,'C. Gestión Pto #1'!$B$34:U$34,MATCH('Resumen Pto #1'!M$5,'C. Gestión Pto #1'!$B$20:U$20,0),0)</f>
        <v>2962726.9263457083</v>
      </c>
      <c r="N29" s="261">
        <f>VLOOKUP($B29,'C. Gestión Pto #1'!$B$34:V$34,MATCH('Resumen Pto #1'!N$5,'C. Gestión Pto #1'!$B$20:V$20,0),0)</f>
        <v>2897224.5461486001</v>
      </c>
      <c r="O29" s="261">
        <f>VLOOKUP($B29,'C. Gestión Pto #1'!$B$34:W$34,MATCH('Resumen Pto #1'!O$5,'C. Gestión Pto #1'!$B$20:W$20,0),0)</f>
        <v>0</v>
      </c>
      <c r="P29" s="261">
        <f>VLOOKUP($B29,'C. Gestión Pto #1'!$B$34:X$34,MATCH('Resumen Pto #1'!P$5,'C. Gestión Pto #1'!$B$20:X$20,0),0)</f>
        <v>0</v>
      </c>
      <c r="Q29" s="261">
        <f>VLOOKUP($B29,'C. Gestión Pto #1'!$B$34:Y$34,MATCH('Resumen Pto #1'!Q$5,'C. Gestión Pto #1'!$B$20:Y$20,0),0)</f>
        <v>0</v>
      </c>
      <c r="R29" s="261">
        <f>VLOOKUP($B29,'C. Gestión Pto #1'!$B$34:Z$34,MATCH('Resumen Pto #1'!R$5,'C. Gestión Pto #1'!$B$20:Z$20,0),0)</f>
        <v>0</v>
      </c>
      <c r="S29" s="261">
        <f>VLOOKUP($B29,'C. Gestión Pto #1'!$B$34:AA$34,MATCH('Resumen Pto #1'!S$5,'C. Gestión Pto #1'!$B$20:AA$20,0),0)</f>
        <v>0</v>
      </c>
      <c r="T29" s="261">
        <f>VLOOKUP($B29,'C. Gestión Pto #1'!$B$34:AB$34,MATCH('Resumen Pto #1'!T$5,'C. Gestión Pto #1'!$B$20:AB$20,0),0)</f>
        <v>0</v>
      </c>
      <c r="U29" s="313"/>
      <c r="V29" s="261" cm="1">
        <f t="array" ref="V29">SUMPRODUCT($D29:$U29,TRANSPOSE('Indice CAC'!$C$10:$C$27))</f>
        <v>17746523.279158741</v>
      </c>
      <c r="X29" s="261">
        <f>SUM(GGBB!H7:H40)*'Pto. Vta.'!N242</f>
        <v>20045879.540102843</v>
      </c>
      <c r="Y29" s="978">
        <f>'Pto. 01 Cert.'!$S$58/'Pto. 01 Cert.'!$L$58</f>
        <v>1.0029914379138647</v>
      </c>
      <c r="Z29" s="323">
        <f>IF(Y29=100%,0,IF(OR(V29&lt;&gt;0,X29),X29-V29))</f>
        <v>2299356.260944102</v>
      </c>
      <c r="AA29" s="311">
        <f>IF(OR(Z29&lt;0,X29),Z29/X29,0%)</f>
        <v>0.11470468314169593</v>
      </c>
      <c r="AB29" s="323">
        <f t="shared" ref="AB29:AB30" si="24">IF(Y29=100%,IF(OR(V29&lt;&gt;0,X29),X29-V29),0)</f>
        <v>0</v>
      </c>
    </row>
    <row r="30" spans="2:31" x14ac:dyDescent="0.35">
      <c r="B30" s="66" t="s">
        <v>42</v>
      </c>
      <c r="C30" s="196"/>
      <c r="D30" s="261">
        <f>VLOOKUP($B30,'C. Gestión Pto #1'!$B$39:L$39,MATCH('Resumen Pto #1'!D$5,'C. Gestión Pto #1'!$B$36:L$36,0),0)</f>
        <v>1825790.2788300635</v>
      </c>
      <c r="E30" s="261">
        <f>VLOOKUP($B30,'C. Gestión Pto #1'!$B$39:M$39,MATCH('Resumen Pto #1'!E$5,'C. Gestión Pto #1'!$B$36:M$36,0),0)</f>
        <v>1368018.79</v>
      </c>
      <c r="F30" s="261">
        <f>VLOOKUP($B30,'C. Gestión Pto #1'!$B$39:N$39,MATCH('Resumen Pto #1'!F$5,'C. Gestión Pto #1'!$B$36:N$36,0),0)</f>
        <v>2137192</v>
      </c>
      <c r="G30" s="261">
        <f>VLOOKUP($B30,'C. Gestión Pto #1'!$B$39:O$39,MATCH('Resumen Pto #1'!G$5,'C. Gestión Pto #1'!$B$36:O$36,0),0)</f>
        <v>2169029.3109897091</v>
      </c>
      <c r="H30" s="261">
        <f>VLOOKUP($B30,'C. Gestión Pto #1'!$B$39:P$39,MATCH('Resumen Pto #1'!H$5,'C. Gestión Pto #1'!$B$36:P$36,0),0)</f>
        <v>1800256.2010195877</v>
      </c>
      <c r="I30" s="261">
        <f>VLOOKUP($B30,'C. Gestión Pto #1'!$B$39:Q$39,MATCH('Resumen Pto #1'!I$5,'C. Gestión Pto #1'!$B$36:Q$36,0),0)</f>
        <v>2949259.0807494661</v>
      </c>
      <c r="J30" s="261">
        <f>VLOOKUP($B30,'C. Gestión Pto #1'!$B$39:R$39,MATCH('Resumen Pto #1'!J$5,'C. Gestión Pto #1'!$B$36:R$36,0),0)</f>
        <v>1800256.2010195877</v>
      </c>
      <c r="K30" s="261">
        <f>VLOOKUP($B30,'C. Gestión Pto #1'!$B$39:S$39,MATCH('Resumen Pto #1'!K$5,'C. Gestión Pto #1'!$B$36:S$36,0),0)</f>
        <v>2235375.3423326667</v>
      </c>
      <c r="L30" s="261">
        <f>VLOOKUP($B30,'C. Gestión Pto #1'!$B$39:T$39,MATCH('Resumen Pto #1'!L$5,'C. Gestión Pto #1'!$B$36:T$36,0),0)</f>
        <v>3075477.5714285825</v>
      </c>
      <c r="M30" s="261">
        <f>VLOOKUP($B30,'C. Gestión Pto #1'!$B$39:U$39,MATCH('Resumen Pto #1'!M$5,'C. Gestión Pto #1'!$B$36:U$36,0),0)</f>
        <v>2221900.661009687</v>
      </c>
      <c r="N30" s="261">
        <f>VLOOKUP($B30,'C. Gestión Pto #1'!$B$39:V$39,MATCH('Resumen Pto #1'!N$5,'C. Gestión Pto #1'!$B$36:V$36,0),0)</f>
        <v>2220557.7548999996</v>
      </c>
      <c r="O30" s="261">
        <f>VLOOKUP($B30,'C. Gestión Pto #1'!$B$39:W$39,MATCH('Resumen Pto #1'!O$5,'C. Gestión Pto #1'!$B$36:W$36,0),0)</f>
        <v>0</v>
      </c>
      <c r="P30" s="261">
        <f>VLOOKUP($B30,'C. Gestión Pto #1'!$B$39:X$39,MATCH('Resumen Pto #1'!P$5,'C. Gestión Pto #1'!$B$36:X$36,0),0)</f>
        <v>0</v>
      </c>
      <c r="Q30" s="261">
        <f>VLOOKUP($B30,'C. Gestión Pto #1'!$B$39:Y$39,MATCH('Resumen Pto #1'!Q$5,'C. Gestión Pto #1'!$B$36:Y$36,0),0)</f>
        <v>0</v>
      </c>
      <c r="R30" s="261">
        <f>VLOOKUP($B30,'C. Gestión Pto #1'!$B$39:Z$39,MATCH('Resumen Pto #1'!R$5,'C. Gestión Pto #1'!$B$36:Z$36,0),0)</f>
        <v>0</v>
      </c>
      <c r="S30" s="261">
        <f>VLOOKUP($B30,'C. Gestión Pto #1'!$B$39:AA$39,MATCH('Resumen Pto #1'!S$5,'C. Gestión Pto #1'!$B$36:AA$36,0),0)</f>
        <v>0</v>
      </c>
      <c r="T30" s="261">
        <f>VLOOKUP($B30,'C. Gestión Pto #1'!$B$39:AB$39,MATCH('Resumen Pto #1'!T$5,'C. Gestión Pto #1'!$B$36:AB$36,0),0)</f>
        <v>0</v>
      </c>
      <c r="U30" s="313"/>
      <c r="V30" s="261" cm="1">
        <f t="array" ref="V30">SUMPRODUCT($D30:$U30,TRANSPOSE('Indice CAC'!$C$10:$C$27))</f>
        <v>20231062.760156605</v>
      </c>
      <c r="X30" s="261">
        <f>SUM(GGBB!H41:H47)*'Pto. Vta.'!N242</f>
        <v>21358198.123865429</v>
      </c>
      <c r="Y30" s="978">
        <f>'Pto. 01 Cert.'!$S$58/'Pto. 01 Cert.'!$L$58</f>
        <v>1.0029914379138647</v>
      </c>
      <c r="Z30" s="323">
        <f t="shared" ref="Z30:Z31" si="25">IF(Y30=100%,0,IF(OR(V30&lt;&gt;0,X30),X30-V30))</f>
        <v>1127135.3637088239</v>
      </c>
      <c r="AA30" s="311">
        <f t="shared" ref="AA30" si="26">IF(OR(Z30&lt;0,X30),Z30/X30,0%)</f>
        <v>5.2772961331853857E-2</v>
      </c>
      <c r="AB30" s="323">
        <f t="shared" si="24"/>
        <v>0</v>
      </c>
    </row>
    <row r="31" spans="2:31" x14ac:dyDescent="0.35">
      <c r="B31" s="897" t="s">
        <v>43</v>
      </c>
      <c r="C31" s="898"/>
      <c r="D31" s="296">
        <f t="shared" ref="D31:I31" si="27">SUM(D29:D30)</f>
        <v>2792337.4188300632</v>
      </c>
      <c r="E31" s="296">
        <f t="shared" si="27"/>
        <v>2092647.0256713491</v>
      </c>
      <c r="F31" s="296">
        <f t="shared" si="27"/>
        <v>4184681.7001451105</v>
      </c>
      <c r="G31" s="296">
        <f t="shared" si="27"/>
        <v>3725031.1126454286</v>
      </c>
      <c r="H31" s="296">
        <f t="shared" si="27"/>
        <v>3251681.6346181044</v>
      </c>
      <c r="I31" s="296">
        <f t="shared" si="27"/>
        <v>4165922.4918662729</v>
      </c>
      <c r="J31" s="296">
        <f t="shared" ref="J31:K31" si="28">SUM(J29:J30)</f>
        <v>3929217.4774683621</v>
      </c>
      <c r="K31" s="296">
        <f t="shared" si="28"/>
        <v>5308085.634752566</v>
      </c>
      <c r="L31" s="296">
        <f t="shared" ref="L31:M31" si="29">SUM(L29:L30)</f>
        <v>5190047.266225908</v>
      </c>
      <c r="M31" s="296">
        <f t="shared" si="29"/>
        <v>5184627.5873553958</v>
      </c>
      <c r="N31" s="296">
        <f t="shared" ref="N31:P31" si="30">SUM(N29:N30)</f>
        <v>5117782.3010485992</v>
      </c>
      <c r="O31" s="296">
        <f t="shared" si="30"/>
        <v>0</v>
      </c>
      <c r="P31" s="296">
        <f t="shared" si="30"/>
        <v>0</v>
      </c>
      <c r="Q31" s="296">
        <f t="shared" ref="Q31:R31" si="31">SUM(Q29:Q30)</f>
        <v>0</v>
      </c>
      <c r="R31" s="296">
        <f t="shared" si="31"/>
        <v>0</v>
      </c>
      <c r="S31" s="296">
        <f t="shared" ref="S31:T31" si="32">SUM(S29:S30)</f>
        <v>0</v>
      </c>
      <c r="T31" s="296">
        <f t="shared" si="32"/>
        <v>0</v>
      </c>
      <c r="U31" s="302"/>
      <c r="V31" s="296">
        <f>SUM(V29:V30)</f>
        <v>37977586.039315343</v>
      </c>
      <c r="X31" s="296">
        <f>SUM(X29:X30)</f>
        <v>41404077.663968273</v>
      </c>
      <c r="Z31" s="303">
        <f t="shared" si="25"/>
        <v>3426491.6246529296</v>
      </c>
      <c r="AA31" s="311">
        <f>IF(OR(Z31&lt;0,X31),Z31/X31,0%)</f>
        <v>8.2757347053158001E-2</v>
      </c>
      <c r="AB31" s="296">
        <f>SUM(AB29:AB30)</f>
        <v>0</v>
      </c>
    </row>
    <row r="32" spans="2:31" x14ac:dyDescent="0.35">
      <c r="AB32" s="172"/>
    </row>
    <row r="33" spans="2:27" x14ac:dyDescent="0.3">
      <c r="B33" s="298" t="s">
        <v>45</v>
      </c>
      <c r="C33" s="299"/>
      <c r="D33" s="304">
        <f>SUM(D8,D10,-D26,-D31)</f>
        <v>-5584028.3228300633</v>
      </c>
      <c r="E33" s="304">
        <f t="shared" ref="E33:J33" si="33">SUM(E8,E10,-E26,-E31)</f>
        <v>-9132911.1986713503</v>
      </c>
      <c r="F33" s="304">
        <f t="shared" si="33"/>
        <v>58549221.166854896</v>
      </c>
      <c r="G33" s="304">
        <f t="shared" si="33"/>
        <v>-9276297.0922855996</v>
      </c>
      <c r="H33" s="304">
        <f t="shared" si="33"/>
        <v>-4273907.5858943993</v>
      </c>
      <c r="I33" s="304">
        <f t="shared" si="33"/>
        <v>-14408317.536067802</v>
      </c>
      <c r="J33" s="304">
        <f t="shared" si="33"/>
        <v>-8351450.5407758486</v>
      </c>
      <c r="K33" s="304">
        <f t="shared" ref="K33:L33" si="34">SUM(K8,K10,-K26,-K31)</f>
        <v>-7893887.3649651874</v>
      </c>
      <c r="L33" s="304">
        <f t="shared" si="34"/>
        <v>15849089.315994252</v>
      </c>
      <c r="M33" s="304">
        <f t="shared" ref="M33:N33" si="35">SUM(M8,M10,-M26,-M31)</f>
        <v>-23632981.3421105</v>
      </c>
      <c r="N33" s="304">
        <f t="shared" si="35"/>
        <v>884281.70604106784</v>
      </c>
      <c r="O33" s="304">
        <f t="shared" ref="O33:P33" si="36">SUM(O8,O10,-O26,-O31)</f>
        <v>28816362.908107497</v>
      </c>
      <c r="P33" s="304">
        <f t="shared" si="36"/>
        <v>-4211412.4555365182</v>
      </c>
      <c r="Q33" s="304">
        <f t="shared" ref="Q33:R33" si="37">SUM(Q8,Q10,-Q26,-Q31)</f>
        <v>12998582.747810118</v>
      </c>
      <c r="R33" s="304">
        <f t="shared" si="37"/>
        <v>-5009773.1371709071</v>
      </c>
      <c r="S33" s="304">
        <f t="shared" ref="S33:T33" si="38">SUM(S8,S10,-S26,-S31)</f>
        <v>-10731087.921285929</v>
      </c>
      <c r="T33" s="304">
        <f t="shared" si="38"/>
        <v>-7793473.3095860975</v>
      </c>
      <c r="V33" s="300">
        <f>SUM(V8,-V26,-V31)</f>
        <v>20112003.1243698</v>
      </c>
      <c r="X33" s="307">
        <f>SUM(X8,-X26,-X31)</f>
        <v>63861340.758221202</v>
      </c>
      <c r="Y33" s="308"/>
      <c r="Z33" s="308"/>
      <c r="AA33" s="308"/>
    </row>
    <row r="34" spans="2:27" x14ac:dyDescent="0.3">
      <c r="B34" s="298" t="s">
        <v>46</v>
      </c>
      <c r="C34" s="299"/>
      <c r="D34" s="305">
        <f>D33</f>
        <v>-5584028.3228300633</v>
      </c>
      <c r="E34" s="305">
        <f>E33+D34</f>
        <v>-14716939.521501414</v>
      </c>
      <c r="F34" s="305">
        <f>F33+E34</f>
        <v>43832281.645353481</v>
      </c>
      <c r="G34" s="305">
        <f t="shared" ref="G34:N34" si="39">G33+F34</f>
        <v>34555984.553067878</v>
      </c>
      <c r="H34" s="305">
        <f t="shared" si="39"/>
        <v>30282076.967173479</v>
      </c>
      <c r="I34" s="305">
        <f t="shared" si="39"/>
        <v>15873759.431105677</v>
      </c>
      <c r="J34" s="305">
        <f t="shared" si="39"/>
        <v>7522308.8903298285</v>
      </c>
      <c r="K34" s="305">
        <f t="shared" si="39"/>
        <v>-371578.4746353589</v>
      </c>
      <c r="L34" s="305">
        <f t="shared" si="39"/>
        <v>15477510.841358893</v>
      </c>
      <c r="M34" s="305">
        <f t="shared" si="39"/>
        <v>-8155470.5007516071</v>
      </c>
      <c r="N34" s="305">
        <f t="shared" si="39"/>
        <v>-7271188.7947105393</v>
      </c>
      <c r="O34" s="305">
        <f t="shared" ref="O34" si="40">O33+N34</f>
        <v>21545174.113396958</v>
      </c>
      <c r="P34" s="305">
        <f t="shared" ref="P34:T34" si="41">P33+O34</f>
        <v>17333761.657860439</v>
      </c>
      <c r="Q34" s="305">
        <f t="shared" si="41"/>
        <v>30332344.405670557</v>
      </c>
      <c r="R34" s="305">
        <f t="shared" si="41"/>
        <v>25322571.26849965</v>
      </c>
      <c r="S34" s="305">
        <f t="shared" si="41"/>
        <v>14591483.347213721</v>
      </c>
      <c r="T34" s="305">
        <f t="shared" si="41"/>
        <v>6798010.0376276234</v>
      </c>
    </row>
  </sheetData>
  <conditionalFormatting sqref="D33:T34">
    <cfRule type="cellIs" dxfId="140" priority="21" operator="greaterThan">
      <formula>0</formula>
    </cfRule>
    <cfRule type="cellIs" dxfId="139" priority="22" operator="lessThan">
      <formula>0</formula>
    </cfRule>
  </conditionalFormatting>
  <conditionalFormatting sqref="X33">
    <cfRule type="cellIs" dxfId="138" priority="17" operator="lessThan">
      <formula>0</formula>
    </cfRule>
    <cfRule type="cellIs" dxfId="137" priority="18" operator="greaterThan">
      <formula>0</formula>
    </cfRule>
  </conditionalFormatting>
  <conditionalFormatting sqref="Z13:Z25">
    <cfRule type="cellIs" dxfId="136" priority="2" operator="lessThan">
      <formula>0</formula>
    </cfRule>
  </conditionalFormatting>
  <conditionalFormatting sqref="AA7:AA10">
    <cfRule type="cellIs" dxfId="135" priority="11" operator="lessThan">
      <formula>0</formula>
    </cfRule>
    <cfRule type="cellIs" dxfId="134" priority="12" operator="greaterThan">
      <formula>0</formula>
    </cfRule>
  </conditionalFormatting>
  <conditionalFormatting sqref="AA13:AA26">
    <cfRule type="cellIs" dxfId="133" priority="7" operator="lessThan">
      <formula>0</formula>
    </cfRule>
    <cfRule type="cellIs" dxfId="132" priority="8" operator="greaterThan">
      <formula>0</formula>
    </cfRule>
  </conditionalFormatting>
  <conditionalFormatting sqref="AA29:AA32">
    <cfRule type="cellIs" dxfId="131" priority="3" operator="lessThan">
      <formula>0</formula>
    </cfRule>
    <cfRule type="cellIs" dxfId="130" priority="4" operator="greaterThan">
      <formula>0</formula>
    </cfRule>
  </conditionalFormatting>
  <conditionalFormatting sqref="AB13:AB25">
    <cfRule type="cellIs" dxfId="129" priority="1" operator="less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Z10:AB10 V31:V33 Y32 Z8:AB8 V26 X29:X33 X13:AB26 Y29:Y30 X7:AB7 X9:AB9 Z29:AB32 D33:T34 D31:U32 D13:U28 D5:T5" xr:uid="{34454744-4167-413D-8397-AC66FE47449A}"/>
  </dataValidations>
  <pageMargins left="0.7" right="0.7" top="0.75" bottom="0.75" header="0.3" footer="0.3"/>
  <pageSetup paperSize="9" orientation="portrait" r:id="rId1"/>
  <ignoredErrors>
    <ignoredError sqref="AA10 AA26 AA31 AA8:AB8 Z9 D9 V8:V9 Y24 AB9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FC854D-4E59-46BA-8FAC-2515BED3FDB2}">
          <x14:formula1>
            <xm:f>Listas!$A:$A</xm:f>
          </x14:formula1>
          <xm:sqref>B13:B16 B18:B25</xm:sqref>
        </x14:dataValidation>
        <x14:dataValidation type="list" allowBlank="1" showInputMessage="1" showErrorMessage="1" xr:uid="{CAED31C0-9FAC-4F15-B1F5-6C12B60E2566}">
          <x14:formula1>
            <xm:f>Listas!$C$1:$C$2</xm:f>
          </x14:formula1>
          <xm:sqref>C13:C25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3AE5-E007-4EDB-9C4C-25CD210AE957}">
  <sheetPr>
    <tabColor rgb="FFC6EFCE"/>
  </sheetPr>
  <dimension ref="B1:AA38"/>
  <sheetViews>
    <sheetView topLeftCell="A6" workbookViewId="0">
      <selection activeCell="X18" sqref="X18"/>
    </sheetView>
  </sheetViews>
  <sheetFormatPr defaultColWidth="11.453125" defaultRowHeight="14.5" x14ac:dyDescent="0.35"/>
  <cols>
    <col min="1" max="1" width="2.81640625" style="308" customWidth="1"/>
    <col min="2" max="2" width="25.453125" style="172" customWidth="1"/>
    <col min="3" max="3" width="5.7265625" style="172" bestFit="1" customWidth="1"/>
    <col min="4" max="4" width="9.1796875" style="172" bestFit="1" customWidth="1"/>
    <col min="5" max="5" width="10.54296875" style="172" bestFit="1" customWidth="1"/>
    <col min="6" max="14" width="12" style="172" customWidth="1"/>
    <col min="15" max="15" width="1" style="172" customWidth="1"/>
    <col min="16" max="16" width="12" style="172" customWidth="1"/>
    <col min="17" max="17" width="1.26953125" style="172" customWidth="1"/>
    <col min="18" max="18" width="12" style="172" bestFit="1" customWidth="1"/>
    <col min="19" max="19" width="7.54296875" style="172" bestFit="1" customWidth="1"/>
    <col min="20" max="20" width="11.7265625" style="172" customWidth="1"/>
    <col min="21" max="21" width="8.81640625" style="172" customWidth="1"/>
    <col min="22" max="22" width="10.81640625" style="172" customWidth="1"/>
    <col min="23" max="23" width="9.7265625" style="308" bestFit="1" customWidth="1"/>
    <col min="24" max="24" width="7.26953125" style="308" bestFit="1" customWidth="1"/>
    <col min="25" max="25" width="13" style="308" bestFit="1" customWidth="1"/>
    <col min="26" max="16384" width="11.453125" style="308"/>
  </cols>
  <sheetData>
    <row r="1" spans="2:27" ht="21.5" thickBot="1" x14ac:dyDescent="0.4">
      <c r="B1" s="171"/>
      <c r="C1" s="171"/>
      <c r="W1" s="193" t="s">
        <v>226</v>
      </c>
      <c r="X1" s="192">
        <f>'C. Gestión Pto #1'!V1</f>
        <v>46174</v>
      </c>
    </row>
    <row r="2" spans="2:27" ht="7.15" customHeight="1" x14ac:dyDescent="0.35">
      <c r="B2" s="171"/>
      <c r="C2" s="171"/>
      <c r="U2" s="206"/>
      <c r="V2" s="207"/>
    </row>
    <row r="3" spans="2:27" x14ac:dyDescent="0.35">
      <c r="B3" s="60" t="s">
        <v>238</v>
      </c>
      <c r="C3" s="173"/>
    </row>
    <row r="4" spans="2:27" ht="13.9" customHeight="1" x14ac:dyDescent="0.35">
      <c r="B4" s="173" t="s">
        <v>32</v>
      </c>
      <c r="C4" s="173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309"/>
      <c r="X4" s="309"/>
      <c r="Y4" s="309"/>
      <c r="Z4" s="309"/>
      <c r="AA4" s="260"/>
    </row>
    <row r="5" spans="2:27" ht="25.15" customHeight="1" x14ac:dyDescent="0.35">
      <c r="B5" s="310"/>
      <c r="C5" s="310"/>
      <c r="D5" s="186">
        <v>45839</v>
      </c>
      <c r="E5" s="186">
        <v>45870</v>
      </c>
      <c r="F5" s="186">
        <v>45901</v>
      </c>
      <c r="G5" s="186">
        <v>45931</v>
      </c>
      <c r="H5" s="186">
        <v>45962</v>
      </c>
      <c r="I5" s="186">
        <v>45992</v>
      </c>
      <c r="J5" s="186">
        <v>46023</v>
      </c>
      <c r="K5" s="186">
        <v>46054</v>
      </c>
      <c r="L5" s="186">
        <v>46082</v>
      </c>
      <c r="M5" s="186">
        <v>46113</v>
      </c>
      <c r="N5" s="186">
        <v>46143</v>
      </c>
      <c r="O5" s="174"/>
      <c r="P5" s="187" t="s">
        <v>601</v>
      </c>
      <c r="R5" s="320" t="s">
        <v>612</v>
      </c>
      <c r="S5" s="948" t="s">
        <v>602</v>
      </c>
      <c r="T5" s="187" t="s">
        <v>603</v>
      </c>
      <c r="U5" s="948" t="s">
        <v>604</v>
      </c>
      <c r="V5" s="187" t="s">
        <v>605</v>
      </c>
      <c r="W5" s="309"/>
      <c r="X5" s="309"/>
      <c r="Y5" s="309"/>
      <c r="Z5" s="309"/>
      <c r="AA5" s="260"/>
    </row>
    <row r="6" spans="2:27" ht="17.5" customHeight="1" x14ac:dyDescent="0.35">
      <c r="B6" s="195" t="s">
        <v>33</v>
      </c>
      <c r="C6" s="310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309"/>
      <c r="X6" s="309"/>
      <c r="Y6" s="309"/>
      <c r="Z6" s="309"/>
      <c r="AA6" s="260"/>
    </row>
    <row r="7" spans="2:27" ht="17.5" customHeight="1" x14ac:dyDescent="0.35">
      <c r="B7" s="66" t="s">
        <v>232</v>
      </c>
      <c r="C7" s="196"/>
      <c r="D7" s="261">
        <f>SUM(SUMIFS(Facturacion!$E$11:$E$64,Facturacion!$A$11:$A$64,"&gt;="&amp;DATE(2025,7,1),Facturacion!$A$11:$A$64,"&lt;="&amp;DATE(2025,7,31),Facturacion!$C$11:$C$64,Facturacion!$C$5))</f>
        <v>0</v>
      </c>
      <c r="E7" s="261">
        <f>SUM(SUMIFS(Facturacion!$E$11:$E$64,Facturacion!$A$11:$A$64,"&gt;="&amp;DATE(2025,8,1),Facturacion!$A$11:$A$64,"&lt;="&amp;DATE(2025,8,31),Facturacion!$C$11:$C$64,Facturacion!$C$5))</f>
        <v>0</v>
      </c>
      <c r="F7" s="261">
        <f>SUM(SUMIFS(Facturacion!$E$11:$E$64,Facturacion!$A$11:$A$64,"&gt;="&amp;DATE(2025,9,1),Facturacion!$A$11:$A$64,"&lt;="&amp;DATE(2025,9,30),Facturacion!$C$11:$C$64,Facturacion!$C$5))</f>
        <v>0</v>
      </c>
      <c r="G7" s="261">
        <f>SUM(SUMIFS(Facturacion!$E$11:$E$64,Facturacion!$A$11:$A$64,"&gt;="&amp;DATE(2025,10,1),Facturacion!$A$11:$A$64,"&lt;="&amp;DATE(2025,10,30),Facturacion!$C$11:$C$64,Facturacion!$C$5))</f>
        <v>313507734.20999998</v>
      </c>
      <c r="H7" s="261">
        <f>SUM(SUMIFS(Facturacion!$E$11:$E$64,Facturacion!$A$11:$A$64,"&gt;="&amp;DATE(2025,11,1),Facturacion!$A$11:$A$64,"&lt;="&amp;DATE(2025,11,30),Facturacion!$C$11:$C$64,Facturacion!$C$5))</f>
        <v>16882763.466600001</v>
      </c>
      <c r="I7" s="261">
        <f>SUM(SUMIFS(Facturacion!$E$11:$E$64,Facturacion!$A$11:$A$64,"&gt;="&amp;DATE(2025,12,1),Facturacion!$A$11:$A$64,"&lt;="&amp;DATE(2025,12,31),Facturacion!$C$11:$C$64,Facturacion!$C$5))</f>
        <v>9854176</v>
      </c>
      <c r="J7" s="261">
        <f>SUM(SUMIFS(Facturacion!$E$11:$E$64,Facturacion!$A$11:$A$64,"&gt;="&amp;DATE(2026,1,1),Facturacion!$A$11:$A$64,"&lt;="&amp;DATE(2026,1,31),Facturacion!$C$11:$C$64,Facturacion!$C$5))</f>
        <v>8287386</v>
      </c>
      <c r="K7" s="261">
        <f>SUM(SUMIFS(Facturacion!$E$11:$E$64,Facturacion!$A$11:$A$64,"&gt;="&amp;DATE(2026,2,1),Facturacion!$A$11:$A$64,"&lt;="&amp;DATE(2026,2,28),Facturacion!$C$11:$C$64,Facturacion!$C$5))</f>
        <v>16155654</v>
      </c>
      <c r="L7" s="261">
        <f>SUM(SUMIFS(Facturacion!$E$11:$E$64,Facturacion!$A$11:$A$64,"&gt;="&amp;DATE(2026,3,1),Facturacion!$A$11:$A$64,"&lt;="&amp;DATE(2026,3,31),Facturacion!$C$11:$C$64,Facturacion!$C$5))</f>
        <v>15716390</v>
      </c>
      <c r="M7" s="261">
        <f>SUM(SUMIFS(Facturacion!$E$11:$E$64,Facturacion!$A$11:$A$64,"&gt;="&amp;DATE(2026,4,1),Facturacion!$A$11:$A$64,"&lt;="&amp;DATE(2026,4,30),Facturacion!$C$11:$C$64,Facturacion!$C$5))</f>
        <v>27219231</v>
      </c>
      <c r="N7" s="261">
        <f>SUM(SUMIFS(Facturacion!$E$11:$E$64,Facturacion!$A$11:$A$64,"&gt;="&amp;DATE(2026,5,1),Facturacion!$A$11:$A$64,"&lt;="&amp;DATE(2026,5,31),Facturacion!$C$11:$C$64,Facturacion!$C$5))</f>
        <v>41422349</v>
      </c>
      <c r="O7" s="174"/>
      <c r="P7" s="261">
        <f>SUM($D7:$O7)</f>
        <v>449045683.67659998</v>
      </c>
      <c r="Q7" s="174"/>
      <c r="R7" s="261">
        <f>Facturacion!E5</f>
        <v>736857133.01950002</v>
      </c>
      <c r="S7" s="978">
        <f>'Pto. 02 Cert.'!S186/'Pto. 02 Cert.'!L186</f>
        <v>0.43907519863261979</v>
      </c>
      <c r="T7" s="323">
        <f>IF(S7=100%,0,IF(OR(P7&lt;&gt;0,R7),R7-P7))</f>
        <v>287811449.34290004</v>
      </c>
      <c r="U7" s="311">
        <f>IF(OR(T7&lt;0,R7),T7/R7,0%)</f>
        <v>0.39059328660293158</v>
      </c>
      <c r="V7" s="323">
        <f t="shared" ref="V7" si="0">IF(S7=100%,IF(OR(P7&lt;&gt;0,R7),R7-P7),0)</f>
        <v>0</v>
      </c>
      <c r="W7" s="309"/>
      <c r="X7" s="309"/>
      <c r="Y7" s="309"/>
      <c r="Z7" s="309"/>
      <c r="AA7" s="260"/>
    </row>
    <row r="8" spans="2:27" ht="17.5" customHeight="1" x14ac:dyDescent="0.35">
      <c r="B8" s="312" t="s">
        <v>35</v>
      </c>
      <c r="C8" s="312"/>
      <c r="D8" s="262">
        <f t="shared" ref="D8" si="1">SUM(D7)</f>
        <v>0</v>
      </c>
      <c r="E8" s="262">
        <f t="shared" ref="E8:F8" si="2">SUM(E7)</f>
        <v>0</v>
      </c>
      <c r="F8" s="262">
        <f t="shared" si="2"/>
        <v>0</v>
      </c>
      <c r="G8" s="262">
        <f t="shared" ref="G8:H8" si="3">SUM(G7)</f>
        <v>313507734.20999998</v>
      </c>
      <c r="H8" s="262">
        <f t="shared" si="3"/>
        <v>16882763.466600001</v>
      </c>
      <c r="I8" s="262">
        <f t="shared" ref="I8:J8" si="4">SUM(I7)</f>
        <v>9854176</v>
      </c>
      <c r="J8" s="262">
        <f t="shared" si="4"/>
        <v>8287386</v>
      </c>
      <c r="K8" s="262">
        <f t="shared" ref="K8:L8" si="5">SUM(K7)</f>
        <v>16155654</v>
      </c>
      <c r="L8" s="262">
        <f t="shared" si="5"/>
        <v>15716390</v>
      </c>
      <c r="M8" s="262">
        <f t="shared" ref="M8:N8" si="6">SUM(M7)</f>
        <v>27219231</v>
      </c>
      <c r="N8" s="262">
        <f t="shared" si="6"/>
        <v>41422349</v>
      </c>
      <c r="O8" s="174"/>
      <c r="P8" s="295">
        <f>SUM(P7)</f>
        <v>449045683.67659998</v>
      </c>
      <c r="Q8" s="174"/>
      <c r="R8" s="295">
        <f>SUM(R7)</f>
        <v>736857133.01950002</v>
      </c>
      <c r="S8" s="979"/>
      <c r="T8" s="303">
        <f t="shared" ref="T8" si="7">IF(S8=100%,0,IF(OR(P8&lt;&gt;0,R8),R8-P8))</f>
        <v>287811449.34290004</v>
      </c>
      <c r="U8" s="311">
        <f>IF(OR(T8&lt;0,R8),T8/R8,0%)</f>
        <v>0.39059328660293158</v>
      </c>
      <c r="V8" s="262">
        <f>SUM(V7)</f>
        <v>0</v>
      </c>
      <c r="W8" s="309"/>
      <c r="X8" s="309"/>
      <c r="Y8" s="309"/>
      <c r="Z8" s="309"/>
      <c r="AA8" s="260"/>
    </row>
    <row r="9" spans="2:27" x14ac:dyDescent="0.35">
      <c r="B9" s="66" t="s">
        <v>34</v>
      </c>
      <c r="C9" s="1027"/>
      <c r="D9" s="261">
        <f>SUM(SUMIFS(Facturacion!$F$11:$F$64,Facturacion!$A$11:$A$64,"&gt;="&amp;DATE(2025,7,1),Facturacion!$A$11:$A$64,"&lt;="&amp;DATE(2025,7,31),Facturacion!$J$11:$J$64,Facturacion!$J$5))</f>
        <v>0</v>
      </c>
      <c r="E9" s="261">
        <f>SUM(SUMIFS(Facturacion!$F$11:$F$64,Facturacion!$A$11:$A$64,"&gt;="&amp;DATE(2025,8,1),Facturacion!$A$11:$A$64,"&lt;="&amp;DATE(2025,8,31),Facturacion!$J$11:$J$64,Facturacion!$J$5))</f>
        <v>0</v>
      </c>
      <c r="F9" s="261">
        <f>SUM(SUMIFS(Facturacion!$F$11:$F$64,Facturacion!$A$11:$A$64,"&gt;="&amp;DATE(2025,9,1),Facturacion!$A$11:$A$64,"&lt;="&amp;DATE(2025,9,30),Facturacion!$J$11:$J$64,Facturacion!$J$5))</f>
        <v>0</v>
      </c>
      <c r="G9" s="261">
        <f>SUM(SUMIFS(Facturacion!$F$11:$F$64,Facturacion!$A$11:$A$64,"&gt;="&amp;DATE(2025,10,1),Facturacion!$A$11:$A$64,"&lt;="&amp;DATE(2025,10,30),Facturacion!$J$11:$J$64,Facturacion!$J$5))</f>
        <v>52691994.530000001</v>
      </c>
      <c r="H9" s="261">
        <f>SUM(SUMIFS(Facturacion!$F$11:$F$64,Facturacion!$A$11:$A$64,"&gt;="&amp;DATE(2025,11,1),Facturacion!$A$11:$A$64,"&lt;="&amp;DATE(2025,11,30),Facturacion!$J$11:$J$64,Facturacion!$J$5))</f>
        <v>3960154.3933999999</v>
      </c>
      <c r="I9" s="261">
        <f>SUM(SUMIFS(Facturacion!$F$11:$F$64,Facturacion!$A$11:$A$64,"&gt;="&amp;DATE(2025,12,1),Facturacion!$A$11:$A$64,"&lt;="&amp;DATE(2025,12,31),Facturacion!$J$11:$J$64,Facturacion!$J$5))</f>
        <v>2386555.9326594733</v>
      </c>
      <c r="J9" s="261">
        <f>SUM(SUMIFS(Facturacion!$F$11:$F$64,Facturacion!$A$11:$A$64,"&gt;="&amp;DATE(2026,1,1),Facturacion!$A$11:$A$64,"&lt;="&amp;DATE(2026,1,31),Facturacion!$J$11:$J$64,Facturacion!$J$5))</f>
        <v>2404264.3053129078</v>
      </c>
      <c r="K9" s="261">
        <f>SUM(SUMIFS(Facturacion!$F$11:$F$64,Facturacion!$A$11:$A$64,"&gt;="&amp;DATE(2026,2,1),Facturacion!$A$11:$A$64,"&lt;="&amp;DATE(2026,2,28),Facturacion!$J$11:$J$64,Facturacion!$J$5))</f>
        <v>5098118.2039999999</v>
      </c>
      <c r="L9" s="261">
        <f>SUM(SUMIFS(Facturacion!$F$11:$F$64,Facturacion!$A$11:$A$64,"&gt;="&amp;DATE(2026,3,1),Facturacion!$A$11:$A$64,"&lt;="&amp;DATE(2026,3,31),Facturacion!$J$11:$J$64,Facturacion!$J$5))</f>
        <v>5297358.4000000004</v>
      </c>
      <c r="M9" s="261">
        <f>SUM(SUMIFS(Facturacion!$F$11:$F$64,Facturacion!$A$11:$A$64,"&gt;="&amp;DATE(2026,4,1),Facturacion!$A$11:$A$64,"&lt;="&amp;DATE(2026,4,30),Facturacion!$J$11:$J$64,Facturacion!$J$5))</f>
        <v>9636019.6555345971</v>
      </c>
      <c r="N9" s="261">
        <f>SUM(SUMIFS(Facturacion!$F$11:$F$64,Facturacion!$A$11:$A$64,"&gt;="&amp;DATE(2026,5,1),Facturacion!$A$11:$A$64,"&lt;="&amp;DATE(2026,5,31),Facturacion!$J$11:$J$64,Facturacion!$J$5))</f>
        <v>15732588.282000681</v>
      </c>
      <c r="O9" s="174"/>
      <c r="P9" s="261">
        <f>SUM($D9:$O9)</f>
        <v>97207053.702907667</v>
      </c>
      <c r="Q9" s="174"/>
      <c r="R9" s="261">
        <v>0</v>
      </c>
      <c r="S9" s="978">
        <v>0</v>
      </c>
      <c r="T9" s="323">
        <f>IF(S9=100%,0,IF(R9=0,R9,R9-P9))</f>
        <v>0</v>
      </c>
      <c r="U9" s="311">
        <f>IF(OR(T9&lt;0,R9),T9/R9,0%)</f>
        <v>0</v>
      </c>
      <c r="V9" s="323">
        <f>IF(S9=100%,IF(OR(P9&lt;&gt;0,R9),R9-P9),0)</f>
        <v>0</v>
      </c>
      <c r="W9" s="309"/>
      <c r="X9" s="309"/>
      <c r="Y9" s="309"/>
      <c r="Z9" s="309"/>
      <c r="AA9" s="260"/>
    </row>
    <row r="10" spans="2:27" ht="17.5" customHeight="1" x14ac:dyDescent="0.35">
      <c r="B10" s="312" t="s">
        <v>633</v>
      </c>
      <c r="C10" s="312"/>
      <c r="D10" s="262">
        <f t="shared" ref="D10" si="8">SUM(D9)</f>
        <v>0</v>
      </c>
      <c r="E10" s="262">
        <f t="shared" ref="E10:F10" si="9">SUM(E9)</f>
        <v>0</v>
      </c>
      <c r="F10" s="262">
        <f t="shared" si="9"/>
        <v>0</v>
      </c>
      <c r="G10" s="262">
        <f t="shared" ref="G10:H10" si="10">SUM(G9)</f>
        <v>52691994.530000001</v>
      </c>
      <c r="H10" s="262">
        <f t="shared" si="10"/>
        <v>3960154.3933999999</v>
      </c>
      <c r="I10" s="262">
        <f t="shared" ref="I10:J10" si="11">SUM(I9)</f>
        <v>2386555.9326594733</v>
      </c>
      <c r="J10" s="262">
        <f t="shared" si="11"/>
        <v>2404264.3053129078</v>
      </c>
      <c r="K10" s="262">
        <f t="shared" ref="K10:L10" si="12">SUM(K9)</f>
        <v>5098118.2039999999</v>
      </c>
      <c r="L10" s="262">
        <f t="shared" si="12"/>
        <v>5297358.4000000004</v>
      </c>
      <c r="M10" s="262">
        <f t="shared" ref="M10:N10" si="13">SUM(M9)</f>
        <v>9636019.6555345971</v>
      </c>
      <c r="N10" s="262">
        <f t="shared" si="13"/>
        <v>15732588.282000681</v>
      </c>
      <c r="O10" s="174"/>
      <c r="P10" s="295">
        <f>SUM(P9)</f>
        <v>97207053.702907667</v>
      </c>
      <c r="Q10" s="174"/>
      <c r="R10" s="295">
        <f>SUM(R9)</f>
        <v>0</v>
      </c>
      <c r="S10" s="979"/>
      <c r="T10" s="262">
        <f>SUM(T9)</f>
        <v>0</v>
      </c>
      <c r="U10" s="311">
        <f>IF(OR(T10&lt;0,R10),T10/R10,0%)</f>
        <v>0</v>
      </c>
      <c r="V10" s="262">
        <f>SUM(V9)</f>
        <v>0</v>
      </c>
      <c r="W10" s="309"/>
      <c r="X10" s="309"/>
      <c r="Y10" s="309"/>
      <c r="Z10" s="309"/>
      <c r="AA10" s="260"/>
    </row>
    <row r="11" spans="2:27" ht="17.5" customHeight="1" x14ac:dyDescent="0.35">
      <c r="B11" s="310"/>
      <c r="C11" s="310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309"/>
      <c r="X11" s="309"/>
      <c r="Y11" s="309"/>
      <c r="Z11" s="309"/>
      <c r="AA11" s="260"/>
    </row>
    <row r="12" spans="2:27" x14ac:dyDescent="0.35">
      <c r="B12" s="195" t="s">
        <v>36</v>
      </c>
      <c r="W12" s="308" t="s">
        <v>37</v>
      </c>
    </row>
    <row r="13" spans="2:27" x14ac:dyDescent="0.35">
      <c r="B13" s="66" t="s">
        <v>221</v>
      </c>
      <c r="C13" s="196"/>
      <c r="D13" s="261">
        <f>IFERROR(VLOOKUP($B13&amp;$C13,'C. Gestión Pto #2'!$B$4:C$23,MATCH(D$5,'C. Gestión Pto #2'!$B$4:C$4,0),FALSE),0)</f>
        <v>0</v>
      </c>
      <c r="E13" s="261">
        <f>IFERROR(VLOOKUP($B13&amp;$C13,'C. Gestión Pto #2'!$B$4:D$23,MATCH(E$5,'C. Gestión Pto #2'!$B$4:D$4,0),FALSE),0)</f>
        <v>0</v>
      </c>
      <c r="F13" s="261">
        <f>IFERROR(VLOOKUP($B13&amp;$C13,'C. Gestión Pto #2'!$B$4:E$23,MATCH(F$5,'C. Gestión Pto #2'!$B$4:E$4,0),FALSE),0)</f>
        <v>0</v>
      </c>
      <c r="G13" s="261">
        <f>IFERROR(VLOOKUP($B13&amp;$C13,'C. Gestión Pto #2'!$B$4:F$23,MATCH(G$5,'C. Gestión Pto #2'!$B$4:F$4,0),FALSE),0)</f>
        <v>0</v>
      </c>
      <c r="H13" s="261">
        <f>IFERROR(VLOOKUP($B13&amp;$C13,'C. Gestión Pto #2'!$B$4:G$23,MATCH(H$5,'C. Gestión Pto #2'!$B$4:G$4,0),FALSE),0)</f>
        <v>0</v>
      </c>
      <c r="I13" s="261">
        <f>IFERROR(VLOOKUP($B13&amp;$C13,'C. Gestión Pto #2'!$B$4:H$23,MATCH(I$5,'C. Gestión Pto #2'!$B$4:H$4,0),FALSE),0)</f>
        <v>0</v>
      </c>
      <c r="J13" s="261">
        <f>IFERROR(VLOOKUP($B13&amp;$C13,'C. Gestión Pto #2'!$B$4:I$23,MATCH(J$5,'C. Gestión Pto #2'!$B$4:I$4,0),FALSE),0)</f>
        <v>0</v>
      </c>
      <c r="K13" s="261">
        <f>IFERROR(VLOOKUP($B13&amp;$C13,'C. Gestión Pto #2'!$B$4:J$23,MATCH(K$5,'C. Gestión Pto #2'!$B$4:J$4,0),FALSE),0)</f>
        <v>0</v>
      </c>
      <c r="L13" s="261">
        <f>IFERROR(VLOOKUP($B13&amp;$C13,'C. Gestión Pto #2'!$B$4:K$23,MATCH(L$5,'C. Gestión Pto #2'!$B$4:K$4,0),FALSE),0)</f>
        <v>0</v>
      </c>
      <c r="M13" s="261">
        <f>IFERROR(VLOOKUP($B13&amp;$C13,'C. Gestión Pto #2'!$B$4:L$23,MATCH(M$5,'C. Gestión Pto #2'!$B$4:L$4,0),FALSE),0)</f>
        <v>0</v>
      </c>
      <c r="N13" s="261">
        <f>IFERROR(VLOOKUP($B13&amp;$C13,'C. Gestión Pto #2'!$B$4:M$23,MATCH(N$5,'C. Gestión Pto #2'!$B$4:M$4,0),FALSE),0)</f>
        <v>1407000</v>
      </c>
      <c r="O13" s="313"/>
      <c r="P13" s="261" cm="1">
        <f t="array" ref="P13">SUMPRODUCT($D13:$O13,TRANSPOSE('Indice CAC'!$C$16:$C$27))</f>
        <v>987440.10701980582</v>
      </c>
      <c r="Q13" s="314"/>
      <c r="R13" s="261">
        <f>IF($C13="MAT",SUMIF('Pto. Costos'!$A$64:$A$240,'Resumen Pto #2'!$B13,'Pto. Costos'!$G$64:$G$240),IF($C13="MO",SUMIF('Pto. Costos'!$A$64:$A$240,'Resumen Pto #2'!$B13,'Pto. Costos'!$I$64:$I$240),SUMIF('Pto. Costos'!$A$64:$A$240,'Resumen Pto #2'!$B13,'Pto. Costos'!$L$64:$L$240)))</f>
        <v>900000</v>
      </c>
      <c r="S13" s="978">
        <f>IF(C13="MAT",SUMIF('Pto. 02 Cert.'!$A$10:$A$185,$B13,'Pto. 02 Cert.'!$T$10:$T$185),IF(C13="MO",SUMIF('Pto. 02 Cert.'!$A$10:$A$185,$B13,'Pto. 02 Cert.'!$U$10:$U$185),SUMIF('Pto. 02 Cert.'!$A$10:$A$185,$B13,'Pto. 02 Cert.'!$V$10:$V$185)))/IF(C13="MAT",SUMIF('Pto. 02 Cert.'!$A$10:$A$185,$B13,'Pto. 02 Cert.'!$I$10:$I$185),IF(C13="MO",SUMIF('Pto. 02 Cert.'!$A$10:$A$185,$B13,'Pto. 02 Cert.'!$J$10:$J$185),SUMIF('Pto. 02 Cert.'!$A$10:$A$185,$B13,'Pto. 02 Cert.'!$K$10:$K$185)))</f>
        <v>0.5</v>
      </c>
      <c r="T13" s="323">
        <f>IF(S13=100%,0,IF(OR(P13&lt;&gt;0,R13),R13-P13))</f>
        <v>-87440.107019805815</v>
      </c>
      <c r="U13" s="311">
        <f>IF(OR(T13&lt;0,R13),T13/R13,0%)</f>
        <v>-9.7155674466450903E-2</v>
      </c>
      <c r="V13" s="323">
        <f>IF(S13=100%,IF(OR(P13&lt;&gt;0,R13),R13-P13),0)</f>
        <v>0</v>
      </c>
    </row>
    <row r="14" spans="2:27" x14ac:dyDescent="0.35">
      <c r="B14" s="66" t="s">
        <v>100</v>
      </c>
      <c r="C14" s="196"/>
      <c r="D14" s="261">
        <f>IFERROR(VLOOKUP($B14&amp;$C14,'C. Gestión Pto #2'!$B$4:C$23,MATCH(D$5,'C. Gestión Pto #2'!$B$4:C$4,0),FALSE),0)</f>
        <v>0</v>
      </c>
      <c r="E14" s="261">
        <f>IFERROR(VLOOKUP($B14&amp;$C14,'C. Gestión Pto #2'!$B$4:D$23,MATCH(E$5,'C. Gestión Pto #2'!$B$4:D$4,0),FALSE),0)</f>
        <v>0</v>
      </c>
      <c r="F14" s="261">
        <f>IFERROR(VLOOKUP($B14&amp;$C14,'C. Gestión Pto #2'!$B$4:E$23,MATCH(F$5,'C. Gestión Pto #2'!$B$4:E$4,0),FALSE),0)</f>
        <v>0</v>
      </c>
      <c r="G14" s="261">
        <f>IFERROR(VLOOKUP($B14&amp;$C14,'C. Gestión Pto #2'!$B$4:F$23,MATCH(G$5,'C. Gestión Pto #2'!$B$4:F$4,0),FALSE),0)</f>
        <v>0</v>
      </c>
      <c r="H14" s="261">
        <f>IFERROR(VLOOKUP($B14&amp;$C14,'C. Gestión Pto #2'!$B$4:G$23,MATCH(H$5,'C. Gestión Pto #2'!$B$4:G$4,0),FALSE),0)</f>
        <v>0</v>
      </c>
      <c r="I14" s="261">
        <f>IFERROR(VLOOKUP($B14&amp;$C14,'C. Gestión Pto #2'!$B$4:H$23,MATCH(I$5,'C. Gestión Pto #2'!$B$4:H$4,0),FALSE),0)</f>
        <v>4921623.7399999993</v>
      </c>
      <c r="J14" s="261">
        <f>IFERROR(VLOOKUP($B14&amp;$C14,'C. Gestión Pto #2'!$B$4:I$23,MATCH(J$5,'C. Gestión Pto #2'!$B$4:I$4,0),FALSE),0)</f>
        <v>3399806.5099999993</v>
      </c>
      <c r="K14" s="261">
        <f>IFERROR(VLOOKUP($B14&amp;$C14,'C. Gestión Pto #2'!$B$4:J$23,MATCH(K$5,'C. Gestión Pto #2'!$B$4:J$4,0),FALSE),0)</f>
        <v>3458743.6231999998</v>
      </c>
      <c r="L14" s="261">
        <f>IFERROR(VLOOKUP($B14&amp;$C14,'C. Gestión Pto #2'!$B$4:K$23,MATCH(L$5,'C. Gestión Pto #2'!$B$4:K$4,0),FALSE),0)</f>
        <v>3333288.8032</v>
      </c>
      <c r="M14" s="261">
        <f>IFERROR(VLOOKUP($B14&amp;$C14,'C. Gestión Pto #2'!$B$4:L$23,MATCH(M$5,'C. Gestión Pto #2'!$B$4:L$4,0),FALSE),0)</f>
        <v>3958811.9777828003</v>
      </c>
      <c r="N14" s="261">
        <f>IFERROR(VLOOKUP($B14&amp;$C14,'C. Gestión Pto #2'!$B$4:M$23,MATCH(N$5,'C. Gestión Pto #2'!$B$4:M$4,0),FALSE),0)</f>
        <v>3838186.8462220905</v>
      </c>
      <c r="O14" s="313"/>
      <c r="P14" s="261" cm="1">
        <f t="array" ref="P14">SUMPRODUCT($D14:$O14,TRANSPOSE('Indice CAC'!$C$16:$C$27))</f>
        <v>16798709.731777892</v>
      </c>
      <c r="Q14" s="314"/>
      <c r="R14" s="261">
        <f>IF($C14="MAT",SUMIF('Pto. Costos'!$A$64:$A$240,'Resumen Pto #2'!$B14,'Pto. Costos'!$G$64:$G$240),IF($C14="MO",SUMIF('Pto. Costos'!$A$64:$A$240,'Resumen Pto #2'!$B14,'Pto. Costos'!$I$64:$I$240),SUMIF('Pto. Costos'!$A$64:$A$240,'Resumen Pto #2'!$B14,'Pto. Costos'!$L$64:$L$240)))</f>
        <v>22790223.491999999</v>
      </c>
      <c r="S14" s="978">
        <f>IF(C14="MAT",SUMIF('Pto. 02 Cert.'!$A$10:$A$185,$B14,'Pto. 02 Cert.'!$T$10:$T$185),IF(C14="MO",SUMIF('Pto. 02 Cert.'!$A$10:$A$185,$B14,'Pto. 02 Cert.'!$U$10:$U$185),SUMIF('Pto. 02 Cert.'!$A$10:$A$185,$B14,'Pto. 02 Cert.'!$V$10:$V$185)))/IF(C14="MAT",SUMIF('Pto. 02 Cert.'!$A$10:$A$185,$B14,'Pto. 02 Cert.'!$I$10:$I$185),IF(C14="MO",SUMIF('Pto. 02 Cert.'!$A$10:$A$185,$B14,'Pto. 02 Cert.'!$J$10:$J$185),SUMIF('Pto. 02 Cert.'!$A$10:$A$185,$B14,'Pto. 02 Cert.'!$K$10:$K$185)))</f>
        <v>0.5</v>
      </c>
      <c r="T14" s="323">
        <f t="shared" ref="T14:T30" si="14">IF(S14=100%,0,IF(OR(P14&lt;&gt;0,R14),R14-P14))</f>
        <v>5991513.7602221072</v>
      </c>
      <c r="U14" s="311">
        <f t="shared" ref="U14:U30" si="15">IF(OR(T14&lt;0,R14),T14/R14,0%)</f>
        <v>0.26289842055850371</v>
      </c>
      <c r="V14" s="323">
        <f t="shared" ref="V14:V30" si="16">IF(S14=100%,IF(OR(P14&lt;&gt;0,R14),R14-P14),0)</f>
        <v>0</v>
      </c>
    </row>
    <row r="15" spans="2:27" x14ac:dyDescent="0.35">
      <c r="B15" s="66" t="s">
        <v>218</v>
      </c>
      <c r="C15" s="196"/>
      <c r="D15" s="261">
        <f>IFERROR(VLOOKUP($B15&amp;$C15,'C. Gestión Pto #2'!$B$4:C$23,MATCH(D$5,'C. Gestión Pto #2'!$B$4:C$4,0),FALSE),0)</f>
        <v>0</v>
      </c>
      <c r="E15" s="261">
        <f>IFERROR(VLOOKUP($B15&amp;$C15,'C. Gestión Pto #2'!$B$4:D$23,MATCH(E$5,'C. Gestión Pto #2'!$B$4:D$4,0),FALSE),0)</f>
        <v>0</v>
      </c>
      <c r="F15" s="261">
        <f>IFERROR(VLOOKUP($B15&amp;$C15,'C. Gestión Pto #2'!$B$4:E$23,MATCH(F$5,'C. Gestión Pto #2'!$B$4:E$4,0),FALSE),0)</f>
        <v>0</v>
      </c>
      <c r="G15" s="261">
        <f>IFERROR(VLOOKUP($B15&amp;$C15,'C. Gestión Pto #2'!$B$4:F$23,MATCH(G$5,'C. Gestión Pto #2'!$B$4:F$4,0),FALSE),0)</f>
        <v>0</v>
      </c>
      <c r="H15" s="261">
        <f>IFERROR(VLOOKUP($B15&amp;$C15,'C. Gestión Pto #2'!$B$4:G$23,MATCH(H$5,'C. Gestión Pto #2'!$B$4:G$4,0),FALSE),0)</f>
        <v>0</v>
      </c>
      <c r="I15" s="261">
        <f>IFERROR(VLOOKUP($B15&amp;$C15,'C. Gestión Pto #2'!$B$4:H$23,MATCH(I$5,'C. Gestión Pto #2'!$B$4:H$4,0),FALSE),0)</f>
        <v>0</v>
      </c>
      <c r="J15" s="261">
        <f>IFERROR(VLOOKUP($B15&amp;$C15,'C. Gestión Pto #2'!$B$4:I$23,MATCH(J$5,'C. Gestión Pto #2'!$B$4:I$4,0),FALSE),0)</f>
        <v>0</v>
      </c>
      <c r="K15" s="261">
        <f>IFERROR(VLOOKUP($B15&amp;$C15,'C. Gestión Pto #2'!$B$4:J$23,MATCH(K$5,'C. Gestión Pto #2'!$B$4:J$4,0),FALSE),0)</f>
        <v>0</v>
      </c>
      <c r="L15" s="261">
        <f>IFERROR(VLOOKUP($B15&amp;$C15,'C. Gestión Pto #2'!$B$4:K$23,MATCH(L$5,'C. Gestión Pto #2'!$B$4:K$4,0),FALSE),0)</f>
        <v>0</v>
      </c>
      <c r="M15" s="261">
        <f>IFERROR(VLOOKUP($B15&amp;$C15,'C. Gestión Pto #2'!$B$4:L$23,MATCH(M$5,'C. Gestión Pto #2'!$B$4:L$4,0),FALSE),0)</f>
        <v>0</v>
      </c>
      <c r="N15" s="261">
        <f>IFERROR(VLOOKUP($B15&amp;$C15,'C. Gestión Pto #2'!$B$4:M$23,MATCH(N$5,'C. Gestión Pto #2'!$B$4:M$4,0),FALSE),0)</f>
        <v>324436.07</v>
      </c>
      <c r="O15" s="313"/>
      <c r="P15" s="261" cm="1">
        <f t="array" ref="P15">SUMPRODUCT($D15:$O15,TRANSPOSE('Indice CAC'!$C$16:$C$27))</f>
        <v>227690.96494803496</v>
      </c>
      <c r="Q15" s="314"/>
      <c r="R15" s="261">
        <f>IF($C15="MAT",SUMIF('Pto. Costos'!$A$64:$A$240,'Resumen Pto #2'!$B15,'Pto. Costos'!$G$64:$G$240),IF($C15="MO",SUMIF('Pto. Costos'!$A$64:$A$240,'Resumen Pto #2'!$B15,'Pto. Costos'!$I$64:$I$240),SUMIF('Pto. Costos'!$A$64:$A$240,'Resumen Pto #2'!$B15,'Pto. Costos'!$L$64:$L$240)))</f>
        <v>4500000</v>
      </c>
      <c r="S15" s="978">
        <f>IF(C15="MAT",SUMIF('Pto. 02 Cert.'!$A$10:$A$185,$B15,'Pto. 02 Cert.'!$T$10:$T$185),IF(C15="MO",SUMIF('Pto. 02 Cert.'!$A$10:$A$185,$B15,'Pto. 02 Cert.'!$U$10:$U$185),SUMIF('Pto. 02 Cert.'!$A$10:$A$185,$B15,'Pto. 02 Cert.'!$V$10:$V$185)))/IF(C15="MAT",SUMIF('Pto. 02 Cert.'!$A$10:$A$185,$B15,'Pto. 02 Cert.'!$I$10:$I$185),IF(C15="MO",SUMIF('Pto. 02 Cert.'!$A$10:$A$185,$B15,'Pto. 02 Cert.'!$J$10:$J$185),SUMIF('Pto. 02 Cert.'!$A$10:$A$185,$B15,'Pto. 02 Cert.'!$K$10:$K$185)))</f>
        <v>0.46666666666666667</v>
      </c>
      <c r="T15" s="323">
        <f t="shared" si="14"/>
        <v>4272309.0350519652</v>
      </c>
      <c r="U15" s="311">
        <f t="shared" si="15"/>
        <v>0.9494020077893256</v>
      </c>
      <c r="V15" s="323">
        <f t="shared" si="16"/>
        <v>0</v>
      </c>
    </row>
    <row r="16" spans="2:27" x14ac:dyDescent="0.35">
      <c r="B16" s="66" t="s">
        <v>113</v>
      </c>
      <c r="C16" s="196" t="s">
        <v>38</v>
      </c>
      <c r="D16" s="261">
        <f>IFERROR(VLOOKUP($B16&amp;$C16,'C. Gestión Pto #2'!$B$4:C$23,MATCH(D$5,'C. Gestión Pto #2'!$B$4:C$4,0),FALSE),0)</f>
        <v>0</v>
      </c>
      <c r="E16" s="261">
        <f>IFERROR(VLOOKUP($B16&amp;$C16,'C. Gestión Pto #2'!$B$4:D$23,MATCH(E$5,'C. Gestión Pto #2'!$B$4:D$4,0),FALSE),0)</f>
        <v>0</v>
      </c>
      <c r="F16" s="261">
        <f>IFERROR(VLOOKUP($B16&amp;$C16,'C. Gestión Pto #2'!$B$4:E$23,MATCH(F$5,'C. Gestión Pto #2'!$B$4:E$4,0),FALSE),0)</f>
        <v>0</v>
      </c>
      <c r="G16" s="261">
        <f>IFERROR(VLOOKUP($B16&amp;$C16,'C. Gestión Pto #2'!$B$4:F$23,MATCH(G$5,'C. Gestión Pto #2'!$B$4:F$4,0),FALSE),0)</f>
        <v>21385400.670000002</v>
      </c>
      <c r="H16" s="261">
        <f>IFERROR(VLOOKUP($B16&amp;$C16,'C. Gestión Pto #2'!$B$4:G$23,MATCH(H$5,'C. Gestión Pto #2'!$B$4:G$4,0),FALSE),0)</f>
        <v>5653260.9299999997</v>
      </c>
      <c r="I16" s="261">
        <f>IFERROR(VLOOKUP($B16&amp;$C16,'C. Gestión Pto #2'!$B$4:H$23,MATCH(I$5,'C. Gestión Pto #2'!$B$4:H$4,0),FALSE),0)</f>
        <v>524503.91</v>
      </c>
      <c r="J16" s="261">
        <f>IFERROR(VLOOKUP($B16&amp;$C16,'C. Gestión Pto #2'!$B$4:I$23,MATCH(J$5,'C. Gestión Pto #2'!$B$4:I$4,0),FALSE),0)</f>
        <v>4059472.75</v>
      </c>
      <c r="K16" s="261">
        <f>IFERROR(VLOOKUP($B16&amp;$C16,'C. Gestión Pto #2'!$B$4:J$23,MATCH(K$5,'C. Gestión Pto #2'!$B$4:J$4,0),FALSE),0)</f>
        <v>3330609.25</v>
      </c>
      <c r="L16" s="261">
        <f>IFERROR(VLOOKUP($B16&amp;$C16,'C. Gestión Pto #2'!$B$4:K$23,MATCH(L$5,'C. Gestión Pto #2'!$B$4:K$4,0),FALSE),0)</f>
        <v>3645438.85</v>
      </c>
      <c r="M16" s="261">
        <f>IFERROR(VLOOKUP($B16&amp;$C16,'C. Gestión Pto #2'!$B$4:L$23,MATCH(M$5,'C. Gestión Pto #2'!$B$4:L$4,0),FALSE),0)</f>
        <v>21275900.309999999</v>
      </c>
      <c r="N16" s="261">
        <f>IFERROR(VLOOKUP($B16&amp;$C16,'C. Gestión Pto #2'!$B$4:M$23,MATCH(N$5,'C. Gestión Pto #2'!$B$4:M$4,0),FALSE),0)</f>
        <v>23833773.690000001</v>
      </c>
      <c r="O16" s="313"/>
      <c r="P16" s="261" cm="1">
        <f t="array" ref="P16">SUMPRODUCT($D16:$O16,TRANSPOSE('Indice CAC'!$C$16:$C$27))</f>
        <v>61735009.180050522</v>
      </c>
      <c r="Q16" s="314"/>
      <c r="R16" s="261">
        <f>IF($C16="MAT",SUMIF('Pto. Costos'!$A$64:$A$240,'Resumen Pto #2'!$B16,'Pto. Costos'!$G$64:$G$240),IF($C16="MO",SUMIF('Pto. Costos'!$A$64:$A$240,'Resumen Pto #2'!$B16,'Pto. Costos'!$I$64:$I$240),SUMIF('Pto. Costos'!$A$64:$A$240,'Resumen Pto #2'!$B16,'Pto. Costos'!$L$64:$L$240)))</f>
        <v>61725810.72321599</v>
      </c>
      <c r="S16" s="978">
        <f>IF(C16="MAT",SUMIF('Pto. 02 Cert.'!$A$10:$A$185,$B16,'Pto. 02 Cert.'!$T$10:$T$185),IF(C16="MO",SUMIF('Pto. 02 Cert.'!$A$10:$A$185,$B16,'Pto. 02 Cert.'!$U$10:$U$185),SUMIF('Pto. 02 Cert.'!$A$10:$A$185,$B16,'Pto. 02 Cert.'!$V$10:$V$185)))/IF(C16="MAT",SUMIF('Pto. 02 Cert.'!$A$10:$A$185,$B16,'Pto. 02 Cert.'!$I$10:$I$185),IF(C16="MO",SUMIF('Pto. 02 Cert.'!$A$10:$A$185,$B16,'Pto. 02 Cert.'!$J$10:$J$185),SUMIF('Pto. 02 Cert.'!$A$10:$A$185,$B16,'Pto. 02 Cert.'!$K$10:$K$185)))</f>
        <v>0.4538505964936464</v>
      </c>
      <c r="T16" s="323">
        <f t="shared" si="14"/>
        <v>-9198.4568345323205</v>
      </c>
      <c r="U16" s="311">
        <f t="shared" si="15"/>
        <v>-1.4902123968495151E-4</v>
      </c>
      <c r="V16" s="323">
        <f t="shared" si="16"/>
        <v>0</v>
      </c>
    </row>
    <row r="17" spans="2:25" x14ac:dyDescent="0.35">
      <c r="B17" s="66" t="s">
        <v>113</v>
      </c>
      <c r="C17" s="196" t="s">
        <v>39</v>
      </c>
      <c r="D17" s="261">
        <f>IFERROR(VLOOKUP($B17&amp;$C17,'C. Gestión Pto #2'!$B$4:C$23,MATCH(D$5,'C. Gestión Pto #2'!$B$4:C$4,0),FALSE),0)</f>
        <v>0</v>
      </c>
      <c r="E17" s="261">
        <f>IFERROR(VLOOKUP($B17&amp;$C17,'C. Gestión Pto #2'!$B$4:D$23,MATCH(E$5,'C. Gestión Pto #2'!$B$4:D$4,0),FALSE),0)</f>
        <v>0</v>
      </c>
      <c r="F17" s="261">
        <f>IFERROR(VLOOKUP($B17&amp;$C17,'C. Gestión Pto #2'!$B$4:E$23,MATCH(F$5,'C. Gestión Pto #2'!$B$4:E$4,0),FALSE),0)</f>
        <v>0</v>
      </c>
      <c r="G17" s="261">
        <f>IFERROR(VLOOKUP($B17&amp;$C17,'C. Gestión Pto #2'!$B$4:F$23,MATCH(G$5,'C. Gestión Pto #2'!$B$4:F$4,0),FALSE),0)</f>
        <v>10224408.09419016</v>
      </c>
      <c r="H17" s="261">
        <f>IFERROR(VLOOKUP($B17&amp;$C17,'C. Gestión Pto #2'!$B$4:G$23,MATCH(H$5,'C. Gestión Pto #2'!$B$4:G$4,0),FALSE),0)</f>
        <v>9687819.9101137407</v>
      </c>
      <c r="I17" s="261">
        <f>IFERROR(VLOOKUP($B17&amp;$C17,'C. Gestión Pto #2'!$B$4:H$23,MATCH(I$5,'C. Gestión Pto #2'!$B$4:H$4,0),FALSE),0)</f>
        <v>15241735.310235361</v>
      </c>
      <c r="J17" s="261">
        <f>IFERROR(VLOOKUP($B17&amp;$C17,'C. Gestión Pto #2'!$B$4:I$23,MATCH(J$5,'C. Gestión Pto #2'!$B$4:I$4,0),FALSE),0)</f>
        <v>23120863.1291482</v>
      </c>
      <c r="K17" s="261">
        <f>IFERROR(VLOOKUP($B17&amp;$C17,'C. Gestión Pto #2'!$B$4:J$23,MATCH(K$5,'C. Gestión Pto #2'!$B$4:J$4,0),FALSE),0)</f>
        <v>23725838.653781451</v>
      </c>
      <c r="L17" s="261">
        <f>IFERROR(VLOOKUP($B17&amp;$C17,'C. Gestión Pto #2'!$B$4:K$23,MATCH(L$5,'C. Gestión Pto #2'!$B$4:K$4,0),FALSE),0)</f>
        <v>26071566.495779902</v>
      </c>
      <c r="M17" s="261">
        <f>IFERROR(VLOOKUP($B17&amp;$C17,'C. Gestión Pto #2'!$B$4:L$23,MATCH(M$5,'C. Gestión Pto #2'!$B$4:L$4,0),FALSE),0)</f>
        <v>31653420.821541026</v>
      </c>
      <c r="N17" s="261">
        <f>IFERROR(VLOOKUP($B17&amp;$C17,'C. Gestión Pto #2'!$B$4:M$23,MATCH(N$5,'C. Gestión Pto #2'!$B$4:M$4,0),FALSE),0)</f>
        <v>34129759.93553669</v>
      </c>
      <c r="O17" s="313"/>
      <c r="P17" s="261" cm="1">
        <f t="array" ref="P17">SUMPRODUCT($D17:$O17,TRANSPOSE('Indice CAC'!$C$16:$C$27))</f>
        <v>127514993.63788046</v>
      </c>
      <c r="Q17" s="314"/>
      <c r="R17" s="261">
        <f>IF($C17="MAT",SUMIF('Pto. Costos'!$A$64:$A$240,'Resumen Pto #2'!$B17,'Pto. Costos'!$G$64:$G$240),IF($C17="MO",SUMIF('Pto. Costos'!$A$64:$A$240,'Resumen Pto #2'!$B17,'Pto. Costos'!$I$64:$I$240),SUMIF('Pto. Costos'!$A$64:$A$240,'Resumen Pto #2'!$B17,'Pto. Costos'!$L$64:$L$240)))</f>
        <v>128383057.32055999</v>
      </c>
      <c r="S17" s="978">
        <f>IF(C17="MAT",SUMIF('Pto. 02 Cert.'!$A$10:$A$185,$B17,'Pto. 02 Cert.'!$T$10:$T$185),IF(C17="MO",SUMIF('Pto. 02 Cert.'!$A$10:$A$185,$B17,'Pto. 02 Cert.'!$U$10:$U$185),SUMIF('Pto. 02 Cert.'!$A$10:$A$185,$B17,'Pto. 02 Cert.'!$V$10:$V$185)))/IF(C17="MAT",SUMIF('Pto. 02 Cert.'!$A$10:$A$185,$B17,'Pto. 02 Cert.'!$I$10:$I$185),IF(C17="MO",SUMIF('Pto. 02 Cert.'!$A$10:$A$185,$B17,'Pto. 02 Cert.'!$J$10:$J$185),SUMIF('Pto. 02 Cert.'!$A$10:$A$185,$B17,'Pto. 02 Cert.'!$K$10:$K$185)))</f>
        <v>0.53113140233931788</v>
      </c>
      <c r="T17" s="323">
        <f t="shared" si="14"/>
        <v>868063.68267953396</v>
      </c>
      <c r="U17" s="311">
        <f t="shared" si="15"/>
        <v>6.7615127789959345E-3</v>
      </c>
      <c r="V17" s="323">
        <f t="shared" si="16"/>
        <v>0</v>
      </c>
      <c r="Y17" s="315"/>
    </row>
    <row r="18" spans="2:25" x14ac:dyDescent="0.35">
      <c r="B18" s="66" t="s">
        <v>127</v>
      </c>
      <c r="C18" s="196" t="s">
        <v>38</v>
      </c>
      <c r="D18" s="261">
        <f>IFERROR(VLOOKUP($B18&amp;$C18,'C. Gestión Pto #2'!$B$4:C$23,MATCH(D$5,'C. Gestión Pto #2'!$B$4:C$4,0),FALSE),0)</f>
        <v>0</v>
      </c>
      <c r="E18" s="261">
        <f>IFERROR(VLOOKUP($B18&amp;$C18,'C. Gestión Pto #2'!$B$4:D$23,MATCH(E$5,'C. Gestión Pto #2'!$B$4:D$4,0),FALSE),0)</f>
        <v>0</v>
      </c>
      <c r="F18" s="261">
        <f>IFERROR(VLOOKUP($B18&amp;$C18,'C. Gestión Pto #2'!$B$4:E$23,MATCH(F$5,'C. Gestión Pto #2'!$B$4:E$4,0),FALSE),0)</f>
        <v>14055.62</v>
      </c>
      <c r="G18" s="261">
        <f>IFERROR(VLOOKUP($B18&amp;$C18,'C. Gestión Pto #2'!$B$4:F$23,MATCH(G$5,'C. Gestión Pto #2'!$B$4:F$4,0),FALSE),0)</f>
        <v>0</v>
      </c>
      <c r="H18" s="261">
        <f>IFERROR(VLOOKUP($B18&amp;$C18,'C. Gestión Pto #2'!$B$4:G$23,MATCH(H$5,'C. Gestión Pto #2'!$B$4:G$4,0),FALSE),0)</f>
        <v>0</v>
      </c>
      <c r="I18" s="261">
        <f>IFERROR(VLOOKUP($B18&amp;$C18,'C. Gestión Pto #2'!$B$4:H$23,MATCH(I$5,'C. Gestión Pto #2'!$B$4:H$4,0),FALSE),0)</f>
        <v>0</v>
      </c>
      <c r="J18" s="261">
        <f>IFERROR(VLOOKUP($B18&amp;$C18,'C. Gestión Pto #2'!$B$4:I$23,MATCH(J$5,'C. Gestión Pto #2'!$B$4:I$4,0),FALSE),0)</f>
        <v>0</v>
      </c>
      <c r="K18" s="261">
        <f>IFERROR(VLOOKUP($B18&amp;$C18,'C. Gestión Pto #2'!$B$4:J$23,MATCH(K$5,'C. Gestión Pto #2'!$B$4:J$4,0),FALSE),0)</f>
        <v>6856283.7000000002</v>
      </c>
      <c r="L18" s="261">
        <f>IFERROR(VLOOKUP($B18&amp;$C18,'C. Gestión Pto #2'!$B$4:K$23,MATCH(L$5,'C. Gestión Pto #2'!$B$4:K$4,0),FALSE),0)</f>
        <v>1071902.3</v>
      </c>
      <c r="M18" s="261">
        <f>IFERROR(VLOOKUP($B18&amp;$C18,'C. Gestión Pto #2'!$B$4:L$23,MATCH(M$5,'C. Gestión Pto #2'!$B$4:L$4,0),FALSE),0)</f>
        <v>491875.55</v>
      </c>
      <c r="N18" s="261">
        <f>IFERROR(VLOOKUP($B18&amp;$C18,'C. Gestión Pto #2'!$B$4:M$23,MATCH(N$5,'C. Gestión Pto #2'!$B$4:M$4,0),FALSE),0)</f>
        <v>12647942.870000001</v>
      </c>
      <c r="O18" s="313"/>
      <c r="P18" s="261" cm="1">
        <f t="array" ref="P18">SUMPRODUCT($D18:$O18,TRANSPOSE('Indice CAC'!$C$16:$C$27))</f>
        <v>15079860.548198057</v>
      </c>
      <c r="Q18" s="314"/>
      <c r="R18" s="261">
        <f>IF($C18="MAT",SUMIF('Pto. Costos'!$A$64:$A$240,'Resumen Pto #2'!$B18,'Pto. Costos'!$G$64:$G$240),IF($C18="MO",SUMIF('Pto. Costos'!$A$64:$A$240,'Resumen Pto #2'!$B18,'Pto. Costos'!$I$64:$I$240),SUMIF('Pto. Costos'!$A$64:$A$240,'Resumen Pto #2'!$B18,'Pto. Costos'!$L$64:$L$240)))</f>
        <v>24596469.423380598</v>
      </c>
      <c r="S18" s="978">
        <f>IF(C18="MAT",SUMIF('Pto. 02 Cert.'!$A$10:$A$185,$B18,'Pto. 02 Cert.'!$T$10:$T$185),IF(C18="MO",SUMIF('Pto. 02 Cert.'!$A$10:$A$185,$B18,'Pto. 02 Cert.'!$U$10:$U$185),SUMIF('Pto. 02 Cert.'!$A$10:$A$185,$B18,'Pto. 02 Cert.'!$V$10:$V$185)))/IF(C18="MAT",SUMIF('Pto. 02 Cert.'!$A$10:$A$185,$B18,'Pto. 02 Cert.'!$I$10:$I$185),IF(C18="MO",SUMIF('Pto. 02 Cert.'!$A$10:$A$185,$B18,'Pto. 02 Cert.'!$J$10:$J$185),SUMIF('Pto. 02 Cert.'!$A$10:$A$185,$B18,'Pto. 02 Cert.'!$K$10:$K$185)))</f>
        <v>0.56143985629782223</v>
      </c>
      <c r="T18" s="323">
        <f t="shared" si="14"/>
        <v>9516608.8751825411</v>
      </c>
      <c r="U18" s="311">
        <f t="shared" si="15"/>
        <v>0.38690954833283364</v>
      </c>
      <c r="V18" s="323">
        <f t="shared" si="16"/>
        <v>0</v>
      </c>
    </row>
    <row r="19" spans="2:25" x14ac:dyDescent="0.35">
      <c r="B19" s="66" t="s">
        <v>127</v>
      </c>
      <c r="C19" s="196" t="s">
        <v>39</v>
      </c>
      <c r="D19" s="261">
        <f>IFERROR(VLOOKUP($B19&amp;$C19,'C. Gestión Pto #2'!$B$4:C$23,MATCH(D$5,'C. Gestión Pto #2'!$B$4:C$4,0),FALSE),0)</f>
        <v>0</v>
      </c>
      <c r="E19" s="261">
        <f>IFERROR(VLOOKUP($B19&amp;$C19,'C. Gestión Pto #2'!$B$4:D$23,MATCH(E$5,'C. Gestión Pto #2'!$B$4:D$4,0),FALSE),0)</f>
        <v>0</v>
      </c>
      <c r="F19" s="261">
        <f>IFERROR(VLOOKUP($B19&amp;$C19,'C. Gestión Pto #2'!$B$4:E$23,MATCH(F$5,'C. Gestión Pto #2'!$B$4:E$4,0),FALSE),0)</f>
        <v>0</v>
      </c>
      <c r="G19" s="261">
        <f>IFERROR(VLOOKUP($B19&amp;$C19,'C. Gestión Pto #2'!$B$4:F$23,MATCH(G$5,'C. Gestión Pto #2'!$B$4:F$4,0),FALSE),0)</f>
        <v>0</v>
      </c>
      <c r="H19" s="261">
        <f>IFERROR(VLOOKUP($B19&amp;$C19,'C. Gestión Pto #2'!$B$4:G$23,MATCH(H$5,'C. Gestión Pto #2'!$B$4:G$4,0),FALSE),0)</f>
        <v>0</v>
      </c>
      <c r="I19" s="261">
        <f>IFERROR(VLOOKUP($B19&amp;$C19,'C. Gestión Pto #2'!$B$4:H$23,MATCH(I$5,'C. Gestión Pto #2'!$B$4:H$4,0),FALSE),0)</f>
        <v>0</v>
      </c>
      <c r="J19" s="261">
        <f>IFERROR(VLOOKUP($B19&amp;$C19,'C. Gestión Pto #2'!$B$4:I$23,MATCH(J$5,'C. Gestión Pto #2'!$B$4:I$4,0),FALSE),0)</f>
        <v>1027500</v>
      </c>
      <c r="K19" s="261">
        <f>IFERROR(VLOOKUP($B19&amp;$C19,'C. Gestión Pto #2'!$B$4:J$23,MATCH(K$5,'C. Gestión Pto #2'!$B$4:J$4,0),FALSE),0)</f>
        <v>1288504.57</v>
      </c>
      <c r="L19" s="261">
        <f>IFERROR(VLOOKUP($B19&amp;$C19,'C. Gestión Pto #2'!$B$4:K$23,MATCH(L$5,'C. Gestión Pto #2'!$B$4:K$4,0),FALSE),0)</f>
        <v>943540.89</v>
      </c>
      <c r="M19" s="261">
        <f>IFERROR(VLOOKUP($B19&amp;$C19,'C. Gestión Pto #2'!$B$4:L$23,MATCH(M$5,'C. Gestión Pto #2'!$B$4:L$4,0),FALSE),0)</f>
        <v>5822807.1900000004</v>
      </c>
      <c r="N19" s="261">
        <f>IFERROR(VLOOKUP($B19&amp;$C19,'C. Gestión Pto #2'!$B$4:M$23,MATCH(N$5,'C. Gestión Pto #2'!$B$4:M$4,0),FALSE),0)</f>
        <v>0</v>
      </c>
      <c r="O19" s="313"/>
      <c r="P19" s="261" cm="1">
        <f t="array" ref="P19">SUMPRODUCT($D19:$O19,TRANSPOSE('Indice CAC'!$C$16:$C$27))</f>
        <v>6558470.7979510473</v>
      </c>
      <c r="Q19" s="314"/>
      <c r="R19" s="261">
        <f>IF($C19="MAT",SUMIF('Pto. Costos'!$A$64:$A$240,'Resumen Pto #2'!$B19,'Pto. Costos'!$G$64:$G$240),IF($C19="MO",SUMIF('Pto. Costos'!$A$64:$A$240,'Resumen Pto #2'!$B19,'Pto. Costos'!$I$64:$I$240),SUMIF('Pto. Costos'!$A$64:$A$240,'Resumen Pto #2'!$B19,'Pto. Costos'!$L$64:$L$240)))</f>
        <v>66185630.335113637</v>
      </c>
      <c r="S19" s="978">
        <f>IF(C19="MAT",SUMIF('Pto. 02 Cert.'!$A$10:$A$185,$B19,'Pto. 02 Cert.'!$T$10:$T$185),IF(C19="MO",SUMIF('Pto. 02 Cert.'!$A$10:$A$185,$B19,'Pto. 02 Cert.'!$U$10:$U$185),SUMIF('Pto. 02 Cert.'!$A$10:$A$185,$B19,'Pto. 02 Cert.'!$V$10:$V$185)))/IF(C19="MAT",SUMIF('Pto. 02 Cert.'!$A$10:$A$185,$B19,'Pto. 02 Cert.'!$I$10:$I$185),IF(C19="MO",SUMIF('Pto. 02 Cert.'!$A$10:$A$185,$B19,'Pto. 02 Cert.'!$J$10:$J$185),SUMIF('Pto. 02 Cert.'!$A$10:$A$185,$B19,'Pto. 02 Cert.'!$K$10:$K$185)))</f>
        <v>0.54645467526517189</v>
      </c>
      <c r="T19" s="323">
        <f t="shared" si="14"/>
        <v>59627159.537162587</v>
      </c>
      <c r="U19" s="311">
        <f t="shared" si="15"/>
        <v>0.90090793477762543</v>
      </c>
      <c r="V19" s="323">
        <f t="shared" si="16"/>
        <v>0</v>
      </c>
    </row>
    <row r="20" spans="2:25" x14ac:dyDescent="0.35">
      <c r="B20" s="66" t="s">
        <v>130</v>
      </c>
      <c r="C20" s="203" t="s">
        <v>38</v>
      </c>
      <c r="D20" s="261">
        <f>IFERROR(VLOOKUP($B20&amp;$C20,'C. Gestión Pto #2'!$B$4:C$23,MATCH(D$5,'C. Gestión Pto #2'!$B$4:C$4,0),FALSE),0)</f>
        <v>0</v>
      </c>
      <c r="E20" s="261">
        <f>IFERROR(VLOOKUP($B20&amp;$C20,'C. Gestión Pto #2'!$B$4:D$23,MATCH(E$5,'C. Gestión Pto #2'!$B$4:D$4,0),FALSE),0)</f>
        <v>278030.38</v>
      </c>
      <c r="F20" s="261">
        <f>IFERROR(VLOOKUP($B20&amp;$C20,'C. Gestión Pto #2'!$B$4:E$23,MATCH(F$5,'C. Gestión Pto #2'!$B$4:E$4,0),FALSE),0)</f>
        <v>1035273.8300000001</v>
      </c>
      <c r="G20" s="261">
        <f>IFERROR(VLOOKUP($B20&amp;$C20,'C. Gestión Pto #2'!$B$4:F$23,MATCH(G$5,'C. Gestión Pto #2'!$B$4:F$4,0),FALSE),0)</f>
        <v>2959054.59</v>
      </c>
      <c r="H20" s="261">
        <f>IFERROR(VLOOKUP($B20&amp;$C20,'C. Gestión Pto #2'!$B$4:G$23,MATCH(H$5,'C. Gestión Pto #2'!$B$4:G$4,0),FALSE),0)</f>
        <v>1344156.8900000001</v>
      </c>
      <c r="I20" s="261">
        <f>IFERROR(VLOOKUP($B20&amp;$C20,'C. Gestión Pto #2'!$B$4:H$23,MATCH(I$5,'C. Gestión Pto #2'!$B$4:H$4,0),FALSE),0)</f>
        <v>48067.03</v>
      </c>
      <c r="J20" s="261">
        <f>IFERROR(VLOOKUP($B20&amp;$C20,'C. Gestión Pto #2'!$B$4:I$23,MATCH(J$5,'C. Gestión Pto #2'!$B$4:I$4,0),FALSE),0)</f>
        <v>529125.51</v>
      </c>
      <c r="K20" s="261">
        <f>IFERROR(VLOOKUP($B20&amp;$C20,'C. Gestión Pto #2'!$B$4:J$23,MATCH(K$5,'C. Gestión Pto #2'!$B$4:J$4,0),FALSE),0)</f>
        <v>0</v>
      </c>
      <c r="L20" s="261">
        <f>IFERROR(VLOOKUP($B20&amp;$C20,'C. Gestión Pto #2'!$B$4:K$23,MATCH(L$5,'C. Gestión Pto #2'!$B$4:K$4,0),FALSE),0)</f>
        <v>0</v>
      </c>
      <c r="M20" s="261">
        <f>IFERROR(VLOOKUP($B20&amp;$C20,'C. Gestión Pto #2'!$B$4:L$23,MATCH(M$5,'C. Gestión Pto #2'!$B$4:L$4,0),FALSE),0)</f>
        <v>157662.81</v>
      </c>
      <c r="N20" s="261">
        <f>IFERROR(VLOOKUP($B20&amp;$C20,'C. Gestión Pto #2'!$B$4:M$23,MATCH(N$5,'C. Gestión Pto #2'!$B$4:M$4,0),FALSE),0)</f>
        <v>6134204.3799999999</v>
      </c>
      <c r="O20" s="313"/>
      <c r="P20" s="261" cm="1">
        <f t="array" ref="P20">SUMPRODUCT($D20:$O20,TRANSPOSE('Indice CAC'!$C$16:$C$27))</f>
        <v>9301022.1434490923</v>
      </c>
      <c r="Q20" s="314"/>
      <c r="R20" s="261">
        <f>IF($C20="MAT",SUMIF('Pto. Costos'!$A$64:$A$240,'Resumen Pto #2'!$B20,'Pto. Costos'!$G$64:$G$240),IF($C20="MO",SUMIF('Pto. Costos'!$A$64:$A$240,'Resumen Pto #2'!$B20,'Pto. Costos'!$I$64:$I$240),SUMIF('Pto. Costos'!$A$64:$A$240,'Resumen Pto #2'!$B20,'Pto. Costos'!$L$64:$L$240)))</f>
        <v>31495173.240417514</v>
      </c>
      <c r="S20" s="978">
        <f>IF(C20="MAT",SUMIF('Pto. 02 Cert.'!$A$10:$A$185,$B20,'Pto. 02 Cert.'!$T$10:$T$185),IF(C20="MO",SUMIF('Pto. 02 Cert.'!$A$10:$A$185,$B20,'Pto. 02 Cert.'!$U$10:$U$185),SUMIF('Pto. 02 Cert.'!$A$10:$A$185,$B20,'Pto. 02 Cert.'!$V$10:$V$185)))/IF(C20="MAT",SUMIF('Pto. 02 Cert.'!$A$10:$A$185,$B20,'Pto. 02 Cert.'!$I$10:$I$185),IF(C20="MO",SUMIF('Pto. 02 Cert.'!$A$10:$A$185,$B20,'Pto. 02 Cert.'!$J$10:$J$185),SUMIF('Pto. 02 Cert.'!$A$10:$A$185,$B20,'Pto. 02 Cert.'!$K$10:$K$185)))</f>
        <v>0.17450680095026125</v>
      </c>
      <c r="T20" s="323">
        <f t="shared" si="14"/>
        <v>22194151.09696842</v>
      </c>
      <c r="U20" s="311">
        <f t="shared" si="15"/>
        <v>0.70468420438744672</v>
      </c>
      <c r="V20" s="323">
        <f t="shared" si="16"/>
        <v>0</v>
      </c>
    </row>
    <row r="21" spans="2:25" x14ac:dyDescent="0.35">
      <c r="B21" s="66" t="s">
        <v>130</v>
      </c>
      <c r="C21" s="203" t="s">
        <v>39</v>
      </c>
      <c r="D21" s="261">
        <f>IFERROR(VLOOKUP($B21&amp;$C21,'C. Gestión Pto #2'!$B$4:C$23,MATCH(D$5,'C. Gestión Pto #2'!$B$4:C$4,0),FALSE),0)</f>
        <v>550000</v>
      </c>
      <c r="E21" s="261">
        <f>IFERROR(VLOOKUP($B21&amp;$C21,'C. Gestión Pto #2'!$B$4:D$23,MATCH(E$5,'C. Gestión Pto #2'!$B$4:D$4,0),FALSE),0)</f>
        <v>0</v>
      </c>
      <c r="F21" s="261">
        <f>IFERROR(VLOOKUP($B21&amp;$C21,'C. Gestión Pto #2'!$B$4:E$23,MATCH(F$5,'C. Gestión Pto #2'!$B$4:E$4,0),FALSE),0)</f>
        <v>163802.48000000001</v>
      </c>
      <c r="G21" s="261">
        <f>IFERROR(VLOOKUP($B21&amp;$C21,'C. Gestión Pto #2'!$B$4:F$23,MATCH(G$5,'C. Gestión Pto #2'!$B$4:F$4,0),FALSE),0)</f>
        <v>0</v>
      </c>
      <c r="H21" s="261">
        <f>IFERROR(VLOOKUP($B21&amp;$C21,'C. Gestión Pto #2'!$B$4:G$23,MATCH(H$5,'C. Gestión Pto #2'!$B$4:G$4,0),FALSE),0)</f>
        <v>0</v>
      </c>
      <c r="I21" s="261">
        <f>IFERROR(VLOOKUP($B21&amp;$C21,'C. Gestión Pto #2'!$B$4:H$23,MATCH(I$5,'C. Gestión Pto #2'!$B$4:H$4,0),FALSE),0)</f>
        <v>605000</v>
      </c>
      <c r="J21" s="261">
        <f>IFERROR(VLOOKUP($B21&amp;$C21,'C. Gestión Pto #2'!$B$4:I$23,MATCH(J$5,'C. Gestión Pto #2'!$B$4:I$4,0),FALSE),0)</f>
        <v>2580200</v>
      </c>
      <c r="K21" s="261">
        <f>IFERROR(VLOOKUP($B21&amp;$C21,'C. Gestión Pto #2'!$B$4:J$23,MATCH(K$5,'C. Gestión Pto #2'!$B$4:J$4,0),FALSE),0)</f>
        <v>0</v>
      </c>
      <c r="L21" s="261">
        <f>IFERROR(VLOOKUP($B21&amp;$C21,'C. Gestión Pto #2'!$B$4:K$23,MATCH(L$5,'C. Gestión Pto #2'!$B$4:K$4,0),FALSE),0)</f>
        <v>1111287.06</v>
      </c>
      <c r="M21" s="261">
        <f>IFERROR(VLOOKUP($B21&amp;$C21,'C. Gestión Pto #2'!$B$4:L$23,MATCH(M$5,'C. Gestión Pto #2'!$B$4:L$4,0),FALSE),0)</f>
        <v>1406504.05</v>
      </c>
      <c r="N21" s="261">
        <f>IFERROR(VLOOKUP($B21&amp;$C21,'C. Gestión Pto #2'!$B$4:M$23,MATCH(N$5,'C. Gestión Pto #2'!$B$4:M$4,0),FALSE),0)</f>
        <v>6915189.5338380989</v>
      </c>
      <c r="O21" s="313"/>
      <c r="P21" s="261" cm="1">
        <f t="array" ref="P21">SUMPRODUCT($D21:$O21,TRANSPOSE('Indice CAC'!$C$16:$C$27))</f>
        <v>9654242.5207932852</v>
      </c>
      <c r="Q21" s="314"/>
      <c r="R21" s="261">
        <f>IF($C21="MAT",SUMIF('Pto. Costos'!$A$64:$A$240,'Resumen Pto #2'!$B21,'Pto. Costos'!$G$64:$G$240),IF($C21="MO",SUMIF('Pto. Costos'!$A$64:$A$240,'Resumen Pto #2'!$B21,'Pto. Costos'!$I$64:$I$240),SUMIF('Pto. Costos'!$A$64:$A$240,'Resumen Pto #2'!$B21,'Pto. Costos'!$L$64:$L$240)))</f>
        <v>47599190.6439339</v>
      </c>
      <c r="S21" s="978">
        <f>IF(C21="MAT",SUMIF('Pto. 02 Cert.'!$A$10:$A$185,$B21,'Pto. 02 Cert.'!$T$10:$T$185),IF(C21="MO",SUMIF('Pto. 02 Cert.'!$A$10:$A$185,$B21,'Pto. 02 Cert.'!$U$10:$U$185),SUMIF('Pto. 02 Cert.'!$A$10:$A$185,$B21,'Pto. 02 Cert.'!$V$10:$V$185)))/IF(C21="MAT",SUMIF('Pto. 02 Cert.'!$A$10:$A$185,$B21,'Pto. 02 Cert.'!$I$10:$I$185),IF(C21="MO",SUMIF('Pto. 02 Cert.'!$A$10:$A$185,$B21,'Pto. 02 Cert.'!$J$10:$J$185),SUMIF('Pto. 02 Cert.'!$A$10:$A$185,$B21,'Pto. 02 Cert.'!$K$10:$K$185)))</f>
        <v>0.29819712971265128</v>
      </c>
      <c r="T21" s="323">
        <f t="shared" si="14"/>
        <v>37944948.123140618</v>
      </c>
      <c r="U21" s="311">
        <f t="shared" si="15"/>
        <v>0.79717633030754842</v>
      </c>
      <c r="V21" s="323">
        <f t="shared" si="16"/>
        <v>0</v>
      </c>
    </row>
    <row r="22" spans="2:25" x14ac:dyDescent="0.35">
      <c r="B22" s="66" t="s">
        <v>131</v>
      </c>
      <c r="C22" s="203" t="s">
        <v>38</v>
      </c>
      <c r="D22" s="261">
        <f>IFERROR(VLOOKUP($B22&amp;$C22,'C. Gestión Pto #2'!$B$4:C$23,MATCH(D$5,'C. Gestión Pto #2'!$B$4:C$4,0),FALSE),0)</f>
        <v>0</v>
      </c>
      <c r="E22" s="261">
        <f>IFERROR(VLOOKUP($B22&amp;$C22,'C. Gestión Pto #2'!$B$4:D$23,MATCH(E$5,'C. Gestión Pto #2'!$B$4:D$4,0),FALSE),0)</f>
        <v>1350839.15</v>
      </c>
      <c r="F22" s="261">
        <f>IFERROR(VLOOKUP($B22&amp;$C22,'C. Gestión Pto #2'!$B$4:E$23,MATCH(F$5,'C. Gestión Pto #2'!$B$4:E$4,0),FALSE),0)</f>
        <v>261266.49</v>
      </c>
      <c r="G22" s="261">
        <f>IFERROR(VLOOKUP($B22&amp;$C22,'C. Gestión Pto #2'!$B$4:F$23,MATCH(G$5,'C. Gestión Pto #2'!$B$4:F$4,0),FALSE),0)</f>
        <v>950806.06</v>
      </c>
      <c r="H22" s="261">
        <f>IFERROR(VLOOKUP($B22&amp;$C22,'C. Gestión Pto #2'!$B$4:G$23,MATCH(H$5,'C. Gestión Pto #2'!$B$4:G$4,0),FALSE),0)</f>
        <v>230784.75</v>
      </c>
      <c r="I22" s="261">
        <f>IFERROR(VLOOKUP($B22&amp;$C22,'C. Gestión Pto #2'!$B$4:H$23,MATCH(I$5,'C. Gestión Pto #2'!$B$4:H$4,0),FALSE),0)</f>
        <v>6006212.0999999996</v>
      </c>
      <c r="J22" s="261">
        <f>IFERROR(VLOOKUP($B22&amp;$C22,'C. Gestión Pto #2'!$B$4:I$23,MATCH(J$5,'C. Gestión Pto #2'!$B$4:I$4,0),FALSE),0)</f>
        <v>13136482.760000002</v>
      </c>
      <c r="K22" s="261">
        <f>IFERROR(VLOOKUP($B22&amp;$C22,'C. Gestión Pto #2'!$B$4:J$23,MATCH(K$5,'C. Gestión Pto #2'!$B$4:J$4,0),FALSE),0)</f>
        <v>3423387.6999999997</v>
      </c>
      <c r="L22" s="261">
        <f>IFERROR(VLOOKUP($B22&amp;$C22,'C. Gestión Pto #2'!$B$4:K$23,MATCH(L$5,'C. Gestión Pto #2'!$B$4:K$4,0),FALSE),0)</f>
        <v>19034834.049999997</v>
      </c>
      <c r="M22" s="261">
        <f>IFERROR(VLOOKUP($B22&amp;$C22,'C. Gestión Pto #2'!$B$4:L$23,MATCH(M$5,'C. Gestión Pto #2'!$B$4:L$4,0),FALSE),0)</f>
        <v>657082.75</v>
      </c>
      <c r="N22" s="261">
        <f>IFERROR(VLOOKUP($B22&amp;$C22,'C. Gestión Pto #2'!$B$4:M$23,MATCH(N$5,'C. Gestión Pto #2'!$B$4:M$4,0),FALSE),0)</f>
        <v>934654.5199999999</v>
      </c>
      <c r="O22" s="313"/>
      <c r="P22" s="261" cm="1">
        <f t="array" ref="P22">SUMPRODUCT($D22:$O22,TRANSPOSE('Indice CAC'!$C$16:$C$27))</f>
        <v>34151989.310508579</v>
      </c>
      <c r="Q22" s="314"/>
      <c r="R22" s="261">
        <f>IF($C22="MAT",SUMIF('Pto. Costos'!$A$64:$A$240,'Resumen Pto #2'!$B22,'Pto. Costos'!$G$64:$G$240),IF($C22="MO",SUMIF('Pto. Costos'!$A$64:$A$240,'Resumen Pto #2'!$B22,'Pto. Costos'!$I$64:$I$240),SUMIF('Pto. Costos'!$A$64:$A$240,'Resumen Pto #2'!$B22,'Pto. Costos'!$L$64:$L$240)))</f>
        <v>31719694.494504731</v>
      </c>
      <c r="S22" s="978">
        <f>IF(C22="MAT",SUMIF('Pto. 02 Cert.'!$A$10:$A$185,$B22,'Pto. 02 Cert.'!$T$10:$T$185),IF(C22="MO",SUMIF('Pto. 02 Cert.'!$A$10:$A$185,$B22,'Pto. 02 Cert.'!$U$10:$U$185),SUMIF('Pto. 02 Cert.'!$A$10:$A$185,$B22,'Pto. 02 Cert.'!$V$10:$V$185)))/IF(C22="MAT",SUMIF('Pto. 02 Cert.'!$A$10:$A$185,$B22,'Pto. 02 Cert.'!$I$10:$I$185),IF(C22="MO",SUMIF('Pto. 02 Cert.'!$A$10:$A$185,$B22,'Pto. 02 Cert.'!$J$10:$J$185),SUMIF('Pto. 02 Cert.'!$A$10:$A$185,$B22,'Pto. 02 Cert.'!$K$10:$K$185)))</f>
        <v>0.44230624150504388</v>
      </c>
      <c r="T22" s="323">
        <f t="shared" si="14"/>
        <v>-2432294.8160038479</v>
      </c>
      <c r="U22" s="311">
        <f t="shared" si="15"/>
        <v>-7.6680902977335735E-2</v>
      </c>
      <c r="V22" s="323">
        <f t="shared" si="16"/>
        <v>0</v>
      </c>
    </row>
    <row r="23" spans="2:25" x14ac:dyDescent="0.35">
      <c r="B23" s="66" t="s">
        <v>131</v>
      </c>
      <c r="C23" s="203" t="s">
        <v>39</v>
      </c>
      <c r="D23" s="261">
        <f>IFERROR(VLOOKUP($B23&amp;$C23,'C. Gestión Pto #2'!$B$4:C$23,MATCH(D$5,'C. Gestión Pto #2'!$B$4:C$4,0),FALSE),0)</f>
        <v>0</v>
      </c>
      <c r="E23" s="261">
        <f>IFERROR(VLOOKUP($B23&amp;$C23,'C. Gestión Pto #2'!$B$4:D$23,MATCH(E$5,'C. Gestión Pto #2'!$B$4:D$4,0),FALSE),0)</f>
        <v>0</v>
      </c>
      <c r="F23" s="261">
        <f>IFERROR(VLOOKUP($B23&amp;$C23,'C. Gestión Pto #2'!$B$4:E$23,MATCH(F$5,'C. Gestión Pto #2'!$B$4:E$4,0),FALSE),0)</f>
        <v>709198.4632325758</v>
      </c>
      <c r="G23" s="261">
        <f>IFERROR(VLOOKUP($B23&amp;$C23,'C. Gestión Pto #2'!$B$4:F$23,MATCH(G$5,'C. Gestión Pto #2'!$B$4:F$4,0),FALSE),0)</f>
        <v>177942.14548814393</v>
      </c>
      <c r="H23" s="261">
        <f>IFERROR(VLOOKUP($B23&amp;$C23,'C. Gestión Pto #2'!$B$4:G$23,MATCH(H$5,'C. Gestión Pto #2'!$B$4:G$4,0),FALSE),0)</f>
        <v>390000</v>
      </c>
      <c r="I23" s="261">
        <f>IFERROR(VLOOKUP($B23&amp;$C23,'C. Gestión Pto #2'!$B$4:H$23,MATCH(I$5,'C. Gestión Pto #2'!$B$4:H$4,0),FALSE),0)</f>
        <v>523583.09882154985</v>
      </c>
      <c r="J23" s="261">
        <f>IFERROR(VLOOKUP($B23&amp;$C23,'C. Gestión Pto #2'!$B$4:I$23,MATCH(J$5,'C. Gestión Pto #2'!$B$4:I$4,0),FALSE),0)</f>
        <v>6425606.5015986627</v>
      </c>
      <c r="K23" s="261">
        <f>IFERROR(VLOOKUP($B23&amp;$C23,'C. Gestión Pto #2'!$B$4:J$23,MATCH(K$5,'C. Gestión Pto #2'!$B$4:J$4,0),FALSE),0)</f>
        <v>7858885.0801549889</v>
      </c>
      <c r="L23" s="261">
        <f>IFERROR(VLOOKUP($B23&amp;$C23,'C. Gestión Pto #2'!$B$4:K$23,MATCH(L$5,'C. Gestión Pto #2'!$B$4:K$4,0),FALSE),0)</f>
        <v>12737400.82528547</v>
      </c>
      <c r="M23" s="261">
        <f>IFERROR(VLOOKUP($B23&amp;$C23,'C. Gestión Pto #2'!$B$4:L$23,MATCH(M$5,'C. Gestión Pto #2'!$B$4:L$4,0),FALSE),0)</f>
        <v>11243672.649399186</v>
      </c>
      <c r="N23" s="261">
        <f>IFERROR(VLOOKUP($B23&amp;$C23,'C. Gestión Pto #2'!$B$4:M$23,MATCH(N$5,'C. Gestión Pto #2'!$B$4:M$4,0),FALSE),0)</f>
        <v>10832621.700179478</v>
      </c>
      <c r="O23" s="313"/>
      <c r="P23" s="261" cm="1">
        <f t="array" ref="P23">SUMPRODUCT($D23:$O23,TRANSPOSE('Indice CAC'!$C$16:$C$27))</f>
        <v>36890057.266796693</v>
      </c>
      <c r="Q23" s="314"/>
      <c r="R23" s="261">
        <f>IF($C23="MAT",SUMIF('Pto. Costos'!$A$64:$A$240,'Resumen Pto #2'!$B23,'Pto. Costos'!$G$64:$G$240),IF($C23="MO",SUMIF('Pto. Costos'!$A$64:$A$240,'Resumen Pto #2'!$B23,'Pto. Costos'!$I$64:$I$240),SUMIF('Pto. Costos'!$A$64:$A$240,'Resumen Pto #2'!$B23,'Pto. Costos'!$L$64:$L$240)))</f>
        <v>61809616.928692363</v>
      </c>
      <c r="S23" s="978">
        <f>IF(C23="MAT",SUMIF('Pto. 02 Cert.'!$A$10:$A$185,$B23,'Pto. 02 Cert.'!$T$10:$T$185),IF(C23="MO",SUMIF('Pto. 02 Cert.'!$A$10:$A$185,$B23,'Pto. 02 Cert.'!$U$10:$U$185),SUMIF('Pto. 02 Cert.'!$A$10:$A$185,$B23,'Pto. 02 Cert.'!$V$10:$V$185)))/IF(C23="MAT",SUMIF('Pto. 02 Cert.'!$A$10:$A$185,$B23,'Pto. 02 Cert.'!$I$10:$I$185),IF(C23="MO",SUMIF('Pto. 02 Cert.'!$A$10:$A$185,$B23,'Pto. 02 Cert.'!$J$10:$J$185),SUMIF('Pto. 02 Cert.'!$A$10:$A$185,$B23,'Pto. 02 Cert.'!$K$10:$K$185)))</f>
        <v>0.43165447703966942</v>
      </c>
      <c r="T23" s="323">
        <f t="shared" si="14"/>
        <v>24919559.66189567</v>
      </c>
      <c r="U23" s="311">
        <f t="shared" si="15"/>
        <v>0.40316638251689074</v>
      </c>
      <c r="V23" s="323">
        <f t="shared" si="16"/>
        <v>0</v>
      </c>
    </row>
    <row r="24" spans="2:25" x14ac:dyDescent="0.35">
      <c r="B24" s="66" t="s">
        <v>128</v>
      </c>
      <c r="C24" s="203" t="s">
        <v>38</v>
      </c>
      <c r="D24" s="261">
        <f>IFERROR(VLOOKUP($B24&amp;$C24,'C. Gestión Pto #2'!$B$4:C$23,MATCH(D$5,'C. Gestión Pto #2'!$B$4:C$4,0),FALSE),0)</f>
        <v>0</v>
      </c>
      <c r="E24" s="261">
        <f>IFERROR(VLOOKUP($B24&amp;$C24,'C. Gestión Pto #2'!$B$4:D$23,MATCH(E$5,'C. Gestión Pto #2'!$B$4:D$4,0),FALSE),0)</f>
        <v>0</v>
      </c>
      <c r="F24" s="261">
        <f>IFERROR(VLOOKUP($B24&amp;$C24,'C. Gestión Pto #2'!$B$4:E$23,MATCH(F$5,'C. Gestión Pto #2'!$B$4:E$4,0),FALSE),0)</f>
        <v>0</v>
      </c>
      <c r="G24" s="261">
        <f>IFERROR(VLOOKUP($B24&amp;$C24,'C. Gestión Pto #2'!$B$4:F$23,MATCH(G$5,'C. Gestión Pto #2'!$B$4:F$4,0),FALSE),0)</f>
        <v>0</v>
      </c>
      <c r="H24" s="261">
        <f>IFERROR(VLOOKUP($B24&amp;$C24,'C. Gestión Pto #2'!$B$4:G$23,MATCH(H$5,'C. Gestión Pto #2'!$B$4:G$4,0),FALSE),0)</f>
        <v>0</v>
      </c>
      <c r="I24" s="261">
        <f>IFERROR(VLOOKUP($B24&amp;$C24,'C. Gestión Pto #2'!$B$4:H$23,MATCH(I$5,'C. Gestión Pto #2'!$B$4:H$4,0),FALSE),0)</f>
        <v>4076500</v>
      </c>
      <c r="J24" s="261">
        <f>IFERROR(VLOOKUP($B24&amp;$C24,'C. Gestión Pto #2'!$B$4:I$23,MATCH(J$5,'C. Gestión Pto #2'!$B$4:I$4,0),FALSE),0)</f>
        <v>0</v>
      </c>
      <c r="K24" s="261">
        <f>IFERROR(VLOOKUP($B24&amp;$C24,'C. Gestión Pto #2'!$B$4:J$23,MATCH(K$5,'C. Gestión Pto #2'!$B$4:J$4,0),FALSE),0)</f>
        <v>0</v>
      </c>
      <c r="L24" s="261">
        <f>IFERROR(VLOOKUP($B24&amp;$C24,'C. Gestión Pto #2'!$B$4:K$23,MATCH(L$5,'C. Gestión Pto #2'!$B$4:K$4,0),FALSE),0)</f>
        <v>0</v>
      </c>
      <c r="M24" s="261">
        <f>IFERROR(VLOOKUP($B24&amp;$C24,'C. Gestión Pto #2'!$B$4:L$23,MATCH(M$5,'C. Gestión Pto #2'!$B$4:L$4,0),FALSE),0)</f>
        <v>8541597.5099999998</v>
      </c>
      <c r="N24" s="261">
        <f>IFERROR(VLOOKUP($B24&amp;$C24,'C. Gestión Pto #2'!$B$4:M$23,MATCH(N$5,'C. Gestión Pto #2'!$B$4:M$4,0),FALSE),0)</f>
        <v>0</v>
      </c>
      <c r="O24" s="313"/>
      <c r="P24" s="261" cm="1">
        <f t="array" ref="P24">SUMPRODUCT($D24:$O24,TRANSPOSE('Indice CAC'!$C$16:$C$27))</f>
        <v>9212674.0203790478</v>
      </c>
      <c r="Q24" s="314"/>
      <c r="R24" s="261">
        <f>IF($C24="MAT",SUMIF('Pto. Costos'!$A$64:$A$240,'Resumen Pto #2'!$B24,'Pto. Costos'!$G$64:$G$240),IF($C24="MO",SUMIF('Pto. Costos'!$A$64:$A$240,'Resumen Pto #2'!$B24,'Pto. Costos'!$I$64:$I$240),SUMIF('Pto. Costos'!$A$64:$A$240,'Resumen Pto #2'!$B24,'Pto. Costos'!$L$64:$L$240)))</f>
        <v>29057104.645157233</v>
      </c>
      <c r="S24" s="978">
        <f>IF(C24="MAT",SUMIF('Pto. 02 Cert.'!$A$10:$A$185,$B24,'Pto. 02 Cert.'!$T$10:$T$185),IF(C24="MO",SUMIF('Pto. 02 Cert.'!$A$10:$A$185,$B24,'Pto. 02 Cert.'!$U$10:$U$185),SUMIF('Pto. 02 Cert.'!$A$10:$A$185,$B24,'Pto. 02 Cert.'!$V$10:$V$185)))/IF(C24="MAT",SUMIF('Pto. 02 Cert.'!$A$10:$A$185,$B24,'Pto. 02 Cert.'!$I$10:$I$185),IF(C24="MO",SUMIF('Pto. 02 Cert.'!$A$10:$A$185,$B24,'Pto. 02 Cert.'!$J$10:$J$185),SUMIF('Pto. 02 Cert.'!$A$10:$A$185,$B24,'Pto. 02 Cert.'!$K$10:$K$185)))</f>
        <v>0.34515040181993784</v>
      </c>
      <c r="T24" s="323">
        <f t="shared" ref="T24:T25" si="17">IF(S24=100%,0,IF(OR(P24&lt;&gt;0,R24),R24-P24))</f>
        <v>19844430.624778185</v>
      </c>
      <c r="U24" s="311">
        <f t="shared" ref="U24:U25" si="18">IF(OR(T24&lt;0,R24),T24/R24,0%)</f>
        <v>0.68294590486962137</v>
      </c>
      <c r="V24" s="323">
        <f t="shared" ref="V24:V25" si="19">IF(S24=100%,IF(OR(P24&lt;&gt;0,R24),R24-P24),0)</f>
        <v>0</v>
      </c>
    </row>
    <row r="25" spans="2:25" x14ac:dyDescent="0.35">
      <c r="B25" s="66" t="s">
        <v>128</v>
      </c>
      <c r="C25" s="203" t="s">
        <v>39</v>
      </c>
      <c r="D25" s="261">
        <f>IFERROR(VLOOKUP($B25&amp;$C25,'C. Gestión Pto #2'!$B$4:C$23,MATCH(D$5,'C. Gestión Pto #2'!$B$4:C$4,0),FALSE),0)</f>
        <v>0</v>
      </c>
      <c r="E25" s="261">
        <f>IFERROR(VLOOKUP($B25&amp;$C25,'C. Gestión Pto #2'!$B$4:D$23,MATCH(E$5,'C. Gestión Pto #2'!$B$4:D$4,0),FALSE),0)</f>
        <v>0</v>
      </c>
      <c r="F25" s="261">
        <f>IFERROR(VLOOKUP($B25&amp;$C25,'C. Gestión Pto #2'!$B$4:E$23,MATCH(F$5,'C. Gestión Pto #2'!$B$4:E$4,0),FALSE),0)</f>
        <v>0</v>
      </c>
      <c r="G25" s="261">
        <f>IFERROR(VLOOKUP($B25&amp;$C25,'C. Gestión Pto #2'!$B$4:F$23,MATCH(G$5,'C. Gestión Pto #2'!$B$4:F$4,0),FALSE),0)</f>
        <v>0</v>
      </c>
      <c r="H25" s="261">
        <f>IFERROR(VLOOKUP($B25&amp;$C25,'C. Gestión Pto #2'!$B$4:G$23,MATCH(H$5,'C. Gestión Pto #2'!$B$4:G$4,0),FALSE),0)</f>
        <v>0</v>
      </c>
      <c r="I25" s="261">
        <f>IFERROR(VLOOKUP($B25&amp;$C25,'C. Gestión Pto #2'!$B$4:H$23,MATCH(I$5,'C. Gestión Pto #2'!$B$4:H$4,0),FALSE),0)</f>
        <v>0</v>
      </c>
      <c r="J25" s="261">
        <f>IFERROR(VLOOKUP($B25&amp;$C25,'C. Gestión Pto #2'!$B$4:I$23,MATCH(J$5,'C. Gestión Pto #2'!$B$4:I$4,0),FALSE),0)</f>
        <v>0</v>
      </c>
      <c r="K25" s="261">
        <f>IFERROR(VLOOKUP($B25&amp;$C25,'C. Gestión Pto #2'!$B$4:J$23,MATCH(K$5,'C. Gestión Pto #2'!$B$4:J$4,0),FALSE),0)</f>
        <v>0</v>
      </c>
      <c r="L25" s="261">
        <f>IFERROR(VLOOKUP($B25&amp;$C25,'C. Gestión Pto #2'!$B$4:K$23,MATCH(L$5,'C. Gestión Pto #2'!$B$4:K$4,0),FALSE),0)</f>
        <v>0</v>
      </c>
      <c r="M25" s="261">
        <f>IFERROR(VLOOKUP($B25&amp;$C25,'C. Gestión Pto #2'!$B$4:L$23,MATCH(M$5,'C. Gestión Pto #2'!$B$4:L$4,0),FALSE),0)</f>
        <v>4011700</v>
      </c>
      <c r="N25" s="261">
        <f>IFERROR(VLOOKUP($B25&amp;$C25,'C. Gestión Pto #2'!$B$4:M$23,MATCH(N$5,'C. Gestión Pto #2'!$B$4:M$4,0),FALSE),0)</f>
        <v>350000</v>
      </c>
      <c r="O25" s="313"/>
      <c r="P25" s="261" cm="1">
        <f t="array" ref="P25">SUMPRODUCT($D25:$O25,TRANSPOSE('Indice CAC'!$C$16:$C$27))</f>
        <v>3107555.6961538102</v>
      </c>
      <c r="Q25" s="314"/>
      <c r="R25" s="261">
        <f>IF($C25="MAT",SUMIF('Pto. Costos'!$A$64:$A$240,'Resumen Pto #2'!$B25,'Pto. Costos'!$G$64:$G$240),IF($C25="MO",SUMIF('Pto. Costos'!$A$64:$A$240,'Resumen Pto #2'!$B25,'Pto. Costos'!$I$64:$I$240),SUMIF('Pto. Costos'!$A$64:$A$240,'Resumen Pto #2'!$B25,'Pto. Costos'!$L$64:$L$240)))</f>
        <v>32520619.477365639</v>
      </c>
      <c r="S25" s="978">
        <f>IF(C25="MAT",SUMIF('Pto. 02 Cert.'!$A$10:$A$185,$B25,'Pto. 02 Cert.'!$T$10:$T$185),IF(C25="MO",SUMIF('Pto. 02 Cert.'!$A$10:$A$185,$B25,'Pto. 02 Cert.'!$U$10:$U$185),SUMIF('Pto. 02 Cert.'!$A$10:$A$185,$B25,'Pto. 02 Cert.'!$V$10:$V$185)))/IF(C25="MAT",SUMIF('Pto. 02 Cert.'!$A$10:$A$185,$B25,'Pto. 02 Cert.'!$I$10:$I$185),IF(C25="MO",SUMIF('Pto. 02 Cert.'!$A$10:$A$185,$B25,'Pto. 02 Cert.'!$J$10:$J$185),SUMIF('Pto. 02 Cert.'!$A$10:$A$185,$B25,'Pto. 02 Cert.'!$K$10:$K$185)))</f>
        <v>9.7485725356296585E-2</v>
      </c>
      <c r="T25" s="323">
        <f t="shared" si="17"/>
        <v>29413063.781211831</v>
      </c>
      <c r="U25" s="311">
        <f t="shared" si="18"/>
        <v>0.90444352702700914</v>
      </c>
      <c r="V25" s="323">
        <f t="shared" si="19"/>
        <v>0</v>
      </c>
    </row>
    <row r="26" spans="2:25" x14ac:dyDescent="0.35">
      <c r="B26" s="66" t="s">
        <v>132</v>
      </c>
      <c r="C26" s="203" t="s">
        <v>38</v>
      </c>
      <c r="D26" s="261">
        <f>IFERROR(VLOOKUP($B26&amp;$C26,'C. Gestión Pto #2'!$B$4:C$23,MATCH(D$5,'C. Gestión Pto #2'!$B$4:C$4,0),FALSE),0)</f>
        <v>0</v>
      </c>
      <c r="E26" s="261">
        <f>IFERROR(VLOOKUP($B26&amp;$C26,'C. Gestión Pto #2'!$B$4:D$23,MATCH(E$5,'C. Gestión Pto #2'!$B$4:D$4,0),FALSE),0)</f>
        <v>0</v>
      </c>
      <c r="F26" s="261">
        <f>IFERROR(VLOOKUP($B26&amp;$C26,'C. Gestión Pto #2'!$B$4:E$23,MATCH(F$5,'C. Gestión Pto #2'!$B$4:E$4,0),FALSE),0)</f>
        <v>0</v>
      </c>
      <c r="G26" s="261">
        <f>IFERROR(VLOOKUP($B26&amp;$C26,'C. Gestión Pto #2'!$B$4:F$23,MATCH(G$5,'C. Gestión Pto #2'!$B$4:F$4,0),FALSE),0)</f>
        <v>0</v>
      </c>
      <c r="H26" s="261">
        <f>IFERROR(VLOOKUP($B26&amp;$C26,'C. Gestión Pto #2'!$B$4:G$23,MATCH(H$5,'C. Gestión Pto #2'!$B$4:G$4,0),FALSE),0)</f>
        <v>0</v>
      </c>
      <c r="I26" s="261">
        <f>IFERROR(VLOOKUP($B26&amp;$C26,'C. Gestión Pto #2'!$B$4:H$23,MATCH(I$5,'C. Gestión Pto #2'!$B$4:H$4,0),FALSE),0)</f>
        <v>0</v>
      </c>
      <c r="J26" s="261">
        <f>IFERROR(VLOOKUP($B26&amp;$C26,'C. Gestión Pto #2'!$B$4:I$23,MATCH(J$5,'C. Gestión Pto #2'!$B$4:I$4,0),FALSE),0)</f>
        <v>0</v>
      </c>
      <c r="K26" s="261">
        <f>IFERROR(VLOOKUP($B26&amp;$C26,'C. Gestión Pto #2'!$B$4:J$23,MATCH(K$5,'C. Gestión Pto #2'!$B$4:J$4,0),FALSE),0)</f>
        <v>0</v>
      </c>
      <c r="L26" s="261">
        <f>IFERROR(VLOOKUP($B26&amp;$C26,'C. Gestión Pto #2'!$B$4:K$23,MATCH(L$5,'C. Gestión Pto #2'!$B$4:K$4,0),FALSE),0)</f>
        <v>0</v>
      </c>
      <c r="M26" s="261">
        <f>IFERROR(VLOOKUP($B26&amp;$C26,'C. Gestión Pto #2'!$B$4:L$23,MATCH(M$5,'C. Gestión Pto #2'!$B$4:L$4,0),FALSE),0)</f>
        <v>0</v>
      </c>
      <c r="N26" s="261">
        <f>IFERROR(VLOOKUP($B26&amp;$C26,'C. Gestión Pto #2'!$B$4:M$23,MATCH(N$5,'C. Gestión Pto #2'!$B$4:M$4,0),FALSE),0)</f>
        <v>0</v>
      </c>
      <c r="O26" s="313"/>
      <c r="P26" s="261" cm="1">
        <f t="array" ref="P26">SUMPRODUCT($D26:$O26,TRANSPOSE('Indice CAC'!$C$16:$C$27))</f>
        <v>0</v>
      </c>
      <c r="Q26" s="314"/>
      <c r="R26" s="261">
        <f>IF($C26="MAT",SUMIF('Pto. Costos'!$A$64:$A$240,'Resumen Pto #2'!$B26,'Pto. Costos'!$G$64:$G$240),IF($C26="MO",SUMIF('Pto. Costos'!$A$64:$A$240,'Resumen Pto #2'!$B26,'Pto. Costos'!$I$64:$I$240),SUMIF('Pto. Costos'!$A$64:$A$240,'Resumen Pto #2'!$B26,'Pto. Costos'!$L$64:$L$240)))</f>
        <v>13500000</v>
      </c>
      <c r="S26" s="978">
        <f>IF(C26="MAT",SUMIF('Pto. 02 Cert.'!$A$10:$A$185,$B26,'Pto. 02 Cert.'!$T$10:$T$185),IF(C26="MO",SUMIF('Pto. 02 Cert.'!$A$10:$A$185,$B26,'Pto. 02 Cert.'!$U$10:$U$185),SUMIF('Pto. 02 Cert.'!$A$10:$A$185,$B26,'Pto. 02 Cert.'!$V$10:$V$185)))/IF(C26="MAT",SUMIF('Pto. 02 Cert.'!$A$10:$A$185,$B26,'Pto. 02 Cert.'!$I$10:$I$185),IF(C26="MO",SUMIF('Pto. 02 Cert.'!$A$10:$A$185,$B26,'Pto. 02 Cert.'!$J$10:$J$185),SUMIF('Pto. 02 Cert.'!$A$10:$A$185,$B26,'Pto. 02 Cert.'!$K$10:$K$185)))</f>
        <v>0.8</v>
      </c>
      <c r="T26" s="323">
        <f t="shared" si="14"/>
        <v>13500000</v>
      </c>
      <c r="U26" s="311">
        <f t="shared" si="15"/>
        <v>1</v>
      </c>
      <c r="V26" s="323">
        <f t="shared" si="16"/>
        <v>0</v>
      </c>
    </row>
    <row r="27" spans="2:25" x14ac:dyDescent="0.35">
      <c r="B27" s="66" t="s">
        <v>132</v>
      </c>
      <c r="C27" s="203" t="s">
        <v>39</v>
      </c>
      <c r="D27" s="261">
        <f>IFERROR(VLOOKUP($B27&amp;$C27,'C. Gestión Pto #2'!$B$4:C$23,MATCH(D$5,'C. Gestión Pto #2'!$B$4:C$4,0),FALSE),0)</f>
        <v>0</v>
      </c>
      <c r="E27" s="261">
        <f>IFERROR(VLOOKUP($B27&amp;$C27,'C. Gestión Pto #2'!$B$4:D$23,MATCH(E$5,'C. Gestión Pto #2'!$B$4:D$4,0),FALSE),0)</f>
        <v>0</v>
      </c>
      <c r="F27" s="261">
        <f>IFERROR(VLOOKUP($B27&amp;$C27,'C. Gestión Pto #2'!$B$4:E$23,MATCH(F$5,'C. Gestión Pto #2'!$B$4:E$4,0),FALSE),0)</f>
        <v>0</v>
      </c>
      <c r="G27" s="261">
        <f>IFERROR(VLOOKUP($B27&amp;$C27,'C. Gestión Pto #2'!$B$4:F$23,MATCH(G$5,'C. Gestión Pto #2'!$B$4:F$4,0),FALSE),0)</f>
        <v>0</v>
      </c>
      <c r="H27" s="261">
        <f>IFERROR(VLOOKUP($B27&amp;$C27,'C. Gestión Pto #2'!$B$4:G$23,MATCH(H$5,'C. Gestión Pto #2'!$B$4:G$4,0),FALSE),0)</f>
        <v>0</v>
      </c>
      <c r="I27" s="261">
        <f>IFERROR(VLOOKUP($B27&amp;$C27,'C. Gestión Pto #2'!$B$4:H$23,MATCH(I$5,'C. Gestión Pto #2'!$B$4:H$4,0),FALSE),0)</f>
        <v>0</v>
      </c>
      <c r="J27" s="261">
        <f>IFERROR(VLOOKUP($B27&amp;$C27,'C. Gestión Pto #2'!$B$4:I$23,MATCH(J$5,'C. Gestión Pto #2'!$B$4:I$4,0),FALSE),0)</f>
        <v>4235000</v>
      </c>
      <c r="K27" s="261">
        <f>IFERROR(VLOOKUP($B27&amp;$C27,'C. Gestión Pto #2'!$B$4:J$23,MATCH(K$5,'C. Gestión Pto #2'!$B$4:J$4,0),FALSE),0)</f>
        <v>0</v>
      </c>
      <c r="L27" s="261">
        <f>IFERROR(VLOOKUP($B27&amp;$C27,'C. Gestión Pto #2'!$B$4:K$23,MATCH(L$5,'C. Gestión Pto #2'!$B$4:K$4,0),FALSE),0)</f>
        <v>1944000</v>
      </c>
      <c r="M27" s="261">
        <f>IFERROR(VLOOKUP($B27&amp;$C27,'C. Gestión Pto #2'!$B$4:L$23,MATCH(M$5,'C. Gestión Pto #2'!$B$4:L$4,0),FALSE),0)</f>
        <v>5040000</v>
      </c>
      <c r="N27" s="261">
        <f>IFERROR(VLOOKUP($B27&amp;$C27,'C. Gestión Pto #2'!$B$4:M$23,MATCH(N$5,'C. Gestión Pto #2'!$B$4:M$4,0),FALSE),0)</f>
        <v>0</v>
      </c>
      <c r="O27" s="313"/>
      <c r="P27" s="261" cm="1">
        <f t="array" ref="P27">SUMPRODUCT($D27:$O27,TRANSPOSE('Indice CAC'!$C$16:$C$27))</f>
        <v>8173029.4154223725</v>
      </c>
      <c r="Q27" s="314"/>
      <c r="R27" s="261">
        <f>IF($C27="MAT",SUMIF('Pto. Costos'!$A$64:$A$240,'Resumen Pto #2'!$B27,'Pto. Costos'!$G$64:$G$240),IF($C27="MO",SUMIF('Pto. Costos'!$A$64:$A$240,'Resumen Pto #2'!$B27,'Pto. Costos'!$I$64:$I$240),SUMIF('Pto. Costos'!$A$64:$A$240,'Resumen Pto #2'!$B27,'Pto. Costos'!$L$64:$L$240)))</f>
        <v>14504000</v>
      </c>
      <c r="S27" s="978">
        <f>IF(C27="MAT",SUMIF('Pto. 02 Cert.'!$A$10:$A$185,$B27,'Pto. 02 Cert.'!$T$10:$T$185),IF(C27="MO",SUMIF('Pto. 02 Cert.'!$A$10:$A$185,$B27,'Pto. 02 Cert.'!$U$10:$U$185),SUMIF('Pto. 02 Cert.'!$A$10:$A$185,$B27,'Pto. 02 Cert.'!$V$10:$V$185)))/IF(C27="MAT",SUMIF('Pto. 02 Cert.'!$A$10:$A$185,$B27,'Pto. 02 Cert.'!$I$10:$I$185),IF(C27="MO",SUMIF('Pto. 02 Cert.'!$A$10:$A$185,$B27,'Pto. 02 Cert.'!$J$10:$J$185),SUMIF('Pto. 02 Cert.'!$A$10:$A$185,$B27,'Pto. 02 Cert.'!$K$10:$K$185)))</f>
        <v>0.42471086953495885</v>
      </c>
      <c r="T27" s="323">
        <f t="shared" si="14"/>
        <v>6330970.5845776275</v>
      </c>
      <c r="U27" s="311">
        <f t="shared" si="15"/>
        <v>0.43649824769564449</v>
      </c>
      <c r="V27" s="323">
        <f t="shared" si="16"/>
        <v>0</v>
      </c>
    </row>
    <row r="28" spans="2:25" x14ac:dyDescent="0.35">
      <c r="B28" s="66" t="s">
        <v>177</v>
      </c>
      <c r="C28" s="203"/>
      <c r="D28" s="261">
        <f>IFERROR(VLOOKUP($B28&amp;$C28,'C. Gestión Pto #2'!$B$4:C$23,MATCH(D$5,'C. Gestión Pto #2'!$B$4:C$4,0),FALSE),0)</f>
        <v>0</v>
      </c>
      <c r="E28" s="261">
        <f>IFERROR(VLOOKUP($B28&amp;$C28,'C. Gestión Pto #2'!$B$4:D$23,MATCH(E$5,'C. Gestión Pto #2'!$B$4:D$4,0),FALSE),0)</f>
        <v>0</v>
      </c>
      <c r="F28" s="261">
        <f>IFERROR(VLOOKUP($B28&amp;$C28,'C. Gestión Pto #2'!$B$4:E$23,MATCH(F$5,'C. Gestión Pto #2'!$B$4:E$4,0),FALSE),0)</f>
        <v>0</v>
      </c>
      <c r="G28" s="261">
        <f>IFERROR(VLOOKUP($B28&amp;$C28,'C. Gestión Pto #2'!$B$4:F$23,MATCH(G$5,'C. Gestión Pto #2'!$B$4:F$4,0),FALSE),0)</f>
        <v>0</v>
      </c>
      <c r="H28" s="261">
        <f>IFERROR(VLOOKUP($B28&amp;$C28,'C. Gestión Pto #2'!$B$4:G$23,MATCH(H$5,'C. Gestión Pto #2'!$B$4:G$4,0),FALSE),0)</f>
        <v>0</v>
      </c>
      <c r="I28" s="261">
        <f>IFERROR(VLOOKUP($B28&amp;$C28,'C. Gestión Pto #2'!$B$4:H$23,MATCH(I$5,'C. Gestión Pto #2'!$B$4:H$4,0),FALSE),0)</f>
        <v>594839.98861811135</v>
      </c>
      <c r="J28" s="261">
        <f>IFERROR(VLOOKUP($B28&amp;$C28,'C. Gestión Pto #2'!$B$4:I$23,MATCH(J$5,'C. Gestión Pto #2'!$B$4:I$4,0),FALSE),0)</f>
        <v>617445.22659030394</v>
      </c>
      <c r="K28" s="261">
        <f>IFERROR(VLOOKUP($B28&amp;$C28,'C. Gestión Pto #2'!$B$4:J$23,MATCH(K$5,'C. Gestión Pto #2'!$B$4:J$4,0),FALSE),0)</f>
        <v>637742.1293521357</v>
      </c>
      <c r="L28" s="261">
        <f>IFERROR(VLOOKUP($B28&amp;$C28,'C. Gestión Pto #2'!$B$4:K$23,MATCH(L$5,'C. Gestión Pto #2'!$B$4:K$4,0),FALSE),0)</f>
        <v>659477.43565845408</v>
      </c>
      <c r="M28" s="261">
        <f>IFERROR(VLOOKUP($B28&amp;$C28,'C. Gestión Pto #2'!$B$4:L$23,MATCH(M$5,'C. Gestión Pto #2'!$B$4:L$4,0),FALSE),0)</f>
        <v>676623.84898557386</v>
      </c>
      <c r="N28" s="261">
        <f>IFERROR(VLOOKUP($B28&amp;$C28,'C. Gestión Pto #2'!$B$4:M$23,MATCH(N$5,'C. Gestión Pto #2'!$B$4:M$4,0),FALSE),0)</f>
        <v>702737.42243214278</v>
      </c>
      <c r="O28" s="313"/>
      <c r="P28" s="261" cm="1">
        <f t="array" ref="P28">SUMPRODUCT($D28:$O28,TRANSPOSE('Indice CAC'!$C$16:$C$27))</f>
        <v>2842189.0509288833</v>
      </c>
      <c r="Q28" s="314"/>
      <c r="R28" s="261">
        <f>IF($C28="MAT",SUMIF('Pto. Costos'!$A$64:$A$240,'Resumen Pto #2'!$B28,'Pto. Costos'!$G$64:$G$240),IF($C28="MO",SUMIF('Pto. Costos'!$A$64:$A$240,'Resumen Pto #2'!$B28,'Pto. Costos'!$I$64:$I$240),SUMIF('Pto. Costos'!$A$64:$A$240,"",'Pto. Costos'!$K$64:$K$240)))</f>
        <v>8515663.8929975666</v>
      </c>
      <c r="S28" s="978">
        <f>'Pto. 02 Cert.'!S187</f>
        <v>0.43907519863261979</v>
      </c>
      <c r="T28" s="323">
        <f t="shared" si="14"/>
        <v>5673474.8420686834</v>
      </c>
      <c r="U28" s="311">
        <f t="shared" si="15"/>
        <v>0.66623987434896104</v>
      </c>
      <c r="V28" s="323">
        <f t="shared" si="16"/>
        <v>0</v>
      </c>
    </row>
    <row r="29" spans="2:25" x14ac:dyDescent="0.35">
      <c r="B29" s="66" t="s">
        <v>103</v>
      </c>
      <c r="C29" s="203"/>
      <c r="D29" s="261">
        <f>IFERROR(VLOOKUP($B29&amp;$C29,'C. Gestión Pto #2'!$B$4:C$23,MATCH(D$5,'C. Gestión Pto #2'!$B$4:C$4,0),FALSE),0)</f>
        <v>0</v>
      </c>
      <c r="E29" s="261">
        <f>IFERROR(VLOOKUP($B29&amp;$C29,'C. Gestión Pto #2'!$B$4:D$23,MATCH(E$5,'C. Gestión Pto #2'!$B$4:D$4,0),FALSE),0)</f>
        <v>0</v>
      </c>
      <c r="F29" s="261">
        <f>IFERROR(VLOOKUP($B29&amp;$C29,'C. Gestión Pto #2'!$B$4:E$23,MATCH(F$5,'C. Gestión Pto #2'!$B$4:E$4,0),FALSE),0)</f>
        <v>0</v>
      </c>
      <c r="G29" s="261">
        <f>IFERROR(VLOOKUP($B29&amp;$C29,'C. Gestión Pto #2'!$B$4:F$23,MATCH(G$5,'C. Gestión Pto #2'!$B$4:F$4,0),FALSE),0)</f>
        <v>0</v>
      </c>
      <c r="H29" s="261">
        <f>IFERROR(VLOOKUP($B29&amp;$C29,'C. Gestión Pto #2'!$B$4:G$23,MATCH(H$5,'C. Gestión Pto #2'!$B$4:G$4,0),FALSE),0)</f>
        <v>0</v>
      </c>
      <c r="I29" s="261">
        <f>IFERROR(VLOOKUP($B29&amp;$C29,'C. Gestión Pto #2'!$B$4:H$23,MATCH(I$5,'C. Gestión Pto #2'!$B$4:H$4,0),FALSE),0)</f>
        <v>0</v>
      </c>
      <c r="J29" s="261">
        <f>IFERROR(VLOOKUP($B29&amp;$C29,'C. Gestión Pto #2'!$B$4:I$23,MATCH(J$5,'C. Gestión Pto #2'!$B$4:I$4,0),FALSE),0)</f>
        <v>0</v>
      </c>
      <c r="K29" s="261">
        <f>IFERROR(VLOOKUP($B29&amp;$C29,'C. Gestión Pto #2'!$B$4:J$23,MATCH(K$5,'C. Gestión Pto #2'!$B$4:J$4,0),FALSE),0)</f>
        <v>0</v>
      </c>
      <c r="L29" s="261">
        <f>IFERROR(VLOOKUP($B29&amp;$C29,'C. Gestión Pto #2'!$B$4:K$23,MATCH(L$5,'C. Gestión Pto #2'!$B$4:K$4,0),FALSE),0)</f>
        <v>0</v>
      </c>
      <c r="M29" s="261">
        <f>IFERROR(VLOOKUP($B29&amp;$C29,'C. Gestión Pto #2'!$B$4:L$23,MATCH(M$5,'C. Gestión Pto #2'!$B$4:L$4,0),FALSE),0)</f>
        <v>600000</v>
      </c>
      <c r="N29" s="261">
        <f>IFERROR(VLOOKUP($B29&amp;$C29,'C. Gestión Pto #2'!$B$4:M$23,MATCH(N$5,'C. Gestión Pto #2'!$B$4:M$4,0),FALSE),0)</f>
        <v>120000</v>
      </c>
      <c r="O29" s="313"/>
      <c r="P29" s="261" cm="1">
        <f t="array" ref="P29">SUMPRODUCT($D29:$O29,TRANSPOSE('Indice CAC'!$C$16:$C$27))</f>
        <v>512253.20760844357</v>
      </c>
      <c r="Q29" s="314"/>
      <c r="R29" s="261">
        <f>IF($C29="MAT",SUMIF('Pto. Costos'!$A$64:$A$240,'Resumen Pto #2'!$B29,'Pto. Costos'!$G$64:$G$240),IF($C29="MO",SUMIF('Pto. Costos'!$A$64:$A$240,'Resumen Pto #2'!$B29,'Pto. Costos'!$I$64:$I$240),SUMIF('Pto. Costos'!$A$64:$A$240,'Resumen Pto #2'!$B29,'Pto. Costos'!$L$64:$L$240)))</f>
        <v>1200000</v>
      </c>
      <c r="S29" s="978">
        <f>IF(C29="MAT",SUMIF('Pto. 02 Cert.'!$A$10:$A$185,$B29,'Pto. 02 Cert.'!$T$10:$T$185),IF(C29="MO",SUMIF('Pto. 02 Cert.'!$A$10:$A$185,$B29,'Pto. 02 Cert.'!$U$10:$U$185),SUMIF('Pto. 02 Cert.'!$A$10:$A$185,$B29,'Pto. 02 Cert.'!$V$10:$V$185)))/IF(C29="MAT",SUMIF('Pto. 02 Cert.'!$A$10:$A$185,$B29,'Pto. 02 Cert.'!$I$10:$I$185),IF(C29="MO",SUMIF('Pto. 02 Cert.'!$A$10:$A$185,$B29,'Pto. 02 Cert.'!$J$10:$J$185),SUMIF('Pto. 02 Cert.'!$A$10:$A$185,$B29,'Pto. 02 Cert.'!$K$10:$K$185)))</f>
        <v>0.4</v>
      </c>
      <c r="T29" s="323">
        <f t="shared" si="14"/>
        <v>687746.79239155643</v>
      </c>
      <c r="U29" s="311">
        <f t="shared" si="15"/>
        <v>0.57312232699296373</v>
      </c>
      <c r="V29" s="323">
        <f t="shared" si="16"/>
        <v>0</v>
      </c>
    </row>
    <row r="30" spans="2:25" x14ac:dyDescent="0.35">
      <c r="B30" s="897" t="s">
        <v>40</v>
      </c>
      <c r="C30" s="898"/>
      <c r="D30" s="296">
        <f t="shared" ref="D30" si="20">SUM(D13:D29)</f>
        <v>550000</v>
      </c>
      <c r="E30" s="296">
        <f t="shared" ref="E30:F30" si="21">SUM(E13:E29)</f>
        <v>1628869.5299999998</v>
      </c>
      <c r="F30" s="296">
        <f t="shared" si="21"/>
        <v>2183596.8832325758</v>
      </c>
      <c r="G30" s="296">
        <f t="shared" ref="G30:H30" si="22">SUM(G13:G29)</f>
        <v>35697611.559678301</v>
      </c>
      <c r="H30" s="296">
        <f t="shared" si="22"/>
        <v>17306022.480113741</v>
      </c>
      <c r="I30" s="296">
        <f t="shared" ref="I30:J30" si="23">SUM(I13:I29)</f>
        <v>32542065.177675024</v>
      </c>
      <c r="J30" s="296">
        <f t="shared" si="23"/>
        <v>59131502.387337171</v>
      </c>
      <c r="K30" s="296">
        <f t="shared" ref="K30:L30" si="24">SUM(K13:K29)</f>
        <v>50579994.70648858</v>
      </c>
      <c r="L30" s="296">
        <f t="shared" si="24"/>
        <v>70552736.709923819</v>
      </c>
      <c r="M30" s="296">
        <f t="shared" ref="M30:N30" si="25">SUM(M13:M29)</f>
        <v>95537659.467708588</v>
      </c>
      <c r="N30" s="296">
        <f t="shared" si="25"/>
        <v>102170506.96820848</v>
      </c>
      <c r="O30" s="302"/>
      <c r="P30" s="303">
        <f>SUM(P13:P29)</f>
        <v>342747187.59986609</v>
      </c>
      <c r="Q30" s="314"/>
      <c r="R30" s="303">
        <f>SUM(R13:R29)</f>
        <v>581002254.61733925</v>
      </c>
      <c r="S30" s="979"/>
      <c r="T30" s="303">
        <f t="shared" si="14"/>
        <v>238255067.01747316</v>
      </c>
      <c r="U30" s="311">
        <f t="shared" si="15"/>
        <v>0.41007597668341778</v>
      </c>
      <c r="V30" s="323">
        <f t="shared" si="16"/>
        <v>0</v>
      </c>
    </row>
    <row r="31" spans="2:25" x14ac:dyDescent="0.35">
      <c r="B31" s="182"/>
      <c r="C31" s="182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8"/>
      <c r="Q31" s="319"/>
      <c r="R31" s="318"/>
      <c r="S31" s="318"/>
      <c r="T31" s="318"/>
      <c r="U31" s="319"/>
      <c r="V31" s="319"/>
    </row>
    <row r="32" spans="2:25" x14ac:dyDescent="0.35">
      <c r="B32" s="195" t="s">
        <v>72</v>
      </c>
      <c r="C32" s="182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8"/>
      <c r="Q32" s="319"/>
      <c r="R32" s="318"/>
      <c r="S32" s="318"/>
      <c r="T32" s="318"/>
      <c r="U32" s="319"/>
      <c r="V32" s="319"/>
    </row>
    <row r="33" spans="2:22" x14ac:dyDescent="0.35">
      <c r="B33" s="66" t="s">
        <v>41</v>
      </c>
      <c r="C33" s="196"/>
      <c r="D33" s="261">
        <f>VLOOKUP($B33,'C. Gestión Pto #2'!$B$41:J$41,MATCH('Resumen Pto #2'!D$5,'C. Gestión Pto #2'!$B$27:J$27,0),0)</f>
        <v>0</v>
      </c>
      <c r="E33" s="261">
        <f>VLOOKUP($B33,'C. Gestión Pto #2'!$B$41:K$41,MATCH('Resumen Pto #2'!E$5,'C. Gestión Pto #2'!$B$27:K$27,0),0)</f>
        <v>0</v>
      </c>
      <c r="F33" s="261">
        <f>VLOOKUP($B33,'C. Gestión Pto #2'!$B$41:L$41,MATCH('Resumen Pto #2'!F$5,'C. Gestión Pto #2'!$B$27:L$27,0),0)</f>
        <v>0</v>
      </c>
      <c r="G33" s="261">
        <f>VLOOKUP($B33,'C. Gestión Pto #2'!$B$41:M$41,MATCH('Resumen Pto #2'!G$5,'C. Gestión Pto #2'!$B$27:M$27,0),0)</f>
        <v>0</v>
      </c>
      <c r="H33" s="261">
        <f>VLOOKUP($B33,'C. Gestión Pto #2'!$B$41:N$41,MATCH('Resumen Pto #2'!H$5,'C. Gestión Pto #2'!$B$27:N$27,0),0)</f>
        <v>0</v>
      </c>
      <c r="I33" s="261">
        <f>VLOOKUP($B33,'C. Gestión Pto #2'!$B$41:O$41,MATCH('Resumen Pto #2'!I$5,'C. Gestión Pto #2'!$B$27:O$27,0),0)</f>
        <v>4034621.5311125824</v>
      </c>
      <c r="J33" s="261">
        <f>VLOOKUP($B33,'C. Gestión Pto #2'!$B$41:P$41,MATCH('Resumen Pto #2'!J$5,'C. Gestión Pto #2'!$B$27:P$27,0),0)</f>
        <v>2054329.6221242617</v>
      </c>
      <c r="K33" s="261">
        <f>VLOOKUP($B33,'C. Gestión Pto #2'!$B$41:Q$41,MATCH('Resumen Pto #2'!K$5,'C. Gestión Pto #2'!$B$27:Q$27,0),0)</f>
        <v>2194575.9691565987</v>
      </c>
      <c r="L33" s="261">
        <f>VLOOKUP($B33,'C. Gestión Pto #2'!$B$41:R$41,MATCH('Resumen Pto #2'!L$5,'C. Gestión Pto #2'!$B$27:R$27,0),0)</f>
        <v>2284148.6447303374</v>
      </c>
      <c r="M33" s="261">
        <f>VLOOKUP($B33,'C. Gestión Pto #2'!$B$41:S$41,MATCH('Resumen Pto #2'!M$5,'C. Gestión Pto #2'!$B$27:S$27,0),0)</f>
        <v>2323498.3663575789</v>
      </c>
      <c r="N33" s="261">
        <f>VLOOKUP($B33,'C. Gestión Pto #2'!$B$41:T$41,MATCH('Resumen Pto #2'!N$5,'C. Gestión Pto #2'!$B$27:T$27,0),0)</f>
        <v>3047610.8512353715</v>
      </c>
      <c r="O33" s="313"/>
      <c r="P33" s="261" cm="1">
        <f t="array" ref="P33">SUMPRODUCT($D33:$O33,TRANSPOSE('Indice CAC'!$C$16:$C$27))</f>
        <v>11697606.860585468</v>
      </c>
      <c r="R33" s="261">
        <f>SUM(GGBB!H7:H40)*'Pto. Vta.'!N243</f>
        <v>35059903.024546243</v>
      </c>
      <c r="S33" s="978">
        <v>0</v>
      </c>
      <c r="T33" s="323">
        <f>IF(S33=100%,0,IF(OR(P33&lt;&gt;0,R33),R33-P33))</f>
        <v>23362296.163960777</v>
      </c>
      <c r="U33" s="311">
        <f t="shared" ref="U33:U35" si="26">IF(OR(T33&lt;0,R33),T33/R33,0%)</f>
        <v>0.66635370176592612</v>
      </c>
      <c r="V33" s="323">
        <f t="shared" ref="V33:V34" si="27">IF(S33=100%,IF(OR(P33&lt;&gt;0,R33),R33-P33),0)</f>
        <v>0</v>
      </c>
    </row>
    <row r="34" spans="2:22" x14ac:dyDescent="0.35">
      <c r="B34" s="66" t="s">
        <v>42</v>
      </c>
      <c r="C34" s="196"/>
      <c r="D34" s="316">
        <f>VLOOKUP($B34,'C. Gestión Pto #2'!$B$46:J$46,MATCH('Resumen Pto #2'!D$5,'C. Gestión Pto #2'!$B$43:J$43,0),0)</f>
        <v>0</v>
      </c>
      <c r="E34" s="316">
        <f>VLOOKUP($B34,'C. Gestión Pto #2'!$B$46:K$46,MATCH('Resumen Pto #2'!E$5,'C. Gestión Pto #2'!$B$43:K$43,0),0)</f>
        <v>0</v>
      </c>
      <c r="F34" s="316">
        <f>VLOOKUP($B34,'C. Gestión Pto #2'!$B$46:L$46,MATCH('Resumen Pto #2'!F$5,'C. Gestión Pto #2'!$B$43:L$43,0),0)</f>
        <v>0</v>
      </c>
      <c r="G34" s="316">
        <f>VLOOKUP($B34,'C. Gestión Pto #2'!$B$46:M$46,MATCH('Resumen Pto #2'!G$5,'C. Gestión Pto #2'!$B$43:M$43,0),0)</f>
        <v>0</v>
      </c>
      <c r="H34" s="316">
        <f>VLOOKUP($B34,'C. Gestión Pto #2'!$B$46:N$46,MATCH('Resumen Pto #2'!H$5,'C. Gestión Pto #2'!$B$43:N$43,0),0)</f>
        <v>0</v>
      </c>
      <c r="I34" s="316">
        <f>VLOOKUP($B34,'C. Gestión Pto #2'!$B$46:O$46,MATCH('Resumen Pto #2'!I$5,'C. Gestión Pto #2'!$B$43:O$43,0),0)</f>
        <v>3192269.4355809363</v>
      </c>
      <c r="J34" s="316">
        <f>VLOOKUP($B34,'C. Gestión Pto #2'!$B$46:P$46,MATCH('Resumen Pto #2'!J$5,'C. Gestión Pto #2'!$B$43:P$43,0),0)</f>
        <v>2546573.8068855698</v>
      </c>
      <c r="K34" s="316">
        <f>VLOOKUP($B34,'C. Gestión Pto #2'!$B$46:Q$46,MATCH('Resumen Pto #2'!K$5,'C. Gestión Pto #2'!$B$43:Q$43,0),0)</f>
        <v>2601372.2904952103</v>
      </c>
      <c r="L34" s="316">
        <f>VLOOKUP($B34,'C. Gestión Pto #2'!$B$46:R$46,MATCH('Resumen Pto #2'!L$5,'C. Gestión Pto #2'!$B$43:R$43,0),0)</f>
        <v>2601372.2904952103</v>
      </c>
      <c r="M34" s="316">
        <f>VLOOKUP($B34,'C. Gestión Pto #2'!$B$46:S$46,MATCH('Resumen Pto #2'!M$5,'C. Gestión Pto #2'!$B$43:S$43,0),0)</f>
        <v>2830419.5996425427</v>
      </c>
      <c r="N34" s="316">
        <f>VLOOKUP($B34,'C. Gestión Pto #2'!$B$46:T$46,MATCH('Resumen Pto #2'!N$5,'C. Gestión Pto #2'!$B$43:T$43,0),0)</f>
        <v>2750603.86527244</v>
      </c>
      <c r="O34" s="313"/>
      <c r="P34" s="261" cm="1">
        <f t="array" ref="P34">SUMPRODUCT($D34:$O34,TRANSPOSE('Indice CAC'!$C$16:$C$27))</f>
        <v>12104968.654977972</v>
      </c>
      <c r="R34" s="316">
        <f>SUM(GGBB!H41:H47)*'Pto. Vta.'!N243</f>
        <v>37355125.950134575</v>
      </c>
      <c r="S34" s="978">
        <v>0</v>
      </c>
      <c r="T34" s="323">
        <f>IF(S34=100%,0,IF(OR(P34&lt;&gt;0,R34),R34-P34))</f>
        <v>25250157.295156606</v>
      </c>
      <c r="U34" s="311">
        <f t="shared" si="26"/>
        <v>0.6759489267647788</v>
      </c>
      <c r="V34" s="323">
        <f t="shared" si="27"/>
        <v>0</v>
      </c>
    </row>
    <row r="35" spans="2:22" x14ac:dyDescent="0.35">
      <c r="B35" s="897" t="s">
        <v>43</v>
      </c>
      <c r="C35" s="898"/>
      <c r="D35" s="296">
        <f t="shared" ref="D35:E35" si="28">SUM(D33:D34)</f>
        <v>0</v>
      </c>
      <c r="E35" s="296">
        <f t="shared" si="28"/>
        <v>0</v>
      </c>
      <c r="F35" s="296">
        <f t="shared" ref="F35:G35" si="29">SUM(F33:F34)</f>
        <v>0</v>
      </c>
      <c r="G35" s="296">
        <f t="shared" si="29"/>
        <v>0</v>
      </c>
      <c r="H35" s="296">
        <f t="shared" ref="H35:J35" si="30">SUM(H33:H34)</f>
        <v>0</v>
      </c>
      <c r="I35" s="296">
        <f t="shared" si="30"/>
        <v>7226890.9666935187</v>
      </c>
      <c r="J35" s="296">
        <f t="shared" si="30"/>
        <v>4600903.4290098315</v>
      </c>
      <c r="K35" s="296">
        <f t="shared" ref="K35:L35" si="31">SUM(K33:K34)</f>
        <v>4795948.259651809</v>
      </c>
      <c r="L35" s="296">
        <f t="shared" si="31"/>
        <v>4885520.9352255482</v>
      </c>
      <c r="M35" s="296">
        <f t="shared" ref="M35:N35" si="32">SUM(M33:M34)</f>
        <v>5153917.9660001211</v>
      </c>
      <c r="N35" s="296">
        <f t="shared" si="32"/>
        <v>5798214.7165078111</v>
      </c>
      <c r="O35" s="302"/>
      <c r="P35" s="296">
        <f>SUM(P33:P34)</f>
        <v>23802575.51556344</v>
      </c>
      <c r="R35" s="296">
        <f>SUM(R33:R34)</f>
        <v>72415028.974680811</v>
      </c>
      <c r="S35" s="979"/>
      <c r="T35" s="303">
        <f t="shared" ref="T35" si="33">IF(S35=100%,0,IF(OR(P35&lt;&gt;0,R35),R35-P35))</f>
        <v>48612453.459117368</v>
      </c>
      <c r="U35" s="311">
        <f t="shared" si="26"/>
        <v>0.67130337648714089</v>
      </c>
      <c r="V35" s="296">
        <f>SUM(V33:V34)</f>
        <v>0</v>
      </c>
    </row>
    <row r="36" spans="2:22" x14ac:dyDescent="0.35">
      <c r="S36" s="308"/>
      <c r="T36" s="308"/>
      <c r="U36" s="308"/>
      <c r="V36" s="308"/>
    </row>
    <row r="37" spans="2:22" x14ac:dyDescent="0.3">
      <c r="B37" s="298" t="s">
        <v>45</v>
      </c>
      <c r="C37" s="299"/>
      <c r="D37" s="304">
        <f t="shared" ref="D37" si="34">SUM(D8,D10,-D30,-D35)</f>
        <v>-550000</v>
      </c>
      <c r="E37" s="304">
        <f t="shared" ref="E37:F37" si="35">SUM(E8,E10,-E30,-E35)</f>
        <v>-1628869.5299999998</v>
      </c>
      <c r="F37" s="304">
        <f t="shared" si="35"/>
        <v>-2183596.8832325758</v>
      </c>
      <c r="G37" s="304">
        <f t="shared" ref="G37:H37" si="36">SUM(G8,G10,-G30,-G35)</f>
        <v>330502117.18032169</v>
      </c>
      <c r="H37" s="304">
        <f t="shared" si="36"/>
        <v>3536895.3798862584</v>
      </c>
      <c r="I37" s="304">
        <f t="shared" ref="I37:J37" si="37">SUM(I8,I10,-I30,-I35)</f>
        <v>-27528224.211709067</v>
      </c>
      <c r="J37" s="304">
        <f t="shared" si="37"/>
        <v>-53040755.511034094</v>
      </c>
      <c r="K37" s="304">
        <f t="shared" ref="K37:L37" si="38">SUM(K8,K10,-K30,-K35)</f>
        <v>-34122170.762140386</v>
      </c>
      <c r="L37" s="304">
        <f t="shared" si="38"/>
        <v>-54424509.245149367</v>
      </c>
      <c r="M37" s="304">
        <f t="shared" ref="M37:N37" si="39">SUM(M8,M10,-M30,-M35)</f>
        <v>-63836326.778174117</v>
      </c>
      <c r="N37" s="304">
        <f t="shared" si="39"/>
        <v>-50813784.402715608</v>
      </c>
      <c r="P37" s="304">
        <f>SUM(P8,-P30,-P35)</f>
        <v>82495920.561170444</v>
      </c>
      <c r="R37" s="307">
        <f>SUM(R8,-R30,-R35)</f>
        <v>83439849.427479953</v>
      </c>
      <c r="S37" s="308"/>
      <c r="T37" s="308"/>
      <c r="U37" s="308"/>
      <c r="V37" s="308"/>
    </row>
    <row r="38" spans="2:22" x14ac:dyDescent="0.3">
      <c r="B38" s="298" t="s">
        <v>46</v>
      </c>
      <c r="C38" s="299"/>
      <c r="D38" s="305">
        <f>D37</f>
        <v>-550000</v>
      </c>
      <c r="E38" s="305">
        <f t="shared" ref="E38:H38" si="40">D38+E37</f>
        <v>-2178869.5299999998</v>
      </c>
      <c r="F38" s="305">
        <f t="shared" si="40"/>
        <v>-4362466.4132325761</v>
      </c>
      <c r="G38" s="305">
        <f t="shared" si="40"/>
        <v>326139650.76708913</v>
      </c>
      <c r="H38" s="305">
        <f t="shared" si="40"/>
        <v>329676546.1469754</v>
      </c>
      <c r="I38" s="305">
        <f t="shared" ref="I38" si="41">H38+I37</f>
        <v>302148321.93526632</v>
      </c>
      <c r="J38" s="305">
        <f t="shared" ref="J38:N38" si="42">I38+J37</f>
        <v>249107566.42423221</v>
      </c>
      <c r="K38" s="305">
        <f t="shared" si="42"/>
        <v>214985395.66209182</v>
      </c>
      <c r="L38" s="305">
        <f t="shared" si="42"/>
        <v>160560886.41694245</v>
      </c>
      <c r="M38" s="305">
        <f t="shared" si="42"/>
        <v>96724559.63876833</v>
      </c>
      <c r="N38" s="305">
        <f t="shared" si="42"/>
        <v>45910775.236052722</v>
      </c>
      <c r="S38" s="308"/>
      <c r="T38" s="308"/>
      <c r="U38" s="308"/>
      <c r="V38" s="308"/>
    </row>
  </sheetData>
  <conditionalFormatting sqref="D37:N38 P37:P38">
    <cfRule type="cellIs" dxfId="128" priority="13" operator="greaterThan">
      <formula>0</formula>
    </cfRule>
    <cfRule type="cellIs" dxfId="127" priority="14" operator="lessThan">
      <formula>0</formula>
    </cfRule>
  </conditionalFormatting>
  <conditionalFormatting sqref="R37:R38">
    <cfRule type="cellIs" dxfId="126" priority="9" operator="lessThan">
      <formula>0</formula>
    </cfRule>
    <cfRule type="cellIs" dxfId="125" priority="10" operator="greaterThan">
      <formula>0</formula>
    </cfRule>
  </conditionalFormatting>
  <conditionalFormatting sqref="T13:T29">
    <cfRule type="cellIs" dxfId="124" priority="2" operator="lessThan">
      <formula>0</formula>
    </cfRule>
  </conditionalFormatting>
  <conditionalFormatting sqref="U7:U10">
    <cfRule type="cellIs" dxfId="123" priority="7" operator="lessThan">
      <formula>0</formula>
    </cfRule>
    <cfRule type="cellIs" dxfId="122" priority="8" operator="greaterThan">
      <formula>0</formula>
    </cfRule>
  </conditionalFormatting>
  <conditionalFormatting sqref="U13:U30">
    <cfRule type="cellIs" dxfId="121" priority="5" operator="lessThan">
      <formula>0</formula>
    </cfRule>
    <cfRule type="cellIs" dxfId="120" priority="6" operator="greaterThan">
      <formula>0</formula>
    </cfRule>
  </conditionalFormatting>
  <conditionalFormatting sqref="U33:U35">
    <cfRule type="cellIs" dxfId="119" priority="3" operator="lessThan">
      <formula>0</formula>
    </cfRule>
    <cfRule type="cellIs" dxfId="118" priority="4" operator="greaterThan">
      <formula>0</formula>
    </cfRule>
  </conditionalFormatting>
  <conditionalFormatting sqref="V13:V29">
    <cfRule type="cellIs" dxfId="117" priority="1" operator="less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R9:V9 R7:V7 S33:S34 P30 P35:P38 R33:R38 U10 S36:S37 T13:V30 R13:R30 S13:S29 T8:U8 T33:V37 D13:O32 D37:N38 D35:O36 D5:N5" xr:uid="{07525552-697A-47BD-A856-03888CE13125}"/>
  </dataValidations>
  <pageMargins left="0.7" right="0.7" top="0.75" bottom="0.75" header="0.3" footer="0.3"/>
  <pageSetup paperSize="9" orientation="portrait" r:id="rId1"/>
  <ignoredErrors>
    <ignoredError sqref="U35 D9:F9 P8:P9 T9 G9:H9 S28 U10 U8:V8 V9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0AE854-C4BE-4C7C-84E5-A111D38AD28E}">
          <x14:formula1>
            <xm:f>Listas!$C$1:$C$2</xm:f>
          </x14:formula1>
          <xm:sqref>C13:C29</xm:sqref>
        </x14:dataValidation>
        <x14:dataValidation type="list" allowBlank="1" showInputMessage="1" showErrorMessage="1" xr:uid="{A5087190-D85F-4FAF-B89D-11DB6FBEC46E}">
          <x14:formula1>
            <xm:f>Listas!$A:$A</xm:f>
          </x14:formula1>
          <xm:sqref>B13:B29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6C35-1988-42DE-A51C-576015368991}">
  <sheetPr codeName="Hoja3"/>
  <dimension ref="A1:AC291"/>
  <sheetViews>
    <sheetView workbookViewId="0">
      <selection activeCell="E4" sqref="E4"/>
    </sheetView>
  </sheetViews>
  <sheetFormatPr defaultColWidth="11.453125" defaultRowHeight="14.5" x14ac:dyDescent="0.35"/>
  <cols>
    <col min="1" max="1" width="9.1796875" style="106" customWidth="1"/>
    <col min="2" max="2" width="15.453125" style="106" customWidth="1"/>
    <col min="3" max="3" width="14.81640625" style="106" customWidth="1"/>
    <col min="4" max="4" width="51.453125" style="106" bestFit="1" customWidth="1"/>
    <col min="5" max="5" width="15.81640625" style="106" bestFit="1" customWidth="1"/>
    <col min="6" max="7" width="15.7265625" style="106" bestFit="1" customWidth="1"/>
    <col min="8" max="8" width="17.1796875" style="106" bestFit="1" customWidth="1"/>
    <col min="9" max="10" width="7.7265625" style="106" customWidth="1"/>
    <col min="11" max="11" width="10.7265625" style="106" bestFit="1" customWidth="1"/>
    <col min="12" max="12" width="9.7265625" style="106" customWidth="1"/>
    <col min="13" max="13" width="14.1796875" style="106" bestFit="1" customWidth="1"/>
    <col min="14" max="14" width="15.1796875" style="106" bestFit="1" customWidth="1"/>
    <col min="15" max="15" width="14.1796875" style="106" bestFit="1" customWidth="1"/>
    <col min="16" max="17" width="11.453125" style="106"/>
    <col min="18" max="18" width="13.7265625" style="110" bestFit="1" customWidth="1"/>
    <col min="19" max="19" width="15.1796875" style="106" bestFit="1" customWidth="1"/>
    <col min="20" max="20" width="13.7265625" style="106" bestFit="1" customWidth="1"/>
    <col min="21" max="21" width="14.7265625" style="106" bestFit="1" customWidth="1"/>
    <col min="22" max="23" width="11.453125" style="106"/>
    <col min="24" max="25" width="14.1796875" style="106" bestFit="1" customWidth="1"/>
    <col min="26" max="26" width="13.1796875" style="106" bestFit="1" customWidth="1"/>
    <col min="27" max="27" width="14.1796875" style="106" bestFit="1" customWidth="1"/>
    <col min="28" max="28" width="6.7265625" style="106" bestFit="1" customWidth="1"/>
    <col min="29" max="29" width="13.7265625" style="106" bestFit="1" customWidth="1"/>
    <col min="30" max="16384" width="11.453125" style="106"/>
  </cols>
  <sheetData>
    <row r="1" spans="1:29" ht="18.5" x14ac:dyDescent="0.45">
      <c r="A1" s="105" t="s">
        <v>548</v>
      </c>
    </row>
    <row r="2" spans="1:29" x14ac:dyDescent="0.35">
      <c r="A2" s="107"/>
      <c r="R2" s="938" t="s">
        <v>398</v>
      </c>
      <c r="S2" s="936"/>
      <c r="T2" s="936"/>
      <c r="U2" s="936"/>
      <c r="V2" s="936"/>
    </row>
    <row r="3" spans="1:29" x14ac:dyDescent="0.35">
      <c r="C3" s="108" t="s">
        <v>48</v>
      </c>
      <c r="D3" s="108" t="s">
        <v>49</v>
      </c>
      <c r="E3" s="108" t="s">
        <v>50</v>
      </c>
      <c r="F3" s="108" t="s">
        <v>51</v>
      </c>
      <c r="G3" s="108" t="s">
        <v>52</v>
      </c>
      <c r="I3" s="108" t="s">
        <v>398</v>
      </c>
      <c r="R3" s="935"/>
      <c r="S3" s="936" t="s">
        <v>582</v>
      </c>
      <c r="T3" s="936" t="s">
        <v>51</v>
      </c>
      <c r="U3" s="936" t="s">
        <v>52</v>
      </c>
      <c r="V3" s="936"/>
    </row>
    <row r="4" spans="1:29" x14ac:dyDescent="0.35">
      <c r="B4" s="324"/>
      <c r="C4" s="200" t="s">
        <v>590</v>
      </c>
      <c r="D4" s="229" t="s">
        <v>242</v>
      </c>
      <c r="E4" s="427">
        <f>'Pto. Vta.'!M56</f>
        <v>421306052</v>
      </c>
      <c r="F4" s="428">
        <f>+E4*0.105</f>
        <v>44237135.460000001</v>
      </c>
      <c r="G4" s="428">
        <f t="shared" ref="G4:G5" si="0">E4+F4</f>
        <v>465543187.45999998</v>
      </c>
      <c r="I4" s="934">
        <v>0.2</v>
      </c>
      <c r="J4" s="325" t="s">
        <v>230</v>
      </c>
      <c r="M4" s="905">
        <f>E4*I4</f>
        <v>84261210.400000006</v>
      </c>
      <c r="N4" s="120"/>
      <c r="R4" s="935" t="s">
        <v>581</v>
      </c>
      <c r="S4" s="935">
        <v>12250000</v>
      </c>
      <c r="T4" s="935">
        <v>1286250</v>
      </c>
      <c r="U4" s="935">
        <f>+S4+T4</f>
        <v>13536250</v>
      </c>
      <c r="V4" s="936"/>
      <c r="AB4" s="109"/>
      <c r="AC4" s="110"/>
    </row>
    <row r="5" spans="1:29" x14ac:dyDescent="0.35">
      <c r="B5" s="324"/>
      <c r="C5" s="111" t="s">
        <v>591</v>
      </c>
      <c r="D5" s="231" t="s">
        <v>243</v>
      </c>
      <c r="E5" s="430">
        <f>'Pto. Vta.'!M239</f>
        <v>736857133.01950002</v>
      </c>
      <c r="F5" s="429">
        <f>+E5*0.105</f>
        <v>77369998.967047498</v>
      </c>
      <c r="G5" s="429">
        <f t="shared" si="0"/>
        <v>814227131.98654747</v>
      </c>
      <c r="I5" s="934">
        <v>0.4</v>
      </c>
      <c r="J5" s="325" t="s">
        <v>231</v>
      </c>
      <c r="R5" s="935" t="s">
        <v>583</v>
      </c>
      <c r="S5" s="935">
        <v>12250000</v>
      </c>
      <c r="T5" s="935">
        <v>1286250</v>
      </c>
      <c r="U5" s="935">
        <f>+S5+T5</f>
        <v>13536250</v>
      </c>
      <c r="V5" s="936"/>
      <c r="AA5" s="112"/>
      <c r="AB5" s="113"/>
      <c r="AC5" s="110"/>
    </row>
    <row r="6" spans="1:29" x14ac:dyDescent="0.35">
      <c r="B6" s="324"/>
      <c r="C6" s="111" t="s">
        <v>829</v>
      </c>
      <c r="D6" s="1287" t="s">
        <v>830</v>
      </c>
      <c r="E6" s="1288">
        <v>15315354.683943786</v>
      </c>
      <c r="F6" s="429">
        <f>+E6*0.105</f>
        <v>1608112.2418140974</v>
      </c>
      <c r="G6" s="429">
        <f t="shared" ref="G6" si="1">E6+F6</f>
        <v>16923466.925757885</v>
      </c>
      <c r="I6" s="934"/>
      <c r="J6" s="325" t="s">
        <v>832</v>
      </c>
      <c r="R6" s="935"/>
      <c r="S6" s="935"/>
      <c r="T6" s="935"/>
      <c r="U6" s="935"/>
      <c r="V6" s="936"/>
      <c r="AA6" s="112"/>
      <c r="AB6" s="113"/>
      <c r="AC6" s="110"/>
    </row>
    <row r="7" spans="1:29" x14ac:dyDescent="0.35">
      <c r="C7" s="232"/>
      <c r="D7" s="233"/>
      <c r="E7" s="431"/>
      <c r="F7" s="432">
        <f t="shared" ref="F7" si="2">+E7*0.105</f>
        <v>0</v>
      </c>
      <c r="G7" s="433">
        <f t="shared" ref="G7" si="3">E7+F7</f>
        <v>0</v>
      </c>
      <c r="H7" s="1304"/>
      <c r="J7" s="326"/>
      <c r="R7" s="936"/>
      <c r="S7" s="936"/>
      <c r="T7" s="936"/>
      <c r="U7" s="936"/>
      <c r="V7" s="936"/>
    </row>
    <row r="8" spans="1:29" x14ac:dyDescent="0.35">
      <c r="C8" s="184"/>
      <c r="D8" s="185" t="s">
        <v>53</v>
      </c>
      <c r="E8" s="434">
        <f>SUM(E4:E7)</f>
        <v>1173478539.7034438</v>
      </c>
      <c r="F8" s="434">
        <f>SUM(F4:F7)</f>
        <v>123215246.66886158</v>
      </c>
      <c r="G8" s="434">
        <f>SUM(G4:G7)</f>
        <v>1296693786.3723054</v>
      </c>
      <c r="H8" s="120"/>
      <c r="R8" s="938" t="s">
        <v>398</v>
      </c>
      <c r="S8" s="939">
        <f>+E235</f>
        <v>90064582.574289516</v>
      </c>
      <c r="T8" s="936"/>
      <c r="U8" s="936"/>
      <c r="V8" s="936"/>
      <c r="X8" s="120" t="e">
        <f>S8-E11-F11-#REF!-#REF!</f>
        <v>#REF!</v>
      </c>
    </row>
    <row r="9" spans="1:29" x14ac:dyDescent="0.35">
      <c r="B9" s="115"/>
      <c r="C9" s="116"/>
      <c r="D9" s="117"/>
      <c r="E9" s="118"/>
      <c r="F9" s="118"/>
      <c r="G9" s="119"/>
      <c r="H9" s="119"/>
      <c r="K9" s="1913" t="s">
        <v>54</v>
      </c>
      <c r="L9" s="1913" t="s">
        <v>55</v>
      </c>
      <c r="M9" s="230"/>
      <c r="R9" s="935" t="s">
        <v>51</v>
      </c>
      <c r="S9" s="937">
        <f>+T4+T5</f>
        <v>2572500</v>
      </c>
      <c r="T9" s="936"/>
      <c r="U9" s="936"/>
      <c r="V9" s="936"/>
    </row>
    <row r="10" spans="1:29" x14ac:dyDescent="0.35">
      <c r="A10" s="108" t="s">
        <v>56</v>
      </c>
      <c r="B10" s="108" t="s">
        <v>57</v>
      </c>
      <c r="C10" s="108" t="s">
        <v>48</v>
      </c>
      <c r="D10" s="108" t="s">
        <v>49</v>
      </c>
      <c r="E10" s="108" t="s">
        <v>50</v>
      </c>
      <c r="F10" s="108" t="s">
        <v>58</v>
      </c>
      <c r="G10" s="108" t="s">
        <v>51</v>
      </c>
      <c r="H10" s="108" t="s">
        <v>52</v>
      </c>
      <c r="K10" s="1913"/>
      <c r="L10" s="1913"/>
      <c r="M10" s="230" t="s">
        <v>222</v>
      </c>
      <c r="N10" s="108" t="s">
        <v>52</v>
      </c>
      <c r="R10" s="935" t="s">
        <v>52</v>
      </c>
      <c r="S10" s="939">
        <f>+S8+S9</f>
        <v>92637082.574289516</v>
      </c>
      <c r="T10" s="936"/>
      <c r="U10" s="936"/>
      <c r="V10" s="936"/>
      <c r="AB10" s="113"/>
      <c r="AC10" s="120"/>
    </row>
    <row r="11" spans="1:29" x14ac:dyDescent="0.35">
      <c r="A11" s="121">
        <v>45715</v>
      </c>
      <c r="B11" s="122" t="s">
        <v>558</v>
      </c>
      <c r="C11" s="116" t="str">
        <f>C4</f>
        <v>SVD4140-01</v>
      </c>
      <c r="D11" s="123" t="s">
        <v>559</v>
      </c>
      <c r="E11" s="124">
        <f>12250000*0.94</f>
        <v>11515000</v>
      </c>
      <c r="F11" s="124">
        <f>12250000*0.06</f>
        <v>735000</v>
      </c>
      <c r="G11" s="124">
        <f>(F11+E11)*0.105</f>
        <v>1286250</v>
      </c>
      <c r="H11" s="208">
        <f>SUM(E11:G11)</f>
        <v>13536250</v>
      </c>
      <c r="J11" s="325" t="s">
        <v>230</v>
      </c>
      <c r="K11" s="125"/>
      <c r="L11" s="125"/>
      <c r="M11" s="125"/>
      <c r="N11" s="126"/>
      <c r="R11" s="935"/>
      <c r="S11" s="936"/>
      <c r="T11" s="936"/>
      <c r="U11" s="936"/>
      <c r="V11" s="936"/>
      <c r="AC11" s="110"/>
    </row>
    <row r="12" spans="1:29" x14ac:dyDescent="0.35">
      <c r="A12" s="235">
        <v>45728</v>
      </c>
      <c r="B12" s="122" t="s">
        <v>571</v>
      </c>
      <c r="C12" s="116" t="str">
        <f>C4</f>
        <v>SVD4140-01</v>
      </c>
      <c r="D12" s="123" t="s">
        <v>559</v>
      </c>
      <c r="E12" s="124">
        <f>12250000*0.94</f>
        <v>11515000</v>
      </c>
      <c r="F12" s="124">
        <f>12250000*0.06</f>
        <v>735000</v>
      </c>
      <c r="G12" s="208">
        <f>SUM(E12:F12)*0.105</f>
        <v>1286250</v>
      </c>
      <c r="H12" s="208">
        <f t="shared" ref="H12:H13" si="4">SUM(E12:G12)</f>
        <v>13536250</v>
      </c>
      <c r="J12" s="325" t="s">
        <v>230</v>
      </c>
      <c r="K12" s="125"/>
      <c r="L12" s="125"/>
      <c r="M12" s="920"/>
      <c r="N12" s="126"/>
      <c r="O12" s="120"/>
      <c r="R12" s="940">
        <v>45715</v>
      </c>
      <c r="S12" s="935">
        <v>-11000000</v>
      </c>
      <c r="T12" s="936" t="s">
        <v>159</v>
      </c>
      <c r="U12" s="937"/>
      <c r="V12" s="936"/>
      <c r="AC12" s="110"/>
    </row>
    <row r="13" spans="1:29" x14ac:dyDescent="0.35">
      <c r="A13" s="235">
        <v>45728</v>
      </c>
      <c r="B13" s="238" t="s">
        <v>560</v>
      </c>
      <c r="C13" s="116" t="str">
        <f>C4</f>
        <v>SVD4140-01</v>
      </c>
      <c r="D13" s="123" t="s">
        <v>559</v>
      </c>
      <c r="E13" s="208">
        <f>84261210.4-E11-E12</f>
        <v>61231210.400000006</v>
      </c>
      <c r="F13" s="208">
        <f>5803372.17-F12-F11</f>
        <v>4333372.17</v>
      </c>
      <c r="G13" s="208">
        <v>0</v>
      </c>
      <c r="H13" s="208">
        <f t="shared" si="4"/>
        <v>65564582.570000008</v>
      </c>
      <c r="J13" s="325" t="s">
        <v>230</v>
      </c>
      <c r="K13" s="127">
        <v>45729</v>
      </c>
      <c r="L13" s="127"/>
      <c r="M13" s="127" t="s">
        <v>701</v>
      </c>
      <c r="N13" s="126">
        <v>92528807.310000002</v>
      </c>
      <c r="O13" s="128">
        <f>N13+S20</f>
        <v>0</v>
      </c>
      <c r="R13" s="940">
        <v>45708</v>
      </c>
      <c r="S13" s="935">
        <v>-26200000</v>
      </c>
      <c r="T13" s="936" t="s">
        <v>159</v>
      </c>
      <c r="U13" s="937"/>
      <c r="V13" s="936"/>
      <c r="AC13" s="110"/>
    </row>
    <row r="14" spans="1:29" x14ac:dyDescent="0.35">
      <c r="A14" s="235">
        <v>45757</v>
      </c>
      <c r="B14" s="122" t="s">
        <v>592</v>
      </c>
      <c r="C14" s="234" t="str">
        <f>C4</f>
        <v>SVD4140-01</v>
      </c>
      <c r="D14" s="123" t="s">
        <v>593</v>
      </c>
      <c r="E14" s="208">
        <f>4700000*0.91</f>
        <v>4277000</v>
      </c>
      <c r="F14" s="208">
        <f>4700000*0.09</f>
        <v>423000</v>
      </c>
      <c r="G14" s="208">
        <f>SUM(E14:F14)*0.105</f>
        <v>493500</v>
      </c>
      <c r="H14" s="208">
        <f t="shared" ref="H14:H20" si="5">SUM(E14:G14)</f>
        <v>5193500</v>
      </c>
      <c r="J14" s="325" t="s">
        <v>230</v>
      </c>
      <c r="K14" s="127"/>
      <c r="L14" s="127"/>
      <c r="M14" s="920"/>
      <c r="N14" s="126"/>
      <c r="R14" s="940">
        <v>45716</v>
      </c>
      <c r="S14" s="935">
        <v>-11000000</v>
      </c>
      <c r="T14" s="936" t="s">
        <v>159</v>
      </c>
      <c r="U14" s="937"/>
      <c r="V14" s="936"/>
      <c r="AC14" s="110"/>
    </row>
    <row r="15" spans="1:29" x14ac:dyDescent="0.35">
      <c r="A15" s="235">
        <v>45757</v>
      </c>
      <c r="B15" s="238" t="s">
        <v>560</v>
      </c>
      <c r="C15" s="234" t="str">
        <f>C4</f>
        <v>SVD4140-01</v>
      </c>
      <c r="D15" s="123" t="s">
        <v>593</v>
      </c>
      <c r="E15" s="124">
        <f>28390040-E14</f>
        <v>24113040</v>
      </c>
      <c r="F15" s="124">
        <f>2935456.11-F14</f>
        <v>2512456.11</v>
      </c>
      <c r="G15" s="208">
        <v>0</v>
      </c>
      <c r="H15" s="208">
        <f t="shared" si="5"/>
        <v>26625496.109999999</v>
      </c>
      <c r="J15" s="325" t="s">
        <v>230</v>
      </c>
      <c r="K15" s="127">
        <v>45763</v>
      </c>
      <c r="L15" s="127"/>
      <c r="M15" s="127" t="s">
        <v>702</v>
      </c>
      <c r="N15" s="126">
        <v>31819156.600000001</v>
      </c>
      <c r="O15" s="120">
        <f>N15+S38</f>
        <v>0</v>
      </c>
      <c r="R15" s="940">
        <v>45726</v>
      </c>
      <c r="S15" s="935">
        <v>-19784000</v>
      </c>
      <c r="T15" s="936" t="s">
        <v>159</v>
      </c>
      <c r="U15" s="936"/>
      <c r="V15" s="936"/>
      <c r="AC15" s="110"/>
    </row>
    <row r="16" spans="1:29" x14ac:dyDescent="0.35">
      <c r="A16" s="235">
        <v>45784</v>
      </c>
      <c r="B16" s="122" t="s">
        <v>594</v>
      </c>
      <c r="C16" s="116" t="str">
        <f>C4</f>
        <v>SVD4140-01</v>
      </c>
      <c r="D16" s="123" t="s">
        <v>595</v>
      </c>
      <c r="E16" s="124">
        <f>7500000*0.9</f>
        <v>6750000</v>
      </c>
      <c r="F16" s="124">
        <f>7500000*0.1</f>
        <v>750000</v>
      </c>
      <c r="G16" s="208">
        <f t="shared" ref="G16:G19" si="6">(F16+E16)*0.105</f>
        <v>787500</v>
      </c>
      <c r="H16" s="208">
        <f t="shared" si="5"/>
        <v>8287500</v>
      </c>
      <c r="J16" s="325" t="s">
        <v>230</v>
      </c>
      <c r="K16" s="127"/>
      <c r="L16" s="127"/>
      <c r="M16" s="920"/>
      <c r="N16" s="126"/>
      <c r="R16" s="940">
        <v>45729</v>
      </c>
      <c r="S16" s="935">
        <v>-22816000</v>
      </c>
      <c r="T16" s="936" t="s">
        <v>159</v>
      </c>
      <c r="U16" s="936"/>
      <c r="V16" s="936"/>
      <c r="AC16" s="110"/>
    </row>
    <row r="17" spans="1:29" x14ac:dyDescent="0.35">
      <c r="A17" s="121">
        <v>45793</v>
      </c>
      <c r="B17" s="238" t="s">
        <v>621</v>
      </c>
      <c r="C17" s="116" t="str">
        <f>C4</f>
        <v>SVD4140-01</v>
      </c>
      <c r="D17" s="123" t="s">
        <v>595</v>
      </c>
      <c r="E17" s="124">
        <f>2284500*0.9</f>
        <v>2056050</v>
      </c>
      <c r="F17" s="124">
        <f>2284500*0.1</f>
        <v>228450</v>
      </c>
      <c r="G17" s="208">
        <f t="shared" si="6"/>
        <v>239872.5</v>
      </c>
      <c r="H17" s="208">
        <f t="shared" si="5"/>
        <v>2524372.5</v>
      </c>
      <c r="J17" s="325" t="s">
        <v>230</v>
      </c>
      <c r="K17" s="127"/>
      <c r="L17" s="127"/>
      <c r="M17" s="127"/>
      <c r="N17" s="126"/>
      <c r="R17" s="940">
        <v>45715</v>
      </c>
      <c r="S17" s="935">
        <v>-549906.6</v>
      </c>
      <c r="T17" s="936" t="s">
        <v>620</v>
      </c>
      <c r="U17" s="936"/>
      <c r="V17" s="936"/>
      <c r="AC17" s="110"/>
    </row>
    <row r="18" spans="1:29" x14ac:dyDescent="0.35">
      <c r="A18" s="121">
        <v>45793</v>
      </c>
      <c r="B18" s="238" t="s">
        <v>560</v>
      </c>
      <c r="C18" s="116" t="str">
        <f>C4</f>
        <v>SVD4140-01</v>
      </c>
      <c r="D18" s="123" t="s">
        <v>595</v>
      </c>
      <c r="E18" s="124">
        <f>20032599.59-E17-E16</f>
        <v>11226549.59</v>
      </c>
      <c r="F18" s="124">
        <f>2270711.74-F17-F16</f>
        <v>1292261.7400000002</v>
      </c>
      <c r="G18" s="208">
        <v>0</v>
      </c>
      <c r="H18" s="208">
        <f t="shared" si="5"/>
        <v>12518811.33</v>
      </c>
      <c r="J18" s="325" t="s">
        <v>230</v>
      </c>
      <c r="K18" s="127">
        <v>45796</v>
      </c>
      <c r="L18" s="127"/>
      <c r="M18" s="127" t="s">
        <v>703</v>
      </c>
      <c r="N18" s="126">
        <v>23438959.100000001</v>
      </c>
      <c r="O18" s="120">
        <f>N18+S65</f>
        <v>0</v>
      </c>
      <c r="R18" s="940">
        <v>45729</v>
      </c>
      <c r="S18" s="935">
        <v>-549906.6</v>
      </c>
      <c r="T18" s="936" t="s">
        <v>620</v>
      </c>
      <c r="U18" s="936"/>
      <c r="V18" s="936"/>
      <c r="AC18" s="110"/>
    </row>
    <row r="19" spans="1:29" x14ac:dyDescent="0.35">
      <c r="A19" s="121">
        <v>45804</v>
      </c>
      <c r="B19" s="238" t="s">
        <v>628</v>
      </c>
      <c r="C19" s="122" t="str">
        <f>C4</f>
        <v>SVD4140-01</v>
      </c>
      <c r="D19" s="123" t="s">
        <v>629</v>
      </c>
      <c r="E19" s="124">
        <f>10000000*0.89</f>
        <v>8900000</v>
      </c>
      <c r="F19" s="124">
        <f>10000000*0.11</f>
        <v>1100000</v>
      </c>
      <c r="G19" s="208">
        <f t="shared" si="6"/>
        <v>1050000</v>
      </c>
      <c r="H19" s="208">
        <f t="shared" si="5"/>
        <v>11050000</v>
      </c>
      <c r="J19" s="325" t="s">
        <v>230</v>
      </c>
      <c r="K19" s="127"/>
      <c r="L19" s="127"/>
      <c r="M19" s="920"/>
      <c r="N19" s="126"/>
      <c r="R19" s="940">
        <v>45799</v>
      </c>
      <c r="S19" s="935">
        <v>-628994.11</v>
      </c>
      <c r="T19" s="936" t="s">
        <v>159</v>
      </c>
      <c r="U19" s="936"/>
      <c r="V19" s="936"/>
      <c r="AC19" s="110"/>
    </row>
    <row r="20" spans="1:29" x14ac:dyDescent="0.35">
      <c r="A20" s="121">
        <v>45814</v>
      </c>
      <c r="B20" s="238" t="s">
        <v>560</v>
      </c>
      <c r="C20" s="116" t="str">
        <f>C4</f>
        <v>SVD4140-01</v>
      </c>
      <c r="D20" s="123" t="s">
        <v>629</v>
      </c>
      <c r="E20" s="124">
        <f>23869308-E19</f>
        <v>14969308</v>
      </c>
      <c r="F20" s="124">
        <f>3134415.67-F19</f>
        <v>2034415.67</v>
      </c>
      <c r="G20" s="208">
        <v>0</v>
      </c>
      <c r="H20" s="208">
        <f t="shared" si="5"/>
        <v>17003723.670000002</v>
      </c>
      <c r="J20" s="325" t="s">
        <v>230</v>
      </c>
      <c r="K20" s="127">
        <v>45805</v>
      </c>
      <c r="L20" s="127"/>
      <c r="M20" s="127" t="s">
        <v>704</v>
      </c>
      <c r="N20" s="126">
        <v>28053723.670000002</v>
      </c>
      <c r="O20" s="120">
        <f>N20+S82</f>
        <v>0</v>
      </c>
      <c r="R20" s="935"/>
      <c r="S20" s="984">
        <f>SUM(S12:S19)</f>
        <v>-92528807.309999987</v>
      </c>
      <c r="T20" s="937"/>
      <c r="U20" s="937"/>
      <c r="V20" s="936"/>
      <c r="AC20" s="110"/>
    </row>
    <row r="21" spans="1:29" x14ac:dyDescent="0.35">
      <c r="A21" s="121">
        <v>45838</v>
      </c>
      <c r="B21" s="116" t="s">
        <v>639</v>
      </c>
      <c r="C21" s="116" t="str">
        <f>C4</f>
        <v>SVD4140-01</v>
      </c>
      <c r="D21" s="123" t="s">
        <v>640</v>
      </c>
      <c r="E21" s="124">
        <v>8695986.3900000006</v>
      </c>
      <c r="F21" s="124">
        <v>1304013.6100000001</v>
      </c>
      <c r="G21" s="208">
        <f>+(E21+F21)*0.105</f>
        <v>1050000</v>
      </c>
      <c r="H21" s="208">
        <f t="shared" ref="H21:H37" si="7">SUM(E21:G21)</f>
        <v>11050000</v>
      </c>
      <c r="J21" s="325" t="s">
        <v>230</v>
      </c>
      <c r="K21" s="127"/>
      <c r="L21" s="127"/>
      <c r="M21" s="127"/>
      <c r="N21" s="126"/>
      <c r="R21" s="985" t="s">
        <v>614</v>
      </c>
      <c r="S21" s="941">
        <f>+S10+S20</f>
        <v>108275.26428952813</v>
      </c>
      <c r="T21" s="936"/>
      <c r="U21" s="937"/>
      <c r="V21" s="936"/>
      <c r="AC21" s="110"/>
    </row>
    <row r="22" spans="1:29" x14ac:dyDescent="0.35">
      <c r="A22" s="121">
        <v>45846</v>
      </c>
      <c r="B22" s="116" t="s">
        <v>641</v>
      </c>
      <c r="C22" s="116" t="str">
        <f>C4</f>
        <v>SVD4140-01</v>
      </c>
      <c r="D22" s="123" t="s">
        <v>640</v>
      </c>
      <c r="E22" s="124">
        <f>15000000*0.87</f>
        <v>13050000</v>
      </c>
      <c r="F22" s="124">
        <f>15000000*0.13</f>
        <v>1950000</v>
      </c>
      <c r="G22" s="208">
        <f>+(E22+F22)*0.105</f>
        <v>1575000</v>
      </c>
      <c r="H22" s="208">
        <f t="shared" si="7"/>
        <v>16575000</v>
      </c>
      <c r="J22" s="325" t="s">
        <v>230</v>
      </c>
      <c r="K22" s="127"/>
      <c r="L22" s="127"/>
      <c r="M22" s="127"/>
      <c r="N22" s="126"/>
      <c r="R22" s="929"/>
      <c r="S22" s="929"/>
      <c r="U22" s="982"/>
      <c r="V22" s="983"/>
      <c r="AC22" s="110"/>
    </row>
    <row r="23" spans="1:29" x14ac:dyDescent="0.35">
      <c r="A23" s="121">
        <v>45860</v>
      </c>
      <c r="B23" s="238" t="s">
        <v>560</v>
      </c>
      <c r="C23" s="116" t="str">
        <f>C4</f>
        <v>SVD4140-01</v>
      </c>
      <c r="D23" s="123" t="s">
        <v>640</v>
      </c>
      <c r="E23" s="124">
        <f>33307595-E22-E21</f>
        <v>11561608.609999999</v>
      </c>
      <c r="F23" s="124">
        <f>4994667.09-F22-F21</f>
        <v>1740653.4799999997</v>
      </c>
      <c r="G23" s="208">
        <v>0</v>
      </c>
      <c r="H23" s="208">
        <f t="shared" si="7"/>
        <v>13302262.09</v>
      </c>
      <c r="J23" s="325" t="s">
        <v>230</v>
      </c>
      <c r="K23" s="127">
        <v>45860</v>
      </c>
      <c r="L23" s="127"/>
      <c r="M23" s="127" t="s">
        <v>705</v>
      </c>
      <c r="N23" s="126">
        <v>40925918</v>
      </c>
      <c r="O23" s="120">
        <f>N23+S101</f>
        <v>0</v>
      </c>
      <c r="R23" s="929"/>
      <c r="S23" s="929"/>
      <c r="U23" s="982"/>
      <c r="V23" s="983"/>
      <c r="AC23" s="110"/>
    </row>
    <row r="24" spans="1:29" x14ac:dyDescent="0.35">
      <c r="A24" s="121">
        <v>45875</v>
      </c>
      <c r="B24" s="238" t="s">
        <v>653</v>
      </c>
      <c r="C24" s="116" t="str">
        <f>C4</f>
        <v>SVD4140-01</v>
      </c>
      <c r="D24" s="123" t="s">
        <v>654</v>
      </c>
      <c r="E24" s="124">
        <f>15000000*0.86</f>
        <v>12900000</v>
      </c>
      <c r="F24" s="124">
        <f>15000000*0.14</f>
        <v>2100000</v>
      </c>
      <c r="G24" s="208">
        <f>(E24+F24)*0.105</f>
        <v>1575000</v>
      </c>
      <c r="H24" s="208">
        <f t="shared" si="7"/>
        <v>16575000</v>
      </c>
      <c r="J24" s="325" t="s">
        <v>230</v>
      </c>
      <c r="K24" s="127"/>
      <c r="L24" s="127"/>
      <c r="M24" s="127"/>
      <c r="N24" s="126"/>
      <c r="R24" s="938" t="s">
        <v>615</v>
      </c>
      <c r="S24" s="936"/>
      <c r="T24" s="936"/>
      <c r="U24" s="936"/>
      <c r="V24" s="936"/>
      <c r="AC24" s="110"/>
    </row>
    <row r="25" spans="1:29" x14ac:dyDescent="0.35">
      <c r="A25" s="121">
        <v>45875</v>
      </c>
      <c r="B25" s="238" t="s">
        <v>560</v>
      </c>
      <c r="C25" s="116" t="str">
        <f>C4</f>
        <v>SVD4140-01</v>
      </c>
      <c r="D25" s="123" t="s">
        <v>654</v>
      </c>
      <c r="E25" s="124">
        <f>32566741-E24</f>
        <v>19666741</v>
      </c>
      <c r="F25" s="124">
        <f>5160346.76-F24</f>
        <v>3060346.76</v>
      </c>
      <c r="G25" s="208">
        <v>0</v>
      </c>
      <c r="H25" s="208">
        <f t="shared" si="7"/>
        <v>22727087.759999998</v>
      </c>
      <c r="J25" s="325" t="s">
        <v>230</v>
      </c>
      <c r="K25" s="127">
        <v>45882</v>
      </c>
      <c r="L25" s="127"/>
      <c r="M25" s="127" t="s">
        <v>706</v>
      </c>
      <c r="N25" s="126">
        <v>39773656.600000001</v>
      </c>
      <c r="O25" s="120">
        <f>N25+S119</f>
        <v>0</v>
      </c>
      <c r="R25" s="935"/>
      <c r="S25" s="936" t="s">
        <v>582</v>
      </c>
      <c r="T25" s="936" t="s">
        <v>51</v>
      </c>
      <c r="U25" s="936" t="s">
        <v>52</v>
      </c>
      <c r="V25" s="936"/>
      <c r="AC25" s="110"/>
    </row>
    <row r="26" spans="1:29" x14ac:dyDescent="0.35">
      <c r="A26" s="121">
        <v>45903</v>
      </c>
      <c r="B26" s="238" t="s">
        <v>670</v>
      </c>
      <c r="C26" s="116" t="str">
        <f>C4</f>
        <v>SVD4140-01</v>
      </c>
      <c r="D26" s="123" t="s">
        <v>671</v>
      </c>
      <c r="E26" s="124">
        <f>20000000*0.85</f>
        <v>17000000</v>
      </c>
      <c r="F26" s="124">
        <f>20000000*0.15</f>
        <v>3000000</v>
      </c>
      <c r="G26" s="208">
        <f>(E26+F26)*0.105</f>
        <v>2100000</v>
      </c>
      <c r="H26" s="208">
        <f t="shared" si="7"/>
        <v>22100000</v>
      </c>
      <c r="J26" s="325" t="s">
        <v>230</v>
      </c>
      <c r="K26" s="127"/>
      <c r="L26" s="127"/>
      <c r="M26" s="127"/>
      <c r="N26" s="126"/>
      <c r="R26" s="985" t="s">
        <v>616</v>
      </c>
      <c r="S26" s="935">
        <v>4700000</v>
      </c>
      <c r="T26" s="935">
        <v>493500</v>
      </c>
      <c r="U26" s="935">
        <f>+S26+T26</f>
        <v>5193500</v>
      </c>
      <c r="V26" s="936"/>
      <c r="AC26" s="110"/>
    </row>
    <row r="27" spans="1:29" x14ac:dyDescent="0.35">
      <c r="A27" s="121">
        <v>45903</v>
      </c>
      <c r="B27" s="238" t="s">
        <v>560</v>
      </c>
      <c r="C27" s="116" t="str">
        <f>C4</f>
        <v>SVD4140-01</v>
      </c>
      <c r="D27" s="123" t="s">
        <v>671</v>
      </c>
      <c r="E27" s="124">
        <f>48704739-E26</f>
        <v>31704739</v>
      </c>
      <c r="F27" s="124">
        <f>8721283.75-F26</f>
        <v>5721283.75</v>
      </c>
      <c r="G27" s="208">
        <v>0</v>
      </c>
      <c r="H27" s="208">
        <f t="shared" si="7"/>
        <v>37426022.75</v>
      </c>
      <c r="J27" s="325" t="s">
        <v>230</v>
      </c>
      <c r="K27" s="127">
        <v>45930</v>
      </c>
      <c r="L27" s="127"/>
      <c r="M27" s="127" t="s">
        <v>707</v>
      </c>
      <c r="N27" s="126">
        <v>59526025.438590102</v>
      </c>
      <c r="O27" s="120">
        <f>N27+S139</f>
        <v>0</v>
      </c>
      <c r="P27" s="120"/>
      <c r="R27" s="985"/>
      <c r="S27" s="935"/>
      <c r="T27" s="935"/>
      <c r="U27" s="935"/>
      <c r="V27" s="936"/>
      <c r="AC27" s="110"/>
    </row>
    <row r="28" spans="1:29" x14ac:dyDescent="0.35">
      <c r="A28" s="121">
        <v>45937</v>
      </c>
      <c r="B28" s="238" t="s">
        <v>691</v>
      </c>
      <c r="C28" s="116" t="str">
        <f>C5</f>
        <v>SVD4140-02</v>
      </c>
      <c r="D28" s="123" t="s">
        <v>692</v>
      </c>
      <c r="E28" s="124">
        <f>20000000*0.85</f>
        <v>17000000</v>
      </c>
      <c r="F28" s="124">
        <f>20000000*0.15</f>
        <v>3000000</v>
      </c>
      <c r="G28" s="208">
        <f>(E28+F28)*0.105</f>
        <v>2100000</v>
      </c>
      <c r="H28" s="208">
        <f t="shared" si="7"/>
        <v>22100000</v>
      </c>
      <c r="J28" s="325" t="s">
        <v>231</v>
      </c>
      <c r="K28" s="127"/>
      <c r="L28" s="127"/>
      <c r="M28" s="127"/>
      <c r="N28" s="126"/>
      <c r="R28" s="938" t="s">
        <v>615</v>
      </c>
      <c r="S28" s="939">
        <f>E228</f>
        <v>31325496.112313725</v>
      </c>
      <c r="T28" s="936"/>
      <c r="U28" s="936"/>
      <c r="V28" s="936"/>
      <c r="AC28" s="110"/>
    </row>
    <row r="29" spans="1:29" x14ac:dyDescent="0.35">
      <c r="A29" s="121">
        <v>45937</v>
      </c>
      <c r="B29" s="238" t="s">
        <v>560</v>
      </c>
      <c r="C29" s="116" t="str">
        <f>C5</f>
        <v>SVD4140-02</v>
      </c>
      <c r="D29" s="123" t="s">
        <v>692</v>
      </c>
      <c r="E29" s="124">
        <f>294262853.21-E28-E32</f>
        <v>260862853.20999998</v>
      </c>
      <c r="F29" s="124">
        <f>52691994.53-F28-F32</f>
        <v>46091994.530000001</v>
      </c>
      <c r="G29" s="208">
        <v>0</v>
      </c>
      <c r="H29" s="208">
        <f t="shared" si="7"/>
        <v>306954847.74000001</v>
      </c>
      <c r="J29" s="325" t="s">
        <v>231</v>
      </c>
      <c r="K29" s="127">
        <v>45946</v>
      </c>
      <c r="L29" s="127"/>
      <c r="M29" s="127" t="s">
        <v>708</v>
      </c>
      <c r="N29" s="126">
        <v>352935506.60000002</v>
      </c>
      <c r="O29" s="120">
        <f>N29+S153</f>
        <v>898656.60000002384</v>
      </c>
      <c r="R29" s="938"/>
      <c r="S29" s="939"/>
      <c r="T29" s="936"/>
      <c r="U29" s="936"/>
      <c r="V29" s="936"/>
      <c r="AC29" s="110"/>
    </row>
    <row r="30" spans="1:29" x14ac:dyDescent="0.35">
      <c r="A30" s="121">
        <v>45953</v>
      </c>
      <c r="B30" s="238" t="s">
        <v>693</v>
      </c>
      <c r="C30" s="116" t="str">
        <f>C4</f>
        <v>SVD4140-01</v>
      </c>
      <c r="D30" s="123" t="s">
        <v>694</v>
      </c>
      <c r="E30" s="124">
        <f>19500000*0.84</f>
        <v>16380000</v>
      </c>
      <c r="F30" s="124">
        <f>19500000*0.16</f>
        <v>3120000</v>
      </c>
      <c r="G30" s="208">
        <f>(E30+F30)*0.105</f>
        <v>2047500</v>
      </c>
      <c r="H30" s="208">
        <f t="shared" si="7"/>
        <v>21547500</v>
      </c>
      <c r="J30" s="325" t="s">
        <v>230</v>
      </c>
      <c r="K30" s="127"/>
      <c r="L30" s="127"/>
      <c r="M30" s="127"/>
      <c r="N30" s="126"/>
      <c r="R30" s="935" t="s">
        <v>51</v>
      </c>
      <c r="S30" s="937">
        <f>+T26</f>
        <v>493500</v>
      </c>
      <c r="T30" s="936"/>
      <c r="U30" s="936"/>
      <c r="V30" s="936"/>
      <c r="AC30" s="110"/>
    </row>
    <row r="31" spans="1:29" x14ac:dyDescent="0.35">
      <c r="A31" s="121">
        <v>45953</v>
      </c>
      <c r="B31" s="238" t="s">
        <v>560</v>
      </c>
      <c r="C31" s="116" t="str">
        <f>C5</f>
        <v>SVD4140-02</v>
      </c>
      <c r="D31" s="123" t="s">
        <v>694</v>
      </c>
      <c r="E31" s="124">
        <f>35624881-E30</f>
        <v>19244881</v>
      </c>
      <c r="F31" s="124">
        <f>6994348.25-F30</f>
        <v>3874348.25</v>
      </c>
      <c r="G31" s="208">
        <v>0</v>
      </c>
      <c r="H31" s="208">
        <f t="shared" si="7"/>
        <v>23119229.25</v>
      </c>
      <c r="J31" s="325" t="s">
        <v>230</v>
      </c>
      <c r="K31" s="127">
        <v>45961</v>
      </c>
      <c r="L31" s="127"/>
      <c r="M31" s="127" t="s">
        <v>709</v>
      </c>
      <c r="N31" s="126">
        <v>46766729.25</v>
      </c>
      <c r="O31" s="120">
        <f>N31+S171</f>
        <v>0</v>
      </c>
      <c r="R31" s="935" t="s">
        <v>52</v>
      </c>
      <c r="S31" s="939">
        <f>+S28+S30</f>
        <v>31818996.112313725</v>
      </c>
      <c r="T31" s="936"/>
      <c r="U31" s="936"/>
      <c r="V31" s="936"/>
      <c r="AC31" s="110"/>
    </row>
    <row r="32" spans="1:29" x14ac:dyDescent="0.35">
      <c r="A32" s="121">
        <v>45959</v>
      </c>
      <c r="B32" s="238" t="s">
        <v>771</v>
      </c>
      <c r="C32" s="116" t="s">
        <v>591</v>
      </c>
      <c r="D32" s="123" t="s">
        <v>692</v>
      </c>
      <c r="E32" s="124">
        <f>20000000*0.82</f>
        <v>16399999.999999998</v>
      </c>
      <c r="F32" s="124">
        <f>20000000*0.18</f>
        <v>3600000</v>
      </c>
      <c r="G32" s="208">
        <f>(E32+F32)*0.105</f>
        <v>2100000</v>
      </c>
      <c r="H32" s="208">
        <f t="shared" si="7"/>
        <v>22100000</v>
      </c>
      <c r="J32" s="325" t="s">
        <v>231</v>
      </c>
      <c r="K32" s="127"/>
      <c r="L32" s="127"/>
      <c r="M32" s="127"/>
      <c r="N32" s="126"/>
      <c r="R32" s="935"/>
      <c r="S32" s="939"/>
      <c r="T32" s="936"/>
      <c r="U32" s="936"/>
      <c r="V32" s="936"/>
      <c r="AC32" s="110"/>
    </row>
    <row r="33" spans="1:29" x14ac:dyDescent="0.35">
      <c r="A33" s="121">
        <v>45964</v>
      </c>
      <c r="B33" s="238" t="s">
        <v>772</v>
      </c>
      <c r="C33" s="116" t="s">
        <v>590</v>
      </c>
      <c r="D33" s="123" t="s">
        <v>773</v>
      </c>
      <c r="E33" s="124">
        <f>15000000*0.81</f>
        <v>12150000</v>
      </c>
      <c r="F33" s="124">
        <f>15000000*0.19</f>
        <v>2850000</v>
      </c>
      <c r="G33" s="208">
        <f>(E33+F33)*0.105</f>
        <v>1575000</v>
      </c>
      <c r="H33" s="208">
        <f t="shared" si="7"/>
        <v>16575000</v>
      </c>
      <c r="J33" s="325" t="s">
        <v>230</v>
      </c>
      <c r="K33" s="127"/>
      <c r="L33" s="127"/>
      <c r="M33" s="127"/>
      <c r="N33" s="126"/>
      <c r="R33" s="940">
        <v>45757</v>
      </c>
      <c r="S33" s="935">
        <v>-5000000</v>
      </c>
      <c r="T33" s="936" t="s">
        <v>159</v>
      </c>
      <c r="U33" s="936"/>
      <c r="V33" s="936"/>
      <c r="AC33" s="110"/>
    </row>
    <row r="34" spans="1:29" x14ac:dyDescent="0.35">
      <c r="A34" s="121">
        <v>45964</v>
      </c>
      <c r="B34" s="238" t="s">
        <v>772</v>
      </c>
      <c r="C34" s="116" t="s">
        <v>591</v>
      </c>
      <c r="D34" s="123" t="s">
        <v>774</v>
      </c>
      <c r="E34" s="124">
        <f>5000000*0.81</f>
        <v>4050000.0000000005</v>
      </c>
      <c r="F34" s="124">
        <f>5000000*0.19</f>
        <v>950000</v>
      </c>
      <c r="G34" s="208">
        <f>(E34+F34)*0.105</f>
        <v>525000</v>
      </c>
      <c r="H34" s="208">
        <f t="shared" si="7"/>
        <v>5525000</v>
      </c>
      <c r="J34" s="325" t="s">
        <v>231</v>
      </c>
      <c r="K34" s="127">
        <v>45973</v>
      </c>
      <c r="L34" s="127"/>
      <c r="M34" s="127" t="s">
        <v>777</v>
      </c>
      <c r="N34" s="126">
        <v>62770891.600000001</v>
      </c>
      <c r="R34" s="940">
        <v>45758</v>
      </c>
      <c r="S34" s="935">
        <v>-11800000</v>
      </c>
      <c r="T34" s="936" t="s">
        <v>159</v>
      </c>
      <c r="U34" s="936"/>
      <c r="V34" s="936"/>
      <c r="AC34" s="110"/>
    </row>
    <row r="35" spans="1:29" x14ac:dyDescent="0.35">
      <c r="A35" s="121">
        <v>45964</v>
      </c>
      <c r="B35" s="238" t="s">
        <v>560</v>
      </c>
      <c r="C35" s="116" t="s">
        <v>590</v>
      </c>
      <c r="D35" s="123" t="s">
        <v>773</v>
      </c>
      <c r="E35" s="124">
        <f>(40777974.42-12150000)*0.81</f>
        <v>23188659.280200005</v>
      </c>
      <c r="F35" s="124">
        <f>(40777974.42-12150000)*0.19</f>
        <v>5439315.1398</v>
      </c>
      <c r="G35" s="208">
        <v>0</v>
      </c>
      <c r="H35" s="208">
        <f t="shared" si="7"/>
        <v>28627974.420000006</v>
      </c>
      <c r="J35" s="325" t="s">
        <v>230</v>
      </c>
      <c r="K35" s="127"/>
      <c r="L35" s="127"/>
      <c r="M35" s="127"/>
      <c r="N35" s="126"/>
      <c r="R35" s="940">
        <v>45761</v>
      </c>
      <c r="S35" s="935">
        <v>-7000000</v>
      </c>
      <c r="T35" s="936" t="s">
        <v>159</v>
      </c>
      <c r="U35" s="936"/>
      <c r="V35" s="936"/>
      <c r="AC35" s="110"/>
    </row>
    <row r="36" spans="1:29" x14ac:dyDescent="0.35">
      <c r="A36" s="121">
        <v>45964</v>
      </c>
      <c r="B36" s="238" t="s">
        <v>560</v>
      </c>
      <c r="C36" s="116" t="s">
        <v>591</v>
      </c>
      <c r="D36" s="123" t="s">
        <v>774</v>
      </c>
      <c r="E36" s="124">
        <f>(19892917.86-4050000)*0.81</f>
        <v>12832763.466600001</v>
      </c>
      <c r="F36" s="124">
        <f>(19892917.86-4050000)*0.19</f>
        <v>3010154.3933999999</v>
      </c>
      <c r="G36" s="208">
        <v>0</v>
      </c>
      <c r="H36" s="208">
        <f t="shared" si="7"/>
        <v>15842917.860000001</v>
      </c>
      <c r="J36" s="325" t="s">
        <v>231</v>
      </c>
      <c r="K36" s="127"/>
      <c r="L36" s="127"/>
      <c r="M36" s="127"/>
      <c r="N36" s="126"/>
      <c r="R36" s="940">
        <v>45763</v>
      </c>
      <c r="S36" s="935">
        <v>-7809000</v>
      </c>
      <c r="T36" s="936" t="s">
        <v>159</v>
      </c>
      <c r="U36" s="936"/>
      <c r="V36" s="936"/>
      <c r="AC36" s="110"/>
    </row>
    <row r="37" spans="1:29" x14ac:dyDescent="0.35">
      <c r="A37" s="121">
        <v>45995</v>
      </c>
      <c r="B37" s="238" t="s">
        <v>560</v>
      </c>
      <c r="C37" s="116" t="s">
        <v>590</v>
      </c>
      <c r="D37" s="123" t="s">
        <v>795</v>
      </c>
      <c r="E37" s="124">
        <f>28926618-E39</f>
        <v>19306618</v>
      </c>
      <c r="F37" s="124">
        <f>7662878.94-F39</f>
        <v>4282878.9400000004</v>
      </c>
      <c r="G37" s="208">
        <v>0</v>
      </c>
      <c r="H37" s="208">
        <f t="shared" si="7"/>
        <v>23589496.940000001</v>
      </c>
      <c r="J37" s="325" t="s">
        <v>230</v>
      </c>
      <c r="K37" s="127"/>
      <c r="L37" s="127"/>
      <c r="M37" s="127"/>
      <c r="N37" s="126"/>
      <c r="R37" s="940">
        <v>45763</v>
      </c>
      <c r="S37" s="935">
        <v>-210156.6</v>
      </c>
      <c r="T37" s="936" t="s">
        <v>222</v>
      </c>
      <c r="U37" s="936"/>
      <c r="V37" s="936"/>
      <c r="AC37" s="110"/>
    </row>
    <row r="38" spans="1:29" x14ac:dyDescent="0.35">
      <c r="A38" s="121">
        <v>45995</v>
      </c>
      <c r="B38" s="238" t="s">
        <v>560</v>
      </c>
      <c r="C38" s="116" t="s">
        <v>591</v>
      </c>
      <c r="D38" s="123" t="s">
        <v>796</v>
      </c>
      <c r="E38" s="124">
        <f>6222088-E40</f>
        <v>3632088</v>
      </c>
      <c r="F38" s="124">
        <f>1648277.966-F40</f>
        <v>738277.96600000001</v>
      </c>
      <c r="G38" s="208">
        <v>0</v>
      </c>
      <c r="H38" s="208">
        <f t="shared" ref="H38" si="8">SUM(E38:G38)</f>
        <v>4370365.966</v>
      </c>
      <c r="J38" s="325" t="s">
        <v>231</v>
      </c>
      <c r="K38" s="127">
        <v>46019</v>
      </c>
      <c r="L38" s="127"/>
      <c r="M38" s="127" t="s">
        <v>808</v>
      </c>
      <c r="N38" s="126">
        <v>46192363</v>
      </c>
      <c r="R38" s="940"/>
      <c r="S38" s="984">
        <f>SUM(S33:S37)</f>
        <v>-31819156.600000001</v>
      </c>
      <c r="T38" s="936"/>
      <c r="U38" s="936"/>
      <c r="V38" s="936"/>
      <c r="AC38" s="110"/>
    </row>
    <row r="39" spans="1:29" x14ac:dyDescent="0.35">
      <c r="A39" s="121">
        <v>46009</v>
      </c>
      <c r="B39" s="238" t="s">
        <v>794</v>
      </c>
      <c r="C39" s="116" t="s">
        <v>590</v>
      </c>
      <c r="D39" s="123" t="s">
        <v>795</v>
      </c>
      <c r="E39" s="124">
        <f>13000000*0.74</f>
        <v>9620000</v>
      </c>
      <c r="F39" s="124">
        <f>13000000*26%</f>
        <v>3380000</v>
      </c>
      <c r="G39" s="208">
        <f>(E39+F39)*0.105</f>
        <v>1365000</v>
      </c>
      <c r="H39" s="208">
        <f t="shared" ref="H39" si="9">SUM(E39:G39)</f>
        <v>14365000</v>
      </c>
      <c r="J39" s="325" t="s">
        <v>230</v>
      </c>
      <c r="K39" s="127"/>
      <c r="L39" s="127"/>
      <c r="M39" s="127"/>
      <c r="N39" s="126"/>
      <c r="R39" s="986" t="s">
        <v>614</v>
      </c>
      <c r="S39" s="941">
        <f>+S31+S38</f>
        <v>-160.48768627643585</v>
      </c>
      <c r="T39" s="987"/>
      <c r="U39" s="936"/>
      <c r="V39" s="936"/>
      <c r="AC39" s="110"/>
    </row>
    <row r="40" spans="1:29" x14ac:dyDescent="0.35">
      <c r="A40" s="121">
        <v>46009</v>
      </c>
      <c r="B40" s="238" t="s">
        <v>794</v>
      </c>
      <c r="C40" s="116" t="s">
        <v>591</v>
      </c>
      <c r="D40" s="123" t="s">
        <v>796</v>
      </c>
      <c r="E40" s="124">
        <f>3500000*74%</f>
        <v>2590000</v>
      </c>
      <c r="F40" s="124">
        <f>3500000*26%</f>
        <v>910000</v>
      </c>
      <c r="G40" s="208">
        <f>(E40+F40)*0.105</f>
        <v>367500</v>
      </c>
      <c r="H40" s="208">
        <f t="shared" ref="H40:H46" si="10">SUM(E40:G40)</f>
        <v>3867500</v>
      </c>
      <c r="J40" s="325" t="s">
        <v>231</v>
      </c>
      <c r="K40" s="127"/>
      <c r="L40" s="127"/>
      <c r="M40" s="127"/>
      <c r="N40" s="126"/>
      <c r="R40" s="935"/>
      <c r="S40" s="935"/>
      <c r="T40" s="988"/>
      <c r="U40" s="936"/>
      <c r="V40" s="936"/>
      <c r="AC40" s="110"/>
    </row>
    <row r="41" spans="1:29" x14ac:dyDescent="0.35">
      <c r="A41" s="121">
        <v>46009</v>
      </c>
      <c r="B41" s="238" t="s">
        <v>560</v>
      </c>
      <c r="C41" s="116" t="s">
        <v>590</v>
      </c>
      <c r="D41" s="123" t="s">
        <v>795</v>
      </c>
      <c r="E41" s="124">
        <v>19306618</v>
      </c>
      <c r="F41" s="124">
        <v>4282878.9402167452</v>
      </c>
      <c r="G41" s="208">
        <v>0</v>
      </c>
      <c r="H41" s="208">
        <f t="shared" si="10"/>
        <v>23589496.940216746</v>
      </c>
      <c r="J41" s="325" t="s">
        <v>230</v>
      </c>
      <c r="K41" s="127"/>
      <c r="L41" s="127"/>
      <c r="M41" s="127"/>
      <c r="N41" s="126"/>
      <c r="R41" s="106"/>
      <c r="AC41" s="110"/>
    </row>
    <row r="42" spans="1:29" x14ac:dyDescent="0.35">
      <c r="A42" s="121">
        <v>46009</v>
      </c>
      <c r="B42" s="238" t="s">
        <v>560</v>
      </c>
      <c r="C42" s="116" t="s">
        <v>591</v>
      </c>
      <c r="D42" s="123" t="s">
        <v>796</v>
      </c>
      <c r="E42" s="124">
        <v>3632088</v>
      </c>
      <c r="F42" s="124">
        <v>738277.96665947349</v>
      </c>
      <c r="G42" s="208">
        <v>0</v>
      </c>
      <c r="H42" s="208">
        <f t="shared" si="10"/>
        <v>4370365.9666594733</v>
      </c>
      <c r="J42" s="325" t="s">
        <v>231</v>
      </c>
      <c r="K42" s="127"/>
      <c r="L42" s="127"/>
      <c r="M42" s="127"/>
      <c r="N42" s="126"/>
      <c r="R42" s="106"/>
      <c r="AC42" s="110"/>
    </row>
    <row r="43" spans="1:29" x14ac:dyDescent="0.35">
      <c r="A43" s="121">
        <v>46028</v>
      </c>
      <c r="B43" s="238" t="s">
        <v>801</v>
      </c>
      <c r="C43" s="116" t="s">
        <v>590</v>
      </c>
      <c r="D43" s="123" t="s">
        <v>802</v>
      </c>
      <c r="E43" s="124">
        <v>11182500</v>
      </c>
      <c r="F43" s="124">
        <v>4567500</v>
      </c>
      <c r="G43" s="208">
        <f>(E43+F43)*0.105</f>
        <v>1653750</v>
      </c>
      <c r="H43" s="208">
        <f t="shared" si="10"/>
        <v>17403750</v>
      </c>
      <c r="J43" s="325" t="s">
        <v>230</v>
      </c>
      <c r="K43" s="127"/>
      <c r="L43" s="127"/>
      <c r="M43" s="127"/>
      <c r="N43" s="126"/>
      <c r="R43" s="938" t="s">
        <v>617</v>
      </c>
      <c r="S43" s="936"/>
      <c r="T43" s="936"/>
      <c r="U43" s="936"/>
      <c r="V43" s="936"/>
      <c r="AC43" s="110"/>
    </row>
    <row r="44" spans="1:29" x14ac:dyDescent="0.35">
      <c r="A44" s="121">
        <v>46028</v>
      </c>
      <c r="B44" s="238" t="s">
        <v>801</v>
      </c>
      <c r="C44" s="116" t="s">
        <v>591</v>
      </c>
      <c r="D44" s="123" t="s">
        <v>803</v>
      </c>
      <c r="E44" s="124">
        <v>3890800</v>
      </c>
      <c r="F44" s="124">
        <v>1589200</v>
      </c>
      <c r="G44" s="208">
        <f>(E44+F44)*0.105</f>
        <v>575400</v>
      </c>
      <c r="H44" s="208">
        <f t="shared" si="10"/>
        <v>6055400</v>
      </c>
      <c r="J44" s="325" t="s">
        <v>231</v>
      </c>
      <c r="K44" s="127">
        <v>46028</v>
      </c>
      <c r="L44" s="127"/>
      <c r="M44" s="127" t="s">
        <v>809</v>
      </c>
      <c r="N44" s="126">
        <v>38284006.600000001</v>
      </c>
      <c r="R44" s="935"/>
      <c r="S44" s="936" t="s">
        <v>582</v>
      </c>
      <c r="T44" s="936" t="s">
        <v>51</v>
      </c>
      <c r="U44" s="936" t="s">
        <v>52</v>
      </c>
      <c r="V44" s="936"/>
      <c r="AC44" s="110"/>
    </row>
    <row r="45" spans="1:29" x14ac:dyDescent="0.35">
      <c r="A45" s="121">
        <v>46028</v>
      </c>
      <c r="B45" s="238" t="s">
        <v>560</v>
      </c>
      <c r="C45" s="116" t="s">
        <v>590</v>
      </c>
      <c r="D45" s="123" t="s">
        <v>802</v>
      </c>
      <c r="E45" s="124">
        <v>8477472</v>
      </c>
      <c r="F45" s="124">
        <v>1136079.9956614878</v>
      </c>
      <c r="G45" s="208">
        <v>0</v>
      </c>
      <c r="H45" s="208">
        <f t="shared" si="10"/>
        <v>9613551.9956614878</v>
      </c>
      <c r="J45" s="325" t="s">
        <v>230</v>
      </c>
      <c r="K45" s="127"/>
      <c r="L45" s="127"/>
      <c r="M45" s="127"/>
      <c r="N45" s="126"/>
      <c r="R45" s="935"/>
      <c r="S45" s="936"/>
      <c r="T45" s="936"/>
      <c r="U45" s="936"/>
      <c r="V45" s="936"/>
      <c r="AC45" s="110"/>
    </row>
    <row r="46" spans="1:29" x14ac:dyDescent="0.35">
      <c r="A46" s="121">
        <v>46028</v>
      </c>
      <c r="B46" s="238" t="s">
        <v>560</v>
      </c>
      <c r="C46" s="116" t="s">
        <v>591</v>
      </c>
      <c r="D46" s="123" t="s">
        <v>803</v>
      </c>
      <c r="E46" s="124">
        <v>4396586</v>
      </c>
      <c r="F46" s="124">
        <v>815064.30531290779</v>
      </c>
      <c r="G46" s="208">
        <v>0</v>
      </c>
      <c r="H46" s="208">
        <f t="shared" si="10"/>
        <v>5211650.3053129073</v>
      </c>
      <c r="J46" s="325" t="s">
        <v>231</v>
      </c>
      <c r="K46" s="127"/>
      <c r="L46" s="127"/>
      <c r="M46" s="127"/>
      <c r="N46" s="126"/>
      <c r="R46" s="985" t="s">
        <v>618</v>
      </c>
      <c r="S46" s="935">
        <v>7500000</v>
      </c>
      <c r="T46" s="935">
        <v>787500</v>
      </c>
      <c r="U46" s="935">
        <f>+S46+T46</f>
        <v>8287500</v>
      </c>
      <c r="V46" s="936"/>
      <c r="AC46" s="110"/>
    </row>
    <row r="47" spans="1:29" x14ac:dyDescent="0.35">
      <c r="A47" s="121">
        <v>46056</v>
      </c>
      <c r="B47" s="238" t="s">
        <v>826</v>
      </c>
      <c r="C47" s="116" t="s">
        <v>590</v>
      </c>
      <c r="D47" s="123" t="s">
        <v>827</v>
      </c>
      <c r="E47" s="124">
        <f>20200000*0.77</f>
        <v>15554000</v>
      </c>
      <c r="F47" s="124">
        <f>20200000*0.23</f>
        <v>4646000</v>
      </c>
      <c r="G47" s="208">
        <f>(E47+F47)*0.105</f>
        <v>2121000</v>
      </c>
      <c r="H47" s="208">
        <f t="shared" ref="H47:H48" si="11">SUM(E47:G47)</f>
        <v>22321000</v>
      </c>
      <c r="J47" s="325" t="s">
        <v>230</v>
      </c>
      <c r="K47" s="127">
        <v>46057</v>
      </c>
      <c r="L47" s="127"/>
      <c r="M47" s="127" t="s">
        <v>833</v>
      </c>
      <c r="N47" s="126">
        <v>57061165.716000006</v>
      </c>
      <c r="R47" s="985" t="s">
        <v>619</v>
      </c>
      <c r="S47" s="937">
        <v>2284500</v>
      </c>
      <c r="T47" s="937">
        <v>239872.5</v>
      </c>
      <c r="U47" s="935">
        <f>+S47+T47</f>
        <v>2524372.5</v>
      </c>
      <c r="V47" s="936"/>
      <c r="AC47" s="110"/>
    </row>
    <row r="48" spans="1:29" x14ac:dyDescent="0.35">
      <c r="A48" s="121">
        <v>46056</v>
      </c>
      <c r="B48" s="238" t="s">
        <v>826</v>
      </c>
      <c r="C48" s="116" t="s">
        <v>591</v>
      </c>
      <c r="D48" s="123" t="s">
        <v>828</v>
      </c>
      <c r="E48" s="124">
        <f>13150000*0.77</f>
        <v>10125500</v>
      </c>
      <c r="F48" s="124">
        <f>13150000*0.23</f>
        <v>3024500</v>
      </c>
      <c r="G48" s="208">
        <f>(E48+F48)*0.105</f>
        <v>1380750</v>
      </c>
      <c r="H48" s="208">
        <f t="shared" si="11"/>
        <v>14530750</v>
      </c>
      <c r="J48" s="325" t="s">
        <v>231</v>
      </c>
      <c r="K48" s="127"/>
      <c r="L48" s="127"/>
      <c r="M48" s="127"/>
      <c r="N48" s="126"/>
      <c r="R48" s="935"/>
      <c r="S48" s="937"/>
      <c r="T48" s="937"/>
      <c r="U48" s="935"/>
      <c r="V48" s="936"/>
      <c r="AC48" s="110"/>
    </row>
    <row r="49" spans="1:29" x14ac:dyDescent="0.35">
      <c r="A49" s="121">
        <v>46056</v>
      </c>
      <c r="B49" s="238" t="s">
        <v>826</v>
      </c>
      <c r="C49" s="1306" t="s">
        <v>829</v>
      </c>
      <c r="D49" s="1307" t="s">
        <v>831</v>
      </c>
      <c r="E49" s="1308">
        <f>4650000*0.97</f>
        <v>4510500</v>
      </c>
      <c r="F49" s="1308">
        <f>4650000*0.03</f>
        <v>139500</v>
      </c>
      <c r="G49" s="1309">
        <f>(E49+F49)*0.105</f>
        <v>488250</v>
      </c>
      <c r="H49" s="1309">
        <f t="shared" ref="H49:H61" si="12">SUM(E49:G49)</f>
        <v>5138250</v>
      </c>
      <c r="J49" s="325" t="s">
        <v>231</v>
      </c>
      <c r="K49" s="127"/>
      <c r="L49" s="127"/>
      <c r="M49" s="127"/>
      <c r="N49" s="126"/>
      <c r="R49" s="938" t="s">
        <v>617</v>
      </c>
      <c r="S49" s="939">
        <f>+E221</f>
        <v>22303311.328387503</v>
      </c>
      <c r="T49" s="936"/>
      <c r="U49" s="936"/>
      <c r="V49" s="936"/>
      <c r="AC49" s="110"/>
    </row>
    <row r="50" spans="1:29" x14ac:dyDescent="0.35">
      <c r="A50" s="121">
        <v>46056</v>
      </c>
      <c r="B50" s="238" t="s">
        <v>560</v>
      </c>
      <c r="C50" s="116" t="s">
        <v>590</v>
      </c>
      <c r="D50" s="123" t="s">
        <v>827</v>
      </c>
      <c r="E50" s="124">
        <f>24825507-E47</f>
        <v>9271507</v>
      </c>
      <c r="F50" s="124">
        <f>7619636.512-F47</f>
        <v>2973636.5120000001</v>
      </c>
      <c r="G50" s="208">
        <v>0</v>
      </c>
      <c r="H50" s="208">
        <f t="shared" si="12"/>
        <v>12245143.512</v>
      </c>
      <c r="J50" s="325" t="s">
        <v>230</v>
      </c>
      <c r="K50" s="127"/>
      <c r="L50" s="127"/>
      <c r="M50" s="127"/>
      <c r="N50" s="126"/>
      <c r="R50" s="935" t="s">
        <v>51</v>
      </c>
      <c r="S50" s="937">
        <f>+T46+T47</f>
        <v>1027372.5</v>
      </c>
      <c r="T50" s="936"/>
      <c r="U50" s="936"/>
      <c r="V50" s="936"/>
      <c r="AC50" s="110"/>
    </row>
    <row r="51" spans="1:29" x14ac:dyDescent="0.35">
      <c r="A51" s="121">
        <v>46056</v>
      </c>
      <c r="B51" s="238" t="s">
        <v>560</v>
      </c>
      <c r="C51" s="116" t="s">
        <v>591</v>
      </c>
      <c r="D51" s="123" t="s">
        <v>828</v>
      </c>
      <c r="E51" s="124">
        <f>16155654-E48</f>
        <v>6030154</v>
      </c>
      <c r="F51" s="124">
        <f>4958618.204-F48</f>
        <v>1934118.2039999999</v>
      </c>
      <c r="G51" s="208">
        <v>0</v>
      </c>
      <c r="H51" s="208">
        <f t="shared" si="12"/>
        <v>7964272.2039999999</v>
      </c>
      <c r="J51" s="325" t="s">
        <v>231</v>
      </c>
      <c r="K51" s="127"/>
      <c r="L51" s="127"/>
      <c r="M51" s="127"/>
      <c r="N51" s="126"/>
      <c r="R51" s="935" t="s">
        <v>52</v>
      </c>
      <c r="S51" s="939">
        <f>+S49+S50</f>
        <v>23330683.828387503</v>
      </c>
      <c r="T51" s="936"/>
      <c r="U51" s="936"/>
      <c r="V51" s="936"/>
      <c r="X51" s="120"/>
      <c r="AC51" s="928"/>
    </row>
    <row r="52" spans="1:29" x14ac:dyDescent="0.35">
      <c r="A52" s="121">
        <v>46086</v>
      </c>
      <c r="B52" s="238" t="s">
        <v>875</v>
      </c>
      <c r="C52" s="116" t="s">
        <v>590</v>
      </c>
      <c r="D52" s="123" t="s">
        <v>876</v>
      </c>
      <c r="E52" s="124">
        <f>5000000*0.75</f>
        <v>3750000</v>
      </c>
      <c r="F52" s="124">
        <f>5000000*0.25</f>
        <v>1250000</v>
      </c>
      <c r="G52" s="208">
        <f>(E52+F52)*0.105</f>
        <v>525000</v>
      </c>
      <c r="H52" s="208">
        <f t="shared" si="12"/>
        <v>5525000</v>
      </c>
      <c r="J52" s="325" t="s">
        <v>230</v>
      </c>
      <c r="K52" s="127">
        <v>46086</v>
      </c>
      <c r="L52" s="127"/>
      <c r="M52" s="127" t="s">
        <v>879</v>
      </c>
      <c r="N52" s="126"/>
      <c r="R52" s="940">
        <v>45783</v>
      </c>
      <c r="S52" s="935">
        <v>-7000000</v>
      </c>
      <c r="T52" s="936" t="s">
        <v>159</v>
      </c>
      <c r="U52" s="936"/>
      <c r="V52" s="936"/>
      <c r="AC52" s="110"/>
    </row>
    <row r="53" spans="1:29" x14ac:dyDescent="0.35">
      <c r="A53" s="121">
        <v>46086</v>
      </c>
      <c r="B53" s="238" t="s">
        <v>875</v>
      </c>
      <c r="C53" s="116" t="s">
        <v>591</v>
      </c>
      <c r="D53" s="123" t="s">
        <v>877</v>
      </c>
      <c r="E53" s="124">
        <f>13000000*0.75</f>
        <v>9750000</v>
      </c>
      <c r="F53" s="124">
        <f>13000000*0.25</f>
        <v>3250000</v>
      </c>
      <c r="G53" s="208">
        <f>(E53+F53)*0.105</f>
        <v>1365000</v>
      </c>
      <c r="H53" s="208">
        <f t="shared" si="12"/>
        <v>14365000</v>
      </c>
      <c r="J53" s="325" t="s">
        <v>231</v>
      </c>
      <c r="K53" s="127"/>
      <c r="L53" s="127"/>
      <c r="M53" s="127"/>
      <c r="N53" s="126"/>
      <c r="R53" s="940">
        <v>45790</v>
      </c>
      <c r="S53" s="935">
        <v>-14000000</v>
      </c>
      <c r="T53" s="936" t="s">
        <v>159</v>
      </c>
      <c r="U53" s="936"/>
      <c r="V53" s="936"/>
      <c r="AC53" s="110"/>
    </row>
    <row r="54" spans="1:29" x14ac:dyDescent="0.35">
      <c r="A54" s="121">
        <v>46086</v>
      </c>
      <c r="B54" s="238" t="s">
        <v>560</v>
      </c>
      <c r="C54" s="116" t="s">
        <v>590</v>
      </c>
      <c r="D54" s="123" t="s">
        <v>876</v>
      </c>
      <c r="E54" s="124">
        <f>6545705-E52</f>
        <v>2795705</v>
      </c>
      <c r="F54" s="124">
        <f>2206292-F52</f>
        <v>956292</v>
      </c>
      <c r="G54" s="208">
        <v>0</v>
      </c>
      <c r="H54" s="208">
        <f t="shared" si="12"/>
        <v>3751997</v>
      </c>
      <c r="J54" s="325" t="s">
        <v>230</v>
      </c>
      <c r="K54" s="127"/>
      <c r="L54" s="127"/>
      <c r="M54" s="127"/>
      <c r="N54" s="126"/>
      <c r="R54" s="940">
        <v>45790</v>
      </c>
      <c r="S54" s="935">
        <v>-336156.6</v>
      </c>
      <c r="T54" s="936" t="s">
        <v>222</v>
      </c>
      <c r="U54" s="936"/>
      <c r="V54" s="936"/>
    </row>
    <row r="55" spans="1:29" x14ac:dyDescent="0.35">
      <c r="A55" s="121">
        <v>46086</v>
      </c>
      <c r="B55" s="238" t="s">
        <v>560</v>
      </c>
      <c r="C55" s="116" t="s">
        <v>591</v>
      </c>
      <c r="D55" s="123" t="s">
        <v>877</v>
      </c>
      <c r="E55" s="124">
        <f>15716390-E53</f>
        <v>5966390</v>
      </c>
      <c r="F55" s="124">
        <f>5297358.4-F53</f>
        <v>2047358.4000000004</v>
      </c>
      <c r="G55" s="208">
        <v>0</v>
      </c>
      <c r="H55" s="208">
        <f t="shared" si="12"/>
        <v>8013748.4000000004</v>
      </c>
      <c r="J55" s="325" t="s">
        <v>231</v>
      </c>
      <c r="K55" s="127"/>
      <c r="L55" s="127"/>
      <c r="M55" s="127"/>
      <c r="N55" s="126"/>
      <c r="R55" s="940"/>
      <c r="S55" s="935"/>
      <c r="T55" s="936"/>
      <c r="U55" s="936"/>
      <c r="V55" s="936"/>
    </row>
    <row r="56" spans="1:29" x14ac:dyDescent="0.35">
      <c r="A56" s="121">
        <v>46120</v>
      </c>
      <c r="B56" s="238" t="s">
        <v>912</v>
      </c>
      <c r="C56" s="116" t="s">
        <v>591</v>
      </c>
      <c r="D56" s="123" t="s">
        <v>913</v>
      </c>
      <c r="E56" s="124">
        <f>20000000*0.75</f>
        <v>15000000</v>
      </c>
      <c r="F56" s="124">
        <f>20000000*0.25</f>
        <v>5000000</v>
      </c>
      <c r="G56" s="208">
        <f>(E56+F56)*0.105</f>
        <v>2100000</v>
      </c>
      <c r="H56" s="208">
        <f t="shared" si="12"/>
        <v>22100000</v>
      </c>
      <c r="J56" s="325" t="s">
        <v>231</v>
      </c>
      <c r="K56" s="127"/>
      <c r="L56" s="127"/>
      <c r="M56" s="127"/>
      <c r="N56" s="126"/>
      <c r="R56" s="940">
        <v>45796</v>
      </c>
      <c r="S56" s="935">
        <v>-2000000</v>
      </c>
      <c r="T56" s="936" t="s">
        <v>159</v>
      </c>
      <c r="U56" s="936"/>
      <c r="V56" s="936"/>
    </row>
    <row r="57" spans="1:29" x14ac:dyDescent="0.35">
      <c r="A57" s="121">
        <v>46120</v>
      </c>
      <c r="B57" s="238" t="s">
        <v>560</v>
      </c>
      <c r="C57" s="116" t="s">
        <v>591</v>
      </c>
      <c r="D57" s="123" t="s">
        <v>913</v>
      </c>
      <c r="E57" s="124">
        <v>12219231</v>
      </c>
      <c r="F57" s="124">
        <v>4636019.6555345971</v>
      </c>
      <c r="G57" s="208">
        <v>0</v>
      </c>
      <c r="H57" s="208">
        <f t="shared" si="12"/>
        <v>16855250.655534595</v>
      </c>
      <c r="J57" s="325" t="s">
        <v>231</v>
      </c>
      <c r="K57" s="127"/>
      <c r="L57" s="127"/>
      <c r="M57" s="127"/>
      <c r="N57" s="126"/>
      <c r="R57" s="940"/>
      <c r="S57" s="935"/>
      <c r="T57" s="936"/>
      <c r="U57" s="936"/>
      <c r="V57" s="936"/>
    </row>
    <row r="58" spans="1:29" x14ac:dyDescent="0.35">
      <c r="A58" s="121">
        <v>46120</v>
      </c>
      <c r="B58" s="238" t="s">
        <v>560</v>
      </c>
      <c r="C58" s="116" t="s">
        <v>914</v>
      </c>
      <c r="D58" s="123" t="s">
        <v>915</v>
      </c>
      <c r="E58" s="124">
        <v>5256674</v>
      </c>
      <c r="F58" s="124">
        <v>0</v>
      </c>
      <c r="G58" s="208">
        <v>0</v>
      </c>
      <c r="H58" s="208">
        <f t="shared" si="12"/>
        <v>5256674</v>
      </c>
      <c r="J58" s="325" t="s">
        <v>916</v>
      </c>
      <c r="K58" s="127"/>
      <c r="L58" s="127"/>
      <c r="M58" s="127"/>
      <c r="N58" s="126"/>
      <c r="R58" s="940"/>
      <c r="S58" s="935"/>
      <c r="T58" s="936"/>
      <c r="U58" s="936"/>
      <c r="V58" s="936"/>
    </row>
    <row r="59" spans="1:29" x14ac:dyDescent="0.35">
      <c r="A59" s="121">
        <v>46164</v>
      </c>
      <c r="B59" s="238" t="s">
        <v>933</v>
      </c>
      <c r="C59" s="116" t="s">
        <v>591</v>
      </c>
      <c r="D59" s="123" t="s">
        <v>934</v>
      </c>
      <c r="E59" s="124">
        <f>29650000*0.73</f>
        <v>21644500</v>
      </c>
      <c r="F59" s="124">
        <f>29650000*0.27</f>
        <v>8005500.0000000009</v>
      </c>
      <c r="G59" s="208">
        <f>(E59+F59)*0.105</f>
        <v>3113250</v>
      </c>
      <c r="H59" s="208">
        <f t="shared" si="12"/>
        <v>32763250</v>
      </c>
      <c r="J59" s="325" t="s">
        <v>231</v>
      </c>
      <c r="K59" s="127"/>
      <c r="L59" s="127"/>
      <c r="M59" s="127"/>
      <c r="N59" s="126"/>
      <c r="R59" s="940"/>
      <c r="S59" s="935"/>
      <c r="T59" s="936"/>
      <c r="U59" s="936"/>
      <c r="V59" s="936"/>
    </row>
    <row r="60" spans="1:29" x14ac:dyDescent="0.35">
      <c r="A60" s="121">
        <v>46164</v>
      </c>
      <c r="B60" s="238" t="s">
        <v>560</v>
      </c>
      <c r="C60" s="116" t="s">
        <v>591</v>
      </c>
      <c r="D60" s="123" t="s">
        <v>934</v>
      </c>
      <c r="E60" s="124">
        <f>+E98-E59</f>
        <v>19777849</v>
      </c>
      <c r="F60" s="124">
        <f>E99-F59</f>
        <v>7576066.0094174789</v>
      </c>
      <c r="G60" s="208">
        <v>0</v>
      </c>
      <c r="H60" s="208">
        <f t="shared" si="12"/>
        <v>27353915.009417478</v>
      </c>
      <c r="J60" s="325" t="s">
        <v>231</v>
      </c>
      <c r="K60" s="127"/>
      <c r="L60" s="127"/>
      <c r="M60" s="127"/>
      <c r="N60" s="126"/>
      <c r="R60" s="940"/>
      <c r="S60" s="935"/>
      <c r="T60" s="936"/>
      <c r="U60" s="936"/>
      <c r="V60" s="936"/>
    </row>
    <row r="61" spans="1:29" x14ac:dyDescent="0.35">
      <c r="A61" s="121">
        <v>46164</v>
      </c>
      <c r="B61" s="238" t="s">
        <v>560</v>
      </c>
      <c r="C61" s="1306" t="s">
        <v>829</v>
      </c>
      <c r="D61" s="1307" t="s">
        <v>935</v>
      </c>
      <c r="E61" s="124">
        <f>+E101</f>
        <v>1717028</v>
      </c>
      <c r="F61" s="124">
        <f>+E102</f>
        <v>151022.27258320156</v>
      </c>
      <c r="G61" s="208">
        <v>0</v>
      </c>
      <c r="H61" s="208">
        <f t="shared" si="12"/>
        <v>1868050.2725832015</v>
      </c>
      <c r="J61" s="325" t="s">
        <v>231</v>
      </c>
      <c r="K61" s="127"/>
      <c r="L61" s="127"/>
      <c r="M61" s="127"/>
      <c r="N61" s="126"/>
      <c r="R61" s="940"/>
      <c r="S61" s="935"/>
      <c r="T61" s="936"/>
      <c r="U61" s="936"/>
      <c r="V61" s="936"/>
    </row>
    <row r="62" spans="1:29" x14ac:dyDescent="0.35">
      <c r="A62" s="121"/>
      <c r="B62" s="238"/>
      <c r="C62" s="116"/>
      <c r="D62" s="123"/>
      <c r="E62" s="124"/>
      <c r="F62" s="124"/>
      <c r="G62" s="208"/>
      <c r="H62" s="208"/>
      <c r="J62" s="325"/>
      <c r="K62" s="127"/>
      <c r="L62" s="127"/>
      <c r="M62" s="127"/>
      <c r="N62" s="126"/>
      <c r="R62" s="940"/>
      <c r="S62" s="935"/>
      <c r="T62" s="936"/>
      <c r="U62" s="936"/>
      <c r="V62" s="936"/>
    </row>
    <row r="63" spans="1:29" x14ac:dyDescent="0.35">
      <c r="A63" s="121"/>
      <c r="B63" s="238"/>
      <c r="C63" s="116"/>
      <c r="D63" s="123"/>
      <c r="E63" s="124"/>
      <c r="F63" s="124"/>
      <c r="G63" s="208"/>
      <c r="H63" s="208"/>
      <c r="J63" s="325"/>
      <c r="K63" s="127"/>
      <c r="L63" s="127"/>
      <c r="M63" s="127"/>
      <c r="N63" s="126"/>
      <c r="R63" s="940"/>
      <c r="S63" s="935"/>
      <c r="T63" s="936"/>
      <c r="U63" s="936"/>
      <c r="V63" s="936"/>
    </row>
    <row r="64" spans="1:29" x14ac:dyDescent="0.35">
      <c r="A64" s="121"/>
      <c r="B64" s="116"/>
      <c r="C64" s="122"/>
      <c r="D64" s="123"/>
      <c r="E64" s="124"/>
      <c r="F64" s="124"/>
      <c r="G64" s="124"/>
      <c r="H64" s="208"/>
      <c r="K64" s="127"/>
      <c r="L64" s="127"/>
      <c r="M64" s="127"/>
      <c r="N64" s="126"/>
      <c r="R64" s="940">
        <v>45796</v>
      </c>
      <c r="S64" s="935">
        <f>-45690-57112.5</f>
        <v>-102802.5</v>
      </c>
      <c r="T64" s="936" t="s">
        <v>222</v>
      </c>
      <c r="U64" s="936"/>
      <c r="V64" s="936"/>
    </row>
    <row r="65" spans="1:22" x14ac:dyDescent="0.35">
      <c r="A65" s="129"/>
      <c r="B65" s="129"/>
      <c r="C65" s="129"/>
      <c r="D65" s="114" t="s">
        <v>53</v>
      </c>
      <c r="E65" s="130">
        <f>SUM(E11:E64)</f>
        <v>882645197.94679999</v>
      </c>
      <c r="F65" s="130">
        <f>SUM(F11:F64)</f>
        <v>172986236.77058589</v>
      </c>
      <c r="G65" s="130">
        <f>SUM(G11:G64)</f>
        <v>34845772.5</v>
      </c>
      <c r="H65" s="130">
        <f>SUM(H11:H64)</f>
        <v>1090477207.2173858</v>
      </c>
      <c r="N65" s="131">
        <f>SUM(N11:N64)</f>
        <v>920076909.48459017</v>
      </c>
      <c r="R65" s="935"/>
      <c r="S65" s="984">
        <f>SUM(S52:S64)</f>
        <v>-23438959.100000001</v>
      </c>
      <c r="T65" s="988"/>
      <c r="U65" s="936"/>
      <c r="V65" s="936"/>
    </row>
    <row r="66" spans="1:22" x14ac:dyDescent="0.35">
      <c r="R66" s="986" t="s">
        <v>614</v>
      </c>
      <c r="S66" s="941">
        <f>+S51+S65</f>
        <v>-108275.27161249891</v>
      </c>
      <c r="T66" s="987"/>
      <c r="U66" s="936"/>
      <c r="V66" s="936"/>
    </row>
    <row r="67" spans="1:22" x14ac:dyDescent="0.35">
      <c r="D67" s="106" t="s">
        <v>887</v>
      </c>
      <c r="R67" s="986"/>
      <c r="S67" s="941"/>
      <c r="T67" s="987"/>
      <c r="U67" s="936"/>
      <c r="V67" s="936"/>
    </row>
    <row r="68" spans="1:22" x14ac:dyDescent="0.35">
      <c r="D68" s="106" t="s">
        <v>888</v>
      </c>
      <c r="G68" s="927"/>
      <c r="L68" s="132" t="s">
        <v>59</v>
      </c>
      <c r="M68" s="132"/>
      <c r="N68" s="133">
        <f>+N65-H65</f>
        <v>-170400297.7327956</v>
      </c>
      <c r="R68" s="106"/>
    </row>
    <row r="69" spans="1:22" x14ac:dyDescent="0.35">
      <c r="D69" s="134" t="s">
        <v>60</v>
      </c>
      <c r="E69" s="435">
        <f>SUM(E4:E7)</f>
        <v>1173478539.7034438</v>
      </c>
      <c r="F69" s="119"/>
      <c r="G69" s="120"/>
      <c r="R69" s="106"/>
    </row>
    <row r="70" spans="1:22" x14ac:dyDescent="0.35">
      <c r="D70" s="134" t="s">
        <v>61</v>
      </c>
      <c r="E70" s="435">
        <f>SUMIF($B$11:$B$64,"0003-*",$E$11:$E$64)</f>
        <v>270256836.38999999</v>
      </c>
      <c r="F70" s="918">
        <f>E70/E65</f>
        <v>0.30618966377279183</v>
      </c>
      <c r="G70" s="120"/>
      <c r="H70" s="120"/>
      <c r="R70" s="938" t="s">
        <v>625</v>
      </c>
      <c r="S70" s="936"/>
      <c r="T70" s="936"/>
      <c r="U70" s="936"/>
      <c r="V70" s="936"/>
    </row>
    <row r="71" spans="1:22" x14ac:dyDescent="0.35">
      <c r="D71" s="134" t="s">
        <v>223</v>
      </c>
      <c r="E71" s="435">
        <f>SUMIF($B$11:$B$64,"",$E$11:$E$64)</f>
        <v>0</v>
      </c>
      <c r="F71" s="119"/>
      <c r="H71" s="120"/>
      <c r="R71" s="935"/>
      <c r="S71" s="936" t="s">
        <v>582</v>
      </c>
      <c r="T71" s="936" t="s">
        <v>51</v>
      </c>
      <c r="U71" s="936" t="s">
        <v>52</v>
      </c>
      <c r="V71" s="936"/>
    </row>
    <row r="72" spans="1:22" x14ac:dyDescent="0.35">
      <c r="D72" s="135" t="s">
        <v>62</v>
      </c>
      <c r="E72" s="436">
        <f>E69-E70-E71</f>
        <v>903221703.31344378</v>
      </c>
      <c r="R72" s="985" t="s">
        <v>626</v>
      </c>
      <c r="S72" s="935">
        <v>10000000</v>
      </c>
      <c r="T72" s="935">
        <v>1050000</v>
      </c>
      <c r="U72" s="935">
        <f>+S72+T72</f>
        <v>11050000</v>
      </c>
      <c r="V72" s="936"/>
    </row>
    <row r="73" spans="1:22" x14ac:dyDescent="0.35">
      <c r="R73" s="985"/>
      <c r="S73" s="937"/>
      <c r="T73" s="937"/>
      <c r="U73" s="935"/>
      <c r="V73" s="936"/>
    </row>
    <row r="74" spans="1:22" x14ac:dyDescent="0.35">
      <c r="E74" s="110"/>
      <c r="R74" s="938" t="s">
        <v>625</v>
      </c>
      <c r="S74" s="939">
        <f>E214</f>
        <v>27003723.66884993</v>
      </c>
      <c r="T74" s="936"/>
      <c r="U74" s="936"/>
      <c r="V74" s="936"/>
    </row>
    <row r="75" spans="1:22" x14ac:dyDescent="0.35">
      <c r="C75" s="117" t="s">
        <v>63</v>
      </c>
      <c r="R75" s="935" t="s">
        <v>51</v>
      </c>
      <c r="S75" s="937">
        <f>+T72+T73</f>
        <v>1050000</v>
      </c>
      <c r="T75" s="936"/>
      <c r="U75" s="936"/>
      <c r="V75" s="936"/>
    </row>
    <row r="76" spans="1:22" x14ac:dyDescent="0.35">
      <c r="C76" s="136" t="s">
        <v>48</v>
      </c>
      <c r="D76" s="136" t="s">
        <v>49</v>
      </c>
      <c r="E76" s="236" t="s">
        <v>64</v>
      </c>
      <c r="F76" s="236" t="s">
        <v>65</v>
      </c>
      <c r="R76" s="935" t="s">
        <v>52</v>
      </c>
      <c r="S76" s="939">
        <f>+S74+S75</f>
        <v>28053723.66884993</v>
      </c>
      <c r="T76" s="936"/>
      <c r="U76" s="936"/>
      <c r="V76" s="936"/>
    </row>
    <row r="77" spans="1:22" x14ac:dyDescent="0.35">
      <c r="C77" s="237" t="s">
        <v>590</v>
      </c>
      <c r="D77" s="229" t="s">
        <v>242</v>
      </c>
      <c r="E77" s="437">
        <f>SUMIF($C$11:$C$64,C77,$E$11:$E$64)</f>
        <v>422115312.27020001</v>
      </c>
      <c r="F77" s="438">
        <f>SUMIF($C$4:$C$5,C77,$E$4:$E$5)-E77</f>
        <v>-809260.27020001411</v>
      </c>
      <c r="R77" s="935"/>
      <c r="S77" s="936"/>
      <c r="T77" s="936"/>
      <c r="U77" s="936"/>
      <c r="V77" s="936"/>
    </row>
    <row r="78" spans="1:22" x14ac:dyDescent="0.35">
      <c r="C78" s="254" t="s">
        <v>591</v>
      </c>
      <c r="D78" s="255" t="s">
        <v>243</v>
      </c>
      <c r="E78" s="437">
        <f>SUMIF($C$11:$C$64,C78,$E$11:$E$64)</f>
        <v>449045683.67659998</v>
      </c>
      <c r="F78" s="437">
        <f>SUMIF($C$4:$C$5,C78,$E$4:$E$5)-E78</f>
        <v>287811449.34290004</v>
      </c>
      <c r="R78" s="940">
        <v>45804</v>
      </c>
      <c r="S78" s="935">
        <v>-10500000</v>
      </c>
      <c r="T78" s="936" t="s">
        <v>627</v>
      </c>
      <c r="U78" s="936"/>
      <c r="V78" s="936"/>
    </row>
    <row r="79" spans="1:22" x14ac:dyDescent="0.35">
      <c r="C79" s="254"/>
      <c r="D79" s="255"/>
      <c r="E79" s="437"/>
      <c r="F79" s="437"/>
      <c r="R79" s="940">
        <v>45440</v>
      </c>
      <c r="S79" s="935">
        <v>-11050000</v>
      </c>
      <c r="T79" s="936" t="s">
        <v>642</v>
      </c>
      <c r="U79" s="936"/>
      <c r="V79" s="936"/>
    </row>
    <row r="80" spans="1:22" x14ac:dyDescent="0.35">
      <c r="C80" s="138"/>
      <c r="D80" s="137"/>
      <c r="E80" s="437"/>
      <c r="F80" s="437"/>
      <c r="R80" s="940">
        <v>45440</v>
      </c>
      <c r="S80" s="935">
        <v>-450000</v>
      </c>
      <c r="T80" s="936" t="s">
        <v>222</v>
      </c>
      <c r="U80" s="936"/>
      <c r="V80" s="936"/>
    </row>
    <row r="81" spans="3:22" x14ac:dyDescent="0.35">
      <c r="C81" s="139"/>
      <c r="D81" s="140"/>
      <c r="E81" s="439"/>
      <c r="F81" s="439"/>
      <c r="R81" s="940">
        <v>45814</v>
      </c>
      <c r="S81" s="935">
        <v>-6053723.6699999999</v>
      </c>
      <c r="T81" s="936" t="s">
        <v>222</v>
      </c>
      <c r="U81" s="936"/>
      <c r="V81" s="936"/>
    </row>
    <row r="82" spans="3:22" x14ac:dyDescent="0.35">
      <c r="E82" s="435">
        <f>SUM(E77:E81)</f>
        <v>871160995.94679999</v>
      </c>
      <c r="F82" s="435">
        <f>SUM(F77:F81)</f>
        <v>287002189.07270002</v>
      </c>
      <c r="R82" s="935"/>
      <c r="S82" s="984">
        <f>SUM(S78:S81)</f>
        <v>-28053723.670000002</v>
      </c>
      <c r="T82" s="988"/>
      <c r="U82" s="936"/>
      <c r="V82" s="936"/>
    </row>
    <row r="83" spans="3:22" x14ac:dyDescent="0.35">
      <c r="C83" s="326"/>
      <c r="D83" s="326"/>
      <c r="E83" s="1259"/>
      <c r="F83" s="1259"/>
      <c r="G83" s="326"/>
      <c r="H83" s="326"/>
      <c r="I83" s="326"/>
      <c r="J83" s="326"/>
      <c r="R83" s="986" t="s">
        <v>614</v>
      </c>
      <c r="S83" s="941">
        <f>+S76+S82</f>
        <v>-1.1500716209411621E-3</v>
      </c>
      <c r="T83" s="987"/>
      <c r="U83" s="936"/>
      <c r="V83" s="936"/>
    </row>
    <row r="84" spans="3:22" x14ac:dyDescent="0.35">
      <c r="C84" s="326"/>
      <c r="D84" s="326"/>
      <c r="E84" s="326"/>
      <c r="F84" s="1260"/>
      <c r="G84" s="292"/>
      <c r="H84" s="326"/>
      <c r="I84" s="326"/>
      <c r="J84" s="326"/>
      <c r="R84" s="106"/>
    </row>
    <row r="85" spans="3:22" x14ac:dyDescent="0.35">
      <c r="F85" s="1262" t="s">
        <v>64</v>
      </c>
      <c r="G85" s="1262" t="s">
        <v>551</v>
      </c>
      <c r="H85" s="326"/>
      <c r="I85" s="1263">
        <v>45536</v>
      </c>
      <c r="J85" s="1264">
        <v>14366.9</v>
      </c>
      <c r="R85" s="106"/>
    </row>
    <row r="86" spans="3:22" x14ac:dyDescent="0.35">
      <c r="C86" s="1261" t="s">
        <v>659</v>
      </c>
      <c r="F86" s="1262">
        <v>0.7</v>
      </c>
      <c r="G86" s="1262">
        <v>0.3</v>
      </c>
      <c r="H86" s="326"/>
      <c r="I86" s="1266">
        <v>46113</v>
      </c>
      <c r="J86" s="1267">
        <v>20493.2</v>
      </c>
      <c r="R86" s="938" t="s">
        <v>643</v>
      </c>
      <c r="S86" s="936"/>
      <c r="T86" s="936"/>
      <c r="U86" s="936"/>
      <c r="V86" s="936"/>
    </row>
    <row r="87" spans="3:22" x14ac:dyDescent="0.35">
      <c r="C87" s="1265">
        <v>735657133.01950002</v>
      </c>
      <c r="D87" s="326" t="s">
        <v>941</v>
      </c>
      <c r="E87" s="292">
        <v>57164769</v>
      </c>
      <c r="F87" s="1268">
        <f>E87*F86</f>
        <v>40015338.299999997</v>
      </c>
      <c r="G87" s="1268">
        <f>E87*G86</f>
        <v>17149430.699999999</v>
      </c>
      <c r="H87" s="326"/>
      <c r="I87" s="326"/>
      <c r="J87" s="1269">
        <f>(J86/J85)-1</f>
        <v>0.42641766839053674</v>
      </c>
      <c r="L87" s="120">
        <f>+E87/E89</f>
        <v>0.7010569359592449</v>
      </c>
      <c r="R87" s="935"/>
      <c r="S87" s="936" t="s">
        <v>582</v>
      </c>
      <c r="T87" s="936" t="s">
        <v>51</v>
      </c>
      <c r="U87" s="936" t="s">
        <v>52</v>
      </c>
      <c r="V87" s="936"/>
    </row>
    <row r="88" spans="3:22" x14ac:dyDescent="0.35">
      <c r="D88" s="326" t="s">
        <v>942</v>
      </c>
      <c r="E88" s="1268">
        <f>E87*J87</f>
        <v>24376067.511063635</v>
      </c>
      <c r="F88" s="292">
        <f>E88*F86</f>
        <v>17063247.257744543</v>
      </c>
      <c r="G88" s="1268">
        <f>E88*G86</f>
        <v>7312820.2533190902</v>
      </c>
      <c r="H88" s="326"/>
      <c r="I88" s="326"/>
      <c r="J88" s="326"/>
      <c r="L88" s="120">
        <f>+E88/E89</f>
        <v>0.29894306404075505</v>
      </c>
      <c r="R88" s="985" t="s">
        <v>644</v>
      </c>
      <c r="S88" s="935">
        <v>10000000</v>
      </c>
      <c r="T88" s="935">
        <v>1050000</v>
      </c>
      <c r="U88" s="935">
        <f>+S88+T88</f>
        <v>11050000</v>
      </c>
      <c r="V88" s="936"/>
    </row>
    <row r="89" spans="3:22" x14ac:dyDescent="0.35">
      <c r="C89" s="326"/>
      <c r="D89" s="1271" t="s">
        <v>712</v>
      </c>
      <c r="E89" s="1272">
        <f>SUM(E87:E88)</f>
        <v>81540836.511063635</v>
      </c>
      <c r="F89" s="1272">
        <f>SUM(F87:F88)</f>
        <v>57078585.55774454</v>
      </c>
      <c r="G89" s="1272">
        <f>SUM(G87:G88)</f>
        <v>24462250.953319088</v>
      </c>
      <c r="H89" s="326"/>
      <c r="I89" s="1263">
        <v>45931</v>
      </c>
      <c r="J89" s="1264">
        <v>18172.8</v>
      </c>
      <c r="L89" s="110"/>
      <c r="R89" s="985" t="s">
        <v>645</v>
      </c>
      <c r="S89" s="937">
        <v>15000000</v>
      </c>
      <c r="T89" s="937">
        <v>1575000</v>
      </c>
      <c r="U89" s="935">
        <f>+S89+T89</f>
        <v>16575000</v>
      </c>
      <c r="V89" s="936"/>
    </row>
    <row r="90" spans="3:22" x14ac:dyDescent="0.35">
      <c r="C90" s="1261" t="s">
        <v>909</v>
      </c>
      <c r="D90" s="326" t="s">
        <v>943</v>
      </c>
      <c r="E90" s="1273">
        <v>1016817</v>
      </c>
      <c r="F90" s="292">
        <f>E90*F86</f>
        <v>711771.89999999991</v>
      </c>
      <c r="G90" s="1273">
        <f>+E90</f>
        <v>1016817</v>
      </c>
      <c r="H90" s="326"/>
      <c r="I90" s="326"/>
      <c r="J90" s="1269">
        <f>(J86/J89)-1</f>
        <v>0.12768533192463472</v>
      </c>
      <c r="R90" s="985"/>
      <c r="S90" s="937"/>
      <c r="T90" s="937"/>
      <c r="U90" s="935"/>
      <c r="V90" s="936"/>
    </row>
    <row r="91" spans="3:22" x14ac:dyDescent="0.35">
      <c r="C91" s="1265">
        <v>5256674</v>
      </c>
      <c r="D91" s="326" t="s">
        <v>944</v>
      </c>
      <c r="E91" s="1268">
        <f>E90*J90</f>
        <v>129832.61615161129</v>
      </c>
      <c r="F91" s="292">
        <f>E91*F86</f>
        <v>90882.831306127904</v>
      </c>
      <c r="G91" s="1268">
        <f>E91*G86</f>
        <v>38949.784845483387</v>
      </c>
      <c r="H91" s="326"/>
      <c r="I91" s="326"/>
      <c r="J91" s="326"/>
      <c r="R91" s="938" t="s">
        <v>643</v>
      </c>
      <c r="S91" s="939">
        <f>E207</f>
        <v>38302262.093666688</v>
      </c>
      <c r="T91" s="936"/>
      <c r="U91" s="936"/>
      <c r="V91" s="936"/>
    </row>
    <row r="92" spans="3:22" x14ac:dyDescent="0.35">
      <c r="C92" s="1265"/>
      <c r="D92" s="1271" t="s">
        <v>793</v>
      </c>
      <c r="E92" s="1272">
        <f>SUM(E90:E91)</f>
        <v>1146649.6161516113</v>
      </c>
      <c r="F92" s="1272">
        <f>SUM(F90:F91)</f>
        <v>802654.73130612785</v>
      </c>
      <c r="G92" s="1272">
        <f>SUM(G90:G91)</f>
        <v>1055766.7848454835</v>
      </c>
      <c r="H92" s="326"/>
      <c r="I92" s="326"/>
      <c r="J92" s="326"/>
      <c r="R92" s="935" t="s">
        <v>51</v>
      </c>
      <c r="S92" s="937">
        <f>+T88+T89</f>
        <v>2625000</v>
      </c>
      <c r="T92" s="936"/>
      <c r="U92" s="936"/>
      <c r="V92" s="936"/>
    </row>
    <row r="93" spans="3:22" x14ac:dyDescent="0.35">
      <c r="C93" s="326"/>
      <c r="D93" s="1274" t="s">
        <v>715</v>
      </c>
      <c r="E93" s="1275">
        <f>+E89+E92</f>
        <v>82687486.127215251</v>
      </c>
      <c r="F93" s="1275">
        <f>+F89+F92</f>
        <v>57881240.289050668</v>
      </c>
      <c r="G93" s="1275">
        <f>+G89+G92</f>
        <v>25518017.73816457</v>
      </c>
      <c r="H93" s="326"/>
      <c r="I93" s="326"/>
      <c r="J93" s="326"/>
      <c r="R93" s="935" t="s">
        <v>52</v>
      </c>
      <c r="S93" s="939">
        <f>+S91+S92</f>
        <v>40927262.093666688</v>
      </c>
      <c r="T93" s="936"/>
      <c r="U93" s="936"/>
      <c r="V93" s="936"/>
    </row>
    <row r="94" spans="3:22" x14ac:dyDescent="0.35">
      <c r="C94" s="326"/>
      <c r="D94" s="326"/>
      <c r="E94" s="326"/>
      <c r="F94" s="1260"/>
      <c r="G94" s="292"/>
      <c r="H94" s="326"/>
      <c r="I94" s="326"/>
      <c r="J94" s="326"/>
      <c r="R94" s="935"/>
      <c r="S94" s="936"/>
      <c r="T94" s="936"/>
      <c r="U94" s="936"/>
      <c r="V94" s="936"/>
    </row>
    <row r="95" spans="3:22" x14ac:dyDescent="0.35">
      <c r="C95" s="326"/>
      <c r="D95" s="326"/>
      <c r="E95" s="326"/>
      <c r="F95" s="1260"/>
      <c r="G95" s="292"/>
      <c r="H95" s="326"/>
      <c r="I95" s="326"/>
      <c r="J95" s="326"/>
      <c r="R95" s="940">
        <v>45842</v>
      </c>
      <c r="S95" s="935">
        <v>-11050000</v>
      </c>
      <c r="T95" s="936" t="s">
        <v>642</v>
      </c>
      <c r="U95" s="936"/>
      <c r="V95" s="936"/>
    </row>
    <row r="96" spans="3:22" x14ac:dyDescent="0.35">
      <c r="F96" s="1262" t="s">
        <v>64</v>
      </c>
      <c r="G96" s="1262" t="s">
        <v>551</v>
      </c>
      <c r="H96" s="326"/>
      <c r="I96" s="1263">
        <v>45536</v>
      </c>
      <c r="J96" s="1264">
        <v>14366.9</v>
      </c>
      <c r="R96" s="940">
        <v>45846</v>
      </c>
      <c r="S96" s="935">
        <v>-15000000</v>
      </c>
      <c r="T96" s="936" t="s">
        <v>642</v>
      </c>
      <c r="U96" s="936"/>
      <c r="V96" s="936"/>
    </row>
    <row r="97" spans="3:24" x14ac:dyDescent="0.35">
      <c r="C97" s="1261" t="s">
        <v>659</v>
      </c>
      <c r="F97" s="1262">
        <v>0.7</v>
      </c>
      <c r="G97" s="1262">
        <v>0.3</v>
      </c>
      <c r="H97" s="326"/>
      <c r="I97" s="1266">
        <v>46082</v>
      </c>
      <c r="J97" s="1267">
        <v>19771.2</v>
      </c>
      <c r="R97" s="940"/>
      <c r="S97" s="935">
        <f>-198656-250000-300000-375000</f>
        <v>-1123656</v>
      </c>
      <c r="T97" s="936" t="s">
        <v>222</v>
      </c>
      <c r="U97" s="936"/>
      <c r="V97" s="936"/>
    </row>
    <row r="98" spans="3:24" x14ac:dyDescent="0.35">
      <c r="C98" s="1265">
        <v>735657133.01950002</v>
      </c>
      <c r="D98" s="326" t="s">
        <v>907</v>
      </c>
      <c r="E98" s="292">
        <v>41422349</v>
      </c>
      <c r="F98" s="1268">
        <f>E98*F97</f>
        <v>28995644.299999997</v>
      </c>
      <c r="G98" s="1268">
        <f>E98*G97</f>
        <v>12426704.699999999</v>
      </c>
      <c r="H98" s="326"/>
      <c r="I98" s="326"/>
      <c r="J98" s="1269">
        <f>(J97/J96)-1</f>
        <v>0.37616326416972345</v>
      </c>
      <c r="L98" s="120">
        <f>+E98/E100</f>
        <v>0.72665796714412878</v>
      </c>
      <c r="R98" s="940">
        <v>45853</v>
      </c>
      <c r="S98" s="935">
        <v>-11000000</v>
      </c>
      <c r="T98" s="936" t="s">
        <v>647</v>
      </c>
      <c r="U98" s="936"/>
      <c r="V98" s="936"/>
    </row>
    <row r="99" spans="3:24" x14ac:dyDescent="0.35">
      <c r="D99" s="326" t="s">
        <v>908</v>
      </c>
      <c r="E99" s="1268">
        <f>E98*J98</f>
        <v>15581566.00941748</v>
      </c>
      <c r="F99" s="292">
        <f>E99*F97</f>
        <v>10907096.206592236</v>
      </c>
      <c r="G99" s="1268">
        <f>E99*G97</f>
        <v>4674469.8028252441</v>
      </c>
      <c r="H99" s="326"/>
      <c r="I99" s="326"/>
      <c r="J99" s="326"/>
      <c r="L99" s="120">
        <f>+E99/E100</f>
        <v>0.27334203285587116</v>
      </c>
      <c r="R99" s="940">
        <v>45855</v>
      </c>
      <c r="S99" s="935">
        <v>-900000</v>
      </c>
      <c r="T99" s="936"/>
      <c r="U99" s="936"/>
      <c r="V99" s="936"/>
    </row>
    <row r="100" spans="3:24" x14ac:dyDescent="0.35">
      <c r="C100" s="326"/>
      <c r="D100" s="1271" t="s">
        <v>689</v>
      </c>
      <c r="E100" s="1272">
        <f>SUM(E98:E99)</f>
        <v>57003915.009417482</v>
      </c>
      <c r="F100" s="1272">
        <f>SUM(F98:F99)</f>
        <v>39902740.506592229</v>
      </c>
      <c r="G100" s="1272">
        <f>SUM(G98:G99)</f>
        <v>17101174.502825245</v>
      </c>
      <c r="H100" s="326"/>
      <c r="I100" s="1263">
        <v>45931</v>
      </c>
      <c r="J100" s="1264">
        <v>18172.8</v>
      </c>
      <c r="L100" s="110"/>
      <c r="R100" s="940">
        <v>45860</v>
      </c>
      <c r="S100" s="1030">
        <v>-1852262</v>
      </c>
      <c r="T100" s="936" t="s">
        <v>647</v>
      </c>
      <c r="U100" s="936"/>
      <c r="V100" s="936"/>
    </row>
    <row r="101" spans="3:24" x14ac:dyDescent="0.35">
      <c r="C101" s="1261" t="s">
        <v>909</v>
      </c>
      <c r="D101" s="326" t="s">
        <v>910</v>
      </c>
      <c r="E101" s="1273">
        <v>1717028</v>
      </c>
      <c r="F101" s="292">
        <f>E101*F97</f>
        <v>1201919.5999999999</v>
      </c>
      <c r="G101" s="1273">
        <f>+E101</f>
        <v>1717028</v>
      </c>
      <c r="H101" s="326"/>
      <c r="I101" s="326"/>
      <c r="J101" s="1269">
        <f>(J97/J100)-1</f>
        <v>8.7955625990491448E-2</v>
      </c>
      <c r="R101" s="935"/>
      <c r="S101" s="984">
        <f>SUM(S95:S100)</f>
        <v>-40925918</v>
      </c>
      <c r="T101" s="988"/>
      <c r="U101" s="936"/>
      <c r="V101" s="936"/>
    </row>
    <row r="102" spans="3:24" x14ac:dyDescent="0.35">
      <c r="C102" s="1265">
        <v>5256674</v>
      </c>
      <c r="D102" s="326" t="s">
        <v>911</v>
      </c>
      <c r="E102" s="1268">
        <f>E101*J101</f>
        <v>151022.27258320156</v>
      </c>
      <c r="F102" s="292">
        <f>E102*F97</f>
        <v>105715.59080824109</v>
      </c>
      <c r="G102" s="1268">
        <f>E102*G97</f>
        <v>45306.681774960467</v>
      </c>
      <c r="H102" s="326"/>
      <c r="I102" s="326"/>
      <c r="J102" s="326"/>
      <c r="R102" s="986" t="s">
        <v>614</v>
      </c>
      <c r="S102" s="941">
        <f>+S93+S101</f>
        <v>1344.0936666876078</v>
      </c>
      <c r="T102" s="987"/>
      <c r="U102" s="936"/>
      <c r="V102" s="936"/>
    </row>
    <row r="103" spans="3:24" x14ac:dyDescent="0.35">
      <c r="C103" s="1265"/>
      <c r="D103" s="1271" t="s">
        <v>588</v>
      </c>
      <c r="E103" s="1272">
        <f>SUM(E101:E102)</f>
        <v>1868050.2725832015</v>
      </c>
      <c r="F103" s="1272">
        <f>SUM(F101:F102)</f>
        <v>1307635.190808241</v>
      </c>
      <c r="G103" s="1272">
        <f>SUM(G101:G102)</f>
        <v>1762334.6817749604</v>
      </c>
      <c r="H103" s="326"/>
      <c r="I103" s="326"/>
      <c r="J103" s="326"/>
      <c r="R103" s="106"/>
    </row>
    <row r="104" spans="3:24" x14ac:dyDescent="0.35">
      <c r="C104" s="326"/>
      <c r="D104" s="1274" t="s">
        <v>715</v>
      </c>
      <c r="E104" s="1275">
        <f>+E100+E103</f>
        <v>58871965.282000683</v>
      </c>
      <c r="F104" s="1275">
        <f>+F100+F103</f>
        <v>41210375.697400473</v>
      </c>
      <c r="G104" s="1275">
        <f>+G100+G103</f>
        <v>18863509.184600204</v>
      </c>
      <c r="H104" s="326"/>
      <c r="I104" s="326"/>
      <c r="J104" s="326"/>
      <c r="R104" s="106"/>
      <c r="X104" s="120"/>
    </row>
    <row r="105" spans="3:24" x14ac:dyDescent="0.35">
      <c r="C105" s="326"/>
      <c r="D105" s="326"/>
      <c r="E105" s="326"/>
      <c r="F105" s="1260"/>
      <c r="G105" s="292"/>
      <c r="H105" s="326"/>
      <c r="I105" s="326"/>
      <c r="J105" s="326"/>
      <c r="R105" s="938" t="s">
        <v>651</v>
      </c>
      <c r="S105" s="936"/>
      <c r="T105" s="936"/>
      <c r="U105" s="936"/>
      <c r="V105" s="936"/>
    </row>
    <row r="106" spans="3:24" x14ac:dyDescent="0.35">
      <c r="H106" s="326"/>
      <c r="I106" s="326"/>
      <c r="J106" s="326"/>
      <c r="R106" s="935"/>
      <c r="S106" s="936" t="s">
        <v>582</v>
      </c>
      <c r="T106" s="936" t="s">
        <v>51</v>
      </c>
      <c r="U106" s="936" t="s">
        <v>52</v>
      </c>
      <c r="V106" s="936"/>
    </row>
    <row r="107" spans="3:24" x14ac:dyDescent="0.35">
      <c r="F107" s="1262" t="s">
        <v>64</v>
      </c>
      <c r="G107" s="1262" t="s">
        <v>551</v>
      </c>
      <c r="H107" s="326"/>
      <c r="I107" s="1263">
        <v>45536</v>
      </c>
      <c r="J107" s="1264">
        <v>14366.9</v>
      </c>
      <c r="R107" s="985" t="s">
        <v>652</v>
      </c>
      <c r="S107" s="935">
        <v>15000000</v>
      </c>
      <c r="T107" s="935">
        <f>+S107*0.105</f>
        <v>1575000</v>
      </c>
      <c r="U107" s="935">
        <f>+S107+T107</f>
        <v>16575000</v>
      </c>
      <c r="V107" s="936"/>
    </row>
    <row r="108" spans="3:24" x14ac:dyDescent="0.35">
      <c r="C108" s="1261" t="s">
        <v>659</v>
      </c>
      <c r="F108" s="1262">
        <v>0.7</v>
      </c>
      <c r="G108" s="1262">
        <v>0.3</v>
      </c>
      <c r="H108" s="326"/>
      <c r="I108" s="1266">
        <v>46054</v>
      </c>
      <c r="J108" s="1267">
        <v>19453</v>
      </c>
      <c r="K108" s="1258"/>
      <c r="R108" s="985"/>
      <c r="S108" s="937"/>
      <c r="T108" s="937"/>
      <c r="U108" s="935">
        <f>+S108+T108</f>
        <v>0</v>
      </c>
      <c r="V108" s="936"/>
    </row>
    <row r="109" spans="3:24" x14ac:dyDescent="0.35">
      <c r="C109" s="1265">
        <v>735657133.01950002</v>
      </c>
      <c r="D109" s="326" t="s">
        <v>880</v>
      </c>
      <c r="E109" s="292">
        <v>27219231</v>
      </c>
      <c r="F109" s="1268">
        <f>E109*F108</f>
        <v>19053461.699999999</v>
      </c>
      <c r="G109" s="1268">
        <f>E109*G108</f>
        <v>8165769.2999999998</v>
      </c>
      <c r="H109" s="326"/>
      <c r="I109" s="326"/>
      <c r="J109" s="1269">
        <f>(J108/J107)-1</f>
        <v>0.3540151320048166</v>
      </c>
      <c r="K109" s="1258"/>
      <c r="R109" s="985"/>
      <c r="S109" s="937"/>
      <c r="T109" s="937"/>
      <c r="U109" s="935"/>
      <c r="V109" s="936"/>
    </row>
    <row r="110" spans="3:24" x14ac:dyDescent="0.35">
      <c r="D110" s="326" t="s">
        <v>881</v>
      </c>
      <c r="E110" s="1268">
        <f>E109*J109</f>
        <v>9636019.6555345971</v>
      </c>
      <c r="F110" s="292">
        <f>E110*F108</f>
        <v>6745213.758874218</v>
      </c>
      <c r="G110" s="1268">
        <f>E110*G108</f>
        <v>2890805.8966603791</v>
      </c>
      <c r="H110" s="326"/>
      <c r="I110" s="326"/>
      <c r="J110" s="326"/>
      <c r="K110" s="1258"/>
      <c r="L110" s="120">
        <f>+E120/E122</f>
        <v>0.74790987660126973</v>
      </c>
      <c r="R110" s="938" t="s">
        <v>643</v>
      </c>
      <c r="S110" s="939">
        <f>E200</f>
        <v>37727087.761409909</v>
      </c>
      <c r="T110" s="936"/>
      <c r="U110" s="936"/>
      <c r="V110" s="936"/>
    </row>
    <row r="111" spans="3:24" x14ac:dyDescent="0.35">
      <c r="C111" s="326"/>
      <c r="D111" s="1271" t="s">
        <v>657</v>
      </c>
      <c r="E111" s="1272">
        <f>SUM(E109:E110)</f>
        <v>36855250.655534595</v>
      </c>
      <c r="F111" s="1272">
        <f>SUM(F109:F110)</f>
        <v>25798675.458874218</v>
      </c>
      <c r="G111" s="1272">
        <f>SUM(G109:G110)</f>
        <v>11056575.196660379</v>
      </c>
      <c r="H111" s="326"/>
      <c r="I111" s="1263">
        <v>45931</v>
      </c>
      <c r="J111" s="1264">
        <v>18172.8</v>
      </c>
      <c r="K111" s="1258"/>
      <c r="L111" s="120">
        <f>+E121/E122</f>
        <v>0.25209012339873027</v>
      </c>
      <c r="R111" s="935" t="s">
        <v>51</v>
      </c>
      <c r="S111" s="937">
        <f>+T107+T108</f>
        <v>1575000</v>
      </c>
      <c r="T111" s="936"/>
      <c r="U111" s="936"/>
      <c r="V111" s="936"/>
    </row>
    <row r="112" spans="3:24" x14ac:dyDescent="0.35">
      <c r="C112" s="1261" t="s">
        <v>814</v>
      </c>
      <c r="D112" s="326" t="s">
        <v>903</v>
      </c>
      <c r="E112" s="1273">
        <v>5256674</v>
      </c>
      <c r="F112" s="1273">
        <v>0</v>
      </c>
      <c r="G112" s="1273">
        <f>+E112</f>
        <v>5256674</v>
      </c>
      <c r="H112" s="326"/>
      <c r="I112" s="326"/>
      <c r="J112" s="1269">
        <f>(J108/J111)-1</f>
        <v>7.0445941186828787E-2</v>
      </c>
      <c r="K112" s="1258"/>
      <c r="M112" s="120"/>
      <c r="R112" s="935" t="s">
        <v>52</v>
      </c>
      <c r="S112" s="939">
        <f>+S110+S111</f>
        <v>39302087.761409909</v>
      </c>
      <c r="T112" s="936"/>
      <c r="U112" s="936"/>
      <c r="V112" s="936"/>
    </row>
    <row r="113" spans="2:24" x14ac:dyDescent="0.35">
      <c r="C113" s="1265">
        <v>5256674</v>
      </c>
      <c r="D113" s="326" t="s">
        <v>882</v>
      </c>
      <c r="E113" s="1268">
        <v>0</v>
      </c>
      <c r="F113" s="292">
        <f>E113*F108</f>
        <v>0</v>
      </c>
      <c r="G113" s="292">
        <f>E113*G108</f>
        <v>0</v>
      </c>
      <c r="H113" s="326"/>
      <c r="I113" s="326"/>
      <c r="J113" s="326"/>
      <c r="K113" s="1258"/>
      <c r="L113" s="120">
        <f>+E123/E125</f>
        <v>0.74790987745582882</v>
      </c>
      <c r="R113" s="935"/>
      <c r="S113" s="936"/>
      <c r="T113" s="936"/>
      <c r="U113" s="936"/>
      <c r="V113" s="936"/>
    </row>
    <row r="114" spans="2:24" x14ac:dyDescent="0.35">
      <c r="C114" s="1265"/>
      <c r="D114" s="1271" t="s">
        <v>588</v>
      </c>
      <c r="E114" s="1272">
        <f>SUM(E112:E113)</f>
        <v>5256674</v>
      </c>
      <c r="F114" s="1272">
        <f>SUM(F112:F113)</f>
        <v>0</v>
      </c>
      <c r="G114" s="1272">
        <f>SUM(G112:G113)</f>
        <v>5256674</v>
      </c>
      <c r="H114" s="326"/>
      <c r="I114" s="326"/>
      <c r="J114" s="326"/>
      <c r="K114" s="1258"/>
      <c r="L114" s="120">
        <f>+E124/E125</f>
        <v>0.25209012254417118</v>
      </c>
      <c r="M114" s="120"/>
      <c r="R114" s="940">
        <v>45860</v>
      </c>
      <c r="S114" s="935">
        <v>-13200000</v>
      </c>
      <c r="T114" s="936" t="s">
        <v>647</v>
      </c>
      <c r="U114" s="936"/>
      <c r="V114" s="936"/>
    </row>
    <row r="115" spans="2:24" x14ac:dyDescent="0.35">
      <c r="B115" s="106" t="s">
        <v>878</v>
      </c>
      <c r="C115" s="326"/>
      <c r="D115" s="1274" t="s">
        <v>715</v>
      </c>
      <c r="E115" s="1275">
        <f>E84+E111+E114</f>
        <v>42111924.655534595</v>
      </c>
      <c r="F115" s="1275">
        <f>F84+F111+F114</f>
        <v>25798675.458874218</v>
      </c>
      <c r="G115" s="1275">
        <f>G84+G111+G114</f>
        <v>16313249.196660379</v>
      </c>
      <c r="H115" s="326"/>
      <c r="I115" s="326"/>
      <c r="J115" s="326"/>
      <c r="K115" s="1258"/>
      <c r="R115" s="940">
        <v>45877</v>
      </c>
      <c r="S115" s="935">
        <v>-15900000</v>
      </c>
      <c r="T115" s="936" t="s">
        <v>642</v>
      </c>
      <c r="U115" s="936"/>
      <c r="V115" s="936"/>
    </row>
    <row r="116" spans="2:24" x14ac:dyDescent="0.35">
      <c r="C116" s="326"/>
      <c r="D116" s="326"/>
      <c r="E116" s="326"/>
      <c r="F116" s="1260"/>
      <c r="G116" s="292"/>
      <c r="H116" s="326"/>
      <c r="I116" s="326"/>
      <c r="J116" s="326"/>
      <c r="K116" s="1258"/>
      <c r="L116" s="120">
        <f>+E126/E128</f>
        <v>0.94603683613231004</v>
      </c>
      <c r="R116" s="940"/>
      <c r="S116" s="935">
        <f>-298656.6-375000</f>
        <v>-673656.6</v>
      </c>
      <c r="T116" s="936" t="s">
        <v>222</v>
      </c>
      <c r="U116" s="936"/>
      <c r="V116" s="936"/>
    </row>
    <row r="117" spans="2:24" x14ac:dyDescent="0.35">
      <c r="C117" s="326"/>
      <c r="D117" s="326"/>
      <c r="E117" s="326"/>
      <c r="F117" s="1260"/>
      <c r="G117" s="292"/>
      <c r="H117" s="326"/>
      <c r="I117" s="326"/>
      <c r="J117" s="326"/>
      <c r="L117" s="120">
        <f>+E127/E128</f>
        <v>5.3963163867689963E-2</v>
      </c>
      <c r="N117" s="120"/>
      <c r="R117" s="940">
        <v>45882</v>
      </c>
      <c r="S117" s="935">
        <v>-10000000</v>
      </c>
      <c r="T117" s="936" t="s">
        <v>647</v>
      </c>
      <c r="U117" s="936"/>
      <c r="V117" s="936"/>
    </row>
    <row r="118" spans="2:24" x14ac:dyDescent="0.35">
      <c r="C118" s="1261" t="s">
        <v>552</v>
      </c>
      <c r="D118" s="326"/>
      <c r="E118" s="326"/>
      <c r="F118" s="1262" t="s">
        <v>64</v>
      </c>
      <c r="G118" s="1262" t="s">
        <v>551</v>
      </c>
      <c r="H118" s="326"/>
      <c r="I118" s="1263">
        <v>45536</v>
      </c>
      <c r="J118" s="1264">
        <v>14366.9</v>
      </c>
      <c r="N118" s="120"/>
      <c r="R118" s="940"/>
      <c r="S118" s="1030"/>
      <c r="T118" s="936"/>
      <c r="U118" s="936"/>
      <c r="V118" s="936"/>
    </row>
    <row r="119" spans="2:24" x14ac:dyDescent="0.35">
      <c r="C119" s="1265">
        <v>421306052</v>
      </c>
      <c r="D119" s="326"/>
      <c r="E119" s="326"/>
      <c r="F119" s="1262">
        <v>0.7</v>
      </c>
      <c r="G119" s="1262">
        <v>0.3</v>
      </c>
      <c r="H119" s="326"/>
      <c r="I119" s="1266">
        <v>46023</v>
      </c>
      <c r="J119" s="1267">
        <v>19209.400000000001</v>
      </c>
      <c r="L119" s="326"/>
      <c r="N119" s="110"/>
      <c r="R119" s="935"/>
      <c r="S119" s="984">
        <f>SUM(S114:S118)</f>
        <v>-39773656.600000001</v>
      </c>
      <c r="T119" s="988"/>
      <c r="U119" s="936"/>
      <c r="V119" s="936"/>
    </row>
    <row r="120" spans="2:24" x14ac:dyDescent="0.35">
      <c r="C120" s="326"/>
      <c r="D120" s="326" t="s">
        <v>853</v>
      </c>
      <c r="E120" s="292">
        <v>6545705</v>
      </c>
      <c r="F120" s="1268">
        <f>E120*F119</f>
        <v>4581993.5</v>
      </c>
      <c r="G120" s="1268">
        <f>E120*G119</f>
        <v>1963711.5</v>
      </c>
      <c r="H120" s="1268"/>
      <c r="I120" s="326"/>
      <c r="J120" s="1269">
        <f>(J119/J118)-1</f>
        <v>0.3370594909131408</v>
      </c>
      <c r="M120" s="106">
        <v>20000000</v>
      </c>
      <c r="R120" s="986" t="s">
        <v>614</v>
      </c>
      <c r="S120" s="941">
        <f>+S112+S119</f>
        <v>-471568.83859009296</v>
      </c>
      <c r="T120" s="987"/>
      <c r="U120" s="936"/>
      <c r="V120" s="936"/>
    </row>
    <row r="121" spans="2:24" x14ac:dyDescent="0.35">
      <c r="C121" s="326"/>
      <c r="D121" s="326" t="s">
        <v>854</v>
      </c>
      <c r="E121" s="1268">
        <f>E120*J120+0.01</f>
        <v>2206292.0049676001</v>
      </c>
      <c r="F121" s="292">
        <f>E121*F119</f>
        <v>1544404.40347732</v>
      </c>
      <c r="G121" s="1268">
        <f>E121*G119</f>
        <v>661887.60149028001</v>
      </c>
      <c r="H121" s="1270"/>
      <c r="I121" s="326"/>
      <c r="J121" s="326"/>
      <c r="M121" s="1034">
        <f>+E192-M120</f>
        <v>37426022.753029533</v>
      </c>
      <c r="R121" s="106"/>
      <c r="X121" s="120"/>
    </row>
    <row r="122" spans="2:24" x14ac:dyDescent="0.35">
      <c r="C122" s="326"/>
      <c r="D122" s="1271" t="s">
        <v>856</v>
      </c>
      <c r="E122" s="1272">
        <f>SUM(E120:E121)</f>
        <v>8751997.0049676001</v>
      </c>
      <c r="F122" s="1272">
        <f>SUM(F120:F121)</f>
        <v>6126397.9034773204</v>
      </c>
      <c r="G122" s="1272">
        <f>SUM(G120:G121)</f>
        <v>2625599.1014902801</v>
      </c>
      <c r="H122" s="1268"/>
      <c r="I122" s="1263">
        <v>45931</v>
      </c>
      <c r="J122" s="1264">
        <v>18172.8</v>
      </c>
      <c r="K122" s="1258"/>
      <c r="R122" s="106"/>
    </row>
    <row r="123" spans="2:24" x14ac:dyDescent="0.35">
      <c r="C123" s="1261" t="s">
        <v>659</v>
      </c>
      <c r="D123" s="326" t="s">
        <v>855</v>
      </c>
      <c r="E123" s="292">
        <v>15716390</v>
      </c>
      <c r="F123" s="1268">
        <f>E123*F119</f>
        <v>11001473</v>
      </c>
      <c r="G123" s="1268">
        <f>E123*G119</f>
        <v>4714917</v>
      </c>
      <c r="H123" s="326"/>
      <c r="I123" s="326"/>
      <c r="J123" s="1269">
        <f>(J119/J122)-1</f>
        <v>5.7041292481070816E-2</v>
      </c>
      <c r="K123" s="1258"/>
      <c r="R123" s="938" t="s">
        <v>681</v>
      </c>
      <c r="S123" s="936"/>
      <c r="T123" s="936"/>
      <c r="U123" s="936"/>
      <c r="V123" s="936"/>
    </row>
    <row r="124" spans="2:24" x14ac:dyDescent="0.35">
      <c r="C124" s="1265">
        <v>735657133.01950002</v>
      </c>
      <c r="D124" s="326" t="s">
        <v>857</v>
      </c>
      <c r="E124" s="1268">
        <f>E123*J120</f>
        <v>5297358.4123923769</v>
      </c>
      <c r="F124" s="292">
        <f>E124*F119</f>
        <v>3708150.8886746634</v>
      </c>
      <c r="G124" s="1268">
        <f>E124*G119</f>
        <v>1589207.5237177131</v>
      </c>
      <c r="H124" s="1268"/>
      <c r="I124" s="326"/>
      <c r="J124" s="326"/>
      <c r="K124" s="1258"/>
      <c r="L124" s="120">
        <f>+E134/E136</f>
        <v>0.76515324983739996</v>
      </c>
      <c r="R124" s="935"/>
      <c r="S124" s="936" t="s">
        <v>582</v>
      </c>
      <c r="T124" s="936" t="s">
        <v>51</v>
      </c>
      <c r="U124" s="936" t="s">
        <v>52</v>
      </c>
      <c r="V124" s="936"/>
    </row>
    <row r="125" spans="2:24" x14ac:dyDescent="0.35">
      <c r="C125" s="326"/>
      <c r="D125" s="1271" t="s">
        <v>650</v>
      </c>
      <c r="E125" s="1272">
        <f>SUM(E123:E124)</f>
        <v>21013748.412392378</v>
      </c>
      <c r="F125" s="1272">
        <f>SUM(F123:F124)</f>
        <v>14709623.888674663</v>
      </c>
      <c r="G125" s="1272">
        <f>SUM(G123:G124)</f>
        <v>6304124.5237177126</v>
      </c>
      <c r="H125" s="1268"/>
      <c r="I125" s="326"/>
      <c r="J125" s="326"/>
      <c r="K125" s="1258"/>
      <c r="L125" s="120">
        <f>+E135/E136</f>
        <v>0.23484675016260004</v>
      </c>
      <c r="R125" s="985" t="s">
        <v>652</v>
      </c>
      <c r="S125" s="935">
        <v>20000000</v>
      </c>
      <c r="T125" s="935">
        <f>+S125*0.105</f>
        <v>2100000</v>
      </c>
      <c r="U125" s="935">
        <f>+S125+T125</f>
        <v>22100000</v>
      </c>
      <c r="V125" s="936"/>
    </row>
    <row r="126" spans="2:24" x14ac:dyDescent="0.35">
      <c r="C126" s="1261" t="s">
        <v>814</v>
      </c>
      <c r="D126" s="326" t="s">
        <v>813</v>
      </c>
      <c r="E126" s="1273">
        <v>5691045</v>
      </c>
      <c r="F126" s="1273">
        <f>+E126*F119</f>
        <v>3983731.4999999995</v>
      </c>
      <c r="G126" s="1273">
        <f>+E126*G119</f>
        <v>1707313.5</v>
      </c>
      <c r="H126" s="326"/>
      <c r="I126" s="326"/>
      <c r="J126" s="326"/>
      <c r="K126" s="1258"/>
      <c r="R126" s="985"/>
      <c r="S126" s="937"/>
      <c r="T126" s="937"/>
      <c r="U126" s="935">
        <f>+S126+T126</f>
        <v>0</v>
      </c>
      <c r="V126" s="936"/>
    </row>
    <row r="127" spans="2:24" x14ac:dyDescent="0.35">
      <c r="C127" s="1265">
        <v>15315354.683943786</v>
      </c>
      <c r="D127" s="326" t="s">
        <v>858</v>
      </c>
      <c r="E127" s="1268">
        <f>E126*J123</f>
        <v>324624.56236793566</v>
      </c>
      <c r="F127" s="292">
        <f>E127*F119</f>
        <v>227237.19365755495</v>
      </c>
      <c r="G127" s="292">
        <f>E127*G119</f>
        <v>97387.368710380702</v>
      </c>
      <c r="H127" s="326"/>
      <c r="I127" s="326"/>
      <c r="J127" s="326"/>
      <c r="K127" s="1258"/>
      <c r="L127" s="120">
        <f>+E137/E139</f>
        <v>0.76515325007322987</v>
      </c>
      <c r="R127" s="985"/>
      <c r="S127" s="937"/>
      <c r="T127" s="937"/>
      <c r="U127" s="935"/>
      <c r="V127" s="936"/>
    </row>
    <row r="128" spans="2:24" x14ac:dyDescent="0.35">
      <c r="C128" s="1265"/>
      <c r="D128" s="1271" t="s">
        <v>586</v>
      </c>
      <c r="E128" s="1272">
        <f>SUM(E126:E127)</f>
        <v>6015669.5623679357</v>
      </c>
      <c r="F128" s="1272">
        <f>SUM(F126:F127)</f>
        <v>4210968.6936575547</v>
      </c>
      <c r="G128" s="1272">
        <f>SUM(G126:G127)</f>
        <v>1804700.8687103807</v>
      </c>
      <c r="H128" s="1268"/>
      <c r="J128" s="326"/>
      <c r="K128" s="1258"/>
      <c r="L128" s="120">
        <f>+E138/E139</f>
        <v>0.23484674992677021</v>
      </c>
      <c r="R128" s="938" t="s">
        <v>681</v>
      </c>
      <c r="S128" s="939">
        <f>E192</f>
        <v>57426022.753029533</v>
      </c>
      <c r="T128" s="936"/>
      <c r="U128" s="936"/>
      <c r="V128" s="936"/>
    </row>
    <row r="129" spans="2:27" x14ac:dyDescent="0.35">
      <c r="B129" s="106" t="s">
        <v>878</v>
      </c>
      <c r="C129" s="326"/>
      <c r="D129" s="1274" t="s">
        <v>715</v>
      </c>
      <c r="E129" s="1275">
        <f>E122+E125+E128</f>
        <v>35781414.979727916</v>
      </c>
      <c r="F129" s="1275">
        <f>F122+F125+F128</f>
        <v>25046990.485809539</v>
      </c>
      <c r="G129" s="1275">
        <f>G122+G125+G128</f>
        <v>10734424.493918372</v>
      </c>
      <c r="H129" s="120"/>
      <c r="I129" s="326"/>
      <c r="J129" s="326"/>
      <c r="K129" s="1258"/>
      <c r="R129" s="935" t="s">
        <v>51</v>
      </c>
      <c r="S129" s="937">
        <f>+T125+T126</f>
        <v>2100000</v>
      </c>
      <c r="T129" s="936"/>
      <c r="U129" s="936"/>
      <c r="V129" s="936"/>
    </row>
    <row r="130" spans="2:27" x14ac:dyDescent="0.35">
      <c r="C130" s="326"/>
      <c r="D130" s="326"/>
      <c r="E130" s="326"/>
      <c r="F130" s="1260"/>
      <c r="G130" s="292"/>
      <c r="H130" s="326"/>
      <c r="I130" s="326"/>
      <c r="J130" s="326"/>
      <c r="K130" s="1258"/>
      <c r="L130" s="120">
        <f>+E140/E142</f>
        <v>0.96784810800734966</v>
      </c>
      <c r="M130" s="120"/>
      <c r="R130" s="935" t="s">
        <v>52</v>
      </c>
      <c r="S130" s="939">
        <f>+S128+S129</f>
        <v>59526022.753029533</v>
      </c>
      <c r="T130" s="936"/>
      <c r="U130" s="936"/>
      <c r="V130" s="936"/>
    </row>
    <row r="131" spans="2:27" x14ac:dyDescent="0.35">
      <c r="C131" s="326"/>
      <c r="D131" s="326"/>
      <c r="E131" s="326"/>
      <c r="F131" s="1260"/>
      <c r="G131" s="292"/>
      <c r="H131" s="326"/>
      <c r="I131" s="326"/>
      <c r="J131" s="326"/>
      <c r="L131" s="120">
        <f>+E141/E142</f>
        <v>3.215189199265038E-2</v>
      </c>
      <c r="M131" s="120"/>
      <c r="R131" s="935"/>
      <c r="S131" s="936"/>
      <c r="T131" s="936"/>
      <c r="U131" s="936"/>
      <c r="V131" s="936"/>
      <c r="X131" s="110"/>
    </row>
    <row r="132" spans="2:27" x14ac:dyDescent="0.35">
      <c r="C132" s="1261" t="s">
        <v>552</v>
      </c>
      <c r="D132" s="326"/>
      <c r="E132" s="326"/>
      <c r="F132" s="1262" t="s">
        <v>64</v>
      </c>
      <c r="G132" s="1262" t="s">
        <v>551</v>
      </c>
      <c r="H132" s="326"/>
      <c r="I132" s="1263">
        <v>45536</v>
      </c>
      <c r="J132" s="1264">
        <v>14366.9</v>
      </c>
      <c r="R132" s="940">
        <v>45882</v>
      </c>
      <c r="S132" s="935">
        <f>S120</f>
        <v>-471568.83859009296</v>
      </c>
      <c r="T132" s="936" t="s">
        <v>682</v>
      </c>
      <c r="U132" s="936"/>
      <c r="V132" s="936"/>
      <c r="X132" s="110"/>
    </row>
    <row r="133" spans="2:27" x14ac:dyDescent="0.35">
      <c r="C133" s="1265">
        <v>421306052</v>
      </c>
      <c r="D133" s="326"/>
      <c r="E133" s="326"/>
      <c r="F133" s="1262">
        <v>0.7</v>
      </c>
      <c r="G133" s="1262">
        <v>0.3</v>
      </c>
      <c r="H133" s="326"/>
      <c r="I133" s="1266">
        <v>45992</v>
      </c>
      <c r="J133" s="1267">
        <v>18776.5</v>
      </c>
      <c r="L133" s="326"/>
      <c r="R133" s="940">
        <v>45903</v>
      </c>
      <c r="S133" s="935">
        <f>-4000000-1000000-3050000</f>
        <v>-8050000</v>
      </c>
      <c r="T133" s="936" t="s">
        <v>642</v>
      </c>
      <c r="U133" s="936"/>
      <c r="V133" s="936"/>
      <c r="X133" s="110"/>
    </row>
    <row r="134" spans="2:27" x14ac:dyDescent="0.35">
      <c r="C134" s="326"/>
      <c r="D134" s="326" t="s">
        <v>810</v>
      </c>
      <c r="E134" s="292">
        <v>24825507</v>
      </c>
      <c r="F134" s="1268">
        <f>E134*F133</f>
        <v>17377854.899999999</v>
      </c>
      <c r="G134" s="1268">
        <f>E134*G133</f>
        <v>7447652.0999999996</v>
      </c>
      <c r="H134" s="1268"/>
      <c r="I134" s="326"/>
      <c r="J134" s="1269">
        <f>(J133/J132)-1</f>
        <v>0.30692772971204652</v>
      </c>
      <c r="L134" s="326"/>
      <c r="R134" s="940"/>
      <c r="S134" s="935">
        <f>-398656.6-500000</f>
        <v>-898656.6</v>
      </c>
      <c r="T134" s="936" t="s">
        <v>222</v>
      </c>
      <c r="U134" s="936"/>
      <c r="V134" s="936"/>
    </row>
    <row r="135" spans="2:27" x14ac:dyDescent="0.35">
      <c r="C135" s="326"/>
      <c r="D135" s="326" t="s">
        <v>815</v>
      </c>
      <c r="E135" s="1268">
        <f>E134*J134+0.01</f>
        <v>7619636.5124605186</v>
      </c>
      <c r="F135" s="292">
        <f>E135*F133</f>
        <v>5333745.5587223629</v>
      </c>
      <c r="G135" s="1268">
        <f>E135*G133</f>
        <v>2285890.9537381553</v>
      </c>
      <c r="H135" s="1270"/>
      <c r="I135" s="326"/>
      <c r="J135" s="326"/>
      <c r="L135" s="326"/>
      <c r="R135" s="940">
        <v>45904</v>
      </c>
      <c r="S135" s="935">
        <v>-4000000</v>
      </c>
      <c r="T135" s="936" t="s">
        <v>647</v>
      </c>
      <c r="U135" s="936"/>
      <c r="V135" s="936"/>
      <c r="X135" s="112"/>
      <c r="Y135" s="120"/>
      <c r="Z135" s="120"/>
      <c r="AA135" s="120"/>
    </row>
    <row r="136" spans="2:27" x14ac:dyDescent="0.35">
      <c r="C136" s="326"/>
      <c r="D136" s="1271" t="s">
        <v>812</v>
      </c>
      <c r="E136" s="1272">
        <f>SUM(E134:E135)</f>
        <v>32445143.512460519</v>
      </c>
      <c r="F136" s="1272">
        <f>SUM(F134:F135)</f>
        <v>22711600.45872236</v>
      </c>
      <c r="G136" s="1272">
        <f>SUM(G134:G135)</f>
        <v>9733543.0537381545</v>
      </c>
      <c r="H136" s="1268"/>
      <c r="I136" s="1263">
        <v>45931</v>
      </c>
      <c r="J136" s="1264">
        <v>18172.8</v>
      </c>
      <c r="L136" s="326"/>
      <c r="R136" s="940">
        <v>45918</v>
      </c>
      <c r="S136" s="1030">
        <v>-9000000</v>
      </c>
      <c r="T136" s="936" t="s">
        <v>642</v>
      </c>
      <c r="U136" s="936"/>
      <c r="V136" s="936"/>
      <c r="X136" s="112"/>
      <c r="Y136" s="120"/>
      <c r="Z136" s="120"/>
      <c r="AA136" s="120"/>
    </row>
    <row r="137" spans="2:27" x14ac:dyDescent="0.35">
      <c r="C137" s="1261" t="s">
        <v>659</v>
      </c>
      <c r="D137" s="326" t="s">
        <v>811</v>
      </c>
      <c r="E137" s="292">
        <v>16155654</v>
      </c>
      <c r="F137" s="1268">
        <f>E137*F133</f>
        <v>11308957.799999999</v>
      </c>
      <c r="G137" s="1268">
        <f>E137*G133</f>
        <v>4846696.2</v>
      </c>
      <c r="H137" s="326"/>
      <c r="I137" s="326"/>
      <c r="J137" s="1269">
        <f>(J133/J136)-1</f>
        <v>3.3219977108645882E-2</v>
      </c>
      <c r="L137" s="326"/>
      <c r="R137" s="940">
        <v>45918</v>
      </c>
      <c r="S137" s="935">
        <v>-18000000</v>
      </c>
      <c r="T137" s="936" t="s">
        <v>647</v>
      </c>
      <c r="U137" s="936"/>
      <c r="V137" s="936"/>
      <c r="X137" s="120"/>
    </row>
    <row r="138" spans="2:27" x14ac:dyDescent="0.35">
      <c r="C138" s="1265">
        <v>735657133.01950002</v>
      </c>
      <c r="D138" s="326" t="s">
        <v>816</v>
      </c>
      <c r="E138" s="1268">
        <f>E137*J134</f>
        <v>4958618.2042333428</v>
      </c>
      <c r="F138" s="292">
        <f>E138*F133</f>
        <v>3471032.7429633397</v>
      </c>
      <c r="G138" s="1268">
        <f>E138*G133</f>
        <v>1487585.4612700029</v>
      </c>
      <c r="H138" s="1268"/>
      <c r="I138" s="326"/>
      <c r="J138" s="326"/>
      <c r="L138" s="326"/>
      <c r="R138" s="1057">
        <v>45930</v>
      </c>
      <c r="S138" s="935">
        <v>-19105800</v>
      </c>
      <c r="T138" s="936" t="s">
        <v>647</v>
      </c>
      <c r="U138" s="936"/>
      <c r="V138" s="936"/>
      <c r="X138" s="120"/>
    </row>
    <row r="139" spans="2:27" x14ac:dyDescent="0.35">
      <c r="C139" s="326"/>
      <c r="D139" s="1271" t="s">
        <v>632</v>
      </c>
      <c r="E139" s="1272">
        <f>SUM(E137:E138)</f>
        <v>21114272.204233341</v>
      </c>
      <c r="F139" s="1272">
        <f>SUM(F137:F138)</f>
        <v>14779990.542963339</v>
      </c>
      <c r="G139" s="1272">
        <f>SUM(G137:G138)</f>
        <v>6334281.6612700028</v>
      </c>
      <c r="H139" s="1268"/>
      <c r="I139" s="326"/>
      <c r="J139" s="326"/>
      <c r="L139" s="326"/>
      <c r="R139" s="935"/>
      <c r="S139" s="984">
        <f>SUM(S132:S138)</f>
        <v>-59526025.438590094</v>
      </c>
      <c r="T139" s="988"/>
      <c r="U139" s="936"/>
      <c r="V139" s="936"/>
    </row>
    <row r="140" spans="2:27" x14ac:dyDescent="0.35">
      <c r="C140" s="1261" t="s">
        <v>814</v>
      </c>
      <c r="D140" s="326" t="s">
        <v>813</v>
      </c>
      <c r="E140" s="1273">
        <v>7213257</v>
      </c>
      <c r="F140" s="1273">
        <f>+E140*F133</f>
        <v>5049279.8999999994</v>
      </c>
      <c r="G140" s="1273">
        <f>+E140*G133</f>
        <v>2163977.1</v>
      </c>
      <c r="H140" s="326"/>
      <c r="I140" s="326"/>
      <c r="J140" s="326"/>
      <c r="L140" s="326"/>
      <c r="R140" s="986" t="s">
        <v>614</v>
      </c>
      <c r="S140" s="941">
        <f>+S130+S139</f>
        <v>-2.6855605617165565</v>
      </c>
      <c r="T140" s="987"/>
      <c r="U140" s="936"/>
      <c r="V140" s="936"/>
    </row>
    <row r="141" spans="2:27" x14ac:dyDescent="0.35">
      <c r="C141" s="1265">
        <v>15315354.683943786</v>
      </c>
      <c r="D141" s="326" t="s">
        <v>817</v>
      </c>
      <c r="E141" s="1268">
        <f>E140*J137</f>
        <v>239624.23241877966</v>
      </c>
      <c r="F141" s="292">
        <f>E141*F133</f>
        <v>167736.96269314576</v>
      </c>
      <c r="G141" s="292">
        <f>E141*G133</f>
        <v>71887.269725633902</v>
      </c>
      <c r="H141" s="326"/>
      <c r="I141" s="326"/>
      <c r="J141" s="326"/>
      <c r="L141" s="326"/>
    </row>
    <row r="142" spans="2:27" x14ac:dyDescent="0.35">
      <c r="C142" s="1265"/>
      <c r="D142" s="1271" t="s">
        <v>586</v>
      </c>
      <c r="E142" s="1272">
        <f>SUM(E140:E141)</f>
        <v>7452881.2324187793</v>
      </c>
      <c r="F142" s="1272">
        <f>SUM(F140:F141)</f>
        <v>5217016.8626931449</v>
      </c>
      <c r="G142" s="1272">
        <f>SUM(G140:G141)</f>
        <v>2235864.3697256339</v>
      </c>
      <c r="H142" s="1268"/>
      <c r="J142" s="326"/>
      <c r="L142" s="326"/>
    </row>
    <row r="143" spans="2:27" x14ac:dyDescent="0.35">
      <c r="C143" s="326"/>
      <c r="D143" s="1274" t="s">
        <v>715</v>
      </c>
      <c r="E143" s="1275">
        <f>E136+E139+E142</f>
        <v>61012296.949112639</v>
      </c>
      <c r="F143" s="1275">
        <f>F136+F139+F142</f>
        <v>42708607.864378847</v>
      </c>
      <c r="G143" s="1275">
        <f>G136+G139+G142</f>
        <v>18303689.084733792</v>
      </c>
      <c r="H143" s="120"/>
      <c r="I143" s="326"/>
      <c r="J143" s="326"/>
      <c r="L143" s="326"/>
      <c r="R143" s="1066" t="s">
        <v>695</v>
      </c>
      <c r="S143" s="1065"/>
      <c r="T143" s="1065"/>
      <c r="U143" s="1065"/>
      <c r="V143" s="1065"/>
    </row>
    <row r="144" spans="2:27" x14ac:dyDescent="0.35">
      <c r="C144" s="326"/>
      <c r="D144" s="326"/>
      <c r="E144" s="326"/>
      <c r="F144" s="1260"/>
      <c r="G144" s="292"/>
      <c r="I144" s="326"/>
      <c r="J144" s="326"/>
      <c r="L144" s="326"/>
      <c r="R144" s="1064"/>
      <c r="S144" s="1064">
        <v>346954848</v>
      </c>
      <c r="T144" s="1065"/>
      <c r="U144" s="1065"/>
      <c r="V144" s="1065"/>
    </row>
    <row r="145" spans="3:24" x14ac:dyDescent="0.35">
      <c r="F145" s="239"/>
      <c r="G145" s="110"/>
      <c r="L145" s="326"/>
      <c r="R145" s="1066" t="s">
        <v>98</v>
      </c>
      <c r="S145" s="1067">
        <f>SUM(S144)</f>
        <v>346954848</v>
      </c>
      <c r="T145" s="1065"/>
      <c r="U145" s="1065"/>
      <c r="V145" s="1065"/>
    </row>
    <row r="146" spans="3:24" x14ac:dyDescent="0.35">
      <c r="C146" s="911" t="s">
        <v>552</v>
      </c>
      <c r="F146" s="122" t="s">
        <v>64</v>
      </c>
      <c r="G146" s="122" t="s">
        <v>551</v>
      </c>
      <c r="I146" s="906">
        <v>45536</v>
      </c>
      <c r="J146" s="907">
        <v>14366.9</v>
      </c>
      <c r="R146" s="1064"/>
      <c r="S146" s="1065"/>
      <c r="T146" s="1065"/>
      <c r="U146" s="1065"/>
      <c r="V146" s="1065"/>
    </row>
    <row r="147" spans="3:24" x14ac:dyDescent="0.35">
      <c r="C147" s="912">
        <v>421306052</v>
      </c>
      <c r="F147" s="122">
        <v>0.7</v>
      </c>
      <c r="G147" s="122">
        <v>0.3</v>
      </c>
      <c r="I147" s="906">
        <v>45962</v>
      </c>
      <c r="J147" s="907">
        <v>18534.900000000001</v>
      </c>
      <c r="R147" s="1068">
        <v>45911</v>
      </c>
      <c r="S147" s="1064">
        <v>-51084000</v>
      </c>
      <c r="T147" s="1065" t="s">
        <v>697</v>
      </c>
      <c r="U147" s="1065"/>
      <c r="V147" s="1065"/>
    </row>
    <row r="148" spans="3:24" x14ac:dyDescent="0.35">
      <c r="D148" s="106" t="s">
        <v>788</v>
      </c>
      <c r="E148" s="110">
        <v>19659972</v>
      </c>
      <c r="F148" s="120">
        <f>E148*F147</f>
        <v>13761980.399999999</v>
      </c>
      <c r="G148" s="120">
        <f>E148*G147</f>
        <v>5897991.5999999996</v>
      </c>
      <c r="H148" s="1047"/>
      <c r="J148" s="106">
        <f>(J147/J146)-1</f>
        <v>0.29011129749632847</v>
      </c>
      <c r="M148" s="929"/>
      <c r="R148" s="1068">
        <v>45918</v>
      </c>
      <c r="S148" s="1064">
        <v>-30200000</v>
      </c>
      <c r="T148" s="1065" t="s">
        <v>697</v>
      </c>
      <c r="U148" s="1065"/>
      <c r="V148" s="1065"/>
    </row>
    <row r="149" spans="3:24" x14ac:dyDescent="0.35">
      <c r="D149" s="113" t="s">
        <v>789</v>
      </c>
      <c r="E149" s="120">
        <f>E148*J148+0.01</f>
        <v>5703579.9956614878</v>
      </c>
      <c r="F149" s="110">
        <f>E149*F147</f>
        <v>3992505.9969630414</v>
      </c>
      <c r="G149" s="120">
        <f>E149*G147</f>
        <v>1711073.9986984462</v>
      </c>
      <c r="H149" s="918"/>
      <c r="R149" s="1068">
        <v>45930</v>
      </c>
      <c r="S149" s="1064">
        <v>-34848000</v>
      </c>
      <c r="T149" s="1065" t="s">
        <v>697</v>
      </c>
      <c r="U149" s="1065"/>
      <c r="V149" s="1065"/>
    </row>
    <row r="150" spans="3:24" x14ac:dyDescent="0.35">
      <c r="D150" s="913" t="s">
        <v>790</v>
      </c>
      <c r="E150" s="909">
        <f>SUM(E148:E149)</f>
        <v>25363551.99566149</v>
      </c>
      <c r="F150" s="909">
        <f>SUM(F148:F149)</f>
        <v>17754486.396963041</v>
      </c>
      <c r="G150" s="909">
        <f>SUM(G148:G149)</f>
        <v>7609065.5986984456</v>
      </c>
      <c r="M150" s="120"/>
      <c r="R150" s="1068">
        <v>45946</v>
      </c>
      <c r="S150" s="1064">
        <v>-171100000</v>
      </c>
      <c r="T150" s="1065" t="s">
        <v>697</v>
      </c>
      <c r="U150" s="1065"/>
      <c r="V150" s="1065"/>
    </row>
    <row r="151" spans="3:24" x14ac:dyDescent="0.35">
      <c r="C151" s="911" t="s">
        <v>659</v>
      </c>
      <c r="D151" s="106" t="s">
        <v>791</v>
      </c>
      <c r="E151" s="110">
        <v>8287386</v>
      </c>
      <c r="F151" s="120">
        <f>E151*F147</f>
        <v>5801170.1999999993</v>
      </c>
      <c r="G151" s="120">
        <f>E151*G147</f>
        <v>2486215.7999999998</v>
      </c>
      <c r="R151" s="1068">
        <v>45946</v>
      </c>
      <c r="S151" s="1064">
        <v>-64804850</v>
      </c>
      <c r="T151" s="1065" t="s">
        <v>697</v>
      </c>
      <c r="U151" s="1065"/>
      <c r="V151" s="1065"/>
    </row>
    <row r="152" spans="3:24" x14ac:dyDescent="0.35">
      <c r="C152" s="912">
        <v>735657133.01950002</v>
      </c>
      <c r="D152" s="113" t="s">
        <v>792</v>
      </c>
      <c r="E152" s="120">
        <f>E151*J148</f>
        <v>2404264.3053129078</v>
      </c>
      <c r="F152" s="110">
        <f>E152*F147</f>
        <v>1682985.0137190353</v>
      </c>
      <c r="G152" s="120">
        <f>E152*G147</f>
        <v>721279.29159387236</v>
      </c>
      <c r="H152" s="120"/>
      <c r="R152" s="1064"/>
      <c r="S152" s="1064"/>
      <c r="T152" s="1065"/>
      <c r="U152" s="1065"/>
      <c r="V152" s="1065"/>
    </row>
    <row r="153" spans="3:24" x14ac:dyDescent="0.35">
      <c r="D153" s="913" t="s">
        <v>793</v>
      </c>
      <c r="E153" s="909">
        <f>SUM(E151:E152)</f>
        <v>10691650.305312907</v>
      </c>
      <c r="F153" s="909">
        <f>SUM(F151:F152)</f>
        <v>7484155.2137190346</v>
      </c>
      <c r="G153" s="909">
        <f>SUM(G151:G152)</f>
        <v>3207495.0915938723</v>
      </c>
      <c r="R153" s="1064"/>
      <c r="S153" s="1067">
        <f>SUM(S147:S152)</f>
        <v>-352036850</v>
      </c>
      <c r="T153" s="1065"/>
      <c r="U153" s="1065"/>
      <c r="V153" s="1065"/>
    </row>
    <row r="154" spans="3:24" x14ac:dyDescent="0.35">
      <c r="D154" s="913" t="s">
        <v>715</v>
      </c>
      <c r="E154" s="909">
        <f>E150+E153</f>
        <v>36055202.300974399</v>
      </c>
      <c r="F154" s="909">
        <f>F150+F153</f>
        <v>25238641.610682078</v>
      </c>
      <c r="G154" s="909">
        <f>G150+G153</f>
        <v>10816560.690292317</v>
      </c>
      <c r="O154" s="106">
        <v>0.02</v>
      </c>
      <c r="R154" s="1064" t="s">
        <v>614</v>
      </c>
      <c r="S154" s="1069">
        <f>+S145+S153</f>
        <v>-5082002</v>
      </c>
      <c r="T154" s="1065"/>
      <c r="U154" s="1065"/>
      <c r="V154" s="1065"/>
    </row>
    <row r="155" spans="3:24" x14ac:dyDescent="0.35">
      <c r="F155" s="239"/>
      <c r="G155" s="110"/>
    </row>
    <row r="156" spans="3:24" x14ac:dyDescent="0.35">
      <c r="F156" s="239"/>
      <c r="G156" s="110"/>
    </row>
    <row r="157" spans="3:24" x14ac:dyDescent="0.35">
      <c r="C157" s="911" t="s">
        <v>552</v>
      </c>
      <c r="F157" s="122" t="s">
        <v>64</v>
      </c>
      <c r="G157" s="122" t="s">
        <v>551</v>
      </c>
      <c r="I157" s="906">
        <v>45536</v>
      </c>
      <c r="J157" s="907">
        <v>14366.9</v>
      </c>
      <c r="R157" s="938" t="s">
        <v>698</v>
      </c>
      <c r="S157" s="936"/>
      <c r="T157" s="936"/>
      <c r="U157" s="936"/>
      <c r="V157" s="936"/>
    </row>
    <row r="158" spans="3:24" x14ac:dyDescent="0.35">
      <c r="C158" s="912">
        <v>421306052</v>
      </c>
      <c r="F158" s="122">
        <v>0.7</v>
      </c>
      <c r="G158" s="122">
        <v>0.3</v>
      </c>
      <c r="I158" s="906">
        <v>45931</v>
      </c>
      <c r="J158" s="907">
        <v>18172.8</v>
      </c>
      <c r="L158" s="120">
        <f>+E191/E190</f>
        <v>0.1790643771446867</v>
      </c>
      <c r="R158" s="935"/>
      <c r="S158" s="936" t="s">
        <v>582</v>
      </c>
      <c r="T158" s="936" t="s">
        <v>51</v>
      </c>
      <c r="U158" s="936" t="s">
        <v>52</v>
      </c>
      <c r="V158" s="936"/>
    </row>
    <row r="159" spans="3:24" x14ac:dyDescent="0.35">
      <c r="D159" s="106" t="s">
        <v>780</v>
      </c>
      <c r="E159" s="110">
        <v>28926618</v>
      </c>
      <c r="F159" s="120">
        <f>E159*F158</f>
        <v>20248632.599999998</v>
      </c>
      <c r="G159" s="120">
        <f>E159*G158</f>
        <v>8677985.4000000004</v>
      </c>
      <c r="H159" s="1047"/>
      <c r="J159" s="106">
        <f>(J158/J157)-1</f>
        <v>0.26490753050414484</v>
      </c>
      <c r="R159" s="985" t="s">
        <v>699</v>
      </c>
      <c r="S159" s="935">
        <v>19500000</v>
      </c>
      <c r="T159" s="935">
        <f>+S159*0.105</f>
        <v>2047500</v>
      </c>
      <c r="U159" s="935">
        <f>+S159+T159</f>
        <v>21547500</v>
      </c>
      <c r="V159" s="936"/>
      <c r="X159" s="120">
        <f>+U125+S133+S136</f>
        <v>5050000</v>
      </c>
    </row>
    <row r="160" spans="3:24" x14ac:dyDescent="0.35">
      <c r="D160" s="113" t="s">
        <v>781</v>
      </c>
      <c r="E160" s="120">
        <f>E159*J159</f>
        <v>7662878.9402167452</v>
      </c>
      <c r="F160" s="110">
        <f>E160*F158</f>
        <v>5364015.2581517212</v>
      </c>
      <c r="G160" s="120">
        <f>E160*G158</f>
        <v>2298863.6820650236</v>
      </c>
      <c r="H160" s="918"/>
      <c r="R160" s="1064" t="s">
        <v>696</v>
      </c>
      <c r="S160" s="1064">
        <v>20000000</v>
      </c>
      <c r="T160" s="1071">
        <v>2100000</v>
      </c>
      <c r="U160" s="1070">
        <f>+S160+T160</f>
        <v>22100000</v>
      </c>
      <c r="V160" s="936"/>
    </row>
    <row r="161" spans="3:22" x14ac:dyDescent="0.35">
      <c r="D161" s="913" t="s">
        <v>782</v>
      </c>
      <c r="E161" s="909">
        <f>SUM(E159:E160)</f>
        <v>36589496.940216742</v>
      </c>
      <c r="F161" s="909">
        <f>SUM(F159:F160)</f>
        <v>25612647.858151719</v>
      </c>
      <c r="G161" s="909">
        <f>SUM(G159:G160)</f>
        <v>10976849.082065023</v>
      </c>
      <c r="H161" s="120"/>
      <c r="R161" s="985"/>
      <c r="S161" s="937"/>
      <c r="T161" s="937"/>
      <c r="U161" s="935"/>
      <c r="V161" s="936"/>
    </row>
    <row r="162" spans="3:22" x14ac:dyDescent="0.35">
      <c r="C162" s="911" t="s">
        <v>659</v>
      </c>
      <c r="D162" s="106" t="s">
        <v>783</v>
      </c>
      <c r="E162" s="110">
        <v>6222088</v>
      </c>
      <c r="F162" s="120">
        <f>E162*F158</f>
        <v>4355461.5999999996</v>
      </c>
      <c r="G162" s="120">
        <f>E162*G158</f>
        <v>1866626.4</v>
      </c>
      <c r="R162" s="938" t="s">
        <v>698</v>
      </c>
      <c r="S162" s="939">
        <v>42619229.247478575</v>
      </c>
      <c r="T162" s="936"/>
      <c r="U162" s="936"/>
      <c r="V162" s="936"/>
    </row>
    <row r="163" spans="3:22" x14ac:dyDescent="0.35">
      <c r="C163" s="912">
        <f>C241</f>
        <v>736857133.01950002</v>
      </c>
      <c r="D163" s="113" t="s">
        <v>784</v>
      </c>
      <c r="E163" s="120">
        <f>E162*J159</f>
        <v>1648277.9666594735</v>
      </c>
      <c r="F163" s="110">
        <f>E163*F158</f>
        <v>1153794.5766616315</v>
      </c>
      <c r="G163" s="120">
        <f>E163*G158</f>
        <v>494483.38999784202</v>
      </c>
      <c r="H163" s="120"/>
      <c r="R163" s="935" t="s">
        <v>51</v>
      </c>
      <c r="S163" s="937">
        <f>+T159+T160</f>
        <v>4147500</v>
      </c>
      <c r="T163" s="936"/>
      <c r="U163" s="936"/>
      <c r="V163" s="936"/>
    </row>
    <row r="164" spans="3:22" x14ac:dyDescent="0.35">
      <c r="D164" s="913" t="s">
        <v>588</v>
      </c>
      <c r="E164" s="909">
        <f>SUM(E162:E163)</f>
        <v>7870365.9666594733</v>
      </c>
      <c r="F164" s="909">
        <f>SUM(F162:F163)</f>
        <v>5509256.1766616311</v>
      </c>
      <c r="G164" s="909">
        <f>SUM(G162:G163)</f>
        <v>2361109.7899978422</v>
      </c>
      <c r="N164" s="120">
        <f>+F247+G247</f>
        <v>115840266.21176752</v>
      </c>
      <c r="R164" s="935" t="s">
        <v>52</v>
      </c>
      <c r="S164" s="939">
        <f>+S162+S163</f>
        <v>46766729.247478575</v>
      </c>
      <c r="T164" s="936"/>
      <c r="U164" s="936"/>
      <c r="V164" s="936"/>
    </row>
    <row r="165" spans="3:22" x14ac:dyDescent="0.35">
      <c r="D165" s="913" t="s">
        <v>715</v>
      </c>
      <c r="E165" s="909">
        <f>E161+E164</f>
        <v>44459862.906876214</v>
      </c>
      <c r="F165" s="909">
        <f>F161+F164</f>
        <v>31121904.034813352</v>
      </c>
      <c r="G165" s="909">
        <f>G161+G164</f>
        <v>13337958.872062866</v>
      </c>
      <c r="N165" s="110">
        <f>+N164*O154</f>
        <v>2316805.3242353504</v>
      </c>
      <c r="R165" s="935"/>
      <c r="S165" s="936"/>
      <c r="T165" s="936"/>
      <c r="U165" s="936"/>
      <c r="V165" s="936"/>
    </row>
    <row r="166" spans="3:22" x14ac:dyDescent="0.35">
      <c r="F166" s="239"/>
      <c r="G166" s="110"/>
      <c r="N166" s="119">
        <f>+N164+N165</f>
        <v>118157071.53600287</v>
      </c>
      <c r="R166" s="940">
        <v>45946</v>
      </c>
      <c r="S166" s="935">
        <v>-40000000</v>
      </c>
      <c r="T166" s="936" t="s">
        <v>700</v>
      </c>
      <c r="U166" s="936"/>
      <c r="V166" s="936"/>
    </row>
    <row r="167" spans="3:22" x14ac:dyDescent="0.35">
      <c r="F167" s="239"/>
      <c r="G167" s="110"/>
      <c r="R167" s="940">
        <v>45946</v>
      </c>
      <c r="S167" s="935">
        <v>-2620150</v>
      </c>
      <c r="T167" s="936" t="s">
        <v>697</v>
      </c>
      <c r="U167" s="936"/>
      <c r="V167" s="936"/>
    </row>
    <row r="168" spans="3:22" x14ac:dyDescent="0.35">
      <c r="C168" s="911" t="s">
        <v>552</v>
      </c>
      <c r="F168" s="122" t="s">
        <v>64</v>
      </c>
      <c r="G168" s="122" t="s">
        <v>551</v>
      </c>
      <c r="I168" s="906">
        <v>45536</v>
      </c>
      <c r="J168" s="907">
        <v>14366.9</v>
      </c>
      <c r="N168" s="1044">
        <f>+N166/M181</f>
        <v>82167.643627262078</v>
      </c>
      <c r="R168" s="940"/>
      <c r="S168" s="935">
        <f>-487500-390000</f>
        <v>-877500</v>
      </c>
      <c r="T168" s="936" t="s">
        <v>222</v>
      </c>
      <c r="U168" s="936"/>
      <c r="V168" s="936"/>
    </row>
    <row r="169" spans="3:22" x14ac:dyDescent="0.35">
      <c r="C169" s="912">
        <v>421306052</v>
      </c>
      <c r="F169" s="122">
        <v>0.7</v>
      </c>
      <c r="G169" s="122">
        <v>0.3</v>
      </c>
      <c r="I169" s="906">
        <v>45901</v>
      </c>
      <c r="J169" s="907">
        <v>17762.3</v>
      </c>
      <c r="N169" s="1046">
        <f>+N166/M182</f>
        <v>84397.908240002056</v>
      </c>
      <c r="R169" s="940"/>
      <c r="S169" s="935">
        <f>-398656.6-500000</f>
        <v>-898656.6</v>
      </c>
      <c r="T169" s="936" t="s">
        <v>222</v>
      </c>
      <c r="U169" s="936"/>
      <c r="V169" s="936"/>
    </row>
    <row r="170" spans="3:22" x14ac:dyDescent="0.35">
      <c r="D170" s="106" t="s">
        <v>710</v>
      </c>
      <c r="E170" s="110">
        <v>32982951.570853937</v>
      </c>
      <c r="F170" s="120">
        <f>E170*F169</f>
        <v>23088066.099597756</v>
      </c>
      <c r="G170" s="120">
        <f>E170*G169</f>
        <v>9894885.4712561816</v>
      </c>
      <c r="H170" s="1047">
        <f>+E170/E172</f>
        <v>0.80884232334776462</v>
      </c>
      <c r="J170" s="106">
        <f>(J169/J168)-1</f>
        <v>0.2363349087137796</v>
      </c>
      <c r="N170" s="1048">
        <f>+N166/M183</f>
        <v>83267.844634251494</v>
      </c>
      <c r="R170" s="940">
        <v>45961</v>
      </c>
      <c r="S170" s="935">
        <v>-2370422.65</v>
      </c>
      <c r="T170" s="936" t="s">
        <v>647</v>
      </c>
      <c r="U170" s="936"/>
      <c r="V170" s="936"/>
    </row>
    <row r="171" spans="3:22" x14ac:dyDescent="0.35">
      <c r="D171" s="113" t="s">
        <v>711</v>
      </c>
      <c r="E171" s="120">
        <f>E170*J170</f>
        <v>7795022.8486087788</v>
      </c>
      <c r="F171" s="110">
        <f>E171*F169</f>
        <v>5456515.994026145</v>
      </c>
      <c r="G171" s="120">
        <f>E171*G169</f>
        <v>2338506.8545826334</v>
      </c>
      <c r="H171" s="918">
        <f>+E171/E172</f>
        <v>0.19115767665223535</v>
      </c>
      <c r="R171" s="940"/>
      <c r="S171" s="984">
        <f>SUM(S166:S170)</f>
        <v>-46766729.25</v>
      </c>
      <c r="T171" s="936"/>
      <c r="U171" s="936"/>
      <c r="V171" s="936"/>
    </row>
    <row r="172" spans="3:22" x14ac:dyDescent="0.35">
      <c r="D172" s="913" t="s">
        <v>712</v>
      </c>
      <c r="E172" s="909">
        <f>SUM(E170:E171)</f>
        <v>40777974.419462718</v>
      </c>
      <c r="F172" s="909">
        <f>SUM(F170:F171)</f>
        <v>28544582.093623899</v>
      </c>
      <c r="G172" s="909">
        <f>SUM(G170:G171)</f>
        <v>12233392.325838815</v>
      </c>
      <c r="R172" s="986" t="s">
        <v>614</v>
      </c>
      <c r="S172" s="941">
        <f>+S164+S171</f>
        <v>-2.5214254856109619E-3</v>
      </c>
      <c r="T172" s="987"/>
      <c r="U172" s="936"/>
      <c r="V172" s="936"/>
    </row>
    <row r="173" spans="3:22" x14ac:dyDescent="0.35">
      <c r="D173" s="106" t="s">
        <v>713</v>
      </c>
      <c r="E173" s="110">
        <v>16090233.899999999</v>
      </c>
      <c r="F173" s="120">
        <f>E173*F169</f>
        <v>11263163.729999999</v>
      </c>
      <c r="G173" s="120">
        <f>E173*G169</f>
        <v>4827070.169999999</v>
      </c>
    </row>
    <row r="174" spans="3:22" x14ac:dyDescent="0.35">
      <c r="D174" s="113" t="s">
        <v>714</v>
      </c>
      <c r="E174" s="120">
        <f>E173*J170</f>
        <v>3802683.9599398617</v>
      </c>
      <c r="F174" s="110">
        <f>E174*F169</f>
        <v>2661878.7719579032</v>
      </c>
      <c r="G174" s="120">
        <f>E174*G169</f>
        <v>1140805.1879819585</v>
      </c>
      <c r="H174" s="120">
        <f>+E174/E175</f>
        <v>0.19115767665223538</v>
      </c>
      <c r="O174" s="1047">
        <f>N164-M187-M196</f>
        <v>34556266.211767524</v>
      </c>
      <c r="R174" s="106"/>
    </row>
    <row r="175" spans="3:22" x14ac:dyDescent="0.35">
      <c r="D175" s="913" t="s">
        <v>586</v>
      </c>
      <c r="E175" s="909">
        <f>SUM(E173:E174)</f>
        <v>19892917.859939858</v>
      </c>
      <c r="F175" s="909">
        <f>SUM(F173:F174)</f>
        <v>13925042.501957901</v>
      </c>
      <c r="G175" s="909">
        <f>SUM(G173:G174)</f>
        <v>5967875.3579819575</v>
      </c>
      <c r="R175" s="938" t="s">
        <v>770</v>
      </c>
      <c r="S175" s="936"/>
      <c r="T175" s="936"/>
      <c r="U175" s="936"/>
      <c r="V175" s="936"/>
    </row>
    <row r="176" spans="3:22" x14ac:dyDescent="0.35">
      <c r="D176" s="913" t="s">
        <v>715</v>
      </c>
      <c r="E176" s="909">
        <f>E172+E175</f>
        <v>60670892.279402576</v>
      </c>
      <c r="F176" s="909">
        <f>F172+F175</f>
        <v>42469624.5955818</v>
      </c>
      <c r="G176" s="909">
        <f>G172+G175</f>
        <v>18201267.683820773</v>
      </c>
      <c r="N176" s="1053">
        <f>N166-M187</f>
        <v>67073071.536002874</v>
      </c>
      <c r="R176" s="935"/>
      <c r="S176" s="936" t="s">
        <v>582</v>
      </c>
      <c r="T176" s="936" t="s">
        <v>51</v>
      </c>
      <c r="U176" s="936" t="s">
        <v>52</v>
      </c>
      <c r="V176" s="936"/>
    </row>
    <row r="177" spans="3:22" x14ac:dyDescent="0.35">
      <c r="F177" s="239"/>
      <c r="G177" s="110"/>
      <c r="M177" s="106" t="s">
        <v>677</v>
      </c>
      <c r="R177" s="985" t="s">
        <v>775</v>
      </c>
      <c r="S177" s="935">
        <v>20000000</v>
      </c>
      <c r="T177" s="935">
        <f>+S177*0.105</f>
        <v>2100000</v>
      </c>
      <c r="U177" s="935">
        <f>+S177+T177</f>
        <v>22100000</v>
      </c>
      <c r="V177" s="936"/>
    </row>
    <row r="178" spans="3:22" x14ac:dyDescent="0.35">
      <c r="F178" s="239"/>
      <c r="G178" s="110"/>
      <c r="M178" s="106" t="s">
        <v>678</v>
      </c>
      <c r="N178" s="1044"/>
      <c r="R178" s="985"/>
      <c r="S178" s="937"/>
      <c r="T178" s="937"/>
      <c r="U178" s="935"/>
      <c r="V178" s="936"/>
    </row>
    <row r="179" spans="3:22" x14ac:dyDescent="0.35">
      <c r="C179" s="911" t="s">
        <v>552</v>
      </c>
      <c r="F179" s="122" t="s">
        <v>64</v>
      </c>
      <c r="G179" s="122" t="s">
        <v>551</v>
      </c>
      <c r="I179" s="906">
        <v>45536</v>
      </c>
      <c r="J179" s="907">
        <v>14366.9</v>
      </c>
      <c r="M179" s="117" t="s">
        <v>677</v>
      </c>
      <c r="N179" s="1046"/>
      <c r="R179" s="938" t="s">
        <v>776</v>
      </c>
      <c r="S179" s="939">
        <f>E172</f>
        <v>40777974.419462718</v>
      </c>
      <c r="T179" s="936"/>
      <c r="U179" s="936"/>
      <c r="V179" s="936"/>
    </row>
    <row r="180" spans="3:22" x14ac:dyDescent="0.35">
      <c r="C180" s="912">
        <f>C189</f>
        <v>421306052</v>
      </c>
      <c r="F180" s="122">
        <v>0.7</v>
      </c>
      <c r="G180" s="122">
        <v>0.3</v>
      </c>
      <c r="I180" s="906">
        <v>45870</v>
      </c>
      <c r="J180" s="907">
        <v>17187.599999999999</v>
      </c>
      <c r="O180" s="928">
        <v>24000</v>
      </c>
      <c r="P180" s="106" t="s">
        <v>683</v>
      </c>
      <c r="R180" s="938" t="s">
        <v>615</v>
      </c>
      <c r="S180" s="939">
        <f>E175</f>
        <v>19892917.859939858</v>
      </c>
      <c r="T180" s="936"/>
      <c r="U180" s="936"/>
      <c r="V180" s="936"/>
    </row>
    <row r="181" spans="3:22" x14ac:dyDescent="0.35">
      <c r="D181" s="106" t="s">
        <v>687</v>
      </c>
      <c r="E181" s="110">
        <v>35624881</v>
      </c>
      <c r="F181" s="120">
        <f>E181*F180</f>
        <v>24937416.699999999</v>
      </c>
      <c r="G181" s="120">
        <f>E181*G180</f>
        <v>10687464.299999999</v>
      </c>
      <c r="H181" s="1047">
        <f>+E181/E183</f>
        <v>0.83588750029090753</v>
      </c>
      <c r="J181" s="106">
        <f>(J180/J179)-1</f>
        <v>0.196333238207268</v>
      </c>
      <c r="M181" s="1041">
        <v>1438</v>
      </c>
      <c r="R181" s="935" t="s">
        <v>51</v>
      </c>
      <c r="S181" s="937">
        <f>+T177</f>
        <v>2100000</v>
      </c>
      <c r="T181" s="936"/>
      <c r="U181" s="936"/>
      <c r="V181" s="936"/>
    </row>
    <row r="182" spans="3:22" x14ac:dyDescent="0.35">
      <c r="D182" s="113" t="s">
        <v>688</v>
      </c>
      <c r="E182" s="120">
        <f>E181*J181</f>
        <v>6994348.2474785754</v>
      </c>
      <c r="F182" s="110">
        <f>E182*F180</f>
        <v>4896043.7732350025</v>
      </c>
      <c r="G182" s="120">
        <f>E182*G180</f>
        <v>2098304.4742435724</v>
      </c>
      <c r="H182" s="918">
        <f>+E182/E183</f>
        <v>0.16411249970909253</v>
      </c>
      <c r="M182" s="1042">
        <v>1400</v>
      </c>
      <c r="R182" s="935" t="s">
        <v>52</v>
      </c>
      <c r="S182" s="939">
        <f>SUM(S179:S181)</f>
        <v>62770892.279402576</v>
      </c>
      <c r="T182" s="936"/>
      <c r="U182" s="936"/>
      <c r="V182" s="936"/>
    </row>
    <row r="183" spans="3:22" x14ac:dyDescent="0.35">
      <c r="D183" s="913" t="s">
        <v>689</v>
      </c>
      <c r="E183" s="909">
        <f>SUM(E181:E182)</f>
        <v>42619229.247478575</v>
      </c>
      <c r="F183" s="909">
        <f>SUM(F181:F182)</f>
        <v>29833460.473235004</v>
      </c>
      <c r="G183" s="909">
        <f>SUM(G181:G182)</f>
        <v>12785768.774243571</v>
      </c>
      <c r="M183" s="110">
        <v>1419</v>
      </c>
      <c r="R183" s="935"/>
      <c r="S183" s="936"/>
      <c r="T183" s="936"/>
      <c r="U183" s="936"/>
      <c r="V183" s="936"/>
    </row>
    <row r="184" spans="3:22" x14ac:dyDescent="0.35">
      <c r="F184" s="239"/>
      <c r="G184" s="110"/>
      <c r="M184" s="1049">
        <f>+M183/M182</f>
        <v>1.0135714285714286</v>
      </c>
      <c r="R184" s="940">
        <v>45961</v>
      </c>
      <c r="S184" s="935">
        <v>-40628657</v>
      </c>
      <c r="T184" s="936" t="s">
        <v>647</v>
      </c>
      <c r="U184" s="936"/>
      <c r="V184" s="936"/>
    </row>
    <row r="185" spans="3:22" x14ac:dyDescent="0.35">
      <c r="D185" s="106" t="s">
        <v>658</v>
      </c>
      <c r="E185" s="120">
        <v>3104973</v>
      </c>
      <c r="F185" s="110">
        <v>2173481.1</v>
      </c>
      <c r="G185" s="120">
        <v>931491.9</v>
      </c>
      <c r="N185" s="1053">
        <f>N166-M187-M196</f>
        <v>36873071.536002874</v>
      </c>
      <c r="R185" s="940">
        <v>45966</v>
      </c>
      <c r="S185" s="935">
        <v>-398656.6</v>
      </c>
      <c r="T185" s="936" t="s">
        <v>222</v>
      </c>
      <c r="U185" s="936"/>
      <c r="V185" s="936"/>
    </row>
    <row r="186" spans="3:22" x14ac:dyDescent="0.35">
      <c r="F186" s="239"/>
      <c r="G186" s="110"/>
      <c r="M186" s="1050">
        <v>36000</v>
      </c>
      <c r="R186" s="940">
        <v>45966</v>
      </c>
      <c r="S186" s="935">
        <v>-500000</v>
      </c>
      <c r="T186" s="936" t="s">
        <v>222</v>
      </c>
      <c r="U186" s="936"/>
      <c r="V186" s="936"/>
    </row>
    <row r="187" spans="3:22" x14ac:dyDescent="0.35">
      <c r="F187" s="239"/>
      <c r="G187" s="110"/>
      <c r="M187" s="1051">
        <f>+M186*M183</f>
        <v>51084000</v>
      </c>
      <c r="N187" s="1044"/>
      <c r="R187" s="940">
        <v>45971</v>
      </c>
      <c r="S187" s="1064">
        <v>-10100000</v>
      </c>
      <c r="T187" s="1065" t="s">
        <v>700</v>
      </c>
      <c r="U187" s="936"/>
      <c r="V187" s="936"/>
    </row>
    <row r="188" spans="3:22" x14ac:dyDescent="0.35">
      <c r="C188" s="911" t="s">
        <v>552</v>
      </c>
      <c r="F188" s="122" t="s">
        <v>64</v>
      </c>
      <c r="G188" s="122" t="s">
        <v>551</v>
      </c>
      <c r="I188" s="906">
        <v>45536</v>
      </c>
      <c r="J188" s="907">
        <v>14366.9</v>
      </c>
      <c r="M188" s="1051"/>
      <c r="N188" s="1046"/>
      <c r="R188" s="940">
        <v>45973</v>
      </c>
      <c r="S188" s="1064">
        <v>-11143578</v>
      </c>
      <c r="T188" s="1065" t="s">
        <v>779</v>
      </c>
      <c r="U188" s="1209" t="s">
        <v>778</v>
      </c>
      <c r="V188" s="941">
        <v>7722</v>
      </c>
    </row>
    <row r="189" spans="3:22" x14ac:dyDescent="0.35">
      <c r="C189" s="912">
        <f>C197</f>
        <v>421306052</v>
      </c>
      <c r="F189" s="122">
        <v>0.7</v>
      </c>
      <c r="G189" s="122">
        <v>0.3</v>
      </c>
      <c r="I189" s="906">
        <v>45839</v>
      </c>
      <c r="J189" s="907">
        <v>16939.5</v>
      </c>
      <c r="M189" s="1052" t="s">
        <v>399</v>
      </c>
      <c r="R189" s="940"/>
      <c r="S189" s="984">
        <f>SUM(S184:S188)</f>
        <v>-62770891.600000001</v>
      </c>
      <c r="T189" s="936"/>
      <c r="U189" s="936"/>
      <c r="V189" s="936"/>
    </row>
    <row r="190" spans="3:22" x14ac:dyDescent="0.35">
      <c r="D190" s="106" t="s">
        <v>655</v>
      </c>
      <c r="E190" s="110">
        <v>48704739</v>
      </c>
      <c r="F190" s="120">
        <f>E190*F189</f>
        <v>34093317.299999997</v>
      </c>
      <c r="G190" s="120">
        <f>E190*G189</f>
        <v>14611421.699999999</v>
      </c>
      <c r="H190" s="1047">
        <f>E26</f>
        <v>17000000</v>
      </c>
      <c r="J190" s="106">
        <f>(J189/J188)-1</f>
        <v>0.1790643771446867</v>
      </c>
      <c r="R190" s="986" t="s">
        <v>614</v>
      </c>
      <c r="S190" s="941">
        <f>+S182+S189</f>
        <v>0.67940257489681244</v>
      </c>
      <c r="T190" s="987"/>
      <c r="U190" s="1209"/>
      <c r="V190" s="941"/>
    </row>
    <row r="191" spans="3:22" x14ac:dyDescent="0.35">
      <c r="D191" s="113" t="s">
        <v>656</v>
      </c>
      <c r="E191" s="120">
        <f>E190*J190</f>
        <v>8721283.7530295309</v>
      </c>
      <c r="F191" s="110">
        <f>E191*F189</f>
        <v>6104898.6271206709</v>
      </c>
      <c r="G191" s="120">
        <f>E191*G189</f>
        <v>2616385.1259088591</v>
      </c>
      <c r="H191" s="918">
        <f>H190/F192</f>
        <v>0.42290434060110987</v>
      </c>
      <c r="M191" s="1041">
        <v>1515</v>
      </c>
    </row>
    <row r="192" spans="3:22" x14ac:dyDescent="0.35">
      <c r="D192" s="913" t="s">
        <v>657</v>
      </c>
      <c r="E192" s="909">
        <f>SUM(E190:E191)</f>
        <v>57426022.753029533</v>
      </c>
      <c r="F192" s="909">
        <f>SUM(F190:F191)</f>
        <v>40198215.927120671</v>
      </c>
      <c r="G192" s="909">
        <f>SUM(G190:G191)</f>
        <v>17227806.825908858</v>
      </c>
      <c r="M192" s="1042">
        <v>1500</v>
      </c>
    </row>
    <row r="193" spans="3:22" x14ac:dyDescent="0.35">
      <c r="F193" s="239"/>
      <c r="G193" s="110"/>
      <c r="M193" s="927">
        <v>1510</v>
      </c>
      <c r="N193" s="106" t="s">
        <v>686</v>
      </c>
      <c r="R193" s="938" t="s">
        <v>785</v>
      </c>
      <c r="S193" s="936"/>
      <c r="T193" s="936"/>
      <c r="U193" s="936"/>
      <c r="V193" s="936"/>
    </row>
    <row r="194" spans="3:22" x14ac:dyDescent="0.35">
      <c r="F194" s="239"/>
      <c r="G194" s="110"/>
      <c r="R194" s="935"/>
      <c r="S194" s="936" t="s">
        <v>582</v>
      </c>
      <c r="T194" s="936" t="s">
        <v>51</v>
      </c>
      <c r="U194" s="936" t="s">
        <v>52</v>
      </c>
      <c r="V194" s="936"/>
    </row>
    <row r="195" spans="3:22" x14ac:dyDescent="0.35">
      <c r="F195" s="239"/>
      <c r="G195" s="110"/>
      <c r="M195" s="1054">
        <v>20000</v>
      </c>
      <c r="R195" s="985" t="s">
        <v>786</v>
      </c>
      <c r="S195" s="935">
        <v>16500000</v>
      </c>
      <c r="T195" s="935">
        <f>+S195*0.105</f>
        <v>1732500</v>
      </c>
      <c r="U195" s="935">
        <f>+S195+T195</f>
        <v>18232500</v>
      </c>
      <c r="V195" s="936"/>
    </row>
    <row r="196" spans="3:22" x14ac:dyDescent="0.35">
      <c r="C196" s="911" t="s">
        <v>552</v>
      </c>
      <c r="F196" s="122" t="s">
        <v>64</v>
      </c>
      <c r="G196" s="122" t="s">
        <v>551</v>
      </c>
      <c r="I196" s="906">
        <v>45536</v>
      </c>
      <c r="J196" s="907">
        <v>14366.9</v>
      </c>
      <c r="M196" s="1055">
        <f>+M195*M193</f>
        <v>30200000</v>
      </c>
      <c r="R196" s="985"/>
      <c r="S196" s="937"/>
      <c r="T196" s="937"/>
      <c r="U196" s="935"/>
      <c r="V196" s="936"/>
    </row>
    <row r="197" spans="3:22" x14ac:dyDescent="0.35">
      <c r="C197" s="912">
        <f>C204</f>
        <v>421306052</v>
      </c>
      <c r="F197" s="122">
        <v>0.7</v>
      </c>
      <c r="G197" s="122">
        <v>0.3</v>
      </c>
      <c r="I197" s="906">
        <v>45809</v>
      </c>
      <c r="J197" s="907">
        <v>16643.400000000001</v>
      </c>
      <c r="R197" s="938" t="s">
        <v>787</v>
      </c>
      <c r="S197" s="939">
        <f>E161</f>
        <v>36589496.940216742</v>
      </c>
      <c r="T197" s="936"/>
      <c r="U197" s="936"/>
      <c r="V197" s="936"/>
    </row>
    <row r="198" spans="3:22" x14ac:dyDescent="0.35">
      <c r="D198" s="106" t="s">
        <v>648</v>
      </c>
      <c r="E198" s="110">
        <v>32566741</v>
      </c>
      <c r="F198" s="120">
        <f>E198*F197</f>
        <v>22796718.699999999</v>
      </c>
      <c r="G198" s="120">
        <f>E198*G197</f>
        <v>9770022.2999999989</v>
      </c>
      <c r="H198" s="1047">
        <f>E24</f>
        <v>12900000</v>
      </c>
      <c r="J198" s="106">
        <f>(J197/J196)-1</f>
        <v>0.15845450305911513</v>
      </c>
      <c r="M198" s="1052" t="s">
        <v>399</v>
      </c>
      <c r="R198" s="938" t="s">
        <v>617</v>
      </c>
      <c r="S198" s="939">
        <f>E164</f>
        <v>7870365.9666594733</v>
      </c>
      <c r="T198" s="936"/>
      <c r="U198" s="936"/>
      <c r="V198" s="936"/>
    </row>
    <row r="199" spans="3:22" x14ac:dyDescent="0.35">
      <c r="D199" s="113" t="s">
        <v>649</v>
      </c>
      <c r="E199" s="120">
        <f>E198*J198</f>
        <v>5160346.7614099104</v>
      </c>
      <c r="F199" s="110">
        <f>E199*F197</f>
        <v>3612242.7329869373</v>
      </c>
      <c r="G199" s="120">
        <f>E199*G197</f>
        <v>1548104.0284229731</v>
      </c>
      <c r="H199" s="918">
        <f>H198/F200</f>
        <v>0.48847055317695504</v>
      </c>
      <c r="R199" s="935" t="s">
        <v>51</v>
      </c>
      <c r="S199" s="937">
        <f>+T195</f>
        <v>1732500</v>
      </c>
      <c r="T199" s="936"/>
      <c r="U199" s="936"/>
      <c r="V199" s="936"/>
    </row>
    <row r="200" spans="3:22" x14ac:dyDescent="0.35">
      <c r="D200" s="913" t="s">
        <v>650</v>
      </c>
      <c r="E200" s="909">
        <f>SUM(E198:E199)</f>
        <v>37727087.761409909</v>
      </c>
      <c r="F200" s="909">
        <f>SUM(F198:F199)</f>
        <v>26408961.432986937</v>
      </c>
      <c r="G200" s="909">
        <f>SUM(G198:G199)</f>
        <v>11318126.328422971</v>
      </c>
      <c r="M200" s="1041">
        <v>1430</v>
      </c>
      <c r="R200" s="935" t="s">
        <v>52</v>
      </c>
      <c r="S200" s="939">
        <f>SUM(S197:S199)</f>
        <v>46192362.906876214</v>
      </c>
      <c r="T200" s="936"/>
      <c r="U200" s="936"/>
      <c r="V200" s="936"/>
    </row>
    <row r="201" spans="3:22" x14ac:dyDescent="0.35">
      <c r="E201" s="120">
        <f>E199/E198</f>
        <v>0.15845450305911513</v>
      </c>
      <c r="M201" s="1042">
        <v>1474</v>
      </c>
      <c r="R201" s="935"/>
      <c r="S201" s="936"/>
      <c r="T201" s="936"/>
      <c r="U201" s="936"/>
      <c r="V201" s="936"/>
    </row>
    <row r="202" spans="3:22" x14ac:dyDescent="0.35">
      <c r="F202" s="239"/>
      <c r="G202" s="110"/>
      <c r="I202" s="906">
        <v>45536</v>
      </c>
      <c r="J202" s="907">
        <v>14366.9</v>
      </c>
      <c r="M202" s="927">
        <f>(M200+M201)/2</f>
        <v>1452</v>
      </c>
      <c r="R202" s="940">
        <v>45995</v>
      </c>
      <c r="S202" s="935">
        <v>-43800000</v>
      </c>
      <c r="T202" s="936" t="s">
        <v>647</v>
      </c>
      <c r="U202" s="936"/>
      <c r="V202" s="936"/>
    </row>
    <row r="203" spans="3:22" x14ac:dyDescent="0.35">
      <c r="C203" s="911" t="s">
        <v>552</v>
      </c>
      <c r="F203" s="122" t="s">
        <v>64</v>
      </c>
      <c r="G203" s="122" t="s">
        <v>551</v>
      </c>
      <c r="I203" s="906">
        <v>45778</v>
      </c>
      <c r="J203" s="907">
        <v>16521.3</v>
      </c>
      <c r="R203" s="940">
        <v>46017</v>
      </c>
      <c r="S203" s="935">
        <v>-412500</v>
      </c>
      <c r="T203" s="936" t="s">
        <v>620</v>
      </c>
      <c r="U203" s="936"/>
      <c r="V203" s="936"/>
    </row>
    <row r="204" spans="3:22" x14ac:dyDescent="0.35">
      <c r="C204" s="912">
        <f>C211</f>
        <v>421306052</v>
      </c>
      <c r="F204" s="122">
        <v>0.7</v>
      </c>
      <c r="G204" s="122">
        <v>0.3</v>
      </c>
      <c r="J204" s="106">
        <f>(J203/J202)-1</f>
        <v>0.14995580118188334</v>
      </c>
      <c r="M204" s="1050">
        <v>23669</v>
      </c>
      <c r="R204" s="940">
        <v>46017</v>
      </c>
      <c r="S204" s="935">
        <v>-328656.59999999998</v>
      </c>
      <c r="T204" s="936" t="s">
        <v>620</v>
      </c>
      <c r="U204" s="936"/>
      <c r="V204" s="936"/>
    </row>
    <row r="205" spans="3:22" x14ac:dyDescent="0.35">
      <c r="D205" s="106" t="s">
        <v>630</v>
      </c>
      <c r="E205" s="110">
        <v>33307595</v>
      </c>
      <c r="F205" s="120">
        <f>E205*F204</f>
        <v>23315316.5</v>
      </c>
      <c r="G205" s="120">
        <f>E205*G204</f>
        <v>9992278.5</v>
      </c>
      <c r="H205" s="1047">
        <f>E21+E22</f>
        <v>21745986.390000001</v>
      </c>
      <c r="M205" s="1055">
        <f>+M204*M202</f>
        <v>34367388</v>
      </c>
      <c r="R205" s="940">
        <v>46019</v>
      </c>
      <c r="S205" s="1064">
        <v>-1651206.4</v>
      </c>
      <c r="T205" s="1065" t="s">
        <v>807</v>
      </c>
      <c r="U205" s="936"/>
      <c r="V205" s="936"/>
    </row>
    <row r="206" spans="3:22" x14ac:dyDescent="0.35">
      <c r="D206" s="113" t="s">
        <v>631</v>
      </c>
      <c r="E206" s="120">
        <f>E205*J204</f>
        <v>4994667.0936666913</v>
      </c>
      <c r="F206" s="110">
        <f>E206*F204</f>
        <v>3496266.9655666836</v>
      </c>
      <c r="G206" s="120">
        <f>E206*G204</f>
        <v>1498400.1281000073</v>
      </c>
      <c r="H206" s="918">
        <f>+H205/F207</f>
        <v>0.81106684422155528</v>
      </c>
      <c r="M206" s="1048">
        <v>480384.09</v>
      </c>
      <c r="R206" s="940"/>
      <c r="S206" s="1064"/>
      <c r="T206" s="1065"/>
      <c r="U206" s="936"/>
      <c r="V206" s="936"/>
    </row>
    <row r="207" spans="3:22" x14ac:dyDescent="0.35">
      <c r="D207" s="913" t="s">
        <v>632</v>
      </c>
      <c r="E207" s="909">
        <f>SUM(E205:E206)</f>
        <v>38302262.093666688</v>
      </c>
      <c r="F207" s="909">
        <f>SUM(F205:F206)</f>
        <v>26811583.465566684</v>
      </c>
      <c r="G207" s="909">
        <f>SUM(G205:G206)</f>
        <v>11490678.628100008</v>
      </c>
      <c r="R207" s="940"/>
      <c r="S207" s="984">
        <f>SUM(S202:S206)</f>
        <v>-46192363</v>
      </c>
      <c r="T207" s="936"/>
      <c r="U207" s="936"/>
      <c r="V207" s="936"/>
    </row>
    <row r="208" spans="3:22" x14ac:dyDescent="0.35">
      <c r="F208" s="239"/>
      <c r="G208" s="110"/>
      <c r="R208" s="986" t="s">
        <v>614</v>
      </c>
      <c r="S208" s="941">
        <f>+S200+S207</f>
        <v>-9.3123786151409149E-2</v>
      </c>
      <c r="T208" s="987"/>
      <c r="U208" s="1209"/>
      <c r="V208" s="941"/>
    </row>
    <row r="209" spans="3:22" x14ac:dyDescent="0.35">
      <c r="F209" s="239"/>
      <c r="G209" s="110"/>
      <c r="I209" s="906">
        <v>45536</v>
      </c>
      <c r="J209" s="907">
        <v>14366.9</v>
      </c>
    </row>
    <row r="210" spans="3:22" x14ac:dyDescent="0.35">
      <c r="C210" s="911" t="s">
        <v>552</v>
      </c>
      <c r="F210" s="122" t="s">
        <v>64</v>
      </c>
      <c r="G210" s="122" t="s">
        <v>551</v>
      </c>
      <c r="I210" s="906">
        <v>45748</v>
      </c>
      <c r="J210" s="908">
        <v>16253.5</v>
      </c>
    </row>
    <row r="211" spans="3:22" x14ac:dyDescent="0.35">
      <c r="C211" s="912">
        <f>C218</f>
        <v>421306052</v>
      </c>
      <c r="F211" s="122">
        <v>0.7</v>
      </c>
      <c r="G211" s="122">
        <v>0.3</v>
      </c>
      <c r="J211" s="106">
        <f>(J210/J209)-1</f>
        <v>0.13131573269111652</v>
      </c>
      <c r="R211" s="938" t="s">
        <v>804</v>
      </c>
      <c r="S211" s="936"/>
      <c r="T211" s="936"/>
      <c r="U211" s="936"/>
      <c r="V211" s="936"/>
    </row>
    <row r="212" spans="3:22" x14ac:dyDescent="0.35">
      <c r="D212" s="106" t="s">
        <v>622</v>
      </c>
      <c r="E212" s="110">
        <v>23869308</v>
      </c>
      <c r="F212" s="120">
        <f>E212*F211</f>
        <v>16708515.6</v>
      </c>
      <c r="G212" s="120">
        <f>E212*G211</f>
        <v>7160792.3999999994</v>
      </c>
      <c r="H212" s="1047">
        <f>E19</f>
        <v>8900000</v>
      </c>
      <c r="R212" s="935"/>
      <c r="S212" s="936" t="s">
        <v>582</v>
      </c>
      <c r="T212" s="936" t="s">
        <v>51</v>
      </c>
      <c r="U212" s="936" t="s">
        <v>52</v>
      </c>
      <c r="V212" s="936"/>
    </row>
    <row r="213" spans="3:22" x14ac:dyDescent="0.35">
      <c r="D213" s="113" t="s">
        <v>624</v>
      </c>
      <c r="E213" s="120">
        <f>E212*J211</f>
        <v>3134415.6688499288</v>
      </c>
      <c r="F213" s="110">
        <f>E213*F211</f>
        <v>2194090.9681949499</v>
      </c>
      <c r="G213" s="120">
        <f>E213*G211</f>
        <v>940324.70065497863</v>
      </c>
      <c r="H213" s="918">
        <f>H212/F214</f>
        <v>0.47083453638478179</v>
      </c>
      <c r="R213" s="985" t="s">
        <v>805</v>
      </c>
      <c r="S213" s="935">
        <v>21230000</v>
      </c>
      <c r="T213" s="935">
        <f>+S213*0.105</f>
        <v>2229150</v>
      </c>
      <c r="U213" s="935">
        <f>+S213+T213</f>
        <v>23459150</v>
      </c>
      <c r="V213" s="936"/>
    </row>
    <row r="214" spans="3:22" x14ac:dyDescent="0.35">
      <c r="D214" s="913" t="s">
        <v>588</v>
      </c>
      <c r="E214" s="909">
        <f>SUM(E212:E213)</f>
        <v>27003723.66884993</v>
      </c>
      <c r="F214" s="909">
        <f>SUM(F212:F213)</f>
        <v>18902606.568194948</v>
      </c>
      <c r="G214" s="909">
        <f>SUM(G212:G213)</f>
        <v>8101117.1006549783</v>
      </c>
      <c r="R214" s="985"/>
      <c r="S214" s="937"/>
      <c r="T214" s="937"/>
      <c r="U214" s="935"/>
      <c r="V214" s="936"/>
    </row>
    <row r="215" spans="3:22" x14ac:dyDescent="0.35">
      <c r="R215" s="938" t="s">
        <v>806</v>
      </c>
      <c r="S215" s="939">
        <f>+E150</f>
        <v>25363551.99566149</v>
      </c>
      <c r="T215" s="936"/>
      <c r="U215" s="936"/>
      <c r="V215" s="936"/>
    </row>
    <row r="216" spans="3:22" x14ac:dyDescent="0.35">
      <c r="F216" s="239"/>
      <c r="G216" s="110"/>
      <c r="I216" s="906">
        <v>45536</v>
      </c>
      <c r="J216" s="907">
        <v>14366.9</v>
      </c>
      <c r="R216" s="938" t="s">
        <v>625</v>
      </c>
      <c r="S216" s="939">
        <f>+E153</f>
        <v>10691650.305312907</v>
      </c>
      <c r="T216" s="936"/>
      <c r="U216" s="936"/>
      <c r="V216" s="936"/>
    </row>
    <row r="217" spans="3:22" x14ac:dyDescent="0.35">
      <c r="C217" s="911" t="s">
        <v>552</v>
      </c>
      <c r="F217" s="122" t="s">
        <v>64</v>
      </c>
      <c r="G217" s="122" t="s">
        <v>551</v>
      </c>
      <c r="I217" s="906">
        <v>45717</v>
      </c>
      <c r="J217" s="908">
        <v>15995.4</v>
      </c>
      <c r="R217" s="935" t="s">
        <v>51</v>
      </c>
      <c r="S217" s="937">
        <f>+T213</f>
        <v>2229150</v>
      </c>
      <c r="T217" s="936"/>
      <c r="U217" s="936"/>
      <c r="V217" s="936"/>
    </row>
    <row r="218" spans="3:22" x14ac:dyDescent="0.35">
      <c r="C218" s="912">
        <f>+E4</f>
        <v>421306052</v>
      </c>
      <c r="F218" s="122">
        <v>0.7</v>
      </c>
      <c r="G218" s="122">
        <v>0.3</v>
      </c>
      <c r="J218" s="106">
        <f>(J217/J216)-1</f>
        <v>0.11335082724874534</v>
      </c>
      <c r="L218" s="1043" t="s">
        <v>679</v>
      </c>
      <c r="R218" s="935" t="s">
        <v>52</v>
      </c>
      <c r="S218" s="939">
        <f>SUM(S215:S217)</f>
        <v>38284352.300974399</v>
      </c>
      <c r="T218" s="936"/>
      <c r="U218" s="936"/>
      <c r="V218" s="936"/>
    </row>
    <row r="219" spans="3:22" x14ac:dyDescent="0.35">
      <c r="D219" s="106" t="s">
        <v>587</v>
      </c>
      <c r="E219" s="110">
        <v>20032599.592621028</v>
      </c>
      <c r="F219" s="120">
        <f>E219*F218</f>
        <v>14022819.71483472</v>
      </c>
      <c r="G219" s="120">
        <f>E219*G218</f>
        <v>6009779.8777863085</v>
      </c>
      <c r="H219" s="1047">
        <f>E16+E17</f>
        <v>8806050</v>
      </c>
      <c r="L219" s="1045" t="s">
        <v>680</v>
      </c>
      <c r="R219" s="935"/>
      <c r="S219" s="936"/>
      <c r="T219" s="936"/>
      <c r="U219" s="936"/>
      <c r="V219" s="936"/>
    </row>
    <row r="220" spans="3:22" x14ac:dyDescent="0.35">
      <c r="D220" s="113" t="s">
        <v>589</v>
      </c>
      <c r="E220" s="120">
        <f>E219*J218</f>
        <v>2270711.7357664728</v>
      </c>
      <c r="F220" s="110">
        <f>E220*F218</f>
        <v>1589498.2150365307</v>
      </c>
      <c r="G220" s="120">
        <f>E220*G218</f>
        <v>681213.52072994178</v>
      </c>
      <c r="H220" s="918">
        <f>+H219/F221</f>
        <v>0.56404500853465656</v>
      </c>
      <c r="R220" s="940">
        <v>46037</v>
      </c>
      <c r="S220" s="935">
        <v>-30330000</v>
      </c>
      <c r="T220" s="936" t="s">
        <v>647</v>
      </c>
      <c r="U220" s="936"/>
      <c r="V220" s="936"/>
    </row>
    <row r="221" spans="3:22" x14ac:dyDescent="0.35">
      <c r="D221" s="913" t="s">
        <v>588</v>
      </c>
      <c r="E221" s="909">
        <f>SUM(E219:E220)</f>
        <v>22303311.328387503</v>
      </c>
      <c r="F221" s="909">
        <f>SUM(F219:F220)</f>
        <v>15612317.92987125</v>
      </c>
      <c r="G221" s="909">
        <f>SUM(G219:G220)</f>
        <v>6690993.3985162508</v>
      </c>
      <c r="R221" s="940">
        <v>46037</v>
      </c>
      <c r="S221" s="935">
        <f>-530750-423256.6</f>
        <v>-954006.6</v>
      </c>
      <c r="T221" s="936" t="s">
        <v>620</v>
      </c>
      <c r="U221" s="936"/>
      <c r="V221" s="936"/>
    </row>
    <row r="222" spans="3:22" x14ac:dyDescent="0.35">
      <c r="R222" s="940">
        <v>46028</v>
      </c>
      <c r="S222" s="935">
        <v>-7000000</v>
      </c>
      <c r="T222" s="936" t="s">
        <v>807</v>
      </c>
      <c r="U222" s="936"/>
      <c r="V222" s="936"/>
    </row>
    <row r="223" spans="3:22" x14ac:dyDescent="0.35">
      <c r="F223" s="239"/>
      <c r="G223" s="110"/>
      <c r="I223" s="906">
        <v>45536</v>
      </c>
      <c r="J223" s="907">
        <v>14366.9</v>
      </c>
      <c r="L223" s="106" t="s">
        <v>685</v>
      </c>
      <c r="R223" s="940"/>
      <c r="S223" s="984">
        <f>SUM(S220:S222)</f>
        <v>-38284006.600000001</v>
      </c>
      <c r="T223" s="1065"/>
      <c r="U223" s="936"/>
      <c r="V223" s="936"/>
    </row>
    <row r="224" spans="3:22" x14ac:dyDescent="0.35">
      <c r="C224" s="911" t="s">
        <v>552</v>
      </c>
      <c r="F224" s="122" t="s">
        <v>64</v>
      </c>
      <c r="G224" s="122" t="s">
        <v>551</v>
      </c>
      <c r="I224" s="906">
        <v>45689</v>
      </c>
      <c r="J224" s="908">
        <v>15852.4</v>
      </c>
      <c r="K224" s="1058">
        <v>45911</v>
      </c>
      <c r="L224" s="106" t="s">
        <v>684</v>
      </c>
      <c r="R224" s="986" t="s">
        <v>614</v>
      </c>
      <c r="S224" s="941">
        <f>+S218+S223</f>
        <v>345.70097439736128</v>
      </c>
      <c r="T224" s="987"/>
      <c r="U224" s="1209"/>
      <c r="V224" s="941"/>
    </row>
    <row r="225" spans="3:25" x14ac:dyDescent="0.35">
      <c r="C225" s="912">
        <f>E4</f>
        <v>421306052</v>
      </c>
      <c r="F225" s="122">
        <v>0.7</v>
      </c>
      <c r="G225" s="122">
        <v>0.3</v>
      </c>
      <c r="J225" s="106">
        <f>(J224/J223)-1</f>
        <v>0.10339739261775338</v>
      </c>
      <c r="R225" s="1255"/>
    </row>
    <row r="226" spans="3:25" x14ac:dyDescent="0.35">
      <c r="D226" s="106" t="s">
        <v>578</v>
      </c>
      <c r="E226" s="110">
        <v>28390040</v>
      </c>
      <c r="F226" s="120">
        <f>E226*F225</f>
        <v>19873028</v>
      </c>
      <c r="G226" s="120">
        <f>E226*G225</f>
        <v>8517012</v>
      </c>
      <c r="H226" s="1047">
        <f>E14</f>
        <v>4277000</v>
      </c>
      <c r="R226" s="1256"/>
      <c r="S226" s="982"/>
      <c r="T226" s="113"/>
      <c r="U226" s="1257"/>
      <c r="V226" s="982"/>
    </row>
    <row r="227" spans="3:25" x14ac:dyDescent="0.35">
      <c r="D227" s="113" t="s">
        <v>584</v>
      </c>
      <c r="E227" s="120">
        <f>E226*J225</f>
        <v>2935456.1123137232</v>
      </c>
      <c r="F227" s="110">
        <f>E227*F225</f>
        <v>2054819.278619606</v>
      </c>
      <c r="G227" s="120">
        <f>E227*G225</f>
        <v>880636.83369411691</v>
      </c>
      <c r="H227" s="918">
        <f>+H226/F228</f>
        <v>0.19504878639729581</v>
      </c>
      <c r="R227" s="938" t="s">
        <v>822</v>
      </c>
      <c r="S227" s="936"/>
      <c r="T227" s="936"/>
      <c r="U227" s="936"/>
      <c r="V227" s="936"/>
    </row>
    <row r="228" spans="3:25" x14ac:dyDescent="0.35">
      <c r="D228" s="913" t="s">
        <v>586</v>
      </c>
      <c r="E228" s="909">
        <f>SUM(E226:E227)</f>
        <v>31325496.112313725</v>
      </c>
      <c r="F228" s="910">
        <f>SUM(F226:F227)</f>
        <v>21927847.278619606</v>
      </c>
      <c r="G228" s="910">
        <f>SUM(G226:G227)</f>
        <v>9397648.8336941171</v>
      </c>
      <c r="L228" s="1043" t="s">
        <v>679</v>
      </c>
      <c r="R228" s="935"/>
      <c r="S228" s="936" t="s">
        <v>582</v>
      </c>
      <c r="T228" s="936" t="s">
        <v>51</v>
      </c>
      <c r="U228" s="936" t="s">
        <v>52</v>
      </c>
      <c r="V228" s="936"/>
    </row>
    <row r="229" spans="3:25" x14ac:dyDescent="0.35">
      <c r="L229" s="1045" t="s">
        <v>680</v>
      </c>
      <c r="R229" s="985" t="s">
        <v>823</v>
      </c>
      <c r="S229" s="935">
        <v>38000000</v>
      </c>
      <c r="T229" s="935">
        <f>+S229*0.105</f>
        <v>3990000</v>
      </c>
      <c r="U229" s="935">
        <f>+S229+T229</f>
        <v>41990000</v>
      </c>
      <c r="V229" s="936"/>
      <c r="X229" s="107" t="s">
        <v>821</v>
      </c>
    </row>
    <row r="230" spans="3:25" x14ac:dyDescent="0.35">
      <c r="K230" s="120">
        <f>+M193/M183</f>
        <v>1.0641296687808315</v>
      </c>
      <c r="R230" s="985"/>
      <c r="S230" s="937"/>
      <c r="T230" s="937"/>
      <c r="U230" s="935"/>
      <c r="V230" s="936"/>
      <c r="X230" s="1277" t="s">
        <v>820</v>
      </c>
      <c r="Y230" s="1278">
        <v>3990000</v>
      </c>
    </row>
    <row r="231" spans="3:25" x14ac:dyDescent="0.35">
      <c r="C231" s="911" t="s">
        <v>552</v>
      </c>
      <c r="F231" s="122" t="s">
        <v>64</v>
      </c>
      <c r="G231" s="122" t="s">
        <v>551</v>
      </c>
      <c r="I231" s="906">
        <v>45627</v>
      </c>
      <c r="J231" s="908">
        <v>15356.4</v>
      </c>
      <c r="R231" s="938" t="s">
        <v>872</v>
      </c>
      <c r="S231" s="939">
        <f>E136</f>
        <v>32445143.512460519</v>
      </c>
      <c r="T231" s="936"/>
      <c r="U231" s="936"/>
      <c r="V231" s="936"/>
      <c r="X231" s="1277" t="s">
        <v>818</v>
      </c>
      <c r="Y231" s="1278">
        <v>32445143.628808528</v>
      </c>
    </row>
    <row r="232" spans="3:25" x14ac:dyDescent="0.35">
      <c r="C232" s="912">
        <v>421306052</v>
      </c>
      <c r="F232" s="122">
        <v>0.7</v>
      </c>
      <c r="G232" s="122">
        <v>0.3</v>
      </c>
      <c r="J232" s="106">
        <f>(J231/J223)-1</f>
        <v>6.8873591380186339E-2</v>
      </c>
      <c r="L232" s="106" t="s">
        <v>685</v>
      </c>
      <c r="R232" s="938" t="s">
        <v>643</v>
      </c>
      <c r="S232" s="939">
        <f>E139</f>
        <v>21114272.204233341</v>
      </c>
      <c r="T232" s="936"/>
      <c r="U232" s="936"/>
      <c r="V232" s="936"/>
      <c r="X232" s="1277" t="s">
        <v>819</v>
      </c>
      <c r="Y232" s="1278">
        <v>21114272.139422793</v>
      </c>
    </row>
    <row r="233" spans="3:25" x14ac:dyDescent="0.35">
      <c r="D233" s="106" t="s">
        <v>553</v>
      </c>
      <c r="E233" s="120">
        <f>C232*0.2</f>
        <v>84261210.400000006</v>
      </c>
      <c r="F233" s="110">
        <f>E233*F232</f>
        <v>58982847.280000001</v>
      </c>
      <c r="G233" s="110">
        <f>+E233*G232</f>
        <v>25278363.120000001</v>
      </c>
      <c r="H233" s="1047" t="e">
        <f>E11+#REF!</f>
        <v>#REF!</v>
      </c>
      <c r="K233" s="1058">
        <v>45918</v>
      </c>
      <c r="L233" s="106" t="s">
        <v>684</v>
      </c>
      <c r="R233" s="938" t="s">
        <v>824</v>
      </c>
      <c r="S233" s="939">
        <v>0</v>
      </c>
      <c r="T233" s="936"/>
      <c r="U233" s="936"/>
      <c r="V233" s="936"/>
      <c r="X233" s="1283" t="s">
        <v>52</v>
      </c>
      <c r="Y233" s="1284">
        <f>SUM(Y230:Y232)</f>
        <v>57549415.768231317</v>
      </c>
    </row>
    <row r="234" spans="3:25" x14ac:dyDescent="0.35">
      <c r="D234" s="113" t="s">
        <v>585</v>
      </c>
      <c r="E234" s="110">
        <f>+E233*J232</f>
        <v>5803372.1742895078</v>
      </c>
      <c r="F234" s="110">
        <f>+E234*F232</f>
        <v>4062360.5220026551</v>
      </c>
      <c r="G234" s="110">
        <f>+E234*G232</f>
        <v>1741011.6522868522</v>
      </c>
      <c r="H234" s="918" t="e">
        <f>+H233/F235</f>
        <v>#REF!</v>
      </c>
      <c r="R234" s="935" t="s">
        <v>51</v>
      </c>
      <c r="S234" s="937">
        <f>+T229</f>
        <v>3990000</v>
      </c>
      <c r="T234" s="936"/>
      <c r="U234" s="936"/>
      <c r="V234" s="936"/>
      <c r="X234" s="1277" t="s">
        <v>222</v>
      </c>
      <c r="Y234" s="1279">
        <f>-758656.6-950000</f>
        <v>-1708656.6</v>
      </c>
    </row>
    <row r="235" spans="3:25" x14ac:dyDescent="0.35">
      <c r="D235" s="913" t="s">
        <v>554</v>
      </c>
      <c r="E235" s="909">
        <f>SUM(E233:E234)</f>
        <v>90064582.574289516</v>
      </c>
      <c r="F235" s="910">
        <f>SUM(F233:F234)</f>
        <v>63045207.802002653</v>
      </c>
      <c r="G235" s="910">
        <f>SUM(G233:G234)</f>
        <v>27019374.772286855</v>
      </c>
      <c r="O235" s="1043" t="s">
        <v>679</v>
      </c>
      <c r="P235" s="1041">
        <v>1458</v>
      </c>
      <c r="R235" s="935" t="s">
        <v>52</v>
      </c>
      <c r="S235" s="939">
        <f>SUM(S231:S234)</f>
        <v>57549415.716693863</v>
      </c>
      <c r="T235" s="936"/>
      <c r="U235" s="936"/>
      <c r="V235" s="936"/>
      <c r="X235" s="1277"/>
      <c r="Y235" s="1279"/>
    </row>
    <row r="236" spans="3:25" x14ac:dyDescent="0.35">
      <c r="O236" s="1045" t="s">
        <v>680</v>
      </c>
      <c r="P236" s="1042">
        <v>1445</v>
      </c>
      <c r="R236" s="935"/>
      <c r="S236" s="936"/>
      <c r="T236" s="936"/>
      <c r="U236" s="936"/>
      <c r="V236" s="936"/>
      <c r="X236" s="1277"/>
      <c r="Y236" s="1280">
        <f>+Y233+Y234</f>
        <v>55840759.168231316</v>
      </c>
    </row>
    <row r="237" spans="3:25" x14ac:dyDescent="0.35">
      <c r="L237" s="1043" t="s">
        <v>679</v>
      </c>
      <c r="P237" s="1285">
        <f>+(P235+P236)/2</f>
        <v>1451.5</v>
      </c>
      <c r="R237" s="940">
        <v>46057</v>
      </c>
      <c r="S237" s="935">
        <v>-55100000</v>
      </c>
      <c r="T237" s="936" t="s">
        <v>647</v>
      </c>
      <c r="U237" s="936"/>
      <c r="V237" s="936"/>
      <c r="X237" s="326"/>
      <c r="Y237" s="1260"/>
    </row>
    <row r="238" spans="3:25" x14ac:dyDescent="0.35">
      <c r="L238" s="1045" t="s">
        <v>680</v>
      </c>
      <c r="R238" s="940"/>
      <c r="S238" s="935">
        <f>-758656.6-950000</f>
        <v>-1708656.6</v>
      </c>
      <c r="T238" s="936" t="s">
        <v>222</v>
      </c>
      <c r="U238" s="936"/>
      <c r="V238" s="936"/>
      <c r="X238" s="1286" t="s">
        <v>825</v>
      </c>
      <c r="Y238" s="1276">
        <v>55100000</v>
      </c>
    </row>
    <row r="239" spans="3:25" x14ac:dyDescent="0.35">
      <c r="I239" s="906">
        <v>45536</v>
      </c>
      <c r="J239" s="907">
        <v>14366.9</v>
      </c>
      <c r="R239" s="940"/>
      <c r="S239" s="935">
        <v>-740759.16823131603</v>
      </c>
      <c r="T239" s="936" t="s">
        <v>834</v>
      </c>
      <c r="U239" s="936"/>
      <c r="V239" s="936"/>
      <c r="X239" s="1286">
        <v>1450</v>
      </c>
      <c r="Y239" s="1276">
        <v>38000</v>
      </c>
    </row>
    <row r="240" spans="3:25" x14ac:dyDescent="0.35">
      <c r="C240" s="911" t="s">
        <v>659</v>
      </c>
      <c r="F240" s="122" t="s">
        <v>64</v>
      </c>
      <c r="G240" s="122" t="s">
        <v>551</v>
      </c>
      <c r="I240" s="906">
        <v>45839</v>
      </c>
      <c r="J240" s="907">
        <v>16939.5</v>
      </c>
      <c r="R240" s="940"/>
      <c r="S240" s="984">
        <f>SUM(S237:S239)</f>
        <v>-57549415.768231317</v>
      </c>
      <c r="T240" s="987"/>
      <c r="U240" s="936"/>
      <c r="V240" s="936"/>
      <c r="X240" s="326"/>
      <c r="Y240" s="1260"/>
    </row>
    <row r="241" spans="3:25" x14ac:dyDescent="0.35">
      <c r="C241" s="912">
        <f>E5</f>
        <v>736857133.01950002</v>
      </c>
      <c r="F241" s="122">
        <v>0.7</v>
      </c>
      <c r="G241" s="122">
        <v>0.3</v>
      </c>
      <c r="J241" s="106">
        <f>(J240/J239)-1</f>
        <v>0.1790643771446867</v>
      </c>
      <c r="R241" s="986" t="s">
        <v>614</v>
      </c>
      <c r="S241" s="941">
        <f>+S235+S240</f>
        <v>-5.1537454128265381E-2</v>
      </c>
      <c r="T241" s="987"/>
      <c r="U241" s="1209"/>
      <c r="V241" s="941"/>
      <c r="X241" s="1281" t="s">
        <v>399</v>
      </c>
      <c r="Y241" s="1282">
        <f>+Y236-Y238</f>
        <v>740759.16823131591</v>
      </c>
    </row>
    <row r="242" spans="3:25" x14ac:dyDescent="0.35">
      <c r="D242" s="106" t="s">
        <v>667</v>
      </c>
      <c r="E242" s="120">
        <f>C241*0.4</f>
        <v>294742853.20780003</v>
      </c>
      <c r="F242" s="110">
        <f>E242*F241</f>
        <v>206319997.24546</v>
      </c>
      <c r="G242" s="110">
        <f>+E242*G241</f>
        <v>88422855.962340012</v>
      </c>
      <c r="H242" s="120">
        <f>+E242/E244</f>
        <v>0.84813011009770067</v>
      </c>
      <c r="K242" s="1058">
        <v>45930</v>
      </c>
      <c r="L242" s="106" t="s">
        <v>684</v>
      </c>
    </row>
    <row r="243" spans="3:25" x14ac:dyDescent="0.35">
      <c r="D243" s="113" t="s">
        <v>660</v>
      </c>
      <c r="E243" s="110">
        <f>+E242*J241</f>
        <v>52777945.427502535</v>
      </c>
      <c r="F243" s="110">
        <f>+E243*F241</f>
        <v>36944561.799251772</v>
      </c>
      <c r="G243" s="110">
        <f>+E243*G241</f>
        <v>15833383.628250759</v>
      </c>
      <c r="H243" s="120">
        <f>+E243/E244</f>
        <v>0.15186988990229933</v>
      </c>
    </row>
    <row r="244" spans="3:25" x14ac:dyDescent="0.35">
      <c r="D244" s="913" t="s">
        <v>554</v>
      </c>
      <c r="E244" s="909">
        <f>SUM(E242:E243)</f>
        <v>347520798.63530254</v>
      </c>
      <c r="F244" s="910">
        <f>SUM(F242:F243)</f>
        <v>243264559.04471177</v>
      </c>
      <c r="G244" s="910">
        <f>SUM(G242:G243)</f>
        <v>104256239.59059078</v>
      </c>
      <c r="R244" s="938" t="s">
        <v>870</v>
      </c>
      <c r="S244" s="936"/>
      <c r="T244" s="936"/>
      <c r="U244" s="936"/>
      <c r="V244" s="936"/>
    </row>
    <row r="245" spans="3:25" x14ac:dyDescent="0.35">
      <c r="R245" s="935"/>
      <c r="S245" s="936" t="s">
        <v>582</v>
      </c>
      <c r="T245" s="936" t="s">
        <v>51</v>
      </c>
      <c r="U245" s="936" t="s">
        <v>52</v>
      </c>
      <c r="V245" s="936"/>
    </row>
    <row r="246" spans="3:25" x14ac:dyDescent="0.35">
      <c r="R246" s="985">
        <v>831</v>
      </c>
      <c r="S246" s="935">
        <v>18000000</v>
      </c>
      <c r="T246" s="935">
        <f>+S246*0.105</f>
        <v>1890000</v>
      </c>
      <c r="U246" s="935">
        <f>+S246+T246</f>
        <v>19890000</v>
      </c>
      <c r="V246" s="936"/>
    </row>
    <row r="247" spans="3:25" x14ac:dyDescent="0.35">
      <c r="E247" s="1031" t="s">
        <v>661</v>
      </c>
      <c r="F247" s="120">
        <f>F244/3</f>
        <v>81088186.348237261</v>
      </c>
      <c r="G247" s="120">
        <f>G244/3</f>
        <v>34752079.863530256</v>
      </c>
      <c r="H247" s="1032" t="s">
        <v>664</v>
      </c>
      <c r="R247" s="985"/>
      <c r="S247" s="937"/>
      <c r="T247" s="937"/>
      <c r="U247" s="935"/>
      <c r="V247" s="936"/>
    </row>
    <row r="248" spans="3:25" x14ac:dyDescent="0.35">
      <c r="E248" s="1031" t="s">
        <v>662</v>
      </c>
      <c r="F248" s="120">
        <f>F244/3</f>
        <v>81088186.348237261</v>
      </c>
      <c r="G248" s="120">
        <f>G244/3</f>
        <v>34752079.863530256</v>
      </c>
      <c r="H248" s="1032" t="s">
        <v>665</v>
      </c>
      <c r="R248" s="938" t="s">
        <v>871</v>
      </c>
      <c r="S248" s="939">
        <f>E122</f>
        <v>8751997.0049676001</v>
      </c>
      <c r="T248" s="936"/>
      <c r="U248" s="936"/>
      <c r="V248" s="936"/>
    </row>
    <row r="249" spans="3:25" x14ac:dyDescent="0.35">
      <c r="E249" s="1031" t="s">
        <v>663</v>
      </c>
      <c r="F249" s="120">
        <f>F244/3</f>
        <v>81088186.348237261</v>
      </c>
      <c r="G249" s="120">
        <f>G244/3</f>
        <v>34752079.863530256</v>
      </c>
      <c r="H249" s="1032" t="s">
        <v>666</v>
      </c>
      <c r="R249" s="938" t="s">
        <v>651</v>
      </c>
      <c r="S249" s="939">
        <f>E125</f>
        <v>21013748.412392378</v>
      </c>
      <c r="T249" s="936"/>
      <c r="U249" s="936"/>
      <c r="V249" s="936"/>
    </row>
    <row r="250" spans="3:25" x14ac:dyDescent="0.35">
      <c r="R250" s="938" t="s">
        <v>824</v>
      </c>
      <c r="S250" s="939">
        <v>0</v>
      </c>
      <c r="T250" s="936"/>
      <c r="U250" s="936"/>
      <c r="V250" s="936"/>
    </row>
    <row r="251" spans="3:25" x14ac:dyDescent="0.35">
      <c r="R251" s="935" t="s">
        <v>51</v>
      </c>
      <c r="S251" s="937">
        <f>+T246</f>
        <v>1890000</v>
      </c>
      <c r="T251" s="936"/>
      <c r="U251" s="936"/>
      <c r="V251" s="936"/>
    </row>
    <row r="252" spans="3:25" x14ac:dyDescent="0.35">
      <c r="R252" s="935" t="s">
        <v>52</v>
      </c>
      <c r="S252" s="939">
        <f>SUM(S248:S251)</f>
        <v>31655745.417359978</v>
      </c>
      <c r="T252" s="936"/>
      <c r="U252" s="936"/>
      <c r="V252" s="936"/>
    </row>
    <row r="253" spans="3:25" x14ac:dyDescent="0.35">
      <c r="R253" s="935"/>
      <c r="S253" s="936"/>
      <c r="T253" s="936"/>
      <c r="U253" s="936"/>
      <c r="V253" s="936"/>
    </row>
    <row r="254" spans="3:25" x14ac:dyDescent="0.35">
      <c r="R254" s="940">
        <v>46086</v>
      </c>
      <c r="S254" s="935">
        <v>-21240000</v>
      </c>
      <c r="T254" s="936"/>
      <c r="U254" s="1209" t="s">
        <v>874</v>
      </c>
      <c r="V254" s="936"/>
    </row>
    <row r="255" spans="3:25" x14ac:dyDescent="0.35">
      <c r="R255" s="940">
        <v>46086</v>
      </c>
      <c r="S255" s="935">
        <v>-6000000</v>
      </c>
      <c r="T255" s="936"/>
      <c r="U255" s="1209"/>
      <c r="V255" s="936"/>
    </row>
    <row r="256" spans="3:25" x14ac:dyDescent="0.35">
      <c r="R256" s="940">
        <v>46094</v>
      </c>
      <c r="S256" s="935">
        <v>-5797672</v>
      </c>
      <c r="T256" s="936"/>
      <c r="U256" s="1209" t="s">
        <v>873</v>
      </c>
      <c r="V256" s="936"/>
    </row>
    <row r="257" spans="18:22" x14ac:dyDescent="0.35">
      <c r="R257" s="940">
        <v>46099</v>
      </c>
      <c r="S257" s="935">
        <f>-358656.6-450000</f>
        <v>-808656.6</v>
      </c>
      <c r="T257" s="936" t="s">
        <v>222</v>
      </c>
      <c r="U257" s="936"/>
      <c r="V257" s="936"/>
    </row>
    <row r="258" spans="18:22" x14ac:dyDescent="0.35">
      <c r="R258" s="940"/>
      <c r="S258" s="984">
        <f>SUM(S254:S257)</f>
        <v>-33846328.600000001</v>
      </c>
      <c r="T258" s="987"/>
      <c r="U258" s="936"/>
      <c r="V258" s="936"/>
    </row>
    <row r="259" spans="18:22" x14ac:dyDescent="0.35">
      <c r="R259" s="986" t="s">
        <v>614</v>
      </c>
      <c r="S259" s="941">
        <f>+S252+S258</f>
        <v>-2190583.1826400235</v>
      </c>
      <c r="T259" s="987"/>
      <c r="U259" s="1209"/>
      <c r="V259" s="941"/>
    </row>
    <row r="262" spans="18:22" x14ac:dyDescent="0.35">
      <c r="R262" s="938" t="s">
        <v>681</v>
      </c>
      <c r="S262" s="936"/>
      <c r="T262" s="936"/>
      <c r="U262" s="936"/>
      <c r="V262" s="936"/>
    </row>
    <row r="263" spans="18:22" x14ac:dyDescent="0.35">
      <c r="R263" s="935"/>
      <c r="S263" s="936" t="s">
        <v>582</v>
      </c>
      <c r="T263" s="936" t="s">
        <v>51</v>
      </c>
      <c r="U263" s="936" t="s">
        <v>52</v>
      </c>
      <c r="V263" s="936"/>
    </row>
    <row r="264" spans="18:22" x14ac:dyDescent="0.35">
      <c r="R264" s="1335">
        <v>846</v>
      </c>
      <c r="S264" s="935">
        <v>20000000</v>
      </c>
      <c r="T264" s="935">
        <f>+S264*0.105</f>
        <v>2100000</v>
      </c>
      <c r="U264" s="935">
        <f>+S264+T264</f>
        <v>22100000</v>
      </c>
      <c r="V264" s="936"/>
    </row>
    <row r="265" spans="18:22" x14ac:dyDescent="0.35">
      <c r="R265" s="985"/>
      <c r="S265" s="937"/>
      <c r="T265" s="937"/>
      <c r="U265" s="935"/>
      <c r="V265" s="936"/>
    </row>
    <row r="266" spans="18:22" x14ac:dyDescent="0.35">
      <c r="R266" s="938" t="s">
        <v>651</v>
      </c>
      <c r="S266" s="939">
        <f>E111</f>
        <v>36855250.655534595</v>
      </c>
      <c r="T266" s="936"/>
      <c r="U266" s="936"/>
      <c r="V266" s="936"/>
    </row>
    <row r="267" spans="18:22" x14ac:dyDescent="0.35">
      <c r="R267" s="938" t="s">
        <v>904</v>
      </c>
      <c r="S267" s="939">
        <f>E112</f>
        <v>5256674</v>
      </c>
      <c r="T267" s="936"/>
      <c r="U267" s="936"/>
      <c r="V267" s="936"/>
    </row>
    <row r="268" spans="18:22" x14ac:dyDescent="0.35">
      <c r="R268" s="935" t="s">
        <v>51</v>
      </c>
      <c r="S268" s="937">
        <f>+T264</f>
        <v>2100000</v>
      </c>
      <c r="T268" s="936"/>
      <c r="U268" s="936"/>
      <c r="V268" s="936"/>
    </row>
    <row r="269" spans="18:22" x14ac:dyDescent="0.35">
      <c r="R269" s="935" t="s">
        <v>52</v>
      </c>
      <c r="S269" s="939">
        <f>SUM(S266:S268)</f>
        <v>44211924.655534595</v>
      </c>
      <c r="T269" s="936"/>
      <c r="U269" s="936"/>
      <c r="V269" s="936"/>
    </row>
    <row r="270" spans="18:22" x14ac:dyDescent="0.35">
      <c r="R270" s="935"/>
      <c r="S270" s="936"/>
      <c r="T270" s="936"/>
      <c r="U270" s="936"/>
      <c r="V270" s="936"/>
    </row>
    <row r="271" spans="18:22" x14ac:dyDescent="0.35">
      <c r="R271" s="940">
        <v>46122</v>
      </c>
      <c r="S271" s="935">
        <v>-35025000</v>
      </c>
      <c r="T271" s="936"/>
      <c r="U271" s="1209" t="s">
        <v>905</v>
      </c>
      <c r="V271" s="936"/>
    </row>
    <row r="272" spans="18:22" x14ac:dyDescent="0.35">
      <c r="R272" s="940">
        <v>46122</v>
      </c>
      <c r="S272" s="935">
        <f>-500000-398656.6</f>
        <v>-898656.6</v>
      </c>
      <c r="T272" s="936" t="s">
        <v>222</v>
      </c>
      <c r="U272" s="1209"/>
      <c r="V272" s="936"/>
    </row>
    <row r="273" spans="18:22" x14ac:dyDescent="0.35">
      <c r="R273" s="940">
        <v>46133</v>
      </c>
      <c r="S273" s="935">
        <f>-1900000-2700000-3300000-500000</f>
        <v>-8400000</v>
      </c>
      <c r="T273" s="936" t="s">
        <v>906</v>
      </c>
      <c r="U273" s="1209"/>
      <c r="V273" s="936"/>
    </row>
    <row r="274" spans="18:22" x14ac:dyDescent="0.35">
      <c r="R274" s="940"/>
      <c r="S274" s="984">
        <f>SUM(S271:S273)</f>
        <v>-44323656.600000001</v>
      </c>
      <c r="T274" s="987"/>
      <c r="U274" s="936"/>
      <c r="V274" s="936"/>
    </row>
    <row r="275" spans="18:22" x14ac:dyDescent="0.35">
      <c r="R275" s="986" t="s">
        <v>614</v>
      </c>
      <c r="S275" s="941">
        <f>+S269+S274</f>
        <v>-111731.94446540624</v>
      </c>
      <c r="T275" s="987"/>
      <c r="U275" s="1209"/>
      <c r="V275" s="941"/>
    </row>
    <row r="278" spans="18:22" x14ac:dyDescent="0.35">
      <c r="R278" s="938" t="s">
        <v>698</v>
      </c>
      <c r="S278" s="936"/>
      <c r="T278" s="936"/>
      <c r="U278" s="936"/>
      <c r="V278" s="936"/>
    </row>
    <row r="279" spans="18:22" x14ac:dyDescent="0.35">
      <c r="R279" s="935"/>
      <c r="S279" s="936" t="s">
        <v>582</v>
      </c>
      <c r="T279" s="936" t="s">
        <v>51</v>
      </c>
      <c r="U279" s="936" t="s">
        <v>52</v>
      </c>
      <c r="V279" s="936"/>
    </row>
    <row r="280" spans="18:22" x14ac:dyDescent="0.35">
      <c r="R280" s="1335" t="s">
        <v>936</v>
      </c>
      <c r="S280" s="935">
        <v>29650000</v>
      </c>
      <c r="T280" s="935">
        <f>+S280*0.105</f>
        <v>3113250</v>
      </c>
      <c r="U280" s="935">
        <f>+S280+T280</f>
        <v>32763250</v>
      </c>
      <c r="V280" s="936"/>
    </row>
    <row r="281" spans="18:22" x14ac:dyDescent="0.35">
      <c r="R281" s="985"/>
      <c r="S281" s="937"/>
      <c r="T281" s="937"/>
      <c r="U281" s="935"/>
      <c r="V281" s="936"/>
    </row>
    <row r="282" spans="18:22" x14ac:dyDescent="0.35">
      <c r="R282" s="938" t="s">
        <v>698</v>
      </c>
      <c r="S282" s="939">
        <f>E100</f>
        <v>57003915.009417482</v>
      </c>
      <c r="T282" s="936"/>
      <c r="U282" s="936"/>
      <c r="V282" s="936"/>
    </row>
    <row r="283" spans="18:22" x14ac:dyDescent="0.35">
      <c r="R283" s="938" t="s">
        <v>937</v>
      </c>
      <c r="S283" s="939">
        <f>E103</f>
        <v>1868050.2725832015</v>
      </c>
      <c r="T283" s="936"/>
      <c r="U283" s="936"/>
      <c r="V283" s="936"/>
    </row>
    <row r="284" spans="18:22" x14ac:dyDescent="0.35">
      <c r="R284" s="935" t="s">
        <v>51</v>
      </c>
      <c r="S284" s="937">
        <f>+T280</f>
        <v>3113250</v>
      </c>
      <c r="T284" s="936"/>
      <c r="U284" s="936"/>
      <c r="V284" s="936"/>
    </row>
    <row r="285" spans="18:22" x14ac:dyDescent="0.35">
      <c r="R285" s="935" t="s">
        <v>52</v>
      </c>
      <c r="S285" s="939">
        <f>SUM(S282:S284)</f>
        <v>61985215.282000683</v>
      </c>
      <c r="T285" s="936"/>
      <c r="U285" s="936"/>
      <c r="V285" s="936"/>
    </row>
    <row r="286" spans="18:22" x14ac:dyDescent="0.35">
      <c r="R286" s="935"/>
      <c r="S286" s="936"/>
      <c r="T286" s="936"/>
      <c r="U286" s="936"/>
      <c r="V286" s="936"/>
    </row>
    <row r="287" spans="18:22" x14ac:dyDescent="0.35">
      <c r="R287" s="940">
        <v>46154</v>
      </c>
      <c r="S287" s="935">
        <v>-56000000</v>
      </c>
      <c r="T287" s="936"/>
      <c r="U287" s="1209" t="s">
        <v>938</v>
      </c>
      <c r="V287" s="936"/>
    </row>
    <row r="288" spans="18:22" x14ac:dyDescent="0.35">
      <c r="R288" s="940">
        <v>46154</v>
      </c>
      <c r="S288" s="935">
        <v>-1870000</v>
      </c>
      <c r="T288" s="936"/>
      <c r="U288" s="1209"/>
      <c r="V288" s="936"/>
    </row>
    <row r="289" spans="18:22" x14ac:dyDescent="0.35">
      <c r="R289" s="940">
        <v>46169</v>
      </c>
      <c r="S289" s="935">
        <f>-591656.6-741250</f>
        <v>-1332906.6000000001</v>
      </c>
      <c r="T289" s="936"/>
      <c r="U289" s="1209"/>
      <c r="V289" s="936"/>
    </row>
    <row r="290" spans="18:22" x14ac:dyDescent="0.35">
      <c r="R290" s="940"/>
      <c r="S290" s="984">
        <f>SUM(S287:S289)</f>
        <v>-59202906.600000001</v>
      </c>
      <c r="T290" s="987"/>
      <c r="U290" s="936"/>
      <c r="V290" s="936"/>
    </row>
    <row r="291" spans="18:22" x14ac:dyDescent="0.35">
      <c r="R291" s="986" t="s">
        <v>614</v>
      </c>
      <c r="S291" s="941">
        <f>+S285+S290</f>
        <v>2782308.6820006818</v>
      </c>
      <c r="T291" s="987"/>
      <c r="U291" s="1209"/>
      <c r="V291" s="941"/>
    </row>
  </sheetData>
  <mergeCells count="2">
    <mergeCell ref="K9:K10"/>
    <mergeCell ref="L9:L10"/>
  </mergeCells>
  <phoneticPr fontId="23" type="noConversion"/>
  <dataValidations count="1">
    <dataValidation type="list" allowBlank="1" showInputMessage="1" showErrorMessage="1" sqref="J64" xr:uid="{C84C3FE6-83C0-4975-92E1-3FB831CC67DE}">
      <formula1>$J$4:$J$7</formula1>
    </dataValidation>
  </dataValidations>
  <pageMargins left="0.19685039370078741" right="0.19685039370078741" top="0.39370078740157483" bottom="0.39370078740157483" header="0.31496062992125984" footer="0.31496062992125984"/>
  <pageSetup paperSize="9" scale="90" orientation="landscape" r:id="rId1"/>
  <ignoredErrors>
    <ignoredError sqref="C25 E27:F2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DD1C-FD65-4D4C-A9BE-74AE2B20913D}">
  <sheetPr codeName="Hoja4"/>
  <dimension ref="B4:O52"/>
  <sheetViews>
    <sheetView workbookViewId="0"/>
  </sheetViews>
  <sheetFormatPr defaultColWidth="11.453125" defaultRowHeight="14.5" x14ac:dyDescent="0.35"/>
  <cols>
    <col min="1" max="1" width="1.453125" style="172" customWidth="1"/>
    <col min="2" max="2" width="25.1796875" style="172" customWidth="1"/>
    <col min="3" max="3" width="4.81640625" style="172" customWidth="1"/>
    <col min="4" max="5" width="13.453125" style="172" bestFit="1" customWidth="1"/>
    <col min="6" max="6" width="1.26953125" style="172" customWidth="1"/>
    <col min="7" max="7" width="13.453125" style="172" bestFit="1" customWidth="1"/>
    <col min="8" max="8" width="4.453125" style="172" customWidth="1"/>
    <col min="9" max="9" width="15.453125" style="172" customWidth="1"/>
    <col min="10" max="10" width="3.1796875" style="172" customWidth="1"/>
    <col min="11" max="11" width="17.1796875" style="172" bestFit="1" customWidth="1"/>
    <col min="12" max="12" width="14.81640625" style="172" bestFit="1" customWidth="1"/>
    <col min="13" max="13" width="13" style="172" bestFit="1" customWidth="1"/>
    <col min="14" max="16384" width="11.453125" style="172"/>
  </cols>
  <sheetData>
    <row r="4" spans="2:15" ht="21" x14ac:dyDescent="0.35">
      <c r="B4" s="171" t="s">
        <v>66</v>
      </c>
      <c r="C4" s="171"/>
    </row>
    <row r="5" spans="2:15" x14ac:dyDescent="0.35">
      <c r="B5" s="173" t="s">
        <v>47</v>
      </c>
      <c r="C5" s="173"/>
    </row>
    <row r="6" spans="2:15" x14ac:dyDescent="0.35">
      <c r="B6" s="173" t="s">
        <v>67</v>
      </c>
      <c r="C6" s="173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3"/>
    </row>
    <row r="7" spans="2:15" x14ac:dyDescent="0.35">
      <c r="B7" s="5"/>
      <c r="C7" s="5"/>
      <c r="D7" s="276">
        <v>45383</v>
      </c>
      <c r="E7" s="276">
        <v>45413</v>
      </c>
      <c r="F7" s="170"/>
      <c r="G7" s="277" t="s">
        <v>52</v>
      </c>
    </row>
    <row r="8" spans="2:15" ht="6" customHeight="1" x14ac:dyDescent="0.35">
      <c r="B8" s="5"/>
      <c r="C8" s="5"/>
      <c r="D8" s="170"/>
      <c r="E8" s="170"/>
      <c r="F8" s="170"/>
      <c r="G8" s="278"/>
    </row>
    <row r="9" spans="2:15" x14ac:dyDescent="0.35">
      <c r="B9" s="279" t="s">
        <v>68</v>
      </c>
      <c r="C9" s="279"/>
      <c r="D9" s="176"/>
      <c r="E9" s="176"/>
      <c r="F9" s="177"/>
      <c r="G9" s="177"/>
    </row>
    <row r="10" spans="2:15" x14ac:dyDescent="0.35">
      <c r="B10" s="66" t="s">
        <v>33</v>
      </c>
      <c r="C10" s="191"/>
      <c r="D10" s="244">
        <f>SUMIFS(Facturacion!$E:$E,Facturacion!$L:$L,"&gt;="&amp;DATE(2024,4,1),Facturacion!$L:$L,"&lt;="&amp;DATE(2024,4,30))</f>
        <v>0</v>
      </c>
      <c r="E10" s="244">
        <f>SUMIFS(Facturacion!$E:$E,Facturacion!$L:$L,"&gt;="&amp;DATE(2024,5,1),Facturacion!$L:$L,"&lt;="&amp;DATE(2024,5,31))</f>
        <v>0</v>
      </c>
      <c r="F10" s="245"/>
      <c r="G10" s="244">
        <f>SUMIF(D$7:F$7,"Ejercicio*",$D10:F10)</f>
        <v>0</v>
      </c>
    </row>
    <row r="11" spans="2:15" x14ac:dyDescent="0.35">
      <c r="B11" s="242" t="s">
        <v>34</v>
      </c>
      <c r="C11" s="243"/>
      <c r="D11" s="244">
        <f>SUMIFS(Facturacion!$F:$F,Facturacion!$L:$L,"&gt;="&amp;DATE(2024,4,1),Facturacion!$L:$L,"&lt;="&amp;DATE(2024,4,30))</f>
        <v>0</v>
      </c>
      <c r="E11" s="244">
        <f>SUMIFS(Facturacion!$F:$F,Facturacion!$L:$L,"&gt;="&amp;DATE(2024,5,1),Facturacion!$L:$L,"&lt;="&amp;DATE(2024,5,31))</f>
        <v>0</v>
      </c>
      <c r="F11" s="245"/>
      <c r="G11" s="244">
        <f>SUMIF(D$7:F$7,"Ejercicio*",$D11:F11)</f>
        <v>0</v>
      </c>
    </row>
    <row r="12" spans="2:15" x14ac:dyDescent="0.35">
      <c r="B12" s="280" t="s">
        <v>69</v>
      </c>
      <c r="C12" s="281"/>
      <c r="D12" s="282">
        <f>SUM(D$10:D$11)</f>
        <v>0</v>
      </c>
      <c r="E12" s="282">
        <f t="shared" ref="E12" si="0">SUM(E$10:E$11)</f>
        <v>0</v>
      </c>
      <c r="F12" s="246"/>
      <c r="G12" s="283">
        <f>SUM(G10:G11)</f>
        <v>0</v>
      </c>
    </row>
    <row r="13" spans="2:15" x14ac:dyDescent="0.35">
      <c r="B13" s="179"/>
      <c r="C13" s="179"/>
      <c r="D13" s="180"/>
      <c r="E13" s="180"/>
      <c r="F13" s="178"/>
      <c r="G13" s="181"/>
    </row>
    <row r="14" spans="2:15" x14ac:dyDescent="0.35">
      <c r="B14" s="279" t="s">
        <v>70</v>
      </c>
      <c r="C14" s="175"/>
      <c r="D14" s="180"/>
      <c r="E14" s="180"/>
      <c r="F14" s="178"/>
      <c r="G14" s="181"/>
    </row>
    <row r="15" spans="2:15" x14ac:dyDescent="0.35">
      <c r="B15" s="284" t="s">
        <v>71</v>
      </c>
      <c r="C15" s="182"/>
      <c r="D15" s="180"/>
      <c r="E15" s="180"/>
      <c r="F15" s="178"/>
      <c r="G15" s="181"/>
    </row>
    <row r="16" spans="2:15" x14ac:dyDescent="0.35">
      <c r="B16" s="66" t="s">
        <v>221</v>
      </c>
      <c r="C16" s="196"/>
      <c r="D16" s="244">
        <f>IFERROR(VLOOKUP($B16&amp;$C16,'C. Gestión Pto #1'!$B$4:B$17,MATCH('Cash Flow'!D$7,'C. Gestión Pto #1'!$B$4:B$4,0),0),0)</f>
        <v>0</v>
      </c>
      <c r="E16" s="244">
        <f>IFERROR(VLOOKUP($B16&amp;$C16,'C. Gestión Pto #1'!$B$4:B$17,MATCH('Cash Flow'!E$7,'C. Gestión Pto #1'!$B$4:B$4,0),0),0)</f>
        <v>0</v>
      </c>
      <c r="F16" s="245"/>
      <c r="G16" s="244">
        <f>SUMIF(D$7:F$7,"Ejercicio*",$D16:F16)</f>
        <v>0</v>
      </c>
      <c r="H16" s="183"/>
    </row>
    <row r="17" spans="2:11" x14ac:dyDescent="0.35">
      <c r="B17" s="66" t="s">
        <v>217</v>
      </c>
      <c r="C17" s="196"/>
      <c r="D17" s="244">
        <f>IFERROR(VLOOKUP($B17&amp;$C17,'C. Gestión Pto #1'!$B$4:B$17,MATCH('Cash Flow'!D$7,'C. Gestión Pto #1'!$B$4:B$4,0),0),0)</f>
        <v>0</v>
      </c>
      <c r="E17" s="244">
        <f>IFERROR(VLOOKUP($B17&amp;$C17,'C. Gestión Pto #1'!$B$4:B$17,MATCH('Cash Flow'!E$7,'C. Gestión Pto #1'!$B$4:B$4,0),0),0)</f>
        <v>0</v>
      </c>
      <c r="F17" s="245"/>
      <c r="G17" s="244">
        <f>SUMIF(D$7:F$7,"Ejercicio*",$D17:F17)</f>
        <v>0</v>
      </c>
      <c r="H17" s="183"/>
      <c r="K17" s="190"/>
    </row>
    <row r="18" spans="2:11" x14ac:dyDescent="0.35">
      <c r="B18" s="66" t="s">
        <v>100</v>
      </c>
      <c r="C18" s="196"/>
      <c r="D18" s="244">
        <f>IFERROR(VLOOKUP($B18&amp;$C18,'C. Gestión Pto #1'!$B$4:B$17,MATCH('Cash Flow'!D$7,'C. Gestión Pto #1'!$B$4:B$4,0),0),0)</f>
        <v>0</v>
      </c>
      <c r="E18" s="244">
        <f>IFERROR(VLOOKUP($B18&amp;$C18,'C. Gestión Pto #1'!$B$4:B$17,MATCH('Cash Flow'!E$7,'C. Gestión Pto #1'!$B$4:B$4,0),0),0)</f>
        <v>0</v>
      </c>
      <c r="F18" s="245"/>
      <c r="G18" s="244">
        <f>SUMIF(D$7:F$7,"Ejercicio*",$D18:F18)</f>
        <v>0</v>
      </c>
      <c r="H18" s="183"/>
    </row>
    <row r="19" spans="2:11" x14ac:dyDescent="0.35">
      <c r="B19" s="66" t="s">
        <v>218</v>
      </c>
      <c r="C19" s="196"/>
      <c r="D19" s="244">
        <f>IFERROR(VLOOKUP($B19&amp;$C19,'C. Gestión Pto #1'!$B$4:B$17,MATCH('Cash Flow'!D$7,'C. Gestión Pto #1'!$B$4:B$4,0),0),0)</f>
        <v>0</v>
      </c>
      <c r="E19" s="244">
        <f>IFERROR(VLOOKUP($B19&amp;$C19,'C. Gestión Pto #1'!$B$4:B$17,MATCH('Cash Flow'!E$7,'C. Gestión Pto #1'!$B$4:B$4,0),0),0)</f>
        <v>0</v>
      </c>
      <c r="F19" s="245"/>
      <c r="G19" s="244">
        <f>SUMIF(D$7:F$7,"Ejercicio*",$D19:F19)</f>
        <v>0</v>
      </c>
      <c r="H19" s="183"/>
    </row>
    <row r="20" spans="2:11" x14ac:dyDescent="0.35">
      <c r="B20" s="66" t="s">
        <v>106</v>
      </c>
      <c r="C20" s="196"/>
      <c r="D20" s="244">
        <f>IFERROR(VLOOKUP($B20&amp;$C20,'C. Gestión Pto #1'!$B$4:B$17,MATCH('Cash Flow'!D$7,'C. Gestión Pto #1'!$B$4:B$4,0),0),0)</f>
        <v>0</v>
      </c>
      <c r="E20" s="244">
        <f>IFERROR(VLOOKUP($B20&amp;$C20,'C. Gestión Pto #1'!$B$4:B$17,MATCH('Cash Flow'!E$7,'C. Gestión Pto #1'!$B$4:B$4,0),0),0)</f>
        <v>0</v>
      </c>
      <c r="F20" s="245"/>
      <c r="G20" s="244">
        <f>SUMIF(D$7:F$7,"Ejercicio*",$D20:F20)</f>
        <v>0</v>
      </c>
      <c r="H20" s="183"/>
    </row>
    <row r="21" spans="2:11" x14ac:dyDescent="0.35">
      <c r="B21" s="66" t="s">
        <v>216</v>
      </c>
      <c r="C21" s="196"/>
      <c r="D21" s="244">
        <f>IFERROR(VLOOKUP($B21&amp;$C21,'C. Gestión Pto #1'!$B$4:B$17,MATCH('Cash Flow'!D$7,'C. Gestión Pto #1'!$B$4:B$4,0),0),0)</f>
        <v>0</v>
      </c>
      <c r="E21" s="244">
        <f>IFERROR(VLOOKUP($B21&amp;$C21,'C. Gestión Pto #1'!$B$4:B$17,MATCH('Cash Flow'!E$7,'C. Gestión Pto #1'!$B$4:B$4,0),0),0)</f>
        <v>0</v>
      </c>
      <c r="F21" s="245"/>
      <c r="G21" s="244">
        <f>SUMIF(D$7:F$7,"Ejercicio*",$D21:F21)</f>
        <v>0</v>
      </c>
      <c r="H21" s="183"/>
    </row>
    <row r="22" spans="2:11" x14ac:dyDescent="0.35">
      <c r="B22" s="66" t="s">
        <v>161</v>
      </c>
      <c r="C22" s="196"/>
      <c r="D22" s="244">
        <f>IFERROR(VLOOKUP($B22&amp;$C22,'C. Gestión Pto #1'!$B$4:B$17,MATCH('Cash Flow'!D$7,'C. Gestión Pto #1'!$B$4:B$4,0),0),0)</f>
        <v>0</v>
      </c>
      <c r="E22" s="244">
        <f>IFERROR(VLOOKUP($B22&amp;$C22,'C. Gestión Pto #1'!$B$4:B$17,MATCH('Cash Flow'!E$7,'C. Gestión Pto #1'!$B$4:B$4,0),0),0)</f>
        <v>0</v>
      </c>
      <c r="F22" s="245"/>
      <c r="G22" s="244">
        <f>SUMIF(D$7:F$7,"Ejercicio*",$D22:F22)</f>
        <v>0</v>
      </c>
      <c r="H22" s="183"/>
    </row>
    <row r="23" spans="2:11" x14ac:dyDescent="0.35">
      <c r="B23" s="66" t="s">
        <v>110</v>
      </c>
      <c r="C23" s="196" t="s">
        <v>38</v>
      </c>
      <c r="D23" s="244">
        <f>IFERROR(VLOOKUP($B23&amp;$C23,'C. Gestión Pto #1'!$B$4:B$17,MATCH('Cash Flow'!D$7,'C. Gestión Pto #1'!$B$4:B$4,0),0),0)</f>
        <v>0</v>
      </c>
      <c r="E23" s="244">
        <f>IFERROR(VLOOKUP($B23&amp;$C23,'C. Gestión Pto #1'!$B$4:B$17,MATCH('Cash Flow'!E$7,'C. Gestión Pto #1'!$B$4:B$4,0),0),0)</f>
        <v>0</v>
      </c>
      <c r="F23" s="245"/>
      <c r="G23" s="244">
        <f>SUMIF(D$7:F$7,"Ejercicio*",$D23:F23)</f>
        <v>0</v>
      </c>
      <c r="H23" s="183"/>
    </row>
    <row r="24" spans="2:11" x14ac:dyDescent="0.35">
      <c r="B24" s="66" t="s">
        <v>110</v>
      </c>
      <c r="C24" s="196" t="s">
        <v>39</v>
      </c>
      <c r="D24" s="244">
        <f>IFERROR(VLOOKUP($B24&amp;$C24,'C. Gestión Pto #1'!$B$4:B$17,MATCH('Cash Flow'!D$7,'C. Gestión Pto #1'!$B$4:B$4,0),0),0)</f>
        <v>0</v>
      </c>
      <c r="E24" s="244">
        <f>IFERROR(VLOOKUP($B24&amp;$C24,'C. Gestión Pto #1'!$B$4:B$17,MATCH('Cash Flow'!E$7,'C. Gestión Pto #1'!$B$4:B$4,0),0),0)</f>
        <v>0</v>
      </c>
      <c r="F24" s="245"/>
      <c r="G24" s="244">
        <f>SUMIF(D$7:F$7,"Ejercicio*",$D24:F24)</f>
        <v>0</v>
      </c>
      <c r="H24" s="183"/>
    </row>
    <row r="25" spans="2:11" x14ac:dyDescent="0.35">
      <c r="B25" s="66" t="s">
        <v>113</v>
      </c>
      <c r="C25" s="196" t="s">
        <v>38</v>
      </c>
      <c r="D25" s="244">
        <f>IFERROR(VLOOKUP($B25&amp;$C25,'C. Gestión Pto #1'!$B$4:B$17,MATCH('Cash Flow'!D$7,'C. Gestión Pto #1'!$B$4:B$4,0),0),0)</f>
        <v>0</v>
      </c>
      <c r="E25" s="244">
        <f>IFERROR(VLOOKUP($B25&amp;$C25,'C. Gestión Pto #1'!$B$4:B$17,MATCH('Cash Flow'!E$7,'C. Gestión Pto #1'!$B$4:B$4,0),0),0)</f>
        <v>0</v>
      </c>
      <c r="F25" s="245"/>
      <c r="G25" s="244">
        <f>SUMIF(D$7:F$7,"Ejercicio*",$D25:F25)</f>
        <v>0</v>
      </c>
      <c r="H25" s="183"/>
    </row>
    <row r="26" spans="2:11" x14ac:dyDescent="0.35">
      <c r="B26" s="66" t="s">
        <v>113</v>
      </c>
      <c r="C26" s="196" t="s">
        <v>39</v>
      </c>
      <c r="D26" s="244">
        <f>IFERROR(VLOOKUP($B26&amp;$C26,'C. Gestión Pto #1'!$B$4:B$17,MATCH('Cash Flow'!D$7,'C. Gestión Pto #1'!$B$4:B$4,0),0),0)</f>
        <v>0</v>
      </c>
      <c r="E26" s="244">
        <f>IFERROR(VLOOKUP($B26&amp;$C26,'C. Gestión Pto #1'!$B$4:B$17,MATCH('Cash Flow'!E$7,'C. Gestión Pto #1'!$B$4:B$4,0),0),0)</f>
        <v>0</v>
      </c>
      <c r="F26" s="245"/>
      <c r="G26" s="244">
        <f>SUMIF(D$7:F$7,"Ejercicio*",$D26:F26)</f>
        <v>0</v>
      </c>
      <c r="H26" s="183"/>
    </row>
    <row r="27" spans="2:11" x14ac:dyDescent="0.35">
      <c r="B27" s="66" t="s">
        <v>127</v>
      </c>
      <c r="C27" s="196" t="s">
        <v>38</v>
      </c>
      <c r="D27" s="244">
        <f>IFERROR(VLOOKUP($B27&amp;$C27,'C. Gestión Pto #1'!$B$4:B$17,MATCH('Cash Flow'!D$7,'C. Gestión Pto #1'!$B$4:B$4,0),0),0)</f>
        <v>0</v>
      </c>
      <c r="E27" s="244">
        <f>IFERROR(VLOOKUP($B27&amp;$C27,'C. Gestión Pto #1'!$B$4:B$17,MATCH('Cash Flow'!E$7,'C. Gestión Pto #1'!$B$4:B$4,0),0),0)</f>
        <v>0</v>
      </c>
      <c r="F27" s="245"/>
      <c r="G27" s="244">
        <f>SUMIF(D$7:F$7,"Ejercicio*",$D27:F27)</f>
        <v>0</v>
      </c>
      <c r="H27" s="183"/>
    </row>
    <row r="28" spans="2:11" x14ac:dyDescent="0.35">
      <c r="B28" s="66" t="s">
        <v>127</v>
      </c>
      <c r="C28" s="196" t="s">
        <v>39</v>
      </c>
      <c r="D28" s="244">
        <f>IFERROR(VLOOKUP($B28&amp;$C28,'C. Gestión Pto #1'!$B$4:B$17,MATCH('Cash Flow'!D$7,'C. Gestión Pto #1'!$B$4:B$4,0),0),0)</f>
        <v>0</v>
      </c>
      <c r="E28" s="244">
        <f>IFERROR(VLOOKUP($B28&amp;$C28,'C. Gestión Pto #1'!$B$4:B$17,MATCH('Cash Flow'!E$7,'C. Gestión Pto #1'!$B$4:B$4,0),0),0)</f>
        <v>0</v>
      </c>
      <c r="F28" s="245"/>
      <c r="G28" s="244">
        <f>SUMIF(D$7:F$7,"Ejercicio*",$D28:F28)</f>
        <v>0</v>
      </c>
      <c r="H28" s="183"/>
    </row>
    <row r="29" spans="2:11" x14ac:dyDescent="0.35">
      <c r="B29" s="66" t="s">
        <v>128</v>
      </c>
      <c r="C29" s="203" t="s">
        <v>38</v>
      </c>
      <c r="D29" s="244">
        <f>IFERROR(VLOOKUP($B29&amp;$C29,'C. Gestión Pto #1'!$B$4:B$17,MATCH('Cash Flow'!D$7,'C. Gestión Pto #1'!$B$4:B$4,0),0),0)</f>
        <v>0</v>
      </c>
      <c r="E29" s="244">
        <f>IFERROR(VLOOKUP($B29&amp;$C29,'C. Gestión Pto #1'!$B$4:B$17,MATCH('Cash Flow'!E$7,'C. Gestión Pto #1'!$B$4:B$4,0),0),0)</f>
        <v>0</v>
      </c>
      <c r="F29" s="245"/>
      <c r="G29" s="244">
        <f>SUMIF(D$7:F$7,"Ejercicio*",$D29:F29)</f>
        <v>0</v>
      </c>
      <c r="H29" s="183"/>
    </row>
    <row r="30" spans="2:11" x14ac:dyDescent="0.35">
      <c r="B30" s="66" t="s">
        <v>128</v>
      </c>
      <c r="C30" s="203" t="s">
        <v>39</v>
      </c>
      <c r="D30" s="244">
        <f>IFERROR(VLOOKUP($B30&amp;$C30,'C. Gestión Pto #1'!$B$4:B$17,MATCH('Cash Flow'!D$7,'C. Gestión Pto #1'!$B$4:B$4,0),0),0)</f>
        <v>0</v>
      </c>
      <c r="E30" s="244">
        <f>IFERROR(VLOOKUP($B30&amp;$C30,'C. Gestión Pto #1'!$B$4:B$17,MATCH('Cash Flow'!E$7,'C. Gestión Pto #1'!$B$4:B$4,0),0),0)</f>
        <v>0</v>
      </c>
      <c r="F30" s="245"/>
      <c r="G30" s="244">
        <f>SUMIF(D$7:F$7,"Ejercicio*",$D30:F30)</f>
        <v>0</v>
      </c>
      <c r="H30" s="183"/>
    </row>
    <row r="31" spans="2:11" x14ac:dyDescent="0.35">
      <c r="B31" s="66" t="s">
        <v>134</v>
      </c>
      <c r="C31" s="203" t="s">
        <v>38</v>
      </c>
      <c r="D31" s="244">
        <f>IFERROR(VLOOKUP($B31&amp;$C31,'C. Gestión Pto #1'!$B$4:B$17,MATCH('Cash Flow'!D$7,'C. Gestión Pto #1'!$B$4:B$4,0),0),0)</f>
        <v>0</v>
      </c>
      <c r="E31" s="244">
        <f>IFERROR(VLOOKUP($B31&amp;$C31,'C. Gestión Pto #1'!$B$4:B$17,MATCH('Cash Flow'!E$7,'C. Gestión Pto #1'!$B$4:B$4,0),0),0)</f>
        <v>0</v>
      </c>
      <c r="F31" s="245"/>
      <c r="G31" s="244">
        <f>SUMIF(D$7:F$7,"Ejercicio*",$D31:F31)</f>
        <v>0</v>
      </c>
      <c r="H31" s="183"/>
    </row>
    <row r="32" spans="2:11" x14ac:dyDescent="0.35">
      <c r="B32" s="66" t="s">
        <v>134</v>
      </c>
      <c r="C32" s="203" t="s">
        <v>39</v>
      </c>
      <c r="D32" s="244">
        <f>IFERROR(VLOOKUP($B32&amp;$C32,'C. Gestión Pto #1'!$B$4:B$17,MATCH('Cash Flow'!D$7,'C. Gestión Pto #1'!$B$4:B$4,0),0),0)</f>
        <v>0</v>
      </c>
      <c r="E32" s="244">
        <f>IFERROR(VLOOKUP($B32&amp;$C32,'C. Gestión Pto #1'!$B$4:B$17,MATCH('Cash Flow'!E$7,'C. Gestión Pto #1'!$B$4:B$4,0),0),0)</f>
        <v>0</v>
      </c>
      <c r="F32" s="245"/>
      <c r="G32" s="244">
        <f>SUMIF(D$7:F$7,"Ejercicio*",$D32:F32)</f>
        <v>0</v>
      </c>
      <c r="H32" s="183"/>
    </row>
    <row r="33" spans="2:8" x14ac:dyDescent="0.35">
      <c r="B33" s="66" t="s">
        <v>130</v>
      </c>
      <c r="C33" s="203" t="s">
        <v>38</v>
      </c>
      <c r="D33" s="244">
        <f>IFERROR(VLOOKUP($B33&amp;$C33,'C. Gestión Pto #1'!$B$4:B$17,MATCH('Cash Flow'!D$7,'C. Gestión Pto #1'!$B$4:B$4,0),0),0)</f>
        <v>0</v>
      </c>
      <c r="E33" s="244">
        <f>IFERROR(VLOOKUP($B33&amp;$C33,'C. Gestión Pto #1'!$B$4:B$17,MATCH('Cash Flow'!E$7,'C. Gestión Pto #1'!$B$4:B$4,0),0),0)</f>
        <v>0</v>
      </c>
      <c r="F33" s="245"/>
      <c r="G33" s="244">
        <f>SUMIF(D$7:F$7,"Ejercicio*",$D33:F33)</f>
        <v>0</v>
      </c>
      <c r="H33" s="183"/>
    </row>
    <row r="34" spans="2:8" x14ac:dyDescent="0.35">
      <c r="B34" s="66" t="s">
        <v>130</v>
      </c>
      <c r="C34" s="203" t="s">
        <v>39</v>
      </c>
      <c r="D34" s="244">
        <f>IFERROR(VLOOKUP($B34&amp;$C34,'C. Gestión Pto #1'!$B$4:B$17,MATCH('Cash Flow'!D$7,'C. Gestión Pto #1'!$B$4:B$4,0),0),0)</f>
        <v>0</v>
      </c>
      <c r="E34" s="244">
        <f>IFERROR(VLOOKUP($B34&amp;$C34,'C. Gestión Pto #1'!$B$4:B$17,MATCH('Cash Flow'!E$7,'C. Gestión Pto #1'!$B$4:B$4,0),0),0)</f>
        <v>0</v>
      </c>
      <c r="F34" s="245"/>
      <c r="G34" s="244">
        <f>SUMIF(D$7:F$7,"Ejercicio*",$D34:F34)</f>
        <v>0</v>
      </c>
      <c r="H34" s="183"/>
    </row>
    <row r="35" spans="2:8" x14ac:dyDescent="0.35">
      <c r="B35" s="66" t="s">
        <v>131</v>
      </c>
      <c r="C35" s="203" t="s">
        <v>38</v>
      </c>
      <c r="D35" s="244">
        <f>IFERROR(VLOOKUP($B35&amp;$C35,'C. Gestión Pto #1'!$B$4:B$17,MATCH('Cash Flow'!D$7,'C. Gestión Pto #1'!$B$4:B$4,0),0),0)</f>
        <v>0</v>
      </c>
      <c r="E35" s="244">
        <f>IFERROR(VLOOKUP($B35&amp;$C35,'C. Gestión Pto #1'!$B$4:B$17,MATCH('Cash Flow'!E$7,'C. Gestión Pto #1'!$B$4:B$4,0),0),0)</f>
        <v>0</v>
      </c>
      <c r="F35" s="245"/>
      <c r="G35" s="244">
        <f>SUMIF(D$7:F$7,"Ejercicio*",$D35:F35)</f>
        <v>0</v>
      </c>
      <c r="H35" s="183"/>
    </row>
    <row r="36" spans="2:8" x14ac:dyDescent="0.35">
      <c r="B36" s="66" t="s">
        <v>131</v>
      </c>
      <c r="C36" s="203" t="s">
        <v>39</v>
      </c>
      <c r="D36" s="244">
        <f>IFERROR(VLOOKUP($B36&amp;$C36,'C. Gestión Pto #1'!$B$4:B$17,MATCH('Cash Flow'!D$7,'C. Gestión Pto #1'!$B$4:B$4,0),0),0)</f>
        <v>0</v>
      </c>
      <c r="E36" s="244">
        <f>IFERROR(VLOOKUP($B36&amp;$C36,'C. Gestión Pto #1'!$B$4:B$17,MATCH('Cash Flow'!E$7,'C. Gestión Pto #1'!$B$4:B$4,0),0),0)</f>
        <v>0</v>
      </c>
      <c r="F36" s="245"/>
      <c r="G36" s="244">
        <f>SUMIF(D$7:F$7,"Ejercicio*",$D36:F36)</f>
        <v>0</v>
      </c>
      <c r="H36" s="183"/>
    </row>
    <row r="37" spans="2:8" x14ac:dyDescent="0.35">
      <c r="B37" s="66" t="s">
        <v>132</v>
      </c>
      <c r="C37" s="203" t="s">
        <v>38</v>
      </c>
      <c r="D37" s="244">
        <f>IFERROR(VLOOKUP($B37&amp;$C37,'C. Gestión Pto #1'!$B$4:B$17,MATCH('Cash Flow'!D$7,'C. Gestión Pto #1'!$B$4:B$4,0),0),0)</f>
        <v>0</v>
      </c>
      <c r="E37" s="244">
        <f>IFERROR(VLOOKUP($B37&amp;$C37,'C. Gestión Pto #1'!$B$4:B$17,MATCH('Cash Flow'!E$7,'C. Gestión Pto #1'!$B$4:B$4,0),0),0)</f>
        <v>0</v>
      </c>
      <c r="F37" s="245"/>
      <c r="G37" s="244">
        <f>SUMIF(D$7:F$7,"Ejercicio*",$D37:F37)</f>
        <v>0</v>
      </c>
      <c r="H37" s="183"/>
    </row>
    <row r="38" spans="2:8" x14ac:dyDescent="0.35">
      <c r="B38" s="66" t="s">
        <v>132</v>
      </c>
      <c r="C38" s="203" t="s">
        <v>39</v>
      </c>
      <c r="D38" s="244">
        <f>IFERROR(VLOOKUP($B38&amp;$C38,'C. Gestión Pto #1'!$B$4:B$17,MATCH('Cash Flow'!D$7,'C. Gestión Pto #1'!$B$4:B$4,0),0),0)</f>
        <v>0</v>
      </c>
      <c r="E38" s="244">
        <f>IFERROR(VLOOKUP($B38&amp;$C38,'C. Gestión Pto #1'!$B$4:B$17,MATCH('Cash Flow'!E$7,'C. Gestión Pto #1'!$B$4:B$4,0),0),0)</f>
        <v>0</v>
      </c>
      <c r="F38" s="245"/>
      <c r="G38" s="244">
        <f>SUMIF(D$7:F$7,"Ejercicio*",$D38:F38)</f>
        <v>0</v>
      </c>
      <c r="H38" s="183"/>
    </row>
    <row r="39" spans="2:8" x14ac:dyDescent="0.35">
      <c r="B39" s="66" t="s">
        <v>177</v>
      </c>
      <c r="C39" s="203"/>
      <c r="D39" s="244">
        <f>IFERROR(VLOOKUP($B39&amp;$C39,'C. Gestión Pto #1'!$B$4:B$17,MATCH('Cash Flow'!D$7,'C. Gestión Pto #1'!$B$4:B$4,0),0),0)</f>
        <v>0</v>
      </c>
      <c r="E39" s="244">
        <f>IFERROR(VLOOKUP($B39&amp;$C39,'C. Gestión Pto #1'!$B$4:B$17,MATCH('Cash Flow'!E$7,'C. Gestión Pto #1'!$B$4:B$4,0),0),0)</f>
        <v>0</v>
      </c>
      <c r="F39" s="245"/>
      <c r="G39" s="244">
        <f>SUMIF(D$7:F$7,"Ejercicio*",$D39:F39)</f>
        <v>0</v>
      </c>
      <c r="H39" s="183"/>
    </row>
    <row r="40" spans="2:8" x14ac:dyDescent="0.35">
      <c r="B40" s="66" t="s">
        <v>103</v>
      </c>
      <c r="C40" s="203"/>
      <c r="D40" s="244">
        <f>IFERROR(VLOOKUP($B40&amp;$C40,'C. Gestión Pto #1'!$B$4:B$17,MATCH('Cash Flow'!D$7,'C. Gestión Pto #1'!$B$4:B$4,0),0),0)</f>
        <v>0</v>
      </c>
      <c r="E40" s="244">
        <f>IFERROR(VLOOKUP($B40&amp;$C40,'C. Gestión Pto #1'!$B$4:B$17,MATCH('Cash Flow'!E$7,'C. Gestión Pto #1'!$B$4:B$4,0),0),0)</f>
        <v>0</v>
      </c>
      <c r="F40" s="245"/>
      <c r="G40" s="244">
        <f>SUMIF(D$7:F$7,"Ejercicio*",$D40:F40)</f>
        <v>0</v>
      </c>
      <c r="H40" s="183"/>
    </row>
    <row r="41" spans="2:8" x14ac:dyDescent="0.35">
      <c r="B41" s="66" t="s">
        <v>178</v>
      </c>
      <c r="C41" s="203"/>
      <c r="D41" s="244">
        <f>IFERROR(VLOOKUP($B41&amp;$C41,'C. Gestión Pto #1'!$B$4:B$17,MATCH('Cash Flow'!D$7,'C. Gestión Pto #1'!$B$4:B$4,0),0),0)</f>
        <v>0</v>
      </c>
      <c r="E41" s="244">
        <f>IFERROR(VLOOKUP($B41&amp;$C41,'C. Gestión Pto #1'!$B$4:B$17,MATCH('Cash Flow'!E$7,'C. Gestión Pto #1'!$B$4:B$4,0),0),0)</f>
        <v>0</v>
      </c>
      <c r="F41" s="245"/>
      <c r="G41" s="244">
        <f>SUMIF(D$7:F$7,"Ejercicio*",$D41:F41)</f>
        <v>0</v>
      </c>
      <c r="H41" s="183"/>
    </row>
    <row r="42" spans="2:8" x14ac:dyDescent="0.35">
      <c r="B42" s="284" t="s">
        <v>40</v>
      </c>
      <c r="C42" s="284"/>
      <c r="D42" s="285">
        <f>SUM(D16:D41)</f>
        <v>0</v>
      </c>
      <c r="E42" s="285">
        <f t="shared" ref="E42" si="1">SUM(E16:E41)</f>
        <v>0</v>
      </c>
      <c r="F42" s="247"/>
      <c r="G42" s="285">
        <f>SUM(G16:G41)</f>
        <v>0</v>
      </c>
      <c r="H42" s="183"/>
    </row>
    <row r="43" spans="2:8" x14ac:dyDescent="0.35">
      <c r="B43" s="182"/>
      <c r="C43" s="182"/>
      <c r="D43" s="180"/>
      <c r="E43" s="180"/>
      <c r="F43" s="178"/>
      <c r="G43" s="181"/>
    </row>
    <row r="44" spans="2:8" x14ac:dyDescent="0.35">
      <c r="B44" s="284" t="s">
        <v>72</v>
      </c>
      <c r="C44" s="182"/>
      <c r="D44" s="180"/>
      <c r="E44" s="180"/>
      <c r="F44" s="178"/>
      <c r="G44" s="181"/>
    </row>
    <row r="45" spans="2:8" x14ac:dyDescent="0.35">
      <c r="B45" s="66" t="s">
        <v>41</v>
      </c>
      <c r="C45" s="253"/>
      <c r="D45" s="244" t="str">
        <f>IFERROR(VLOOKUP($B45&amp;$C45,'C. Gestión Pto #1'!$B$34:$B$34,MATCH('Cash Flow'!D$7,'C. Gestión Pto #1'!$B$36:B$36,0),0),"")</f>
        <v/>
      </c>
      <c r="E45" s="244" t="str">
        <f>IFERROR(VLOOKUP($B45&amp;$C45,'C. Gestión Pto #1'!$B$34:$B$34,MATCH('Cash Flow'!E$7,'C. Gestión Pto #1'!$B$36:B$36,0),0),"")</f>
        <v/>
      </c>
      <c r="F45" s="245"/>
      <c r="G45" s="244">
        <f>SUMIF(D$7:F$7,"Ejercicio*",$D45:F45)</f>
        <v>0</v>
      </c>
    </row>
    <row r="46" spans="2:8" x14ac:dyDescent="0.35">
      <c r="B46" s="66" t="s">
        <v>42</v>
      </c>
      <c r="C46" s="253"/>
      <c r="D46" s="244" t="str">
        <f>IFERROR(VLOOKUP($B46&amp;$C46,'C. Gestión Pto #1'!$B$39:B$39,MATCH('Cash Flow'!D$7,'C. Gestión Pto #1'!$B$36:B$36,0),0),"")</f>
        <v/>
      </c>
      <c r="E46" s="244" t="str">
        <f>IFERROR(VLOOKUP($B46&amp;$C46,'C. Gestión Pto #1'!$B$39:B$39,MATCH('Cash Flow'!E$7,'C. Gestión Pto #1'!$B$36:B$36,0),0),"")</f>
        <v/>
      </c>
      <c r="F46" s="245"/>
      <c r="G46" s="244">
        <f>SUMIF(D$7:F$7,"Ejercicio*",$D46:F46)</f>
        <v>0</v>
      </c>
    </row>
    <row r="47" spans="2:8" x14ac:dyDescent="0.35">
      <c r="B47" s="286" t="s">
        <v>43</v>
      </c>
      <c r="C47" s="287"/>
      <c r="D47" s="285">
        <f t="shared" ref="D47:E47" si="2">SUM(D45:D46)</f>
        <v>0</v>
      </c>
      <c r="E47" s="285">
        <f t="shared" si="2"/>
        <v>0</v>
      </c>
      <c r="F47" s="247"/>
      <c r="G47" s="285">
        <f>SUM(G45:G46)</f>
        <v>0</v>
      </c>
    </row>
    <row r="48" spans="2:8" x14ac:dyDescent="0.35">
      <c r="B48" s="182"/>
      <c r="C48" s="182"/>
      <c r="D48" s="248"/>
      <c r="E48" s="248"/>
      <c r="F48" s="245"/>
      <c r="G48" s="249"/>
    </row>
    <row r="49" spans="2:7" x14ac:dyDescent="0.35">
      <c r="B49" s="280" t="s">
        <v>44</v>
      </c>
      <c r="C49" s="281"/>
      <c r="D49" s="283">
        <f t="shared" ref="D49:E49" si="3">+D42+D47</f>
        <v>0</v>
      </c>
      <c r="E49" s="283">
        <f t="shared" si="3"/>
        <v>0</v>
      </c>
      <c r="F49" s="247"/>
      <c r="G49" s="283">
        <f>SUMIF(D$7:F$7,"Ejercicio*",$D49:F49)</f>
        <v>0</v>
      </c>
    </row>
    <row r="50" spans="2:7" x14ac:dyDescent="0.35">
      <c r="D50" s="250"/>
      <c r="E50" s="250"/>
      <c r="F50" s="250"/>
      <c r="G50" s="250"/>
    </row>
    <row r="51" spans="2:7" x14ac:dyDescent="0.35">
      <c r="B51" s="288" t="s">
        <v>73</v>
      </c>
      <c r="C51" s="289"/>
      <c r="D51" s="251">
        <f>D12-D49</f>
        <v>0</v>
      </c>
      <c r="E51" s="251">
        <f>E12-E49</f>
        <v>0</v>
      </c>
      <c r="F51" s="247"/>
      <c r="G51" s="251">
        <f>G12-G49</f>
        <v>0</v>
      </c>
    </row>
    <row r="52" spans="2:7" x14ac:dyDescent="0.35">
      <c r="B52" s="288" t="s">
        <v>74</v>
      </c>
      <c r="C52" s="289"/>
      <c r="D52" s="251">
        <f>+D51</f>
        <v>0</v>
      </c>
      <c r="E52" s="251">
        <f t="shared" ref="E52" si="4">+E51+D52</f>
        <v>0</v>
      </c>
      <c r="F52" s="252"/>
      <c r="G52" s="251">
        <f>G51</f>
        <v>0</v>
      </c>
    </row>
  </sheetData>
  <conditionalFormatting sqref="D51:E52 G51:G52">
    <cfRule type="cellIs" dxfId="116" priority="1" operator="lessThan">
      <formula>0</formula>
    </cfRule>
    <cfRule type="cellIs" dxfId="115" priority="2" operator="greater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G12 G42 G47 D9:F49 D51:G52" xr:uid="{A1D7C699-70F0-42EE-9E13-671027AEBBA9}"/>
  </dataValidations>
  <pageMargins left="0.7" right="0.7" top="0.75" bottom="0.75" header="0.3" footer="0.3"/>
  <pageSetup paperSize="9" orientation="portrait" r:id="rId1"/>
  <ignoredErrors>
    <ignoredError sqref="F37:F41 G10 G45:G46 G49 F11:G11 D10:E11 G16:G41 D16:E41 D45:E46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CBD02C-972C-48DB-A872-5EA13A7D5842}">
          <x14:formula1>
            <xm:f>Listas!$A:$A</xm:f>
          </x14:formula1>
          <xm:sqref>B16:B41</xm:sqref>
        </x14:dataValidation>
        <x14:dataValidation type="list" allowBlank="1" showInputMessage="1" showErrorMessage="1" xr:uid="{ECC636AD-99CE-4606-8EE5-1AA876F18167}">
          <x14:formula1>
            <xm:f>Listas!$C$1:$C$2</xm:f>
          </x14:formula1>
          <xm:sqref>C16:C41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2AF5-814E-41F0-8FCE-37A0170BEBD8}">
  <sheetPr codeName="Hoja6"/>
  <dimension ref="A1:AA63"/>
  <sheetViews>
    <sheetView topLeftCell="A34" workbookViewId="0">
      <selection activeCell="K62" sqref="K62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8" width="10.453125" bestFit="1" customWidth="1"/>
    <col min="9" max="9" width="11.54296875" bestFit="1" customWidth="1"/>
    <col min="10" max="10" width="10.26953125" bestFit="1" customWidth="1"/>
    <col min="11" max="11" width="10.453125" bestFit="1" customWidth="1"/>
    <col min="12" max="13" width="12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11" bestFit="1" customWidth="1"/>
    <col min="24" max="24" width="15.17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4" x14ac:dyDescent="0.35">
      <c r="A1" s="7" t="s">
        <v>137</v>
      </c>
      <c r="B1" s="7"/>
      <c r="C1"/>
      <c r="D1"/>
      <c r="E1"/>
      <c r="F1"/>
      <c r="O1" s="8" t="s">
        <v>138</v>
      </c>
      <c r="P1" s="1914" t="s">
        <v>139</v>
      </c>
      <c r="Q1" s="1914"/>
    </row>
    <row r="2" spans="1:24" x14ac:dyDescent="0.35">
      <c r="A2" s="7" t="s">
        <v>140</v>
      </c>
      <c r="B2" s="7"/>
      <c r="C2"/>
      <c r="D2"/>
      <c r="E2"/>
      <c r="F2"/>
      <c r="O2" s="9" t="s">
        <v>141</v>
      </c>
      <c r="P2" s="1915" t="s">
        <v>142</v>
      </c>
      <c r="Q2" s="1915"/>
    </row>
    <row r="3" spans="1:24" ht="15" thickBot="1" x14ac:dyDescent="0.4">
      <c r="C3"/>
      <c r="D3"/>
      <c r="E3"/>
      <c r="F3"/>
    </row>
    <row r="4" spans="1:24" x14ac:dyDescent="0.35">
      <c r="C4" s="1916" t="s">
        <v>143</v>
      </c>
      <c r="D4" s="1917"/>
      <c r="E4" s="1917"/>
      <c r="F4" s="1918"/>
      <c r="G4" s="11"/>
      <c r="H4" s="12" t="s">
        <v>144</v>
      </c>
      <c r="I4" s="12" t="s">
        <v>145</v>
      </c>
      <c r="J4" s="12" t="s">
        <v>146</v>
      </c>
      <c r="K4" s="12" t="s">
        <v>147</v>
      </c>
      <c r="L4" s="10" t="s">
        <v>52</v>
      </c>
      <c r="M4" s="13" t="s">
        <v>98</v>
      </c>
      <c r="P4" s="1916" t="s">
        <v>148</v>
      </c>
      <c r="Q4" s="1917"/>
      <c r="R4" s="1917"/>
      <c r="S4" s="1917"/>
      <c r="T4" s="1917"/>
      <c r="U4" s="1918"/>
    </row>
    <row r="5" spans="1:24" x14ac:dyDescent="0.35">
      <c r="C5" s="14" t="s">
        <v>149</v>
      </c>
      <c r="D5" s="14" t="s">
        <v>150</v>
      </c>
      <c r="E5" s="14" t="s">
        <v>151</v>
      </c>
      <c r="F5" s="14" t="s">
        <v>152</v>
      </c>
      <c r="G5" s="15"/>
      <c r="H5" s="194">
        <v>85927.1</v>
      </c>
      <c r="I5" s="194">
        <v>76955.08</v>
      </c>
      <c r="J5" s="194">
        <v>65493.07</v>
      </c>
      <c r="K5" s="194">
        <v>60860.58</v>
      </c>
      <c r="L5" s="201">
        <v>45627</v>
      </c>
      <c r="M5" s="16"/>
      <c r="P5" s="12" t="s">
        <v>153</v>
      </c>
      <c r="Q5" s="12" t="s">
        <v>149</v>
      </c>
      <c r="R5" s="12" t="s">
        <v>150</v>
      </c>
      <c r="S5" s="12" t="s">
        <v>151</v>
      </c>
      <c r="T5" s="12" t="s">
        <v>152</v>
      </c>
      <c r="U5" s="12" t="s">
        <v>154</v>
      </c>
    </row>
    <row r="6" spans="1:24" x14ac:dyDescent="0.35">
      <c r="C6" s="17"/>
      <c r="D6" s="17"/>
      <c r="E6" s="17"/>
      <c r="F6" s="17"/>
      <c r="G6" s="15"/>
      <c r="H6" s="194">
        <v>87384</v>
      </c>
      <c r="I6" s="194">
        <v>78375</v>
      </c>
      <c r="J6" s="194">
        <v>66853</v>
      </c>
      <c r="K6" s="194">
        <v>61892</v>
      </c>
      <c r="L6" s="201">
        <v>45658</v>
      </c>
      <c r="M6" s="18"/>
      <c r="P6" s="19"/>
      <c r="Q6" s="19"/>
      <c r="R6" s="19"/>
      <c r="S6" s="19"/>
      <c r="T6" s="19"/>
      <c r="U6" s="19"/>
    </row>
    <row r="7" spans="1:24" x14ac:dyDescent="0.35">
      <c r="C7" s="17"/>
      <c r="D7" s="17"/>
      <c r="E7" s="17"/>
      <c r="F7" s="17"/>
      <c r="G7" s="15"/>
      <c r="H7" s="194">
        <v>89383</v>
      </c>
      <c r="I7" s="194">
        <v>80395</v>
      </c>
      <c r="J7" s="194">
        <v>68472</v>
      </c>
      <c r="K7" s="194">
        <v>63382</v>
      </c>
      <c r="L7" s="201">
        <v>45689</v>
      </c>
      <c r="M7" s="18"/>
      <c r="P7" s="19"/>
      <c r="Q7" s="19"/>
      <c r="R7" s="19"/>
      <c r="S7" s="19"/>
      <c r="T7" s="19"/>
      <c r="U7" s="19"/>
    </row>
    <row r="8" spans="1:24" x14ac:dyDescent="0.35">
      <c r="C8" s="17"/>
      <c r="D8" s="17"/>
      <c r="E8" s="17"/>
      <c r="F8" s="17"/>
      <c r="G8" s="15"/>
      <c r="H8" s="194">
        <v>91464</v>
      </c>
      <c r="I8" s="194">
        <v>82269</v>
      </c>
      <c r="J8" s="194">
        <v>70296</v>
      </c>
      <c r="K8" s="194">
        <v>65595</v>
      </c>
      <c r="L8" s="201">
        <v>45717</v>
      </c>
      <c r="M8" s="18"/>
      <c r="P8" s="19"/>
      <c r="Q8" s="19"/>
      <c r="R8" s="19"/>
      <c r="S8" s="19"/>
      <c r="T8" s="19"/>
      <c r="U8" s="19"/>
    </row>
    <row r="9" spans="1:24" x14ac:dyDescent="0.35">
      <c r="C9" s="17"/>
      <c r="D9" s="17"/>
      <c r="E9" s="17"/>
      <c r="F9" s="17"/>
      <c r="G9" s="15"/>
      <c r="H9" s="1022">
        <f>H10*0.99</f>
        <v>93235.366504703474</v>
      </c>
      <c r="I9" s="1022">
        <f>I10*0.99</f>
        <v>83766.387582470736</v>
      </c>
      <c r="J9" s="1022">
        <f>J10*0.99</f>
        <v>71410.816981934215</v>
      </c>
      <c r="K9" s="1022">
        <f>K10*0.99</f>
        <v>66568.09387166494</v>
      </c>
      <c r="L9" s="1023">
        <v>45778</v>
      </c>
      <c r="M9" s="18"/>
      <c r="P9" s="19"/>
      <c r="Q9" s="19"/>
      <c r="R9" s="19"/>
      <c r="S9" s="19"/>
      <c r="T9" s="19"/>
      <c r="U9" s="19"/>
    </row>
    <row r="10" spans="1:24" x14ac:dyDescent="0.35">
      <c r="C10" s="17"/>
      <c r="D10" s="17"/>
      <c r="E10" s="17"/>
      <c r="F10" s="17"/>
      <c r="G10" s="15"/>
      <c r="H10" s="1022">
        <v>94177.13788353886</v>
      </c>
      <c r="I10" s="1022">
        <v>84612.512709566407</v>
      </c>
      <c r="J10" s="1022">
        <v>72132.138365590115</v>
      </c>
      <c r="K10" s="1022">
        <v>67240.498860267617</v>
      </c>
      <c r="L10" s="1023">
        <v>45809</v>
      </c>
      <c r="M10" s="18"/>
      <c r="P10" s="19"/>
      <c r="Q10" s="19"/>
      <c r="R10" s="19"/>
      <c r="S10" s="19"/>
      <c r="T10" s="19"/>
      <c r="U10" s="19"/>
    </row>
    <row r="11" spans="1:24" x14ac:dyDescent="0.35">
      <c r="C11" s="17"/>
      <c r="D11" s="17"/>
      <c r="E11" s="17"/>
      <c r="F11" s="17"/>
      <c r="G11" s="15"/>
      <c r="H11" s="1024">
        <v>95080</v>
      </c>
      <c r="I11" s="1024">
        <v>85425</v>
      </c>
      <c r="J11" s="1024">
        <v>72871</v>
      </c>
      <c r="K11" s="1024">
        <v>67908</v>
      </c>
      <c r="L11" s="1025">
        <v>45839</v>
      </c>
      <c r="M11" s="18"/>
      <c r="P11" s="19"/>
      <c r="Q11" s="19"/>
      <c r="R11" s="19"/>
      <c r="S11" s="19"/>
      <c r="T11" s="19"/>
      <c r="U11" s="19"/>
    </row>
    <row r="12" spans="1:24" ht="15" thickBot="1" x14ac:dyDescent="0.4">
      <c r="C12" s="17"/>
      <c r="D12" s="17"/>
      <c r="E12" s="17"/>
      <c r="F12" s="17"/>
      <c r="G12" s="15"/>
      <c r="H12" s="1022">
        <v>95889.2</v>
      </c>
      <c r="I12" s="1022">
        <v>86356.18</v>
      </c>
      <c r="J12" s="1022">
        <v>73781.11</v>
      </c>
      <c r="K12" s="1022">
        <v>68935.350000000006</v>
      </c>
      <c r="L12" s="1023">
        <v>45870</v>
      </c>
      <c r="M12" s="202"/>
      <c r="P12" s="19"/>
      <c r="Q12" s="19"/>
      <c r="R12" s="19"/>
      <c r="S12" s="19"/>
      <c r="T12" s="19"/>
      <c r="U12" s="19"/>
      <c r="X12" s="1059" t="s">
        <v>690</v>
      </c>
    </row>
    <row r="13" spans="1:24" x14ac:dyDescent="0.35">
      <c r="C13" s="17"/>
      <c r="D13" s="17"/>
      <c r="E13" s="17"/>
      <c r="F13" s="17"/>
      <c r="G13" s="15"/>
      <c r="H13" s="1024">
        <v>106516.01731157197</v>
      </c>
      <c r="I13" s="1024">
        <v>88649.807904071975</v>
      </c>
      <c r="J13" s="1024">
        <v>75758.191951571978</v>
      </c>
      <c r="K13" s="1024">
        <v>71041.118761571968</v>
      </c>
      <c r="L13" s="1025">
        <v>45901</v>
      </c>
      <c r="M13" s="18"/>
      <c r="P13" s="19"/>
      <c r="Q13" s="19"/>
      <c r="R13" s="19"/>
      <c r="S13" s="19"/>
      <c r="T13" s="19"/>
      <c r="U13" s="19"/>
      <c r="X13" s="1059"/>
    </row>
    <row r="14" spans="1:24" x14ac:dyDescent="0.35">
      <c r="C14" s="17"/>
      <c r="D14" s="17"/>
      <c r="E14" s="17"/>
      <c r="F14" s="17"/>
      <c r="G14" s="15"/>
      <c r="H14" s="1024">
        <v>106864.20592157198</v>
      </c>
      <c r="I14" s="1024">
        <v>88971.072744071964</v>
      </c>
      <c r="J14" s="1024">
        <v>76032.176431571977</v>
      </c>
      <c r="K14" s="1024">
        <v>71292.271201571988</v>
      </c>
      <c r="L14" s="1025">
        <v>45931</v>
      </c>
      <c r="M14" s="18"/>
      <c r="P14" s="19"/>
      <c r="Q14" s="19"/>
      <c r="R14" s="19"/>
      <c r="S14" s="19"/>
      <c r="T14" s="19"/>
      <c r="U14" s="19"/>
      <c r="X14" s="1059"/>
    </row>
    <row r="15" spans="1:24" x14ac:dyDescent="0.35">
      <c r="C15" s="17"/>
      <c r="D15" s="17"/>
      <c r="E15" s="17"/>
      <c r="F15" s="17"/>
      <c r="G15" s="15"/>
      <c r="H15" s="1024">
        <v>109621.10545407196</v>
      </c>
      <c r="I15" s="1024">
        <v>91252.850653390153</v>
      </c>
      <c r="J15" s="1024">
        <v>77612.118064071969</v>
      </c>
      <c r="K15" s="1024">
        <v>72486.68260657198</v>
      </c>
      <c r="L15" s="1025">
        <v>45962</v>
      </c>
      <c r="M15" s="18"/>
      <c r="P15" s="19"/>
      <c r="Q15" s="19"/>
      <c r="R15" s="19"/>
      <c r="S15" s="19"/>
      <c r="T15" s="19"/>
      <c r="U15" s="19"/>
      <c r="X15" s="1059"/>
    </row>
    <row r="16" spans="1:24" x14ac:dyDescent="0.35">
      <c r="C16" s="17"/>
      <c r="D16" s="17"/>
      <c r="E16" s="17"/>
      <c r="F16" s="17"/>
      <c r="G16" s="15"/>
      <c r="H16" s="1024">
        <v>113865.18185914542</v>
      </c>
      <c r="I16" s="1024">
        <v>95196.927058463611</v>
      </c>
      <c r="J16" s="1024">
        <v>81356.194469145426</v>
      </c>
      <c r="K16" s="1024">
        <v>76230.759011645438</v>
      </c>
      <c r="L16" s="1025">
        <v>45992</v>
      </c>
      <c r="M16" s="18"/>
      <c r="P16" s="19"/>
      <c r="Q16" s="19"/>
      <c r="R16" s="19"/>
      <c r="S16" s="19"/>
      <c r="T16" s="19"/>
      <c r="U16" s="19"/>
      <c r="X16" s="1059"/>
    </row>
    <row r="17" spans="1:24" x14ac:dyDescent="0.35">
      <c r="C17" s="17"/>
      <c r="D17" s="17"/>
      <c r="E17" s="17"/>
      <c r="F17" s="17"/>
      <c r="G17" s="15"/>
      <c r="H17" s="1024">
        <v>117452.65727664542</v>
      </c>
      <c r="I17" s="1024">
        <v>97866.769866645438</v>
      </c>
      <c r="J17" s="1024">
        <v>83614.940401645435</v>
      </c>
      <c r="K17" s="1024">
        <v>78291.041771645439</v>
      </c>
      <c r="L17" s="1025">
        <v>46023</v>
      </c>
      <c r="M17" s="18"/>
      <c r="P17" s="19"/>
      <c r="Q17" s="19"/>
      <c r="R17" s="19"/>
      <c r="S17" s="19"/>
      <c r="T17" s="19"/>
      <c r="U17" s="19"/>
      <c r="X17" s="1059"/>
    </row>
    <row r="18" spans="1:24" x14ac:dyDescent="0.35">
      <c r="C18" s="17"/>
      <c r="D18" s="17"/>
      <c r="E18" s="17"/>
      <c r="F18" s="17"/>
      <c r="G18" s="15"/>
      <c r="H18" s="1024">
        <v>119406.33424664545</v>
      </c>
      <c r="I18" s="1024">
        <v>99479.557976645432</v>
      </c>
      <c r="J18" s="1024">
        <v>84948.749161645435</v>
      </c>
      <c r="K18" s="1024">
        <v>79490.602471645427</v>
      </c>
      <c r="L18" s="1025">
        <v>46054</v>
      </c>
      <c r="M18" s="18"/>
      <c r="P18" s="19"/>
      <c r="Q18" s="19"/>
      <c r="R18" s="19"/>
      <c r="S18" s="19"/>
      <c r="T18" s="19"/>
      <c r="U18" s="19"/>
      <c r="X18" s="1059"/>
    </row>
    <row r="19" spans="1:24" x14ac:dyDescent="0.35">
      <c r="C19" s="17"/>
      <c r="D19" s="17"/>
      <c r="E19" s="17"/>
      <c r="F19" s="17"/>
      <c r="G19" s="15"/>
      <c r="H19" s="1024">
        <v>122445.79058664542</v>
      </c>
      <c r="I19" s="1024">
        <v>102029.0668827818</v>
      </c>
      <c r="J19" s="1024">
        <v>87100.469906645434</v>
      </c>
      <c r="K19" s="1024">
        <v>81453.719334145426</v>
      </c>
      <c r="L19" s="1025">
        <v>46082</v>
      </c>
      <c r="M19" s="18"/>
      <c r="P19" s="19"/>
      <c r="Q19" s="19"/>
      <c r="R19" s="19"/>
      <c r="S19" s="19"/>
      <c r="T19" s="19"/>
      <c r="U19" s="19"/>
      <c r="X19" s="1059"/>
    </row>
    <row r="20" spans="1:24" x14ac:dyDescent="0.35">
      <c r="C20" s="17"/>
      <c r="D20" s="17"/>
      <c r="E20" s="17"/>
      <c r="F20" s="17"/>
      <c r="G20" s="15"/>
      <c r="H20" s="1024">
        <v>128780.86640664545</v>
      </c>
      <c r="I20" s="1024">
        <v>106995.8620275545</v>
      </c>
      <c r="J20" s="1024">
        <v>91265.84225414542</v>
      </c>
      <c r="K20" s="1024">
        <v>85242.811911645418</v>
      </c>
      <c r="L20" s="1025">
        <v>46113</v>
      </c>
      <c r="M20" s="18"/>
      <c r="P20" s="19"/>
      <c r="Q20" s="19"/>
      <c r="R20" s="19"/>
      <c r="S20" s="19"/>
      <c r="T20" s="19"/>
      <c r="U20" s="19"/>
      <c r="X20" s="1059"/>
    </row>
    <row r="21" spans="1:24" x14ac:dyDescent="0.35">
      <c r="C21" s="17"/>
      <c r="D21" s="17"/>
      <c r="E21" s="17"/>
      <c r="F21" s="17"/>
      <c r="G21" s="15"/>
      <c r="H21" s="1024">
        <v>131727.58748664541</v>
      </c>
      <c r="I21" s="1024">
        <v>109491.84762164543</v>
      </c>
      <c r="J21" s="1024">
        <v>93345.065229145417</v>
      </c>
      <c r="K21" s="1024">
        <v>87239.917379145438</v>
      </c>
      <c r="L21" s="1025">
        <v>46143</v>
      </c>
      <c r="M21" s="18"/>
      <c r="P21" s="19"/>
      <c r="Q21" s="19"/>
      <c r="R21" s="19"/>
      <c r="S21" s="19"/>
      <c r="T21" s="19"/>
      <c r="U21" s="19"/>
      <c r="X21" s="1059"/>
    </row>
    <row r="22" spans="1:24" ht="18" customHeight="1" x14ac:dyDescent="0.35">
      <c r="A22" s="20">
        <v>45689</v>
      </c>
      <c r="B22" s="20" t="s">
        <v>575</v>
      </c>
      <c r="C22" s="21">
        <v>0</v>
      </c>
      <c r="D22" s="21">
        <v>31</v>
      </c>
      <c r="E22" s="21">
        <v>0</v>
      </c>
      <c r="F22" s="21">
        <v>1</v>
      </c>
      <c r="G22" s="15"/>
      <c r="H22" s="22">
        <f>+C22*H$7</f>
        <v>0</v>
      </c>
      <c r="I22" s="22">
        <f t="shared" ref="I22:K22" si="0">+D22*I$7</f>
        <v>2492245</v>
      </c>
      <c r="J22" s="22">
        <f t="shared" si="0"/>
        <v>0</v>
      </c>
      <c r="K22" s="22">
        <f t="shared" si="0"/>
        <v>63382</v>
      </c>
      <c r="L22" s="23">
        <f>SUM(H22:K22)</f>
        <v>2555627</v>
      </c>
      <c r="M22" s="31">
        <f>+L22</f>
        <v>2555627</v>
      </c>
      <c r="N22" s="24" t="s">
        <v>138</v>
      </c>
      <c r="P22" s="25">
        <v>8</v>
      </c>
      <c r="Q22" s="26">
        <f>IFERROR(C22/$P22,0)</f>
        <v>0</v>
      </c>
      <c r="R22" s="26">
        <f t="shared" ref="R22:T30" si="1">IFERROR(D22/$P22,0)</f>
        <v>3.875</v>
      </c>
      <c r="S22" s="26">
        <f t="shared" si="1"/>
        <v>0</v>
      </c>
      <c r="T22" s="26">
        <f t="shared" si="1"/>
        <v>0.125</v>
      </c>
      <c r="U22" s="26">
        <f t="shared" ref="U22:U26" si="2">SUM(Q22:T22)</f>
        <v>4</v>
      </c>
      <c r="X22" s="1060">
        <v>1401595.16</v>
      </c>
    </row>
    <row r="23" spans="1:24" ht="18" customHeight="1" x14ac:dyDescent="0.35">
      <c r="A23" s="27">
        <v>45717</v>
      </c>
      <c r="B23" s="27" t="s">
        <v>576</v>
      </c>
      <c r="C23" s="28">
        <v>0</v>
      </c>
      <c r="D23" s="28">
        <f>9+9+9+8</f>
        <v>35</v>
      </c>
      <c r="E23" s="28">
        <v>0</v>
      </c>
      <c r="F23" s="28">
        <v>0</v>
      </c>
      <c r="G23" s="15"/>
      <c r="H23" s="29">
        <f>+C23*H$8</f>
        <v>0</v>
      </c>
      <c r="I23" s="29">
        <f>+D23*I$8</f>
        <v>2879415</v>
      </c>
      <c r="J23" s="29">
        <f t="shared" ref="J23:K23" si="3">+E23*J$8</f>
        <v>0</v>
      </c>
      <c r="K23" s="29">
        <f t="shared" si="3"/>
        <v>0</v>
      </c>
      <c r="L23" s="30">
        <f>SUM(H23:K23)</f>
        <v>2879415</v>
      </c>
      <c r="M23" s="31">
        <f>L23</f>
        <v>2879415</v>
      </c>
      <c r="N23" s="32" t="s">
        <v>138</v>
      </c>
      <c r="P23" s="25">
        <v>9</v>
      </c>
      <c r="Q23" s="26">
        <f t="shared" ref="Q23:Q30" si="4">IFERROR(C23/$P23,0)</f>
        <v>0</v>
      </c>
      <c r="R23" s="26">
        <f t="shared" si="1"/>
        <v>3.8888888888888888</v>
      </c>
      <c r="S23" s="26">
        <f t="shared" si="1"/>
        <v>0</v>
      </c>
      <c r="T23" s="26">
        <f t="shared" si="1"/>
        <v>0</v>
      </c>
      <c r="U23" s="26">
        <f t="shared" si="2"/>
        <v>3.8888888888888888</v>
      </c>
      <c r="X23" s="1060">
        <v>1476621.28</v>
      </c>
    </row>
    <row r="24" spans="1:24" ht="18" customHeight="1" x14ac:dyDescent="0.35">
      <c r="A24" s="27">
        <v>45717</v>
      </c>
      <c r="B24" s="33" t="s">
        <v>575</v>
      </c>
      <c r="C24" s="25">
        <f>10+7</f>
        <v>17</v>
      </c>
      <c r="D24" s="25">
        <v>3.5</v>
      </c>
      <c r="E24" s="25">
        <v>5.5</v>
      </c>
      <c r="F24" s="25">
        <v>0</v>
      </c>
      <c r="G24" s="15"/>
      <c r="H24" s="29">
        <f>+C24*$H$8</f>
        <v>1554888</v>
      </c>
      <c r="I24" s="29">
        <f t="shared" ref="I24:K24" si="5">+D24*$H$8</f>
        <v>320124</v>
      </c>
      <c r="J24" s="29">
        <f t="shared" si="5"/>
        <v>503052</v>
      </c>
      <c r="K24" s="29">
        <f t="shared" si="5"/>
        <v>0</v>
      </c>
      <c r="L24" s="34">
        <f>SUM(H24:K24)</f>
        <v>2378064</v>
      </c>
      <c r="M24" s="31">
        <f t="shared" ref="M24:M26" si="6">L24</f>
        <v>2378064</v>
      </c>
      <c r="N24" s="32" t="s">
        <v>138</v>
      </c>
      <c r="P24" s="25">
        <v>10</v>
      </c>
      <c r="Q24" s="26">
        <f t="shared" si="4"/>
        <v>1.7</v>
      </c>
      <c r="R24" s="26">
        <f t="shared" si="1"/>
        <v>0.35</v>
      </c>
      <c r="S24" s="26">
        <f t="shared" si="1"/>
        <v>0.55000000000000004</v>
      </c>
      <c r="T24" s="26">
        <f t="shared" si="1"/>
        <v>0</v>
      </c>
      <c r="U24" s="26">
        <f t="shared" si="2"/>
        <v>2.5999999999999996</v>
      </c>
      <c r="W24" s="932"/>
      <c r="X24" s="1060">
        <v>1317171.29</v>
      </c>
    </row>
    <row r="25" spans="1:24" ht="18" customHeight="1" x14ac:dyDescent="0.35">
      <c r="A25" s="35">
        <v>45748</v>
      </c>
      <c r="B25" s="27" t="s">
        <v>576</v>
      </c>
      <c r="C25" s="25">
        <f>12+11+13</f>
        <v>36</v>
      </c>
      <c r="D25" s="25">
        <f>5+13+5+10+5</f>
        <v>38</v>
      </c>
      <c r="E25" s="25">
        <v>11</v>
      </c>
      <c r="F25" s="25"/>
      <c r="G25" s="15"/>
      <c r="H25" s="29">
        <f>+C25*$H$8</f>
        <v>3292704</v>
      </c>
      <c r="I25" s="29">
        <f>+D25*$H$8</f>
        <v>3475632</v>
      </c>
      <c r="J25" s="29">
        <f>+E25*$H$8</f>
        <v>1006104</v>
      </c>
      <c r="K25" s="29">
        <f>+F25*$H$8</f>
        <v>0</v>
      </c>
      <c r="L25" s="34">
        <f t="shared" ref="L25:L27" si="7">SUM(H25:K25)</f>
        <v>7774440</v>
      </c>
      <c r="M25" s="31">
        <f t="shared" si="6"/>
        <v>7774440</v>
      </c>
      <c r="N25" s="256" t="s">
        <v>138</v>
      </c>
      <c r="P25" s="25">
        <v>13</v>
      </c>
      <c r="Q25" s="26">
        <f t="shared" si="4"/>
        <v>2.7692307692307692</v>
      </c>
      <c r="R25" s="26">
        <f t="shared" si="1"/>
        <v>2.9230769230769229</v>
      </c>
      <c r="S25" s="26">
        <f t="shared" si="1"/>
        <v>0.84615384615384615</v>
      </c>
      <c r="T25" s="26">
        <f t="shared" si="1"/>
        <v>0</v>
      </c>
      <c r="U25" s="26">
        <f t="shared" si="2"/>
        <v>6.5384615384615374</v>
      </c>
      <c r="W25" s="932"/>
      <c r="X25" s="1060">
        <v>4232940.91</v>
      </c>
    </row>
    <row r="26" spans="1:24" ht="18" customHeight="1" x14ac:dyDescent="0.35">
      <c r="A26" s="35">
        <v>45748</v>
      </c>
      <c r="B26" s="33" t="s">
        <v>575</v>
      </c>
      <c r="C26" s="25">
        <f>12+14+12+10</f>
        <v>48</v>
      </c>
      <c r="D26" s="25">
        <f>12+11+12+11+11</f>
        <v>57</v>
      </c>
      <c r="E26" s="25">
        <v>12</v>
      </c>
      <c r="F26" s="25"/>
      <c r="G26" s="15"/>
      <c r="H26" s="29">
        <f>+C26*H$8</f>
        <v>4390272</v>
      </c>
      <c r="I26" s="29">
        <f>+D26*I$8</f>
        <v>4689333</v>
      </c>
      <c r="J26" s="29">
        <f>+E26*J$8</f>
        <v>843552</v>
      </c>
      <c r="K26" s="29">
        <f t="shared" ref="K26" si="8">+F26*K$7</f>
        <v>0</v>
      </c>
      <c r="L26" s="34">
        <f t="shared" si="7"/>
        <v>9923157</v>
      </c>
      <c r="M26" s="31">
        <f t="shared" si="6"/>
        <v>9923157</v>
      </c>
      <c r="N26" s="256" t="s">
        <v>138</v>
      </c>
      <c r="P26" s="25">
        <v>12</v>
      </c>
      <c r="Q26" s="26">
        <f t="shared" si="4"/>
        <v>4</v>
      </c>
      <c r="R26" s="26">
        <f t="shared" si="1"/>
        <v>4.75</v>
      </c>
      <c r="S26" s="26">
        <f t="shared" si="1"/>
        <v>1</v>
      </c>
      <c r="T26" s="26">
        <f t="shared" si="1"/>
        <v>0</v>
      </c>
      <c r="U26" s="26">
        <f t="shared" si="2"/>
        <v>9.75</v>
      </c>
      <c r="X26" s="1060">
        <v>5854038.7199999997</v>
      </c>
    </row>
    <row r="27" spans="1:24" ht="18" customHeight="1" x14ac:dyDescent="0.35">
      <c r="A27" s="35">
        <v>45778</v>
      </c>
      <c r="B27" s="27" t="s">
        <v>576</v>
      </c>
      <c r="C27" s="25">
        <f>13+9+9+9</f>
        <v>40</v>
      </c>
      <c r="D27" s="25">
        <f>12+11.5+5.5+11+11</f>
        <v>51</v>
      </c>
      <c r="E27" s="25">
        <v>9.5</v>
      </c>
      <c r="F27" s="25">
        <v>7</v>
      </c>
      <c r="G27" s="15"/>
      <c r="H27" s="29">
        <f t="shared" ref="H27:K28" si="9">+C27*H$9</f>
        <v>3729414.660188139</v>
      </c>
      <c r="I27" s="29">
        <f t="shared" si="9"/>
        <v>4272085.7667060075</v>
      </c>
      <c r="J27" s="29">
        <f t="shared" si="9"/>
        <v>678402.76132837508</v>
      </c>
      <c r="K27" s="29">
        <f t="shared" si="9"/>
        <v>465976.65710165456</v>
      </c>
      <c r="L27" s="34">
        <f t="shared" si="7"/>
        <v>9145879.8453241773</v>
      </c>
      <c r="M27" s="31">
        <f t="shared" ref="M27:M39" si="10">L27</f>
        <v>9145879.8453241773</v>
      </c>
      <c r="N27" s="256" t="s">
        <v>138</v>
      </c>
      <c r="P27" s="25">
        <v>13</v>
      </c>
      <c r="Q27" s="26">
        <f t="shared" si="4"/>
        <v>3.0769230769230771</v>
      </c>
      <c r="R27" s="26">
        <f t="shared" si="1"/>
        <v>3.9230769230769229</v>
      </c>
      <c r="S27" s="26">
        <f t="shared" si="1"/>
        <v>0.73076923076923073</v>
      </c>
      <c r="T27" s="26">
        <f t="shared" si="1"/>
        <v>0.53846153846153844</v>
      </c>
      <c r="U27" s="26">
        <f t="shared" ref="U27:U41" si="11">SUM(Q27:T27)</f>
        <v>8.2692307692307701</v>
      </c>
      <c r="X27" s="1060">
        <v>4901330.6900000004</v>
      </c>
    </row>
    <row r="28" spans="1:24" ht="18" customHeight="1" x14ac:dyDescent="0.35">
      <c r="A28" s="35">
        <v>45778</v>
      </c>
      <c r="B28" s="33" t="s">
        <v>575</v>
      </c>
      <c r="C28" s="25">
        <f>10.5+10+10+4.5</f>
        <v>35</v>
      </c>
      <c r="D28" s="25">
        <f>12+9+8+10+7</f>
        <v>46</v>
      </c>
      <c r="E28" s="25">
        <f>10+7</f>
        <v>17</v>
      </c>
      <c r="F28" s="25">
        <v>10</v>
      </c>
      <c r="G28" s="15"/>
      <c r="H28" s="29">
        <f t="shared" si="9"/>
        <v>3263237.8276646216</v>
      </c>
      <c r="I28" s="29">
        <f t="shared" si="9"/>
        <v>3853253.8287936538</v>
      </c>
      <c r="J28" s="29">
        <f t="shared" si="9"/>
        <v>1213983.8886928817</v>
      </c>
      <c r="K28" s="29">
        <f t="shared" si="9"/>
        <v>665680.93871664943</v>
      </c>
      <c r="L28" s="34">
        <f t="shared" ref="L28:L39" si="12">SUM(H28:K28)</f>
        <v>8996156.4838678073</v>
      </c>
      <c r="M28" s="31">
        <f t="shared" si="10"/>
        <v>8996156.4838678073</v>
      </c>
      <c r="N28" s="256" t="s">
        <v>138</v>
      </c>
      <c r="P28" s="25">
        <v>12</v>
      </c>
      <c r="Q28" s="26">
        <f t="shared" si="4"/>
        <v>2.9166666666666665</v>
      </c>
      <c r="R28" s="26">
        <f t="shared" si="1"/>
        <v>3.8333333333333335</v>
      </c>
      <c r="S28" s="26">
        <f t="shared" si="1"/>
        <v>1.4166666666666667</v>
      </c>
      <c r="T28" s="26">
        <f t="shared" si="1"/>
        <v>0.83333333333333337</v>
      </c>
      <c r="U28" s="26">
        <f t="shared" si="11"/>
        <v>9</v>
      </c>
      <c r="X28" s="1060">
        <v>5427198.8799999999</v>
      </c>
    </row>
    <row r="29" spans="1:24" ht="18" customHeight="1" x14ac:dyDescent="0.35">
      <c r="A29" s="35">
        <v>45809</v>
      </c>
      <c r="B29" s="27" t="s">
        <v>576</v>
      </c>
      <c r="C29" s="25">
        <f>12+4+4</f>
        <v>20</v>
      </c>
      <c r="D29" s="25">
        <f>12+11+11+11+11</f>
        <v>56</v>
      </c>
      <c r="E29" s="25">
        <f>11+11</f>
        <v>22</v>
      </c>
      <c r="F29" s="25">
        <v>12</v>
      </c>
      <c r="G29" s="15"/>
      <c r="H29" s="29">
        <f t="shared" ref="H29:K30" si="13">+C29*H$10</f>
        <v>1883542.7576707772</v>
      </c>
      <c r="I29" s="29">
        <f t="shared" si="13"/>
        <v>4738300.7117357189</v>
      </c>
      <c r="J29" s="29">
        <f t="shared" si="13"/>
        <v>1586907.0440429826</v>
      </c>
      <c r="K29" s="29">
        <f t="shared" si="13"/>
        <v>806885.98632321134</v>
      </c>
      <c r="L29" s="34">
        <f t="shared" si="12"/>
        <v>9015636.4997726902</v>
      </c>
      <c r="M29" s="31">
        <f t="shared" si="10"/>
        <v>9015636.4997726902</v>
      </c>
      <c r="N29" s="256" t="s">
        <v>138</v>
      </c>
      <c r="P29" s="25">
        <v>12</v>
      </c>
      <c r="Q29" s="38">
        <f t="shared" si="4"/>
        <v>1.6666666666666667</v>
      </c>
      <c r="R29" s="38">
        <f t="shared" si="1"/>
        <v>4.666666666666667</v>
      </c>
      <c r="S29" s="38">
        <f t="shared" si="1"/>
        <v>1.8333333333333333</v>
      </c>
      <c r="T29" s="38">
        <f t="shared" si="1"/>
        <v>1</v>
      </c>
      <c r="U29" s="26">
        <f t="shared" si="11"/>
        <v>9.1666666666666679</v>
      </c>
      <c r="X29" s="1060">
        <v>4703894.43</v>
      </c>
    </row>
    <row r="30" spans="1:24" ht="18" customHeight="1" x14ac:dyDescent="0.35">
      <c r="A30" s="35">
        <v>45809</v>
      </c>
      <c r="B30" s="33" t="s">
        <v>575</v>
      </c>
      <c r="C30" s="25">
        <f>17+12</f>
        <v>29</v>
      </c>
      <c r="D30" s="25">
        <f>18+17+17+17+17</f>
        <v>86</v>
      </c>
      <c r="E30" s="25">
        <f>12+11</f>
        <v>23</v>
      </c>
      <c r="F30" s="25">
        <v>12</v>
      </c>
      <c r="G30" s="15"/>
      <c r="H30" s="29">
        <f t="shared" si="13"/>
        <v>2731136.998622627</v>
      </c>
      <c r="I30" s="29">
        <f t="shared" si="13"/>
        <v>7276676.0930227106</v>
      </c>
      <c r="J30" s="29">
        <f t="shared" si="13"/>
        <v>1659039.1824085726</v>
      </c>
      <c r="K30" s="29">
        <f t="shared" si="13"/>
        <v>806885.98632321134</v>
      </c>
      <c r="L30" s="34">
        <f t="shared" si="12"/>
        <v>12473738.260377122</v>
      </c>
      <c r="M30" s="31">
        <f t="shared" si="10"/>
        <v>12473738.260377122</v>
      </c>
      <c r="N30" s="256" t="s">
        <v>138</v>
      </c>
      <c r="P30" s="25">
        <v>12</v>
      </c>
      <c r="Q30" s="38">
        <f t="shared" si="4"/>
        <v>2.4166666666666665</v>
      </c>
      <c r="R30" s="38">
        <f t="shared" si="1"/>
        <v>7.166666666666667</v>
      </c>
      <c r="S30" s="38">
        <f t="shared" si="1"/>
        <v>1.9166666666666667</v>
      </c>
      <c r="T30" s="38">
        <f t="shared" si="1"/>
        <v>1</v>
      </c>
      <c r="U30" s="26">
        <f t="shared" si="11"/>
        <v>12.5</v>
      </c>
      <c r="X30" s="1060">
        <v>5324832.03</v>
      </c>
    </row>
    <row r="31" spans="1:24" ht="18" customHeight="1" x14ac:dyDescent="0.35">
      <c r="A31" s="35">
        <v>45839</v>
      </c>
      <c r="B31" s="27" t="s">
        <v>576</v>
      </c>
      <c r="C31" s="25">
        <f>7+12+12+12</f>
        <v>43</v>
      </c>
      <c r="D31" s="25">
        <f>13+11+11+12+12</f>
        <v>59</v>
      </c>
      <c r="E31" s="25">
        <f>12+10</f>
        <v>22</v>
      </c>
      <c r="F31" s="25">
        <v>12</v>
      </c>
      <c r="G31" s="15"/>
      <c r="H31" s="29">
        <f t="shared" ref="H31:K32" si="14">+C31*H$11</f>
        <v>4088440</v>
      </c>
      <c r="I31" s="29">
        <f t="shared" si="14"/>
        <v>5040075</v>
      </c>
      <c r="J31" s="29">
        <f t="shared" si="14"/>
        <v>1603162</v>
      </c>
      <c r="K31" s="29">
        <f t="shared" si="14"/>
        <v>814896</v>
      </c>
      <c r="L31" s="34">
        <f t="shared" si="12"/>
        <v>11546573</v>
      </c>
      <c r="M31" s="31">
        <f t="shared" si="10"/>
        <v>11546573</v>
      </c>
      <c r="N31" s="256" t="s">
        <v>138</v>
      </c>
      <c r="P31" s="25">
        <v>12</v>
      </c>
      <c r="Q31" s="38">
        <f t="shared" ref="Q31:Q41" si="15">IFERROR(C31/$P31,0)</f>
        <v>3.5833333333333335</v>
      </c>
      <c r="R31" s="38">
        <f t="shared" ref="R31" si="16">IFERROR(D31/$P31,0)</f>
        <v>4.916666666666667</v>
      </c>
      <c r="S31" s="38">
        <f t="shared" ref="S31" si="17">IFERROR(E31/$P31,0)</f>
        <v>1.8333333333333333</v>
      </c>
      <c r="T31" s="38">
        <f t="shared" ref="T31" si="18">IFERROR(F31/$P31,0)</f>
        <v>1</v>
      </c>
      <c r="U31" s="26">
        <f t="shared" si="11"/>
        <v>11.333333333333334</v>
      </c>
      <c r="X31" s="1060">
        <v>6308724.96</v>
      </c>
    </row>
    <row r="32" spans="1:24" ht="18" customHeight="1" x14ac:dyDescent="0.35">
      <c r="A32" s="35">
        <v>45839</v>
      </c>
      <c r="B32" s="33" t="s">
        <v>575</v>
      </c>
      <c r="C32" s="25">
        <f>15.5+14.5+15+14</f>
        <v>59</v>
      </c>
      <c r="D32" s="25">
        <f>16+14+12+15+14</f>
        <v>71</v>
      </c>
      <c r="E32" s="25">
        <f>14+13</f>
        <v>27</v>
      </c>
      <c r="F32" s="25">
        <v>16</v>
      </c>
      <c r="G32" s="15"/>
      <c r="H32" s="29">
        <f t="shared" si="14"/>
        <v>5609720</v>
      </c>
      <c r="I32" s="29">
        <f t="shared" si="14"/>
        <v>6065175</v>
      </c>
      <c r="J32" s="29">
        <f t="shared" si="14"/>
        <v>1967517</v>
      </c>
      <c r="K32" s="29">
        <f t="shared" si="14"/>
        <v>1086528</v>
      </c>
      <c r="L32" s="34">
        <f t="shared" si="12"/>
        <v>14728940</v>
      </c>
      <c r="M32" s="31">
        <f t="shared" si="10"/>
        <v>14728940</v>
      </c>
      <c r="N32" s="256" t="s">
        <v>138</v>
      </c>
      <c r="P32" s="25">
        <v>14</v>
      </c>
      <c r="Q32" s="38">
        <f t="shared" si="15"/>
        <v>4.2142857142857144</v>
      </c>
      <c r="R32" s="38">
        <f t="shared" ref="R32:R41" si="19">IFERROR(D32/$P32,0)</f>
        <v>5.0714285714285712</v>
      </c>
      <c r="S32" s="38">
        <f t="shared" ref="S32:S41" si="20">IFERROR(E32/$P32,0)</f>
        <v>1.9285714285714286</v>
      </c>
      <c r="T32" s="38">
        <f t="shared" ref="T32:T41" si="21">IFERROR(F32/$P32,0)</f>
        <v>1.1428571428571428</v>
      </c>
      <c r="U32" s="26">
        <f t="shared" si="11"/>
        <v>12.357142857142856</v>
      </c>
      <c r="X32" s="1060">
        <v>7260798.8300000001</v>
      </c>
    </row>
    <row r="33" spans="1:24" ht="18" customHeight="1" x14ac:dyDescent="0.35">
      <c r="A33" s="35">
        <v>45870</v>
      </c>
      <c r="B33" s="27" t="s">
        <v>576</v>
      </c>
      <c r="C33" s="25">
        <f>11+12+11+9</f>
        <v>43</v>
      </c>
      <c r="D33" s="25">
        <f>12.5+8+9.5+10+11</f>
        <v>51</v>
      </c>
      <c r="E33" s="25">
        <f>9+9</f>
        <v>18</v>
      </c>
      <c r="F33" s="25">
        <v>12</v>
      </c>
      <c r="G33" s="15"/>
      <c r="H33" s="29">
        <f t="shared" ref="H33:K34" si="22">+C33*H$12</f>
        <v>4123235.6</v>
      </c>
      <c r="I33" s="29">
        <f t="shared" si="22"/>
        <v>4404165.18</v>
      </c>
      <c r="J33" s="29">
        <f t="shared" si="22"/>
        <v>1328059.98</v>
      </c>
      <c r="K33" s="29">
        <f t="shared" si="22"/>
        <v>827224.20000000007</v>
      </c>
      <c r="L33" s="34">
        <f t="shared" si="12"/>
        <v>10682684.959999999</v>
      </c>
      <c r="M33" s="31">
        <f t="shared" si="10"/>
        <v>10682684.959999999</v>
      </c>
      <c r="N33" s="256" t="s">
        <v>138</v>
      </c>
      <c r="P33" s="25">
        <v>12</v>
      </c>
      <c r="Q33" s="38">
        <f t="shared" si="15"/>
        <v>3.5833333333333335</v>
      </c>
      <c r="R33" s="38">
        <f t="shared" si="19"/>
        <v>4.25</v>
      </c>
      <c r="S33" s="38">
        <f t="shared" si="20"/>
        <v>1.5</v>
      </c>
      <c r="T33" s="38">
        <f t="shared" si="21"/>
        <v>1</v>
      </c>
      <c r="U33" s="26">
        <f t="shared" si="11"/>
        <v>10.333333333333334</v>
      </c>
      <c r="W33" s="932"/>
      <c r="X33" s="1060">
        <v>7069933.9000000004</v>
      </c>
    </row>
    <row r="34" spans="1:24" ht="18" customHeight="1" x14ac:dyDescent="0.35">
      <c r="A34" s="35">
        <v>45870</v>
      </c>
      <c r="B34" s="33" t="s">
        <v>575</v>
      </c>
      <c r="C34" s="25">
        <f>13+13+11+13</f>
        <v>50</v>
      </c>
      <c r="D34" s="25">
        <f>12+10+11+10.5+11</f>
        <v>54.5</v>
      </c>
      <c r="E34" s="25">
        <f>12+10</f>
        <v>22</v>
      </c>
      <c r="F34" s="25">
        <v>13</v>
      </c>
      <c r="G34" s="15"/>
      <c r="H34" s="29">
        <f t="shared" si="22"/>
        <v>4794460</v>
      </c>
      <c r="I34" s="29">
        <f t="shared" si="22"/>
        <v>4706411.8099999996</v>
      </c>
      <c r="J34" s="29">
        <f t="shared" si="22"/>
        <v>1623184.42</v>
      </c>
      <c r="K34" s="29">
        <f t="shared" si="22"/>
        <v>896159.55</v>
      </c>
      <c r="L34" s="34">
        <f t="shared" si="12"/>
        <v>12020215.779999999</v>
      </c>
      <c r="M34" s="31">
        <f t="shared" si="10"/>
        <v>12020215.779999999</v>
      </c>
      <c r="N34" s="256" t="s">
        <v>138</v>
      </c>
      <c r="P34" s="25">
        <v>13</v>
      </c>
      <c r="Q34" s="38">
        <f t="shared" si="15"/>
        <v>3.8461538461538463</v>
      </c>
      <c r="R34" s="38">
        <f t="shared" si="19"/>
        <v>4.1923076923076925</v>
      </c>
      <c r="S34" s="38">
        <f t="shared" si="20"/>
        <v>1.6923076923076923</v>
      </c>
      <c r="T34" s="38">
        <f t="shared" si="21"/>
        <v>1</v>
      </c>
      <c r="U34" s="26">
        <f t="shared" si="11"/>
        <v>10.73076923076923</v>
      </c>
      <c r="X34" s="1060">
        <v>5883818.7300000004</v>
      </c>
    </row>
    <row r="35" spans="1:24" ht="18" customHeight="1" x14ac:dyDescent="0.35">
      <c r="A35" s="35">
        <v>45901</v>
      </c>
      <c r="B35" s="27" t="s">
        <v>576</v>
      </c>
      <c r="C35" s="25">
        <f>13+13+11+13</f>
        <v>50</v>
      </c>
      <c r="D35" s="25">
        <f>13+11.5+12+11+12</f>
        <v>59.5</v>
      </c>
      <c r="E35" s="25">
        <f>11+12</f>
        <v>23</v>
      </c>
      <c r="F35" s="25">
        <v>13</v>
      </c>
      <c r="G35" s="15"/>
      <c r="H35" s="29">
        <f>+C35*H$13</f>
        <v>5325800.8655785983</v>
      </c>
      <c r="I35" s="29">
        <f t="shared" ref="I35:K36" si="23">+D35*I$13</f>
        <v>5274663.5702922828</v>
      </c>
      <c r="J35" s="29">
        <f t="shared" si="23"/>
        <v>1742438.4148861554</v>
      </c>
      <c r="K35" s="29">
        <f t="shared" si="23"/>
        <v>923534.54390043556</v>
      </c>
      <c r="L35" s="34">
        <f t="shared" si="12"/>
        <v>13266437.394657474</v>
      </c>
      <c r="M35" s="31">
        <f t="shared" si="10"/>
        <v>13266437.394657474</v>
      </c>
      <c r="N35" s="256" t="s">
        <v>138</v>
      </c>
      <c r="P35" s="25">
        <v>13</v>
      </c>
      <c r="Q35" s="38">
        <f t="shared" si="15"/>
        <v>3.8461538461538463</v>
      </c>
      <c r="R35" s="38">
        <f t="shared" si="19"/>
        <v>4.5769230769230766</v>
      </c>
      <c r="S35" s="38">
        <f t="shared" si="20"/>
        <v>1.7692307692307692</v>
      </c>
      <c r="T35" s="38">
        <f t="shared" si="21"/>
        <v>1</v>
      </c>
      <c r="U35" s="26">
        <f t="shared" si="11"/>
        <v>11.192307692307693</v>
      </c>
      <c r="X35" s="1060">
        <v>6783800.29</v>
      </c>
    </row>
    <row r="36" spans="1:24" ht="18" customHeight="1" x14ac:dyDescent="0.35">
      <c r="A36" s="35">
        <v>45901</v>
      </c>
      <c r="B36" s="33" t="s">
        <v>575</v>
      </c>
      <c r="C36" s="25">
        <f>14+13+12+12</f>
        <v>51</v>
      </c>
      <c r="D36" s="25">
        <f>13+11+13+12.5+11</f>
        <v>60.5</v>
      </c>
      <c r="E36" s="25">
        <f>12+10.5</f>
        <v>22.5</v>
      </c>
      <c r="F36" s="25">
        <v>12</v>
      </c>
      <c r="G36" s="15"/>
      <c r="H36" s="29">
        <f>+C36*H$13</f>
        <v>5432316.8828901704</v>
      </c>
      <c r="I36" s="29">
        <f t="shared" si="23"/>
        <v>5363313.378196354</v>
      </c>
      <c r="J36" s="29">
        <f t="shared" si="23"/>
        <v>1704559.3189103694</v>
      </c>
      <c r="K36" s="29">
        <f t="shared" si="23"/>
        <v>852493.42513886362</v>
      </c>
      <c r="L36" s="34">
        <f t="shared" si="12"/>
        <v>13352683.005135756</v>
      </c>
      <c r="M36" s="31">
        <f t="shared" si="10"/>
        <v>13352683.005135756</v>
      </c>
      <c r="N36" s="256" t="s">
        <v>138</v>
      </c>
      <c r="P36" s="25">
        <v>14</v>
      </c>
      <c r="Q36" s="38">
        <f t="shared" si="15"/>
        <v>3.6428571428571428</v>
      </c>
      <c r="R36" s="38">
        <f t="shared" si="19"/>
        <v>4.3214285714285712</v>
      </c>
      <c r="S36" s="38">
        <f t="shared" si="20"/>
        <v>1.6071428571428572</v>
      </c>
      <c r="T36" s="38">
        <f t="shared" si="21"/>
        <v>0.8571428571428571</v>
      </c>
      <c r="U36" s="26">
        <f t="shared" si="11"/>
        <v>10.428571428571429</v>
      </c>
      <c r="X36" s="1060">
        <v>6722527.7199999997</v>
      </c>
    </row>
    <row r="37" spans="1:24" ht="18" customHeight="1" x14ac:dyDescent="0.35">
      <c r="A37" s="35">
        <v>45931</v>
      </c>
      <c r="B37" s="27" t="s">
        <v>576</v>
      </c>
      <c r="C37" s="25">
        <f>1+14+12+13</f>
        <v>40</v>
      </c>
      <c r="D37" s="25">
        <f>13+11+12.5+13+12+14+8+6</f>
        <v>89.5</v>
      </c>
      <c r="E37" s="25">
        <f>12+10</f>
        <v>22</v>
      </c>
      <c r="F37" s="25">
        <v>10</v>
      </c>
      <c r="G37" s="15"/>
      <c r="H37" s="29">
        <f t="shared" ref="H37:K38" si="24">+C37*H$14</f>
        <v>4274568.2368628792</v>
      </c>
      <c r="I37" s="29">
        <f t="shared" si="24"/>
        <v>7962911.0105944406</v>
      </c>
      <c r="J37" s="29">
        <f t="shared" si="24"/>
        <v>1672707.8814945836</v>
      </c>
      <c r="K37" s="29">
        <f t="shared" si="24"/>
        <v>712922.71201571985</v>
      </c>
      <c r="L37" s="34">
        <f t="shared" si="12"/>
        <v>14623109.840967624</v>
      </c>
      <c r="M37" s="31">
        <f t="shared" si="10"/>
        <v>14623109.840967624</v>
      </c>
      <c r="N37" s="256" t="s">
        <v>138</v>
      </c>
      <c r="P37" s="25">
        <v>13</v>
      </c>
      <c r="Q37" s="38">
        <f t="shared" si="15"/>
        <v>3.0769230769230771</v>
      </c>
      <c r="R37" s="38">
        <f t="shared" si="19"/>
        <v>6.884615384615385</v>
      </c>
      <c r="S37" s="38">
        <f t="shared" si="20"/>
        <v>1.6923076923076923</v>
      </c>
      <c r="T37" s="38">
        <f t="shared" si="21"/>
        <v>0.76923076923076927</v>
      </c>
      <c r="U37" s="26">
        <f t="shared" si="11"/>
        <v>12.423076923076923</v>
      </c>
      <c r="X37" s="1060"/>
    </row>
    <row r="38" spans="1:24" ht="18" customHeight="1" x14ac:dyDescent="0.35">
      <c r="A38" s="35">
        <v>45931</v>
      </c>
      <c r="B38" s="33" t="s">
        <v>575</v>
      </c>
      <c r="C38" s="25">
        <f>13+14+12+13</f>
        <v>52</v>
      </c>
      <c r="D38" s="25">
        <f>13+12+12+12+14+14+14+12</f>
        <v>103</v>
      </c>
      <c r="E38" s="25">
        <f>12+12</f>
        <v>24</v>
      </c>
      <c r="F38" s="25">
        <v>0</v>
      </c>
      <c r="G38" s="15"/>
      <c r="H38" s="29">
        <f t="shared" si="24"/>
        <v>5556938.7079217425</v>
      </c>
      <c r="I38" s="29">
        <f t="shared" si="24"/>
        <v>9164020.4926394131</v>
      </c>
      <c r="J38" s="29">
        <f t="shared" si="24"/>
        <v>1824772.2343577275</v>
      </c>
      <c r="K38" s="29">
        <f t="shared" si="24"/>
        <v>0</v>
      </c>
      <c r="L38" s="34">
        <f t="shared" si="12"/>
        <v>16545731.434918882</v>
      </c>
      <c r="M38" s="31">
        <f t="shared" si="10"/>
        <v>16545731.434918882</v>
      </c>
      <c r="N38" s="256" t="s">
        <v>138</v>
      </c>
      <c r="P38" s="25">
        <v>13</v>
      </c>
      <c r="Q38" s="38">
        <f t="shared" si="15"/>
        <v>4</v>
      </c>
      <c r="R38" s="38">
        <f t="shared" si="19"/>
        <v>7.9230769230769234</v>
      </c>
      <c r="S38" s="38">
        <f t="shared" si="20"/>
        <v>1.8461538461538463</v>
      </c>
      <c r="T38" s="38">
        <f t="shared" si="21"/>
        <v>0</v>
      </c>
      <c r="U38" s="26">
        <f t="shared" si="11"/>
        <v>13.76923076923077</v>
      </c>
      <c r="X38" s="1060"/>
    </row>
    <row r="39" spans="1:24" ht="18" customHeight="1" x14ac:dyDescent="0.35">
      <c r="A39" s="35">
        <v>45962</v>
      </c>
      <c r="B39" s="27" t="s">
        <v>576</v>
      </c>
      <c r="C39" s="25">
        <f>15+14+4+14</f>
        <v>47</v>
      </c>
      <c r="D39" s="25">
        <f>9+12+14+11+15+15+11+2+3.5+2</f>
        <v>94.5</v>
      </c>
      <c r="E39" s="25">
        <f>11+11</f>
        <v>22</v>
      </c>
      <c r="F39" s="25">
        <v>0</v>
      </c>
      <c r="G39" s="15"/>
      <c r="H39" s="29">
        <f>+C39*H$15</f>
        <v>5152191.9563413821</v>
      </c>
      <c r="I39" s="29">
        <f t="shared" ref="I39:K39" si="25">+D39*I$15</f>
        <v>8623394.3867453691</v>
      </c>
      <c r="J39" s="29">
        <f t="shared" si="25"/>
        <v>1707466.5974095834</v>
      </c>
      <c r="K39" s="29">
        <f t="shared" si="25"/>
        <v>0</v>
      </c>
      <c r="L39" s="34">
        <f t="shared" si="12"/>
        <v>15483052.940496335</v>
      </c>
      <c r="M39" s="31">
        <f t="shared" si="10"/>
        <v>15483052.940496335</v>
      </c>
      <c r="N39" s="1035" t="s">
        <v>138</v>
      </c>
      <c r="P39" s="25">
        <v>13</v>
      </c>
      <c r="Q39" s="38">
        <f t="shared" si="15"/>
        <v>3.6153846153846154</v>
      </c>
      <c r="R39" s="38">
        <f t="shared" si="19"/>
        <v>7.2692307692307692</v>
      </c>
      <c r="S39" s="38">
        <f t="shared" si="20"/>
        <v>1.6923076923076923</v>
      </c>
      <c r="T39" s="38">
        <f t="shared" si="21"/>
        <v>0</v>
      </c>
      <c r="U39" s="26">
        <f t="shared" si="11"/>
        <v>12.576923076923077</v>
      </c>
      <c r="X39" s="1060"/>
    </row>
    <row r="40" spans="1:24" ht="18" customHeight="1" x14ac:dyDescent="0.35">
      <c r="A40" s="35">
        <v>45962</v>
      </c>
      <c r="B40" s="33" t="s">
        <v>575</v>
      </c>
      <c r="C40" s="25">
        <f>13.5+14+13</f>
        <v>40.5</v>
      </c>
      <c r="D40" s="25">
        <f>11.5+11+11+14+11+14+10+11+7</f>
        <v>100.5</v>
      </c>
      <c r="E40" s="25">
        <f>9+11</f>
        <v>20</v>
      </c>
      <c r="F40" s="25">
        <v>0</v>
      </c>
      <c r="G40" s="15"/>
      <c r="H40" s="29">
        <f>+C40*H$15</f>
        <v>4439654.7708899146</v>
      </c>
      <c r="I40" s="29">
        <f t="shared" ref="I40" si="26">+D40*I$15</f>
        <v>9170911.4906657096</v>
      </c>
      <c r="J40" s="29">
        <f t="shared" ref="J40" si="27">+E40*J$15</f>
        <v>1552242.3612814394</v>
      </c>
      <c r="K40" s="29">
        <f t="shared" ref="K40" si="28">+F40*K$15</f>
        <v>0</v>
      </c>
      <c r="L40" s="34">
        <f t="shared" ref="L40:L42" si="29">SUM(H40:K40)</f>
        <v>15162808.622837063</v>
      </c>
      <c r="M40" s="31">
        <f t="shared" ref="M40" si="30">L40</f>
        <v>15162808.622837063</v>
      </c>
      <c r="N40" s="1035" t="s">
        <v>138</v>
      </c>
      <c r="P40" s="25">
        <v>13</v>
      </c>
      <c r="Q40" s="38">
        <f t="shared" si="15"/>
        <v>3.1153846153846154</v>
      </c>
      <c r="R40" s="38">
        <f t="shared" si="19"/>
        <v>7.7307692307692308</v>
      </c>
      <c r="S40" s="38">
        <f t="shared" si="20"/>
        <v>1.5384615384615385</v>
      </c>
      <c r="T40" s="38">
        <f t="shared" si="21"/>
        <v>0</v>
      </c>
      <c r="U40" s="26">
        <f t="shared" si="11"/>
        <v>12.384615384615385</v>
      </c>
      <c r="X40" s="1060"/>
    </row>
    <row r="41" spans="1:24" ht="18" customHeight="1" x14ac:dyDescent="0.35">
      <c r="A41" s="35">
        <v>45992</v>
      </c>
      <c r="B41" s="27" t="s">
        <v>576</v>
      </c>
      <c r="C41" s="25">
        <f>15+15+14</f>
        <v>44</v>
      </c>
      <c r="D41" s="25">
        <f>12+14+14+14+15+15+14+12</f>
        <v>110</v>
      </c>
      <c r="E41" s="25">
        <f>14+13</f>
        <v>27</v>
      </c>
      <c r="F41" s="25">
        <v>0</v>
      </c>
      <c r="G41" s="15"/>
      <c r="H41" s="29">
        <f>+C41*H$16</f>
        <v>5010068.0018023988</v>
      </c>
      <c r="I41" s="29">
        <f t="shared" ref="I41:I42" si="31">+D41*I$16</f>
        <v>10471661.976430997</v>
      </c>
      <c r="J41" s="29">
        <f>+E41*J$16</f>
        <v>2196617.2506669266</v>
      </c>
      <c r="K41" s="29">
        <f>+F41*K$16</f>
        <v>0</v>
      </c>
      <c r="L41" s="34">
        <f t="shared" si="29"/>
        <v>17678347.228900325</v>
      </c>
      <c r="M41" s="31">
        <f t="shared" ref="M41:M42" si="32">L41</f>
        <v>17678347.228900325</v>
      </c>
      <c r="N41" s="1035" t="s">
        <v>138</v>
      </c>
      <c r="P41" s="25">
        <v>13</v>
      </c>
      <c r="Q41" s="38">
        <f t="shared" si="15"/>
        <v>3.3846153846153846</v>
      </c>
      <c r="R41" s="38">
        <f t="shared" si="19"/>
        <v>8.4615384615384617</v>
      </c>
      <c r="S41" s="38">
        <f t="shared" si="20"/>
        <v>2.0769230769230771</v>
      </c>
      <c r="T41" s="38">
        <f t="shared" si="21"/>
        <v>0</v>
      </c>
      <c r="U41" s="26">
        <f t="shared" si="11"/>
        <v>13.923076923076923</v>
      </c>
      <c r="X41" s="1060"/>
    </row>
    <row r="42" spans="1:24" ht="18" customHeight="1" x14ac:dyDescent="0.35">
      <c r="A42" s="35">
        <v>45992</v>
      </c>
      <c r="B42" s="33" t="s">
        <v>575</v>
      </c>
      <c r="C42" s="25">
        <f>12+12+11</f>
        <v>35</v>
      </c>
      <c r="D42" s="25">
        <f>10+5.5+7+13.5+12+13.5+5+12</f>
        <v>78.5</v>
      </c>
      <c r="E42" s="25">
        <f>6.5</f>
        <v>6.5</v>
      </c>
      <c r="F42" s="25">
        <v>0</v>
      </c>
      <c r="G42" s="15"/>
      <c r="H42" s="29">
        <f>+C42*H$16</f>
        <v>3985281.3650700897</v>
      </c>
      <c r="I42" s="29">
        <f t="shared" si="31"/>
        <v>7472958.7740893932</v>
      </c>
      <c r="J42" s="29">
        <f t="shared" ref="J42:K42" si="33">+E42*J$16</f>
        <v>528815.26404944528</v>
      </c>
      <c r="K42" s="29">
        <f t="shared" si="33"/>
        <v>0</v>
      </c>
      <c r="L42" s="34">
        <f t="shared" si="29"/>
        <v>11987055.403208926</v>
      </c>
      <c r="M42" s="31">
        <f t="shared" si="32"/>
        <v>11987055.403208926</v>
      </c>
      <c r="N42" s="1035" t="s">
        <v>138</v>
      </c>
      <c r="P42" s="25">
        <v>14</v>
      </c>
      <c r="Q42" s="38">
        <f t="shared" ref="Q42" si="34">IFERROR(C42/$P42,0)</f>
        <v>2.5</v>
      </c>
      <c r="R42" s="38">
        <f t="shared" ref="R42" si="35">IFERROR(D42/$P42,0)</f>
        <v>5.6071428571428568</v>
      </c>
      <c r="S42" s="38">
        <f t="shared" ref="S42" si="36">IFERROR(E42/$P42,0)</f>
        <v>0.4642857142857143</v>
      </c>
      <c r="T42" s="38">
        <f t="shared" ref="T42" si="37">IFERROR(F42/$P42,0)</f>
        <v>0</v>
      </c>
      <c r="U42" s="26">
        <f t="shared" ref="U42" si="38">SUM(Q42:T42)</f>
        <v>8.5714285714285712</v>
      </c>
      <c r="X42" s="1060"/>
    </row>
    <row r="43" spans="1:24" ht="18" customHeight="1" x14ac:dyDescent="0.35">
      <c r="A43" s="35">
        <v>46023</v>
      </c>
      <c r="B43" s="27" t="s">
        <v>576</v>
      </c>
      <c r="C43" s="25">
        <v>39</v>
      </c>
      <c r="D43" s="25">
        <v>83</v>
      </c>
      <c r="E43" s="25">
        <v>0</v>
      </c>
      <c r="F43" s="25">
        <v>0</v>
      </c>
      <c r="G43" s="15"/>
      <c r="H43" s="29">
        <f>+C43*H$17</f>
        <v>4580653.6337891715</v>
      </c>
      <c r="I43" s="29">
        <f t="shared" ref="I43:K44" si="39">+D43*I$17</f>
        <v>8122941.8989315713</v>
      </c>
      <c r="J43" s="29">
        <f t="shared" si="39"/>
        <v>0</v>
      </c>
      <c r="K43" s="29">
        <f t="shared" si="39"/>
        <v>0</v>
      </c>
      <c r="L43" s="34">
        <f t="shared" ref="L43:L46" si="40">SUM(H43:K43)</f>
        <v>12703595.532720743</v>
      </c>
      <c r="M43" s="31">
        <f t="shared" ref="M43:M44" si="41">L43</f>
        <v>12703595.532720743</v>
      </c>
      <c r="N43" s="1035" t="s">
        <v>138</v>
      </c>
      <c r="P43" s="25">
        <v>13</v>
      </c>
      <c r="Q43" s="38">
        <f t="shared" ref="Q43:Q44" si="42">IFERROR(C43/$P43,0)</f>
        <v>3</v>
      </c>
      <c r="R43" s="38">
        <f t="shared" ref="R43:R44" si="43">IFERROR(D43/$P43,0)</f>
        <v>6.384615384615385</v>
      </c>
      <c r="S43" s="38">
        <f t="shared" ref="S43:S44" si="44">IFERROR(E43/$P43,0)</f>
        <v>0</v>
      </c>
      <c r="T43" s="38">
        <f t="shared" ref="T43:T44" si="45">IFERROR(F43/$P43,0)</f>
        <v>0</v>
      </c>
      <c r="U43" s="26">
        <f t="shared" ref="U43:U44" si="46">SUM(Q43:T43)</f>
        <v>9.384615384615385</v>
      </c>
      <c r="X43" s="1060"/>
    </row>
    <row r="44" spans="1:24" ht="18" customHeight="1" x14ac:dyDescent="0.35">
      <c r="A44" s="35">
        <v>46023</v>
      </c>
      <c r="B44" s="33" t="s">
        <v>575</v>
      </c>
      <c r="C44" s="25">
        <v>48</v>
      </c>
      <c r="D44" s="25">
        <v>81</v>
      </c>
      <c r="E44" s="25">
        <v>0</v>
      </c>
      <c r="F44" s="25">
        <v>0</v>
      </c>
      <c r="G44" s="15"/>
      <c r="H44" s="29">
        <f>+C44*H$17</f>
        <v>5637727.5492789801</v>
      </c>
      <c r="I44" s="29">
        <f t="shared" si="39"/>
        <v>7927208.3591982806</v>
      </c>
      <c r="J44" s="29">
        <f t="shared" si="39"/>
        <v>0</v>
      </c>
      <c r="K44" s="29">
        <f t="shared" si="39"/>
        <v>0</v>
      </c>
      <c r="L44" s="34">
        <f t="shared" si="40"/>
        <v>13564935.908477262</v>
      </c>
      <c r="M44" s="31">
        <f t="shared" si="41"/>
        <v>13564935.908477262</v>
      </c>
      <c r="N44" s="1035" t="s">
        <v>138</v>
      </c>
      <c r="P44" s="25">
        <v>14</v>
      </c>
      <c r="Q44" s="38">
        <f t="shared" si="42"/>
        <v>3.4285714285714284</v>
      </c>
      <c r="R44" s="38">
        <f t="shared" si="43"/>
        <v>5.7857142857142856</v>
      </c>
      <c r="S44" s="38">
        <f t="shared" si="44"/>
        <v>0</v>
      </c>
      <c r="T44" s="38">
        <f t="shared" si="45"/>
        <v>0</v>
      </c>
      <c r="U44" s="26">
        <f t="shared" si="46"/>
        <v>9.2142857142857135</v>
      </c>
      <c r="X44" s="1060"/>
    </row>
    <row r="45" spans="1:24" ht="18" customHeight="1" x14ac:dyDescent="0.35">
      <c r="A45" s="35">
        <v>46054</v>
      </c>
      <c r="B45" s="27" t="s">
        <v>576</v>
      </c>
      <c r="C45" s="25">
        <v>33</v>
      </c>
      <c r="D45" s="25">
        <v>62.5</v>
      </c>
      <c r="E45" s="25">
        <v>0</v>
      </c>
      <c r="F45" s="25">
        <v>0</v>
      </c>
      <c r="G45" s="15"/>
      <c r="H45" s="29">
        <f>+C45*H$18</f>
        <v>3940409.0301393</v>
      </c>
      <c r="I45" s="29">
        <f t="shared" ref="I45:K46" si="47">+D45*I$18</f>
        <v>6217472.3735403391</v>
      </c>
      <c r="J45" s="29">
        <f t="shared" si="47"/>
        <v>0</v>
      </c>
      <c r="K45" s="29">
        <f t="shared" si="47"/>
        <v>0</v>
      </c>
      <c r="L45" s="34">
        <f t="shared" si="40"/>
        <v>10157881.403679639</v>
      </c>
      <c r="M45" s="31">
        <f t="shared" ref="M45:M46" si="48">L45</f>
        <v>10157881.403679639</v>
      </c>
      <c r="N45" s="1035" t="s">
        <v>138</v>
      </c>
      <c r="P45" s="25">
        <v>13</v>
      </c>
      <c r="Q45" s="38">
        <f t="shared" ref="Q45:Q46" si="49">C45/P45</f>
        <v>2.5384615384615383</v>
      </c>
      <c r="R45" s="38">
        <f t="shared" ref="R45:R46" si="50">D45/P45</f>
        <v>4.8076923076923075</v>
      </c>
      <c r="S45" s="38">
        <f t="shared" ref="S45:S46" si="51">E45/P45</f>
        <v>0</v>
      </c>
      <c r="T45" s="38">
        <f t="shared" ref="T45:T46" si="52">F45/P45</f>
        <v>0</v>
      </c>
      <c r="U45" s="38">
        <f t="shared" ref="U45:U46" si="53">SUM(Q45:T45)</f>
        <v>7.3461538461538458</v>
      </c>
      <c r="X45" s="1060"/>
    </row>
    <row r="46" spans="1:24" ht="18" customHeight="1" x14ac:dyDescent="0.35">
      <c r="A46" s="35">
        <v>46054</v>
      </c>
      <c r="B46" s="33" t="s">
        <v>575</v>
      </c>
      <c r="C46" s="25">
        <v>22.5</v>
      </c>
      <c r="D46" s="25">
        <v>44.5</v>
      </c>
      <c r="E46" s="25">
        <v>0</v>
      </c>
      <c r="F46" s="25">
        <v>0</v>
      </c>
      <c r="G46" s="15"/>
      <c r="H46" s="29">
        <f>+C46*H$18</f>
        <v>2686642.5205495227</v>
      </c>
      <c r="I46" s="29">
        <f t="shared" si="47"/>
        <v>4426840.3299607215</v>
      </c>
      <c r="J46" s="29">
        <f t="shared" si="47"/>
        <v>0</v>
      </c>
      <c r="K46" s="29">
        <f t="shared" si="47"/>
        <v>0</v>
      </c>
      <c r="L46" s="34">
        <f t="shared" si="40"/>
        <v>7113482.8505102443</v>
      </c>
      <c r="M46" s="31">
        <f t="shared" si="48"/>
        <v>7113482.8505102443</v>
      </c>
      <c r="N46" s="1035" t="s">
        <v>138</v>
      </c>
      <c r="P46" s="25">
        <v>14</v>
      </c>
      <c r="Q46" s="38">
        <f t="shared" si="49"/>
        <v>1.6071428571428572</v>
      </c>
      <c r="R46" s="38">
        <f t="shared" si="50"/>
        <v>3.1785714285714284</v>
      </c>
      <c r="S46" s="38">
        <f t="shared" si="51"/>
        <v>0</v>
      </c>
      <c r="T46" s="38">
        <f t="shared" si="52"/>
        <v>0</v>
      </c>
      <c r="U46" s="38">
        <f t="shared" si="53"/>
        <v>4.7857142857142856</v>
      </c>
      <c r="X46" s="1060"/>
    </row>
    <row r="47" spans="1:24" ht="18" customHeight="1" x14ac:dyDescent="0.35">
      <c r="A47" s="35">
        <v>46082</v>
      </c>
      <c r="B47" s="27" t="s">
        <v>576</v>
      </c>
      <c r="C47" s="25">
        <v>10</v>
      </c>
      <c r="D47" s="25">
        <v>39</v>
      </c>
      <c r="E47" s="25">
        <v>0</v>
      </c>
      <c r="F47" s="25">
        <v>0</v>
      </c>
      <c r="G47" s="15"/>
      <c r="H47" s="29">
        <f>+C47*H$19</f>
        <v>1224457.9058664544</v>
      </c>
      <c r="I47" s="29">
        <f t="shared" ref="I47:K48" si="54">+D47*I$19</f>
        <v>3979133.6084284903</v>
      </c>
      <c r="J47" s="29">
        <f t="shared" si="54"/>
        <v>0</v>
      </c>
      <c r="K47" s="29">
        <f t="shared" si="54"/>
        <v>0</v>
      </c>
      <c r="L47" s="34">
        <f t="shared" ref="L47" si="55">SUM(H47:K47)</f>
        <v>5203591.5142949447</v>
      </c>
      <c r="M47" s="31">
        <f t="shared" ref="M47" si="56">L47</f>
        <v>5203591.5142949447</v>
      </c>
      <c r="N47" s="1035" t="s">
        <v>138</v>
      </c>
      <c r="P47" s="25">
        <v>12</v>
      </c>
      <c r="Q47" s="38">
        <f t="shared" ref="Q47:Q49" si="57">C47/P47</f>
        <v>0.83333333333333337</v>
      </c>
      <c r="R47" s="38">
        <f t="shared" ref="R47:R49" si="58">D47/P47</f>
        <v>3.25</v>
      </c>
      <c r="S47" s="38">
        <f t="shared" ref="S47:S49" si="59">E47/P47</f>
        <v>0</v>
      </c>
      <c r="T47" s="38">
        <f t="shared" ref="T47:T49" si="60">F47/P47</f>
        <v>0</v>
      </c>
      <c r="U47" s="38">
        <f t="shared" ref="U47:U49" si="61">SUM(Q47:T47)</f>
        <v>4.083333333333333</v>
      </c>
      <c r="X47" s="1060"/>
    </row>
    <row r="48" spans="1:24" ht="18" customHeight="1" x14ac:dyDescent="0.35">
      <c r="A48" s="35">
        <v>46082</v>
      </c>
      <c r="B48" s="33" t="s">
        <v>575</v>
      </c>
      <c r="C48" s="25">
        <v>14</v>
      </c>
      <c r="D48" s="25">
        <v>37</v>
      </c>
      <c r="E48" s="25">
        <v>0</v>
      </c>
      <c r="F48" s="25">
        <v>0</v>
      </c>
      <c r="G48" s="15"/>
      <c r="H48" s="29">
        <f>+C48*H$19</f>
        <v>1714241.0682130358</v>
      </c>
      <c r="I48" s="29">
        <f t="shared" si="54"/>
        <v>3775075.4746629265</v>
      </c>
      <c r="J48" s="29">
        <f t="shared" si="54"/>
        <v>0</v>
      </c>
      <c r="K48" s="29">
        <f t="shared" si="54"/>
        <v>0</v>
      </c>
      <c r="L48" s="34">
        <f>SUM(H48:K48)</f>
        <v>5489316.5428759623</v>
      </c>
      <c r="M48" s="31">
        <f>L48</f>
        <v>5489316.5428759623</v>
      </c>
      <c r="N48" s="1035" t="s">
        <v>138</v>
      </c>
      <c r="P48" s="25">
        <v>13</v>
      </c>
      <c r="Q48" s="38">
        <f t="shared" si="57"/>
        <v>1.0769230769230769</v>
      </c>
      <c r="R48" s="38">
        <f t="shared" si="58"/>
        <v>2.8461538461538463</v>
      </c>
      <c r="S48" s="38">
        <f t="shared" si="59"/>
        <v>0</v>
      </c>
      <c r="T48" s="38">
        <f t="shared" si="60"/>
        <v>0</v>
      </c>
      <c r="U48" s="38">
        <f t="shared" si="61"/>
        <v>3.9230769230769234</v>
      </c>
      <c r="X48" s="1060"/>
    </row>
    <row r="49" spans="1:27" ht="18" customHeight="1" x14ac:dyDescent="0.35">
      <c r="A49" s="35">
        <v>46113</v>
      </c>
      <c r="B49" s="27" t="s">
        <v>576</v>
      </c>
      <c r="C49" s="25">
        <v>8</v>
      </c>
      <c r="D49" s="25">
        <v>33</v>
      </c>
      <c r="E49" s="25">
        <v>0</v>
      </c>
      <c r="F49" s="25">
        <v>0</v>
      </c>
      <c r="G49" s="15"/>
      <c r="H49" s="29">
        <f>+C49*H$20</f>
        <v>1030246.9312531636</v>
      </c>
      <c r="I49" s="29">
        <f t="shared" ref="I49:K50" si="62">+D49*I$20</f>
        <v>3530863.4469092982</v>
      </c>
      <c r="J49" s="29">
        <f t="shared" si="62"/>
        <v>0</v>
      </c>
      <c r="K49" s="29">
        <f t="shared" si="62"/>
        <v>0</v>
      </c>
      <c r="L49" s="34">
        <f t="shared" ref="L49:L50" si="63">SUM(H49:K49)</f>
        <v>4561110.3781624623</v>
      </c>
      <c r="M49" s="31">
        <f t="shared" ref="M49:M50" si="64">L49</f>
        <v>4561110.3781624623</v>
      </c>
      <c r="N49" s="1035" t="s">
        <v>138</v>
      </c>
      <c r="P49" s="25">
        <v>13</v>
      </c>
      <c r="Q49" s="38">
        <f t="shared" si="57"/>
        <v>0.61538461538461542</v>
      </c>
      <c r="R49" s="38">
        <f t="shared" si="58"/>
        <v>2.5384615384615383</v>
      </c>
      <c r="S49" s="38">
        <f t="shared" si="59"/>
        <v>0</v>
      </c>
      <c r="T49" s="38">
        <f t="shared" si="60"/>
        <v>0</v>
      </c>
      <c r="U49" s="38">
        <f t="shared" si="61"/>
        <v>3.1538461538461537</v>
      </c>
      <c r="X49" s="1060"/>
    </row>
    <row r="50" spans="1:27" ht="18" customHeight="1" x14ac:dyDescent="0.35">
      <c r="A50" s="35">
        <v>46113</v>
      </c>
      <c r="B50" s="33" t="s">
        <v>575</v>
      </c>
      <c r="C50" s="25">
        <v>13.5</v>
      </c>
      <c r="D50" s="25">
        <v>23</v>
      </c>
      <c r="E50" s="25">
        <v>0</v>
      </c>
      <c r="F50" s="25">
        <v>0</v>
      </c>
      <c r="G50" s="15"/>
      <c r="H50" s="29">
        <f>+C50*H$20</f>
        <v>1738541.6964897136</v>
      </c>
      <c r="I50" s="29">
        <f t="shared" si="62"/>
        <v>2460904.8266337533</v>
      </c>
      <c r="J50" s="29">
        <f t="shared" si="62"/>
        <v>0</v>
      </c>
      <c r="K50" s="29">
        <f t="shared" si="62"/>
        <v>0</v>
      </c>
      <c r="L50" s="34">
        <f t="shared" si="63"/>
        <v>4199446.5231234673</v>
      </c>
      <c r="M50" s="31">
        <f t="shared" si="64"/>
        <v>4199446.5231234673</v>
      </c>
      <c r="N50" s="1035" t="s">
        <v>138</v>
      </c>
      <c r="P50" s="25">
        <v>13</v>
      </c>
      <c r="Q50" s="38">
        <f t="shared" ref="Q50:Q52" si="65">C50/P50</f>
        <v>1.0384615384615385</v>
      </c>
      <c r="R50" s="38">
        <f t="shared" ref="R50:R52" si="66">D50/P50</f>
        <v>1.7692307692307692</v>
      </c>
      <c r="S50" s="38">
        <f t="shared" ref="S50:S52" si="67">E50/P50</f>
        <v>0</v>
      </c>
      <c r="T50" s="38">
        <f t="shared" ref="T50:T52" si="68">F50/P50</f>
        <v>0</v>
      </c>
      <c r="U50" s="38">
        <f t="shared" ref="U50:U52" si="69">SUM(Q50:T50)</f>
        <v>2.8076923076923075</v>
      </c>
      <c r="X50" s="1060"/>
    </row>
    <row r="51" spans="1:27" ht="18" customHeight="1" x14ac:dyDescent="0.35">
      <c r="A51" s="35">
        <v>46143</v>
      </c>
      <c r="B51" s="27" t="s">
        <v>576</v>
      </c>
      <c r="C51" s="25">
        <v>13.5</v>
      </c>
      <c r="D51" s="25">
        <v>25.5</v>
      </c>
      <c r="E51" s="25">
        <v>0</v>
      </c>
      <c r="F51" s="25">
        <v>0</v>
      </c>
      <c r="G51" s="15"/>
      <c r="H51" s="29">
        <f>+C51*H$21</f>
        <v>1778322.4310697131</v>
      </c>
      <c r="I51" s="29">
        <f t="shared" ref="I51:K52" si="70">+D51*I$21</f>
        <v>2792042.1143519585</v>
      </c>
      <c r="J51" s="29">
        <f t="shared" si="70"/>
        <v>0</v>
      </c>
      <c r="K51" s="29">
        <f t="shared" si="70"/>
        <v>0</v>
      </c>
      <c r="L51" s="34">
        <f t="shared" ref="L51:L52" si="71">SUM(H51:K51)</f>
        <v>4570364.5454216711</v>
      </c>
      <c r="M51" s="31">
        <f t="shared" ref="M51:M52" si="72">L51</f>
        <v>4570364.5454216711</v>
      </c>
      <c r="N51" s="1035" t="s">
        <v>138</v>
      </c>
      <c r="P51" s="25">
        <v>12</v>
      </c>
      <c r="Q51" s="38">
        <f t="shared" si="65"/>
        <v>1.125</v>
      </c>
      <c r="R51" s="38">
        <f t="shared" si="66"/>
        <v>2.125</v>
      </c>
      <c r="S51" s="38">
        <f t="shared" si="67"/>
        <v>0</v>
      </c>
      <c r="T51" s="38">
        <f t="shared" si="68"/>
        <v>0</v>
      </c>
      <c r="U51" s="38">
        <f t="shared" si="69"/>
        <v>3.25</v>
      </c>
      <c r="X51" s="1060"/>
    </row>
    <row r="52" spans="1:27" ht="18" customHeight="1" x14ac:dyDescent="0.35">
      <c r="A52" s="35">
        <v>46143</v>
      </c>
      <c r="B52" s="33" t="s">
        <v>575</v>
      </c>
      <c r="C52" s="25">
        <v>12</v>
      </c>
      <c r="D52" s="25">
        <v>15</v>
      </c>
      <c r="E52" s="25">
        <v>0</v>
      </c>
      <c r="F52" s="25">
        <v>0</v>
      </c>
      <c r="G52" s="15"/>
      <c r="H52" s="29">
        <f>+C52*H$21</f>
        <v>1580731.0498397448</v>
      </c>
      <c r="I52" s="29">
        <f t="shared" si="70"/>
        <v>1642377.7143246816</v>
      </c>
      <c r="J52" s="29">
        <f t="shared" si="70"/>
        <v>0</v>
      </c>
      <c r="K52" s="29">
        <f t="shared" si="70"/>
        <v>0</v>
      </c>
      <c r="L52" s="34">
        <f t="shared" si="71"/>
        <v>3223108.7641644264</v>
      </c>
      <c r="M52" s="31">
        <f t="shared" si="72"/>
        <v>3223108.7641644264</v>
      </c>
      <c r="N52" s="1035" t="s">
        <v>138</v>
      </c>
      <c r="P52" s="25">
        <v>12</v>
      </c>
      <c r="Q52" s="38">
        <f t="shared" si="65"/>
        <v>1</v>
      </c>
      <c r="R52" s="38">
        <f t="shared" si="66"/>
        <v>1.25</v>
      </c>
      <c r="S52" s="38">
        <f t="shared" si="67"/>
        <v>0</v>
      </c>
      <c r="T52" s="38">
        <f t="shared" si="68"/>
        <v>0</v>
      </c>
      <c r="U52" s="38">
        <f t="shared" si="69"/>
        <v>2.25</v>
      </c>
      <c r="X52" s="1060"/>
    </row>
    <row r="53" spans="1:27" ht="18" customHeight="1" x14ac:dyDescent="0.35">
      <c r="A53" s="35"/>
      <c r="B53" s="33"/>
      <c r="C53" s="25"/>
      <c r="D53" s="25"/>
      <c r="E53" s="25"/>
      <c r="F53" s="25"/>
      <c r="G53" s="15"/>
      <c r="H53" s="29"/>
      <c r="I53" s="29"/>
      <c r="J53" s="29"/>
      <c r="K53" s="29"/>
      <c r="L53" s="34"/>
      <c r="M53" s="36"/>
      <c r="N53" s="37"/>
      <c r="P53" s="25"/>
      <c r="Q53" s="38"/>
      <c r="R53" s="38"/>
      <c r="S53" s="38"/>
      <c r="T53" s="38"/>
      <c r="U53" s="38"/>
      <c r="X53" s="1060"/>
      <c r="AA53" s="932"/>
    </row>
    <row r="54" spans="1:27" ht="18" customHeight="1" thickBot="1" x14ac:dyDescent="0.4">
      <c r="A54" s="39"/>
      <c r="B54" s="39"/>
      <c r="C54" s="40"/>
      <c r="D54" s="40"/>
      <c r="E54" s="40"/>
      <c r="F54" s="40"/>
      <c r="G54" s="15"/>
      <c r="H54" s="39"/>
      <c r="I54" s="39"/>
      <c r="J54" s="39"/>
      <c r="K54" s="39"/>
      <c r="L54" s="41">
        <f>SUM(L22:L53)</f>
        <v>303006587.66389483</v>
      </c>
      <c r="M54" s="257">
        <f>SUM(M22:M53)</f>
        <v>303006587.66389483</v>
      </c>
      <c r="N54" s="42"/>
      <c r="P54" s="40"/>
      <c r="Q54" s="40"/>
      <c r="R54" s="40"/>
      <c r="S54" s="40"/>
      <c r="T54" s="40"/>
      <c r="U54" s="40"/>
      <c r="X54" s="1061">
        <f>SUM(X22:X53)</f>
        <v>74669227.820000008</v>
      </c>
    </row>
    <row r="55" spans="1:27" x14ac:dyDescent="0.35">
      <c r="M55" s="932"/>
      <c r="P55" s="43"/>
      <c r="Q55" s="43"/>
      <c r="R55" s="43"/>
      <c r="S55" s="43"/>
      <c r="T55" s="43"/>
      <c r="U55" s="43"/>
    </row>
    <row r="57" spans="1:27" x14ac:dyDescent="0.35">
      <c r="L57" s="44" t="s">
        <v>155</v>
      </c>
      <c r="M57" s="45">
        <f>SUM(M22:M53)</f>
        <v>303006587.66389483</v>
      </c>
      <c r="X57" s="1062"/>
    </row>
    <row r="58" spans="1:27" x14ac:dyDescent="0.35">
      <c r="L58" s="46" t="s">
        <v>156</v>
      </c>
      <c r="M58" s="47"/>
      <c r="X58" s="1062"/>
    </row>
    <row r="59" spans="1:27" x14ac:dyDescent="0.35">
      <c r="M59" s="48">
        <f>+M58+M57</f>
        <v>303006587.66389483</v>
      </c>
    </row>
    <row r="63" spans="1:27" x14ac:dyDescent="0.35">
      <c r="M63" s="932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18BF-17BF-4B26-B0C1-5E5E9A8A5B3E}">
  <dimension ref="A1:X43"/>
  <sheetViews>
    <sheetView topLeftCell="A9" workbookViewId="0">
      <selection activeCell="W30" sqref="W30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9" width="10.453125" bestFit="1" customWidth="1"/>
    <col min="10" max="10" width="10.26953125" bestFit="1" customWidth="1"/>
    <col min="11" max="11" width="10.453125" bestFit="1" customWidth="1"/>
    <col min="12" max="13" width="12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11" bestFit="1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1" x14ac:dyDescent="0.35">
      <c r="A1" s="7" t="s">
        <v>137</v>
      </c>
      <c r="B1" s="7"/>
      <c r="C1"/>
      <c r="D1"/>
      <c r="E1"/>
      <c r="F1"/>
      <c r="O1" s="8" t="s">
        <v>138</v>
      </c>
      <c r="P1" s="1914" t="s">
        <v>139</v>
      </c>
      <c r="Q1" s="1914"/>
    </row>
    <row r="2" spans="1:21" x14ac:dyDescent="0.35">
      <c r="A2" s="7" t="s">
        <v>140</v>
      </c>
      <c r="B2" s="7"/>
      <c r="C2"/>
      <c r="D2"/>
      <c r="E2"/>
      <c r="F2"/>
      <c r="O2" s="9" t="s">
        <v>141</v>
      </c>
      <c r="P2" s="1915" t="s">
        <v>142</v>
      </c>
      <c r="Q2" s="1915"/>
    </row>
    <row r="3" spans="1:21" ht="15" thickBot="1" x14ac:dyDescent="0.4">
      <c r="C3"/>
      <c r="D3"/>
      <c r="E3"/>
      <c r="F3"/>
    </row>
    <row r="4" spans="1:21" x14ac:dyDescent="0.35">
      <c r="C4" s="1916" t="s">
        <v>143</v>
      </c>
      <c r="D4" s="1917"/>
      <c r="E4" s="1917"/>
      <c r="F4" s="1918"/>
      <c r="G4" s="11"/>
      <c r="H4" s="12" t="s">
        <v>144</v>
      </c>
      <c r="I4" s="12" t="s">
        <v>145</v>
      </c>
      <c r="J4" s="12" t="s">
        <v>146</v>
      </c>
      <c r="K4" s="12" t="s">
        <v>147</v>
      </c>
      <c r="L4" s="10" t="s">
        <v>52</v>
      </c>
      <c r="M4" s="13" t="s">
        <v>98</v>
      </c>
      <c r="P4" s="1916" t="s">
        <v>148</v>
      </c>
      <c r="Q4" s="1917"/>
      <c r="R4" s="1917"/>
      <c r="S4" s="1917"/>
      <c r="T4" s="1917"/>
      <c r="U4" s="1918"/>
    </row>
    <row r="5" spans="1:21" x14ac:dyDescent="0.35">
      <c r="C5" s="14" t="s">
        <v>149</v>
      </c>
      <c r="D5" s="14" t="s">
        <v>150</v>
      </c>
      <c r="E5" s="14" t="s">
        <v>151</v>
      </c>
      <c r="F5" s="14" t="s">
        <v>152</v>
      </c>
      <c r="G5" s="15"/>
      <c r="H5" s="1022">
        <v>95889.2</v>
      </c>
      <c r="I5" s="1022">
        <v>86356.18</v>
      </c>
      <c r="J5" s="1022">
        <v>73781.11</v>
      </c>
      <c r="K5" s="1022">
        <v>68935.350000000006</v>
      </c>
      <c r="L5" s="1023">
        <v>45870</v>
      </c>
      <c r="M5" s="16"/>
      <c r="P5" s="12" t="s">
        <v>153</v>
      </c>
      <c r="Q5" s="12" t="s">
        <v>149</v>
      </c>
      <c r="R5" s="12" t="s">
        <v>150</v>
      </c>
      <c r="S5" s="12" t="s">
        <v>151</v>
      </c>
      <c r="T5" s="12" t="s">
        <v>152</v>
      </c>
      <c r="U5" s="12" t="s">
        <v>154</v>
      </c>
    </row>
    <row r="6" spans="1:21" x14ac:dyDescent="0.35">
      <c r="C6" s="14"/>
      <c r="D6" s="14"/>
      <c r="E6" s="14"/>
      <c r="F6" s="14"/>
      <c r="G6" s="15"/>
      <c r="H6" s="1022">
        <v>106516.01731157197</v>
      </c>
      <c r="I6" s="1022">
        <v>88649.807904071975</v>
      </c>
      <c r="J6" s="1022">
        <v>75758.191951571978</v>
      </c>
      <c r="K6" s="1022">
        <v>71041.118761571968</v>
      </c>
      <c r="L6" s="1023">
        <v>45901</v>
      </c>
      <c r="M6" s="16"/>
      <c r="P6" s="1063"/>
      <c r="Q6" s="1063"/>
      <c r="R6" s="1063"/>
      <c r="S6" s="1063"/>
      <c r="T6" s="1063"/>
      <c r="U6" s="1063"/>
    </row>
    <row r="7" spans="1:21" x14ac:dyDescent="0.35">
      <c r="C7" s="14"/>
      <c r="D7" s="14"/>
      <c r="E7" s="14"/>
      <c r="F7" s="14"/>
      <c r="G7" s="15"/>
      <c r="H7" s="1022">
        <v>106864.20592157198</v>
      </c>
      <c r="I7" s="1022">
        <v>88971.072744071964</v>
      </c>
      <c r="J7" s="1022">
        <v>76032.176431571977</v>
      </c>
      <c r="K7" s="1022">
        <v>71292.271201571988</v>
      </c>
      <c r="L7" s="1023">
        <v>45931</v>
      </c>
      <c r="M7" s="16"/>
      <c r="P7" s="1063"/>
      <c r="Q7" s="1063"/>
      <c r="R7" s="1063"/>
      <c r="S7" s="1063"/>
      <c r="T7" s="1063"/>
      <c r="U7" s="1063"/>
    </row>
    <row r="8" spans="1:21" x14ac:dyDescent="0.35">
      <c r="C8" s="14"/>
      <c r="D8" s="14"/>
      <c r="E8" s="14"/>
      <c r="F8" s="14"/>
      <c r="G8" s="15"/>
      <c r="H8" s="1022">
        <v>109621.10545407196</v>
      </c>
      <c r="I8" s="1022">
        <v>91252.850653390153</v>
      </c>
      <c r="J8" s="1022">
        <v>77612.118064071969</v>
      </c>
      <c r="K8" s="1022">
        <v>72486.68260657198</v>
      </c>
      <c r="L8" s="1023">
        <v>45962</v>
      </c>
      <c r="M8" s="16"/>
      <c r="P8" s="1063"/>
      <c r="Q8" s="1063"/>
      <c r="R8" s="1063"/>
      <c r="S8" s="1063"/>
      <c r="T8" s="1063"/>
      <c r="U8" s="1063"/>
    </row>
    <row r="9" spans="1:21" x14ac:dyDescent="0.35">
      <c r="C9" s="14"/>
      <c r="D9" s="14"/>
      <c r="E9" s="14"/>
      <c r="F9" s="14"/>
      <c r="G9" s="15"/>
      <c r="H9" s="1022">
        <v>113865.18185914542</v>
      </c>
      <c r="I9" s="1022">
        <v>95196.927058463611</v>
      </c>
      <c r="J9" s="1022">
        <v>81356.194469145426</v>
      </c>
      <c r="K9" s="1022">
        <v>76230.759011645438</v>
      </c>
      <c r="L9" s="1023">
        <v>45992</v>
      </c>
      <c r="M9" s="16"/>
      <c r="P9" s="1063"/>
      <c r="Q9" s="1063"/>
      <c r="R9" s="1063"/>
      <c r="S9" s="1063"/>
      <c r="T9" s="1063"/>
      <c r="U9" s="1063"/>
    </row>
    <row r="10" spans="1:21" x14ac:dyDescent="0.35">
      <c r="C10" s="14"/>
      <c r="D10" s="14"/>
      <c r="E10" s="14"/>
      <c r="F10" s="14"/>
      <c r="G10" s="15"/>
      <c r="H10" s="1022">
        <v>117452.65727664542</v>
      </c>
      <c r="I10" s="1022">
        <v>97866.769866645438</v>
      </c>
      <c r="J10" s="1022">
        <v>83614.940401645435</v>
      </c>
      <c r="K10" s="1022">
        <v>78291.041771645439</v>
      </c>
      <c r="L10" s="1023">
        <v>46023</v>
      </c>
      <c r="M10" s="16"/>
      <c r="P10" s="1063"/>
      <c r="Q10" s="1063"/>
      <c r="R10" s="1063"/>
      <c r="S10" s="1063"/>
      <c r="T10" s="1063"/>
      <c r="U10" s="1063"/>
    </row>
    <row r="11" spans="1:21" x14ac:dyDescent="0.35">
      <c r="C11" s="14"/>
      <c r="D11" s="14"/>
      <c r="E11" s="14"/>
      <c r="F11" s="14"/>
      <c r="G11" s="15"/>
      <c r="H11" s="1022">
        <v>119406.33424664545</v>
      </c>
      <c r="I11" s="1022">
        <v>99479.557976645432</v>
      </c>
      <c r="J11" s="1022">
        <v>84948.749161645435</v>
      </c>
      <c r="K11" s="1022">
        <v>79490.602471645427</v>
      </c>
      <c r="L11" s="1023">
        <v>46054</v>
      </c>
      <c r="M11" s="16"/>
      <c r="P11" s="1063"/>
      <c r="Q11" s="1063"/>
      <c r="R11" s="1063"/>
      <c r="S11" s="1063"/>
      <c r="T11" s="1063"/>
      <c r="U11" s="1063"/>
    </row>
    <row r="12" spans="1:21" x14ac:dyDescent="0.35">
      <c r="C12" s="14"/>
      <c r="D12" s="14"/>
      <c r="E12" s="14"/>
      <c r="F12" s="14"/>
      <c r="G12" s="15"/>
      <c r="H12" s="1022">
        <v>122445.79058664542</v>
      </c>
      <c r="I12" s="1022">
        <v>102029.0668827818</v>
      </c>
      <c r="J12" s="1022">
        <v>87100.469906645434</v>
      </c>
      <c r="K12" s="1022">
        <v>81453.719334145426</v>
      </c>
      <c r="L12" s="1023">
        <v>46082</v>
      </c>
      <c r="M12" s="16"/>
      <c r="P12" s="1063"/>
      <c r="Q12" s="1063"/>
      <c r="R12" s="1063"/>
      <c r="S12" s="1063"/>
      <c r="T12" s="1063"/>
      <c r="U12" s="1063"/>
    </row>
    <row r="13" spans="1:21" x14ac:dyDescent="0.35">
      <c r="C13" s="14"/>
      <c r="D13" s="14"/>
      <c r="E13" s="14"/>
      <c r="F13" s="14"/>
      <c r="G13" s="15"/>
      <c r="H13" s="1022">
        <v>128780.86640664545</v>
      </c>
      <c r="I13" s="1022">
        <v>106995.8620275545</v>
      </c>
      <c r="J13" s="1022">
        <v>91265.84225414542</v>
      </c>
      <c r="K13" s="1022">
        <v>85242.811911645418</v>
      </c>
      <c r="L13" s="1023">
        <v>46113</v>
      </c>
      <c r="M13" s="16"/>
      <c r="P13" s="1063"/>
      <c r="Q13" s="1063"/>
      <c r="R13" s="1063"/>
      <c r="S13" s="1063"/>
      <c r="T13" s="1063"/>
      <c r="U13" s="1063"/>
    </row>
    <row r="14" spans="1:21" x14ac:dyDescent="0.35">
      <c r="C14" s="14"/>
      <c r="D14" s="14"/>
      <c r="E14" s="14"/>
      <c r="F14" s="14"/>
      <c r="G14" s="15"/>
      <c r="H14" s="1022">
        <v>131727.58748664541</v>
      </c>
      <c r="I14" s="1022">
        <v>109491.84762164543</v>
      </c>
      <c r="J14" s="1022">
        <v>93345.065229145417</v>
      </c>
      <c r="K14" s="1022">
        <v>87239.917379145438</v>
      </c>
      <c r="L14" s="1023">
        <v>46143</v>
      </c>
      <c r="M14" s="16"/>
      <c r="P14" s="1063"/>
      <c r="Q14" s="1063"/>
      <c r="R14" s="1063"/>
      <c r="S14" s="1063"/>
      <c r="T14" s="1063"/>
      <c r="U14" s="1063"/>
    </row>
    <row r="15" spans="1:21" ht="18" customHeight="1" x14ac:dyDescent="0.35">
      <c r="A15" s="20">
        <v>45901</v>
      </c>
      <c r="B15" s="20" t="s">
        <v>576</v>
      </c>
      <c r="C15" s="21">
        <v>0</v>
      </c>
      <c r="D15" s="21">
        <v>0</v>
      </c>
      <c r="E15" s="21">
        <v>0</v>
      </c>
      <c r="F15" s="21">
        <v>0</v>
      </c>
      <c r="G15" s="15"/>
      <c r="H15" s="29">
        <f>+C15*H$6</f>
        <v>0</v>
      </c>
      <c r="I15" s="29">
        <f t="shared" ref="I15:K16" si="0">+D15*I$6</f>
        <v>0</v>
      </c>
      <c r="J15" s="29">
        <f t="shared" si="0"/>
        <v>0</v>
      </c>
      <c r="K15" s="29">
        <f t="shared" si="0"/>
        <v>0</v>
      </c>
      <c r="L15" s="34">
        <f t="shared" ref="L15:L18" si="1">SUM(H15:K15)</f>
        <v>0</v>
      </c>
      <c r="M15" s="31">
        <f t="shared" ref="M15:M19" si="2">L15</f>
        <v>0</v>
      </c>
      <c r="N15" s="256" t="s">
        <v>138</v>
      </c>
      <c r="P15" s="25">
        <v>13</v>
      </c>
      <c r="Q15" s="38">
        <f t="shared" ref="Q15:Q16" si="3">IFERROR(C15/$P15,0)</f>
        <v>0</v>
      </c>
      <c r="R15" s="38">
        <f t="shared" ref="R15:T16" si="4">IFERROR(D15/$P15,0)</f>
        <v>0</v>
      </c>
      <c r="S15" s="38">
        <f t="shared" si="4"/>
        <v>0</v>
      </c>
      <c r="T15" s="38">
        <f t="shared" si="4"/>
        <v>0</v>
      </c>
      <c r="U15" s="26">
        <f t="shared" ref="U15:U16" si="5">SUM(Q15:T15)</f>
        <v>0</v>
      </c>
    </row>
    <row r="16" spans="1:21" ht="18" customHeight="1" x14ac:dyDescent="0.35">
      <c r="A16" s="35">
        <v>45901</v>
      </c>
      <c r="B16" s="33" t="s">
        <v>575</v>
      </c>
      <c r="C16" s="25">
        <f>7+7</f>
        <v>14</v>
      </c>
      <c r="D16" s="25">
        <v>0</v>
      </c>
      <c r="E16" s="25">
        <v>0</v>
      </c>
      <c r="F16" s="25">
        <v>5</v>
      </c>
      <c r="G16" s="15"/>
      <c r="H16" s="29">
        <f>+C16*H$6</f>
        <v>1491224.2423620075</v>
      </c>
      <c r="I16" s="29">
        <f t="shared" si="0"/>
        <v>0</v>
      </c>
      <c r="J16" s="29">
        <f t="shared" si="0"/>
        <v>0</v>
      </c>
      <c r="K16" s="29">
        <f t="shared" si="0"/>
        <v>355205.59380785981</v>
      </c>
      <c r="L16" s="34">
        <f t="shared" si="1"/>
        <v>1846429.8361698673</v>
      </c>
      <c r="M16" s="31">
        <f t="shared" si="2"/>
        <v>1846429.8361698673</v>
      </c>
      <c r="N16" s="256" t="s">
        <v>138</v>
      </c>
      <c r="P16" s="25">
        <v>14</v>
      </c>
      <c r="Q16" s="38">
        <f t="shared" si="3"/>
        <v>1</v>
      </c>
      <c r="R16" s="38">
        <f t="shared" si="4"/>
        <v>0</v>
      </c>
      <c r="S16" s="38">
        <f t="shared" si="4"/>
        <v>0</v>
      </c>
      <c r="T16" s="38">
        <f t="shared" si="4"/>
        <v>0.35714285714285715</v>
      </c>
      <c r="U16" s="26">
        <f t="shared" si="5"/>
        <v>1.3571428571428572</v>
      </c>
    </row>
    <row r="17" spans="1:24" ht="18" customHeight="1" x14ac:dyDescent="0.35">
      <c r="A17" s="35">
        <v>45931</v>
      </c>
      <c r="B17" s="33" t="s">
        <v>576</v>
      </c>
      <c r="C17" s="25">
        <v>11</v>
      </c>
      <c r="D17" s="25">
        <f>12+11.5</f>
        <v>23.5</v>
      </c>
      <c r="E17" s="25">
        <v>0</v>
      </c>
      <c r="F17" s="25">
        <v>13</v>
      </c>
      <c r="G17" s="15"/>
      <c r="H17" s="29">
        <f t="shared" ref="H17:K18" si="6">+C17*H$7</f>
        <v>1175506.2651372917</v>
      </c>
      <c r="I17" s="29">
        <f t="shared" si="6"/>
        <v>2090820.209485691</v>
      </c>
      <c r="J17" s="29">
        <f t="shared" si="6"/>
        <v>0</v>
      </c>
      <c r="K17" s="29">
        <f t="shared" si="6"/>
        <v>926799.52562043583</v>
      </c>
      <c r="L17" s="34">
        <f t="shared" si="1"/>
        <v>4193126.0002434184</v>
      </c>
      <c r="M17" s="31">
        <f t="shared" si="2"/>
        <v>4193126.0002434184</v>
      </c>
      <c r="N17" s="256" t="s">
        <v>138</v>
      </c>
      <c r="P17" s="25">
        <v>13</v>
      </c>
      <c r="Q17" s="38">
        <f t="shared" ref="Q17" si="7">IFERROR(C17/$P17,0)</f>
        <v>0.84615384615384615</v>
      </c>
      <c r="R17" s="38">
        <f t="shared" ref="R17" si="8">IFERROR(D17/$P17,0)</f>
        <v>1.8076923076923077</v>
      </c>
      <c r="S17" s="38">
        <f t="shared" ref="S17" si="9">IFERROR(E17/$P17,0)</f>
        <v>0</v>
      </c>
      <c r="T17" s="38">
        <f t="shared" ref="T17" si="10">IFERROR(F17/$P17,0)</f>
        <v>1</v>
      </c>
      <c r="U17" s="26">
        <f t="shared" ref="U17" si="11">SUM(Q17:T17)</f>
        <v>3.6538461538461537</v>
      </c>
    </row>
    <row r="18" spans="1:24" ht="18" customHeight="1" x14ac:dyDescent="0.35">
      <c r="A18" s="35">
        <v>45931</v>
      </c>
      <c r="B18" s="33" t="s">
        <v>575</v>
      </c>
      <c r="C18" s="25">
        <v>13</v>
      </c>
      <c r="D18" s="25">
        <f>13+13</f>
        <v>26</v>
      </c>
      <c r="E18" s="25">
        <v>0</v>
      </c>
      <c r="F18" s="25">
        <v>13</v>
      </c>
      <c r="G18" s="15"/>
      <c r="H18" s="29">
        <f t="shared" si="6"/>
        <v>1389234.6769804356</v>
      </c>
      <c r="I18" s="29">
        <f t="shared" si="6"/>
        <v>2313247.8913458711</v>
      </c>
      <c r="J18" s="29">
        <f t="shared" si="6"/>
        <v>0</v>
      </c>
      <c r="K18" s="29">
        <f t="shared" si="6"/>
        <v>926799.52562043583</v>
      </c>
      <c r="L18" s="34">
        <f t="shared" si="1"/>
        <v>4629282.0939467419</v>
      </c>
      <c r="M18" s="31">
        <f t="shared" si="2"/>
        <v>4629282.0939467419</v>
      </c>
      <c r="N18" s="256" t="s">
        <v>138</v>
      </c>
      <c r="P18" s="25">
        <v>13</v>
      </c>
      <c r="Q18" s="38">
        <f t="shared" ref="Q18" si="12">IFERROR(C18/$P18,0)</f>
        <v>1</v>
      </c>
      <c r="R18" s="38">
        <f t="shared" ref="R18" si="13">IFERROR(D18/$P18,0)</f>
        <v>2</v>
      </c>
      <c r="S18" s="38">
        <f t="shared" ref="S18" si="14">IFERROR(E18/$P18,0)</f>
        <v>0</v>
      </c>
      <c r="T18" s="38">
        <f t="shared" ref="T18" si="15">IFERROR(F18/$P18,0)</f>
        <v>1</v>
      </c>
      <c r="U18" s="26">
        <f t="shared" ref="U18" si="16">SUM(Q18:T18)</f>
        <v>4</v>
      </c>
    </row>
    <row r="19" spans="1:24" ht="18" customHeight="1" x14ac:dyDescent="0.35">
      <c r="A19" s="35">
        <v>45962</v>
      </c>
      <c r="B19" s="33" t="s">
        <v>576</v>
      </c>
      <c r="C19" s="25">
        <v>0</v>
      </c>
      <c r="D19" s="25">
        <f>11+11</f>
        <v>22</v>
      </c>
      <c r="E19" s="25">
        <v>0</v>
      </c>
      <c r="F19" s="25">
        <v>14</v>
      </c>
      <c r="G19" s="15"/>
      <c r="H19" s="29">
        <f>+C19*H$8</f>
        <v>0</v>
      </c>
      <c r="I19" s="29">
        <f t="shared" ref="I19:K19" si="17">+D19*I$8</f>
        <v>2007562.7143745834</v>
      </c>
      <c r="J19" s="29">
        <f t="shared" si="17"/>
        <v>0</v>
      </c>
      <c r="K19" s="29">
        <f t="shared" si="17"/>
        <v>1014813.5564920077</v>
      </c>
      <c r="L19" s="34">
        <f t="shared" ref="L19" si="18">SUM(H19:K19)</f>
        <v>3022376.270866591</v>
      </c>
      <c r="M19" s="31">
        <f t="shared" si="2"/>
        <v>3022376.270866591</v>
      </c>
      <c r="N19" s="256" t="s">
        <v>138</v>
      </c>
      <c r="P19" s="25">
        <v>13</v>
      </c>
      <c r="Q19" s="38">
        <f t="shared" ref="Q19:Q22" si="19">IFERROR(C19/$P19,0)</f>
        <v>0</v>
      </c>
      <c r="R19" s="38">
        <f t="shared" ref="R19:R22" si="20">IFERROR(D19/$P19,0)</f>
        <v>1.6923076923076923</v>
      </c>
      <c r="S19" s="38">
        <f t="shared" ref="S19:S22" si="21">IFERROR(E19/$P19,0)</f>
        <v>0</v>
      </c>
      <c r="T19" s="38">
        <f t="shared" ref="T19:T22" si="22">IFERROR(F19/$P19,0)</f>
        <v>1.0769230769230769</v>
      </c>
      <c r="U19" s="26">
        <f t="shared" ref="U19:U22" si="23">SUM(Q19:T19)</f>
        <v>2.7692307692307692</v>
      </c>
    </row>
    <row r="20" spans="1:24" ht="18" customHeight="1" x14ac:dyDescent="0.35">
      <c r="A20" s="35">
        <v>45962</v>
      </c>
      <c r="B20" s="33" t="s">
        <v>575</v>
      </c>
      <c r="C20" s="25">
        <v>0</v>
      </c>
      <c r="D20" s="25">
        <f>14+11+13.5+10</f>
        <v>48.5</v>
      </c>
      <c r="E20" s="25">
        <v>0</v>
      </c>
      <c r="F20" s="25">
        <f>14+10</f>
        <v>24</v>
      </c>
      <c r="G20" s="15"/>
      <c r="H20" s="29">
        <f>+C20*H$8</f>
        <v>0</v>
      </c>
      <c r="I20" s="29">
        <f t="shared" ref="I20" si="24">+D20*I$8</f>
        <v>4425763.2566894228</v>
      </c>
      <c r="J20" s="29">
        <f t="shared" ref="J20" si="25">+E20*J$8</f>
        <v>0</v>
      </c>
      <c r="K20" s="29">
        <f t="shared" ref="K20" si="26">+F20*K$8</f>
        <v>1739680.3825577274</v>
      </c>
      <c r="L20" s="34">
        <f t="shared" ref="L20:L23" si="27">SUM(H20:K20)</f>
        <v>6165443.6392471502</v>
      </c>
      <c r="M20" s="31">
        <f t="shared" ref="M20" si="28">L20</f>
        <v>6165443.6392471502</v>
      </c>
      <c r="N20" s="256" t="s">
        <v>138</v>
      </c>
      <c r="P20" s="25">
        <v>13</v>
      </c>
      <c r="Q20" s="38">
        <f t="shared" si="19"/>
        <v>0</v>
      </c>
      <c r="R20" s="38">
        <f t="shared" si="20"/>
        <v>3.7307692307692308</v>
      </c>
      <c r="S20" s="38">
        <f t="shared" si="21"/>
        <v>0</v>
      </c>
      <c r="T20" s="38">
        <f t="shared" si="22"/>
        <v>1.8461538461538463</v>
      </c>
      <c r="U20" s="26">
        <f t="shared" si="23"/>
        <v>5.5769230769230766</v>
      </c>
    </row>
    <row r="21" spans="1:24" ht="18" customHeight="1" x14ac:dyDescent="0.35">
      <c r="A21" s="35">
        <v>45992</v>
      </c>
      <c r="B21" s="33" t="s">
        <v>576</v>
      </c>
      <c r="C21" s="25">
        <v>0</v>
      </c>
      <c r="D21" s="25">
        <f>13.5+12+13.5+13.5</f>
        <v>52.5</v>
      </c>
      <c r="E21" s="25">
        <v>0</v>
      </c>
      <c r="F21" s="25">
        <f>14+12</f>
        <v>26</v>
      </c>
      <c r="G21" s="15"/>
      <c r="H21" s="29">
        <f>+C21*H$9</f>
        <v>0</v>
      </c>
      <c r="I21" s="29">
        <f t="shared" ref="I21:K22" si="29">+D21*I$9</f>
        <v>4997838.6705693398</v>
      </c>
      <c r="J21" s="29">
        <f t="shared" si="29"/>
        <v>0</v>
      </c>
      <c r="K21" s="29">
        <f t="shared" si="29"/>
        <v>1981999.7343027813</v>
      </c>
      <c r="L21" s="34">
        <f t="shared" si="27"/>
        <v>6979838.4048721213</v>
      </c>
      <c r="M21" s="31">
        <f t="shared" ref="M21:M22" si="30">L21</f>
        <v>6979838.4048721213</v>
      </c>
      <c r="N21" s="256" t="s">
        <v>138</v>
      </c>
      <c r="P21" s="25">
        <v>13</v>
      </c>
      <c r="Q21" s="38">
        <f t="shared" si="19"/>
        <v>0</v>
      </c>
      <c r="R21" s="38">
        <f t="shared" si="20"/>
        <v>4.0384615384615383</v>
      </c>
      <c r="S21" s="38">
        <f t="shared" si="21"/>
        <v>0</v>
      </c>
      <c r="T21" s="38">
        <f t="shared" si="22"/>
        <v>2</v>
      </c>
      <c r="U21" s="26">
        <f t="shared" si="23"/>
        <v>6.0384615384615383</v>
      </c>
    </row>
    <row r="22" spans="1:24" ht="18" customHeight="1" x14ac:dyDescent="0.35">
      <c r="A22" s="35">
        <v>45992</v>
      </c>
      <c r="B22" s="33" t="s">
        <v>575</v>
      </c>
      <c r="C22" s="25">
        <v>0</v>
      </c>
      <c r="D22" s="25">
        <f>13.5+11+12+13.5+11</f>
        <v>61</v>
      </c>
      <c r="E22" s="25">
        <v>0</v>
      </c>
      <c r="F22" s="25">
        <f>14.5+11</f>
        <v>25.5</v>
      </c>
      <c r="G22" s="15"/>
      <c r="H22" s="29">
        <f>+C22*H$9</f>
        <v>0</v>
      </c>
      <c r="I22" s="29">
        <f t="shared" si="29"/>
        <v>5807012.5505662803</v>
      </c>
      <c r="J22" s="29">
        <f t="shared" si="29"/>
        <v>0</v>
      </c>
      <c r="K22" s="29">
        <f t="shared" si="29"/>
        <v>1943884.3547969586</v>
      </c>
      <c r="L22" s="34">
        <f t="shared" si="27"/>
        <v>7750896.9053632393</v>
      </c>
      <c r="M22" s="31">
        <f t="shared" si="30"/>
        <v>7750896.9053632393</v>
      </c>
      <c r="N22" s="256" t="s">
        <v>138</v>
      </c>
      <c r="P22" s="25">
        <v>14</v>
      </c>
      <c r="Q22" s="38">
        <f t="shared" si="19"/>
        <v>0</v>
      </c>
      <c r="R22" s="38">
        <f t="shared" si="20"/>
        <v>4.3571428571428568</v>
      </c>
      <c r="S22" s="38">
        <f t="shared" si="21"/>
        <v>0</v>
      </c>
      <c r="T22" s="38">
        <f t="shared" si="22"/>
        <v>1.8214285714285714</v>
      </c>
      <c r="U22" s="26">
        <f t="shared" si="23"/>
        <v>6.1785714285714279</v>
      </c>
    </row>
    <row r="23" spans="1:24" ht="18" customHeight="1" x14ac:dyDescent="0.35">
      <c r="A23" s="35">
        <v>46023</v>
      </c>
      <c r="B23" s="33" t="s">
        <v>576</v>
      </c>
      <c r="C23" s="25">
        <v>0</v>
      </c>
      <c r="D23" s="25">
        <v>66</v>
      </c>
      <c r="E23" s="25">
        <v>0</v>
      </c>
      <c r="F23" s="25">
        <v>32</v>
      </c>
      <c r="G23" s="15"/>
      <c r="H23" s="29">
        <f>+C23*H$10</f>
        <v>0</v>
      </c>
      <c r="I23" s="29">
        <f t="shared" ref="I23:K24" si="31">+D23*I$10</f>
        <v>6459206.8111985987</v>
      </c>
      <c r="J23" s="29">
        <f t="shared" si="31"/>
        <v>0</v>
      </c>
      <c r="K23" s="29">
        <f t="shared" si="31"/>
        <v>2505313.3366926541</v>
      </c>
      <c r="L23" s="34">
        <f t="shared" si="27"/>
        <v>8964520.1478912532</v>
      </c>
      <c r="M23" s="31">
        <f t="shared" ref="M23" si="32">L23</f>
        <v>8964520.1478912532</v>
      </c>
      <c r="N23" s="256" t="s">
        <v>138</v>
      </c>
      <c r="P23" s="25">
        <v>13</v>
      </c>
      <c r="Q23" s="38">
        <f t="shared" ref="Q23:Q24" si="33">IFERROR(C23/$P23,0)</f>
        <v>0</v>
      </c>
      <c r="R23" s="38">
        <f t="shared" ref="R23:R24" si="34">IFERROR(D23/$P23,0)</f>
        <v>5.0769230769230766</v>
      </c>
      <c r="S23" s="38">
        <f t="shared" ref="S23:S24" si="35">IFERROR(E23/$P23,0)</f>
        <v>0</v>
      </c>
      <c r="T23" s="38">
        <f t="shared" ref="T23:T24" si="36">IFERROR(F23/$P23,0)</f>
        <v>2.4615384615384617</v>
      </c>
      <c r="U23" s="26">
        <f t="shared" ref="U23:U24" si="37">SUM(Q23:T23)</f>
        <v>7.5384615384615383</v>
      </c>
    </row>
    <row r="24" spans="1:24" ht="18" customHeight="1" x14ac:dyDescent="0.35">
      <c r="A24" s="35">
        <v>46023</v>
      </c>
      <c r="B24" s="33" t="s">
        <v>575</v>
      </c>
      <c r="C24" s="25">
        <v>14</v>
      </c>
      <c r="D24" s="25">
        <v>88</v>
      </c>
      <c r="E24" s="25">
        <v>17</v>
      </c>
      <c r="F24" s="25">
        <v>25</v>
      </c>
      <c r="G24" s="15"/>
      <c r="H24" s="29">
        <f>+C24*H$10</f>
        <v>1644337.2018730359</v>
      </c>
      <c r="I24" s="29">
        <f t="shared" si="31"/>
        <v>8612275.7482647989</v>
      </c>
      <c r="J24" s="29">
        <f t="shared" si="31"/>
        <v>1421453.9868279723</v>
      </c>
      <c r="K24" s="29">
        <f t="shared" si="31"/>
        <v>1957276.0442911361</v>
      </c>
      <c r="L24" s="34">
        <f t="shared" ref="L24" si="38">SUM(H24:K24)</f>
        <v>13635342.981256945</v>
      </c>
      <c r="M24" s="31">
        <f t="shared" ref="M24" si="39">L24</f>
        <v>13635342.981256945</v>
      </c>
      <c r="N24" s="256" t="s">
        <v>138</v>
      </c>
      <c r="P24" s="25">
        <v>14</v>
      </c>
      <c r="Q24" s="38">
        <f t="shared" si="33"/>
        <v>1</v>
      </c>
      <c r="R24" s="38">
        <f t="shared" si="34"/>
        <v>6.2857142857142856</v>
      </c>
      <c r="S24" s="38">
        <f t="shared" si="35"/>
        <v>1.2142857142857142</v>
      </c>
      <c r="T24" s="38">
        <f t="shared" si="36"/>
        <v>1.7857142857142858</v>
      </c>
      <c r="U24" s="26">
        <f t="shared" si="37"/>
        <v>10.285714285714286</v>
      </c>
      <c r="X24" s="932"/>
    </row>
    <row r="25" spans="1:24" ht="18" customHeight="1" x14ac:dyDescent="0.35">
      <c r="A25" s="35">
        <v>46054</v>
      </c>
      <c r="B25" s="33" t="s">
        <v>576</v>
      </c>
      <c r="C25" s="25">
        <v>11</v>
      </c>
      <c r="D25" s="25">
        <v>81</v>
      </c>
      <c r="E25" s="25">
        <v>12</v>
      </c>
      <c r="F25" s="25">
        <v>25.5</v>
      </c>
      <c r="G25" s="15"/>
      <c r="H25" s="29">
        <f>+C25*H$11</f>
        <v>1313469.6767130999</v>
      </c>
      <c r="I25" s="29">
        <f t="shared" ref="I25:K26" si="40">+D25*I$11</f>
        <v>8057844.1961082797</v>
      </c>
      <c r="J25" s="29">
        <f t="shared" si="40"/>
        <v>1019384.9899397453</v>
      </c>
      <c r="K25" s="29">
        <f t="shared" si="40"/>
        <v>2027010.3630269584</v>
      </c>
      <c r="L25" s="34">
        <f t="shared" ref="L25:L26" si="41">SUM(H25:K25)</f>
        <v>12417709.225788083</v>
      </c>
      <c r="M25" s="31">
        <f t="shared" ref="M25:M26" si="42">L25</f>
        <v>12417709.225788083</v>
      </c>
      <c r="N25" s="256" t="s">
        <v>138</v>
      </c>
      <c r="P25" s="25">
        <v>13</v>
      </c>
      <c r="Q25" s="38">
        <f t="shared" ref="Q25:Q26" si="43">C25/P25</f>
        <v>0.84615384615384615</v>
      </c>
      <c r="R25" s="38">
        <f t="shared" ref="R25:R26" si="44">D25/P25</f>
        <v>6.2307692307692308</v>
      </c>
      <c r="S25" s="38">
        <f t="shared" ref="S25:S26" si="45">E25/P25</f>
        <v>0.92307692307692313</v>
      </c>
      <c r="T25" s="38">
        <f t="shared" ref="T25:T26" si="46">F25/P25</f>
        <v>1.9615384615384615</v>
      </c>
      <c r="U25" s="38">
        <f t="shared" ref="U25:U26" si="47">SUM(Q25:T25)</f>
        <v>9.9615384615384617</v>
      </c>
      <c r="X25" s="932"/>
    </row>
    <row r="26" spans="1:24" ht="18" customHeight="1" x14ac:dyDescent="0.35">
      <c r="A26" s="35">
        <v>46054</v>
      </c>
      <c r="B26" s="33" t="s">
        <v>575</v>
      </c>
      <c r="C26" s="25">
        <v>12.5</v>
      </c>
      <c r="D26" s="25">
        <v>77</v>
      </c>
      <c r="E26" s="25">
        <v>9</v>
      </c>
      <c r="F26" s="25">
        <v>17.5</v>
      </c>
      <c r="G26" s="15"/>
      <c r="H26" s="29">
        <f>+C26*H$11</f>
        <v>1492579.1780830682</v>
      </c>
      <c r="I26" s="29">
        <f t="shared" si="40"/>
        <v>7659925.9642016981</v>
      </c>
      <c r="J26" s="29">
        <f t="shared" si="40"/>
        <v>764538.7424548089</v>
      </c>
      <c r="K26" s="29">
        <f t="shared" si="40"/>
        <v>1391085.543253795</v>
      </c>
      <c r="L26" s="34">
        <f t="shared" si="41"/>
        <v>11308129.427993368</v>
      </c>
      <c r="M26" s="31">
        <f t="shared" si="42"/>
        <v>11308129.427993368</v>
      </c>
      <c r="N26" s="256" t="s">
        <v>138</v>
      </c>
      <c r="P26" s="25">
        <v>14</v>
      </c>
      <c r="Q26" s="38">
        <f t="shared" si="43"/>
        <v>0.8928571428571429</v>
      </c>
      <c r="R26" s="38">
        <f t="shared" si="44"/>
        <v>5.5</v>
      </c>
      <c r="S26" s="38">
        <f t="shared" si="45"/>
        <v>0.6428571428571429</v>
      </c>
      <c r="T26" s="38">
        <f t="shared" si="46"/>
        <v>1.25</v>
      </c>
      <c r="U26" s="38">
        <f t="shared" si="47"/>
        <v>8.2857142857142865</v>
      </c>
      <c r="X26" s="932"/>
    </row>
    <row r="27" spans="1:24" ht="18" customHeight="1" x14ac:dyDescent="0.35">
      <c r="A27" s="35">
        <v>46082</v>
      </c>
      <c r="B27" s="33" t="s">
        <v>576</v>
      </c>
      <c r="C27" s="25">
        <v>14</v>
      </c>
      <c r="D27" s="25">
        <f>71+4</f>
        <v>75</v>
      </c>
      <c r="E27" s="25">
        <v>25</v>
      </c>
      <c r="F27" s="25">
        <v>21</v>
      </c>
      <c r="G27" s="15"/>
      <c r="H27" s="29">
        <f>+C27*H$12</f>
        <v>1714241.0682130358</v>
      </c>
      <c r="I27" s="29">
        <f t="shared" ref="I27:K28" si="48">+D27*I$12</f>
        <v>7652180.0162086347</v>
      </c>
      <c r="J27" s="29">
        <f t="shared" si="48"/>
        <v>2177511.7476661359</v>
      </c>
      <c r="K27" s="29">
        <f t="shared" si="48"/>
        <v>1710528.1060170541</v>
      </c>
      <c r="L27" s="34">
        <f t="shared" ref="L27:L28" si="49">SUM(H27:K27)</f>
        <v>13254460.93810486</v>
      </c>
      <c r="M27" s="31">
        <f t="shared" ref="M27:M28" si="50">L27</f>
        <v>13254460.93810486</v>
      </c>
      <c r="N27" s="256" t="s">
        <v>138</v>
      </c>
      <c r="P27" s="25">
        <v>12</v>
      </c>
      <c r="Q27" s="38">
        <f t="shared" ref="Q27:Q28" si="51">C27/P27</f>
        <v>1.1666666666666667</v>
      </c>
      <c r="R27" s="38">
        <f t="shared" ref="R27:R28" si="52">D27/P27</f>
        <v>6.25</v>
      </c>
      <c r="S27" s="38">
        <f t="shared" ref="S27:S28" si="53">E27/P27</f>
        <v>2.0833333333333335</v>
      </c>
      <c r="T27" s="38">
        <f t="shared" ref="T27:T28" si="54">F27/P27</f>
        <v>1.75</v>
      </c>
      <c r="U27" s="38">
        <f t="shared" ref="U27:U28" si="55">SUM(Q27:T27)</f>
        <v>11.25</v>
      </c>
      <c r="X27" s="932"/>
    </row>
    <row r="28" spans="1:24" ht="18" customHeight="1" x14ac:dyDescent="0.35">
      <c r="A28" s="35">
        <v>46082</v>
      </c>
      <c r="B28" s="33" t="s">
        <v>575</v>
      </c>
      <c r="C28" s="25">
        <v>13</v>
      </c>
      <c r="D28" s="25">
        <f>72+6</f>
        <v>78</v>
      </c>
      <c r="E28" s="25">
        <v>16</v>
      </c>
      <c r="F28" s="25">
        <v>23</v>
      </c>
      <c r="G28" s="15"/>
      <c r="H28" s="29">
        <f>+C28*H$12</f>
        <v>1591795.2776263906</v>
      </c>
      <c r="I28" s="29">
        <f t="shared" si="48"/>
        <v>7958267.2168569807</v>
      </c>
      <c r="J28" s="29">
        <f t="shared" si="48"/>
        <v>1393607.5185063269</v>
      </c>
      <c r="K28" s="29">
        <f t="shared" si="48"/>
        <v>1873435.5446853447</v>
      </c>
      <c r="L28" s="34">
        <f t="shared" si="49"/>
        <v>12817105.557675043</v>
      </c>
      <c r="M28" s="31">
        <f t="shared" si="50"/>
        <v>12817105.557675043</v>
      </c>
      <c r="N28" s="256" t="s">
        <v>138</v>
      </c>
      <c r="P28" s="25">
        <v>13</v>
      </c>
      <c r="Q28" s="38">
        <f t="shared" si="51"/>
        <v>1</v>
      </c>
      <c r="R28" s="38">
        <f t="shared" si="52"/>
        <v>6</v>
      </c>
      <c r="S28" s="38">
        <f t="shared" si="53"/>
        <v>1.2307692307692308</v>
      </c>
      <c r="T28" s="38">
        <f t="shared" si="54"/>
        <v>1.7692307692307692</v>
      </c>
      <c r="U28" s="38">
        <f t="shared" si="55"/>
        <v>10</v>
      </c>
      <c r="X28" s="932"/>
    </row>
    <row r="29" spans="1:24" ht="18" customHeight="1" x14ac:dyDescent="0.35">
      <c r="A29" s="35">
        <v>46113</v>
      </c>
      <c r="B29" s="33" t="s">
        <v>576</v>
      </c>
      <c r="C29" s="25">
        <v>13</v>
      </c>
      <c r="D29" s="25">
        <v>68</v>
      </c>
      <c r="E29" s="25">
        <v>12.5</v>
      </c>
      <c r="F29" s="25">
        <v>19.5</v>
      </c>
      <c r="G29" s="15"/>
      <c r="H29" s="29">
        <f>+C29*H$13</f>
        <v>1674151.2632863908</v>
      </c>
      <c r="I29" s="29">
        <f t="shared" ref="I29:K30" si="56">+D29*I$13</f>
        <v>7275718.6178737059</v>
      </c>
      <c r="J29" s="29">
        <f t="shared" si="56"/>
        <v>1140823.0281768178</v>
      </c>
      <c r="K29" s="29">
        <f t="shared" si="56"/>
        <v>1662234.8322770856</v>
      </c>
      <c r="L29" s="34">
        <f t="shared" ref="L29:L30" si="57">SUM(H29:K29)</f>
        <v>11752927.741614001</v>
      </c>
      <c r="M29" s="31">
        <f t="shared" ref="M29:M30" si="58">L29</f>
        <v>11752927.741614001</v>
      </c>
      <c r="N29" s="256" t="s">
        <v>138</v>
      </c>
      <c r="P29" s="25">
        <v>13</v>
      </c>
      <c r="Q29" s="38">
        <f t="shared" ref="Q29:Q32" si="59">C29/P29</f>
        <v>1</v>
      </c>
      <c r="R29" s="38">
        <f t="shared" ref="R29:R32" si="60">D29/P29</f>
        <v>5.2307692307692308</v>
      </c>
      <c r="S29" s="38">
        <f t="shared" ref="S29:S32" si="61">E29/P29</f>
        <v>0.96153846153846156</v>
      </c>
      <c r="T29" s="38">
        <f t="shared" ref="T29:T32" si="62">F29/P29</f>
        <v>1.5</v>
      </c>
      <c r="U29" s="38">
        <f t="shared" ref="U29:U32" si="63">SUM(Q29:T29)</f>
        <v>8.6923076923076934</v>
      </c>
      <c r="X29" s="932"/>
    </row>
    <row r="30" spans="1:24" ht="18" customHeight="1" x14ac:dyDescent="0.35">
      <c r="A30" s="35">
        <v>46113</v>
      </c>
      <c r="B30" s="33" t="s">
        <v>575</v>
      </c>
      <c r="C30" s="25">
        <v>13.5</v>
      </c>
      <c r="D30" s="25">
        <v>77</v>
      </c>
      <c r="E30" s="25">
        <v>14.5</v>
      </c>
      <c r="F30" s="25">
        <v>15.5</v>
      </c>
      <c r="G30" s="15"/>
      <c r="H30" s="29">
        <f>+C30*H$13</f>
        <v>1738541.6964897136</v>
      </c>
      <c r="I30" s="29">
        <f t="shared" si="56"/>
        <v>8238681.3761216961</v>
      </c>
      <c r="J30" s="29">
        <f t="shared" si="56"/>
        <v>1323354.7126851087</v>
      </c>
      <c r="K30" s="29">
        <f t="shared" si="56"/>
        <v>1321263.584630504</v>
      </c>
      <c r="L30" s="34">
        <f t="shared" si="57"/>
        <v>12621841.369927023</v>
      </c>
      <c r="M30" s="31">
        <f t="shared" si="58"/>
        <v>12621841.369927023</v>
      </c>
      <c r="N30" s="256" t="s">
        <v>138</v>
      </c>
      <c r="P30" s="25">
        <v>13</v>
      </c>
      <c r="Q30" s="38">
        <f t="shared" si="59"/>
        <v>1.0384615384615385</v>
      </c>
      <c r="R30" s="38">
        <f t="shared" si="60"/>
        <v>5.9230769230769234</v>
      </c>
      <c r="S30" s="38">
        <f t="shared" si="61"/>
        <v>1.1153846153846154</v>
      </c>
      <c r="T30" s="38">
        <f t="shared" si="62"/>
        <v>1.1923076923076923</v>
      </c>
      <c r="U30" s="38">
        <f t="shared" si="63"/>
        <v>9.2692307692307683</v>
      </c>
      <c r="X30" s="932"/>
    </row>
    <row r="31" spans="1:24" ht="18" customHeight="1" x14ac:dyDescent="0.35">
      <c r="A31" s="35">
        <v>46143</v>
      </c>
      <c r="B31" s="33" t="s">
        <v>576</v>
      </c>
      <c r="C31" s="25">
        <v>12</v>
      </c>
      <c r="D31" s="25">
        <v>69</v>
      </c>
      <c r="E31" s="25">
        <v>13</v>
      </c>
      <c r="F31" s="25">
        <v>15.5</v>
      </c>
      <c r="G31" s="15"/>
      <c r="H31" s="29">
        <f>+C31*H$14</f>
        <v>1580731.0498397448</v>
      </c>
      <c r="I31" s="29">
        <f t="shared" ref="I31:K32" si="64">+D31*I$14</f>
        <v>7554937.4858935345</v>
      </c>
      <c r="J31" s="29">
        <f t="shared" si="64"/>
        <v>1213485.8479788904</v>
      </c>
      <c r="K31" s="29">
        <f t="shared" si="64"/>
        <v>1352218.7193767542</v>
      </c>
      <c r="L31" s="34">
        <f t="shared" ref="L31:L32" si="65">SUM(H31:K31)</f>
        <v>11701373.103088923</v>
      </c>
      <c r="M31" s="31">
        <f t="shared" ref="M31:M32" si="66">L31</f>
        <v>11701373.103088923</v>
      </c>
      <c r="N31" s="256" t="s">
        <v>138</v>
      </c>
      <c r="P31" s="25">
        <v>12</v>
      </c>
      <c r="Q31" s="38">
        <f t="shared" si="59"/>
        <v>1</v>
      </c>
      <c r="R31" s="38">
        <f t="shared" si="60"/>
        <v>5.75</v>
      </c>
      <c r="S31" s="38">
        <f t="shared" si="61"/>
        <v>1.0833333333333333</v>
      </c>
      <c r="T31" s="38">
        <f t="shared" si="62"/>
        <v>1.2916666666666667</v>
      </c>
      <c r="U31" s="38">
        <f t="shared" si="63"/>
        <v>9.125</v>
      </c>
      <c r="X31" s="932"/>
    </row>
    <row r="32" spans="1:24" ht="18" customHeight="1" x14ac:dyDescent="0.35">
      <c r="A32" s="35">
        <v>46143</v>
      </c>
      <c r="B32" s="33" t="s">
        <v>575</v>
      </c>
      <c r="C32" s="25">
        <v>17</v>
      </c>
      <c r="D32" s="25">
        <v>82</v>
      </c>
      <c r="E32" s="25">
        <v>28</v>
      </c>
      <c r="F32" s="25">
        <v>24</v>
      </c>
      <c r="G32" s="15"/>
      <c r="H32" s="29">
        <f>+C32*H$14</f>
        <v>2239368.9872729718</v>
      </c>
      <c r="I32" s="29">
        <f t="shared" si="64"/>
        <v>8978331.5049749259</v>
      </c>
      <c r="J32" s="29">
        <f t="shared" si="64"/>
        <v>2613661.8264160715</v>
      </c>
      <c r="K32" s="29">
        <f t="shared" si="64"/>
        <v>2093758.0170994904</v>
      </c>
      <c r="L32" s="34">
        <f t="shared" si="65"/>
        <v>15925120.33576346</v>
      </c>
      <c r="M32" s="31">
        <f t="shared" si="66"/>
        <v>15925120.33576346</v>
      </c>
      <c r="N32" s="256" t="s">
        <v>138</v>
      </c>
      <c r="P32" s="25">
        <v>12</v>
      </c>
      <c r="Q32" s="38">
        <f t="shared" si="59"/>
        <v>1.4166666666666667</v>
      </c>
      <c r="R32" s="38">
        <f t="shared" si="60"/>
        <v>6.833333333333333</v>
      </c>
      <c r="S32" s="38">
        <f t="shared" si="61"/>
        <v>2.3333333333333335</v>
      </c>
      <c r="T32" s="38">
        <f t="shared" si="62"/>
        <v>2</v>
      </c>
      <c r="U32" s="38">
        <f t="shared" si="63"/>
        <v>12.583333333333334</v>
      </c>
      <c r="X32" s="932"/>
    </row>
    <row r="33" spans="1:21" ht="18" customHeight="1" x14ac:dyDescent="0.35">
      <c r="A33" s="35"/>
      <c r="B33" s="33"/>
      <c r="C33" s="25"/>
      <c r="D33" s="25"/>
      <c r="E33" s="25"/>
      <c r="F33" s="25"/>
      <c r="G33" s="15"/>
      <c r="H33" s="29"/>
      <c r="I33" s="29"/>
      <c r="J33" s="29"/>
      <c r="K33" s="29"/>
      <c r="L33" s="34"/>
      <c r="M33" s="36"/>
      <c r="N33" s="37"/>
      <c r="P33" s="25"/>
      <c r="Q33" s="38"/>
      <c r="R33" s="38"/>
      <c r="S33" s="38"/>
      <c r="T33" s="38"/>
      <c r="U33" s="38"/>
    </row>
    <row r="34" spans="1:21" ht="18" customHeight="1" thickBot="1" x14ac:dyDescent="0.4">
      <c r="A34" s="39"/>
      <c r="B34" s="39"/>
      <c r="C34" s="40"/>
      <c r="D34" s="40"/>
      <c r="E34" s="40"/>
      <c r="F34" s="40"/>
      <c r="G34" s="15"/>
      <c r="H34" s="39"/>
      <c r="I34" s="39"/>
      <c r="J34" s="39"/>
      <c r="K34" s="39"/>
      <c r="L34" s="41">
        <f>SUM(L15:L33)</f>
        <v>158985923.97981209</v>
      </c>
      <c r="M34" s="257">
        <f>SUM(M15:M33)</f>
        <v>158985923.97981209</v>
      </c>
      <c r="N34" s="42"/>
      <c r="P34" s="40"/>
      <c r="Q34" s="40"/>
      <c r="R34" s="40"/>
      <c r="S34" s="40"/>
      <c r="T34" s="40"/>
      <c r="U34" s="40"/>
    </row>
    <row r="35" spans="1:21" x14ac:dyDescent="0.35">
      <c r="P35" s="43"/>
      <c r="Q35" s="43"/>
      <c r="R35" s="43"/>
      <c r="S35" s="43"/>
      <c r="T35" s="43"/>
      <c r="U35" s="43"/>
    </row>
    <row r="37" spans="1:21" x14ac:dyDescent="0.35">
      <c r="L37" s="44" t="s">
        <v>155</v>
      </c>
      <c r="M37" s="45">
        <f>SUM(M15:M33)</f>
        <v>158985923.97981209</v>
      </c>
    </row>
    <row r="38" spans="1:21" x14ac:dyDescent="0.35">
      <c r="L38" s="46" t="s">
        <v>156</v>
      </c>
      <c r="M38" s="47"/>
    </row>
    <row r="39" spans="1:21" x14ac:dyDescent="0.35">
      <c r="M39" s="48">
        <f>+M38+M37</f>
        <v>158985923.97981209</v>
      </c>
    </row>
    <row r="43" spans="1:21" x14ac:dyDescent="0.35">
      <c r="M43" s="932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417A-1AAB-43BB-BC9F-77C15ECEF017}">
  <dimension ref="A1:U31"/>
  <sheetViews>
    <sheetView workbookViewId="0">
      <selection activeCell="AA24" sqref="AA24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9" width="10.453125" bestFit="1" customWidth="1"/>
    <col min="10" max="10" width="9.54296875" bestFit="1" customWidth="1"/>
    <col min="11" max="11" width="10.453125" bestFit="1" customWidth="1"/>
    <col min="12" max="13" width="11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4.54296875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1" x14ac:dyDescent="0.35">
      <c r="A1" s="7" t="s">
        <v>137</v>
      </c>
      <c r="B1" s="7"/>
      <c r="C1"/>
      <c r="D1"/>
      <c r="E1"/>
      <c r="F1"/>
      <c r="O1" s="8" t="s">
        <v>138</v>
      </c>
      <c r="P1" s="1914" t="s">
        <v>139</v>
      </c>
      <c r="Q1" s="1914"/>
    </row>
    <row r="2" spans="1:21" x14ac:dyDescent="0.35">
      <c r="A2" s="7" t="s">
        <v>140</v>
      </c>
      <c r="B2" s="7"/>
      <c r="C2"/>
      <c r="D2"/>
      <c r="E2"/>
      <c r="F2"/>
      <c r="O2" s="9" t="s">
        <v>141</v>
      </c>
      <c r="P2" s="1915" t="s">
        <v>142</v>
      </c>
      <c r="Q2" s="1915"/>
    </row>
    <row r="3" spans="1:21" ht="15" thickBot="1" x14ac:dyDescent="0.4">
      <c r="C3"/>
      <c r="D3"/>
      <c r="E3"/>
      <c r="F3"/>
    </row>
    <row r="4" spans="1:21" x14ac:dyDescent="0.35">
      <c r="C4" s="1916" t="s">
        <v>143</v>
      </c>
      <c r="D4" s="1917"/>
      <c r="E4" s="1917"/>
      <c r="F4" s="1918"/>
      <c r="G4" s="11"/>
      <c r="H4" s="12" t="s">
        <v>144</v>
      </c>
      <c r="I4" s="12" t="s">
        <v>145</v>
      </c>
      <c r="J4" s="12" t="s">
        <v>146</v>
      </c>
      <c r="K4" s="12" t="s">
        <v>147</v>
      </c>
      <c r="L4" s="10" t="s">
        <v>52</v>
      </c>
      <c r="M4" s="13" t="s">
        <v>98</v>
      </c>
      <c r="P4" s="1916" t="s">
        <v>148</v>
      </c>
      <c r="Q4" s="1917"/>
      <c r="R4" s="1917"/>
      <c r="S4" s="1917"/>
      <c r="T4" s="1917"/>
      <c r="U4" s="1918"/>
    </row>
    <row r="5" spans="1:21" x14ac:dyDescent="0.35">
      <c r="C5" s="14" t="s">
        <v>149</v>
      </c>
      <c r="D5" s="14" t="s">
        <v>150</v>
      </c>
      <c r="E5" s="14" t="s">
        <v>151</v>
      </c>
      <c r="F5" s="14" t="s">
        <v>152</v>
      </c>
      <c r="G5" s="15"/>
      <c r="H5" s="194">
        <v>85927.1</v>
      </c>
      <c r="I5" s="194">
        <v>76955.08</v>
      </c>
      <c r="J5" s="194">
        <v>65493.07</v>
      </c>
      <c r="K5" s="194">
        <v>60860.58</v>
      </c>
      <c r="L5" s="201">
        <v>45627</v>
      </c>
      <c r="M5" s="16"/>
      <c r="P5" s="12" t="s">
        <v>153</v>
      </c>
      <c r="Q5" s="12" t="s">
        <v>149</v>
      </c>
      <c r="R5" s="12" t="s">
        <v>150</v>
      </c>
      <c r="S5" s="12" t="s">
        <v>151</v>
      </c>
      <c r="T5" s="12" t="s">
        <v>152</v>
      </c>
      <c r="U5" s="12" t="s">
        <v>154</v>
      </c>
    </row>
    <row r="6" spans="1:21" x14ac:dyDescent="0.35">
      <c r="C6" s="17"/>
      <c r="D6" s="17"/>
      <c r="E6" s="17"/>
      <c r="F6" s="17"/>
      <c r="G6" s="15"/>
      <c r="H6" s="194">
        <v>87384</v>
      </c>
      <c r="I6" s="194">
        <v>78375</v>
      </c>
      <c r="J6" s="194">
        <v>66853</v>
      </c>
      <c r="K6" s="194">
        <v>61892</v>
      </c>
      <c r="L6" s="201">
        <v>45658</v>
      </c>
      <c r="M6" s="18"/>
      <c r="P6" s="19"/>
      <c r="Q6" s="19"/>
      <c r="R6" s="19"/>
      <c r="S6" s="19"/>
      <c r="T6" s="19"/>
      <c r="U6" s="19"/>
    </row>
    <row r="7" spans="1:21" x14ac:dyDescent="0.35">
      <c r="C7" s="17"/>
      <c r="D7" s="17"/>
      <c r="E7" s="17"/>
      <c r="F7" s="17"/>
      <c r="G7" s="15"/>
      <c r="H7" s="194">
        <v>89383</v>
      </c>
      <c r="I7" s="194">
        <v>80395</v>
      </c>
      <c r="J7" s="194">
        <v>68472</v>
      </c>
      <c r="K7" s="194">
        <v>63382</v>
      </c>
      <c r="L7" s="201">
        <v>45689</v>
      </c>
      <c r="M7" s="18"/>
      <c r="P7" s="19"/>
      <c r="Q7" s="19"/>
      <c r="R7" s="19"/>
      <c r="S7" s="19"/>
      <c r="T7" s="19"/>
      <c r="U7" s="19"/>
    </row>
    <row r="8" spans="1:21" x14ac:dyDescent="0.35">
      <c r="C8" s="17"/>
      <c r="D8" s="17"/>
      <c r="E8" s="17"/>
      <c r="F8" s="17"/>
      <c r="G8" s="15"/>
      <c r="H8" s="194">
        <v>91464</v>
      </c>
      <c r="I8" s="194">
        <v>82269</v>
      </c>
      <c r="J8" s="194">
        <v>70296</v>
      </c>
      <c r="K8" s="194">
        <v>65595</v>
      </c>
      <c r="L8" s="201">
        <v>45717</v>
      </c>
      <c r="M8" s="18"/>
      <c r="P8" s="19"/>
      <c r="Q8" s="19"/>
      <c r="R8" s="19"/>
      <c r="S8" s="19"/>
      <c r="T8" s="19"/>
      <c r="U8" s="19"/>
    </row>
    <row r="9" spans="1:21" x14ac:dyDescent="0.35">
      <c r="C9" s="17"/>
      <c r="D9" s="17"/>
      <c r="E9" s="17"/>
      <c r="F9" s="17"/>
      <c r="G9" s="15"/>
      <c r="H9" s="194">
        <v>106516.01731157197</v>
      </c>
      <c r="I9" s="194">
        <v>88649.807904071975</v>
      </c>
      <c r="J9" s="194">
        <v>75758.191951571978</v>
      </c>
      <c r="K9" s="194">
        <v>71041.118761571968</v>
      </c>
      <c r="L9" s="201">
        <v>45901</v>
      </c>
      <c r="M9" s="18"/>
      <c r="P9" s="19"/>
      <c r="Q9" s="19"/>
      <c r="R9" s="19"/>
      <c r="S9" s="19"/>
      <c r="T9" s="19"/>
      <c r="U9" s="19"/>
    </row>
    <row r="10" spans="1:21" ht="15" thickBot="1" x14ac:dyDescent="0.4">
      <c r="C10" s="17"/>
      <c r="D10" s="17"/>
      <c r="E10" s="17"/>
      <c r="F10" s="17"/>
      <c r="G10" s="15"/>
      <c r="H10" s="194">
        <v>106864.20592157198</v>
      </c>
      <c r="I10" s="194">
        <v>88971.072744071964</v>
      </c>
      <c r="J10" s="194">
        <v>76032.176431571977</v>
      </c>
      <c r="K10" s="194">
        <v>71292.271201571988</v>
      </c>
      <c r="L10" s="201">
        <v>45931</v>
      </c>
      <c r="M10" s="202"/>
      <c r="P10" s="19"/>
      <c r="Q10" s="19"/>
      <c r="R10" s="19"/>
      <c r="S10" s="19"/>
      <c r="T10" s="19"/>
      <c r="U10" s="19"/>
    </row>
    <row r="11" spans="1:21" x14ac:dyDescent="0.35">
      <c r="C11" s="17"/>
      <c r="D11" s="17"/>
      <c r="E11" s="17"/>
      <c r="F11" s="17"/>
      <c r="G11" s="15"/>
      <c r="H11" s="1024">
        <v>109621.10545407196</v>
      </c>
      <c r="I11" s="1024">
        <v>91252.850653390153</v>
      </c>
      <c r="J11" s="1024">
        <v>77612.118064071969</v>
      </c>
      <c r="K11" s="1024">
        <v>72486.68260657198</v>
      </c>
      <c r="L11" s="1025">
        <v>45962</v>
      </c>
      <c r="M11" s="18"/>
      <c r="P11" s="19"/>
      <c r="Q11" s="19"/>
      <c r="R11" s="19"/>
      <c r="S11" s="19"/>
      <c r="T11" s="19"/>
      <c r="U11" s="19"/>
    </row>
    <row r="12" spans="1:21" x14ac:dyDescent="0.35">
      <c r="C12" s="17"/>
      <c r="D12" s="17"/>
      <c r="E12" s="17"/>
      <c r="F12" s="17"/>
      <c r="G12" s="15"/>
      <c r="H12" s="1024">
        <v>117452.65727664542</v>
      </c>
      <c r="I12" s="1024">
        <v>97866.769866645438</v>
      </c>
      <c r="J12" s="1024">
        <v>83614.940401645435</v>
      </c>
      <c r="K12" s="1024">
        <v>78291.041771645439</v>
      </c>
      <c r="L12" s="1025">
        <v>46023</v>
      </c>
      <c r="M12" s="18"/>
      <c r="P12" s="19"/>
      <c r="Q12" s="19"/>
      <c r="R12" s="19"/>
      <c r="S12" s="19"/>
      <c r="T12" s="19"/>
      <c r="U12" s="19"/>
    </row>
    <row r="13" spans="1:21" x14ac:dyDescent="0.35">
      <c r="C13" s="17"/>
      <c r="D13" s="17"/>
      <c r="E13" s="17"/>
      <c r="F13" s="17"/>
      <c r="G13" s="15"/>
      <c r="H13" s="1024">
        <v>119406.33424664545</v>
      </c>
      <c r="I13" s="1024">
        <v>99479.557976645432</v>
      </c>
      <c r="J13" s="1024">
        <v>84948.749161645435</v>
      </c>
      <c r="K13" s="1024">
        <v>79490.602471645427</v>
      </c>
      <c r="L13" s="1025">
        <v>46054</v>
      </c>
      <c r="M13" s="18"/>
      <c r="P13" s="19"/>
      <c r="Q13" s="19"/>
      <c r="R13" s="19"/>
      <c r="S13" s="19"/>
      <c r="T13" s="19"/>
      <c r="U13" s="19"/>
    </row>
    <row r="14" spans="1:21" x14ac:dyDescent="0.35">
      <c r="C14" s="17"/>
      <c r="D14" s="17"/>
      <c r="E14" s="17"/>
      <c r="F14" s="17"/>
      <c r="G14" s="15"/>
      <c r="H14" s="1024">
        <v>122445.79058664542</v>
      </c>
      <c r="I14" s="1024">
        <v>102029.0668827818</v>
      </c>
      <c r="J14" s="1024">
        <v>87100.469906645434</v>
      </c>
      <c r="K14" s="1024">
        <v>81453.719334145426</v>
      </c>
      <c r="L14" s="1025">
        <v>46082</v>
      </c>
      <c r="M14" s="18"/>
      <c r="P14" s="19"/>
      <c r="Q14" s="19"/>
      <c r="R14" s="19"/>
      <c r="S14" s="19"/>
      <c r="T14" s="19"/>
      <c r="U14" s="19"/>
    </row>
    <row r="15" spans="1:21" x14ac:dyDescent="0.35">
      <c r="C15" s="17"/>
      <c r="D15" s="17"/>
      <c r="E15" s="17"/>
      <c r="F15" s="17"/>
      <c r="G15" s="15"/>
      <c r="H15" s="1024">
        <v>131727.58748664541</v>
      </c>
      <c r="I15" s="1024">
        <v>109491.84762164543</v>
      </c>
      <c r="J15" s="1024">
        <v>93345.065229145417</v>
      </c>
      <c r="K15" s="1024">
        <v>87239.917379145438</v>
      </c>
      <c r="L15" s="1025">
        <v>46143</v>
      </c>
      <c r="M15" s="18"/>
      <c r="P15" s="19"/>
      <c r="Q15" s="19"/>
      <c r="R15" s="19"/>
      <c r="S15" s="19"/>
      <c r="T15" s="19"/>
      <c r="U15" s="19"/>
    </row>
    <row r="16" spans="1:21" ht="18" customHeight="1" x14ac:dyDescent="0.35">
      <c r="A16" s="20">
        <v>45689</v>
      </c>
      <c r="B16" s="20" t="s">
        <v>575</v>
      </c>
      <c r="C16" s="21">
        <v>0</v>
      </c>
      <c r="D16" s="21">
        <v>0</v>
      </c>
      <c r="E16" s="21">
        <v>0</v>
      </c>
      <c r="F16" s="21">
        <v>0</v>
      </c>
      <c r="G16" s="15"/>
      <c r="H16" s="22">
        <f>+C16*H$7</f>
        <v>0</v>
      </c>
      <c r="I16" s="22">
        <f t="shared" ref="I16:K16" si="0">+D16*I$7</f>
        <v>0</v>
      </c>
      <c r="J16" s="22">
        <f t="shared" si="0"/>
        <v>0</v>
      </c>
      <c r="K16" s="22">
        <f t="shared" si="0"/>
        <v>0</v>
      </c>
      <c r="L16" s="23">
        <f>SUM(H16:K16)</f>
        <v>0</v>
      </c>
      <c r="M16" s="31">
        <f>+L16</f>
        <v>0</v>
      </c>
      <c r="N16" s="24" t="s">
        <v>138</v>
      </c>
      <c r="P16" s="25">
        <v>0</v>
      </c>
      <c r="Q16" s="26">
        <f>IFERROR(C16/$P16,0)</f>
        <v>0</v>
      </c>
      <c r="R16" s="26">
        <f t="shared" ref="R16:T24" si="1">IFERROR(D16/$P16,0)</f>
        <v>0</v>
      </c>
      <c r="S16" s="26">
        <f t="shared" si="1"/>
        <v>0</v>
      </c>
      <c r="T16" s="26">
        <f t="shared" si="1"/>
        <v>0</v>
      </c>
      <c r="U16" s="26">
        <f t="shared" ref="U16:U24" si="2">SUM(Q16:T16)</f>
        <v>0</v>
      </c>
    </row>
    <row r="17" spans="1:21" ht="18" customHeight="1" x14ac:dyDescent="0.35">
      <c r="A17" s="27">
        <v>45717</v>
      </c>
      <c r="B17" s="27" t="s">
        <v>576</v>
      </c>
      <c r="C17" s="28">
        <v>0</v>
      </c>
      <c r="D17" s="28">
        <f>2+2</f>
        <v>4</v>
      </c>
      <c r="E17" s="28">
        <v>0</v>
      </c>
      <c r="F17" s="28">
        <v>0</v>
      </c>
      <c r="G17" s="15"/>
      <c r="H17" s="29">
        <f>+C17*H$8</f>
        <v>0</v>
      </c>
      <c r="I17" s="29">
        <f t="shared" ref="I17:K17" si="3">+D17*I$8</f>
        <v>329076</v>
      </c>
      <c r="J17" s="29">
        <f t="shared" si="3"/>
        <v>0</v>
      </c>
      <c r="K17" s="29">
        <f t="shared" si="3"/>
        <v>0</v>
      </c>
      <c r="L17" s="30">
        <f>SUM(H17:K17)</f>
        <v>329076</v>
      </c>
      <c r="M17" s="31">
        <f>L17</f>
        <v>329076</v>
      </c>
      <c r="N17" s="32" t="s">
        <v>138</v>
      </c>
      <c r="P17" s="25">
        <v>2</v>
      </c>
      <c r="Q17" s="26">
        <f t="shared" ref="Q17:Q24" si="4">IFERROR(C17/$P17,0)</f>
        <v>0</v>
      </c>
      <c r="R17" s="26">
        <f t="shared" si="1"/>
        <v>2</v>
      </c>
      <c r="S17" s="26">
        <f t="shared" si="1"/>
        <v>0</v>
      </c>
      <c r="T17" s="26">
        <f t="shared" si="1"/>
        <v>0</v>
      </c>
      <c r="U17" s="26">
        <f t="shared" si="2"/>
        <v>2</v>
      </c>
    </row>
    <row r="18" spans="1:21" ht="18" customHeight="1" x14ac:dyDescent="0.35">
      <c r="A18" s="27">
        <v>45717</v>
      </c>
      <c r="B18" s="33" t="s">
        <v>575</v>
      </c>
      <c r="C18" s="25">
        <v>0</v>
      </c>
      <c r="D18" s="25">
        <v>0</v>
      </c>
      <c r="E18" s="25">
        <v>0</v>
      </c>
      <c r="F18" s="25">
        <v>0</v>
      </c>
      <c r="G18" s="15"/>
      <c r="H18" s="29">
        <f>+C18*$H$6</f>
        <v>0</v>
      </c>
      <c r="I18" s="29">
        <f>+D18*$I$6</f>
        <v>0</v>
      </c>
      <c r="J18" s="29">
        <f>+E18*$J$6</f>
        <v>0</v>
      </c>
      <c r="K18" s="29">
        <f>+F18*$K$6</f>
        <v>0</v>
      </c>
      <c r="L18" s="34">
        <f>SUM(H18:K18)</f>
        <v>0</v>
      </c>
      <c r="M18" s="31">
        <f t="shared" ref="M18:M20" si="5">L18</f>
        <v>0</v>
      </c>
      <c r="N18" s="32" t="s">
        <v>138</v>
      </c>
      <c r="P18" s="25">
        <v>0</v>
      </c>
      <c r="Q18" s="26">
        <f t="shared" si="4"/>
        <v>0</v>
      </c>
      <c r="R18" s="26">
        <f t="shared" si="1"/>
        <v>0</v>
      </c>
      <c r="S18" s="26">
        <f t="shared" si="1"/>
        <v>0</v>
      </c>
      <c r="T18" s="26">
        <f t="shared" si="1"/>
        <v>0</v>
      </c>
      <c r="U18" s="26">
        <f t="shared" si="2"/>
        <v>0</v>
      </c>
    </row>
    <row r="19" spans="1:21" ht="18" customHeight="1" x14ac:dyDescent="0.35">
      <c r="A19" s="35">
        <v>45748</v>
      </c>
      <c r="B19" s="27" t="s">
        <v>576</v>
      </c>
      <c r="C19" s="25">
        <v>0</v>
      </c>
      <c r="D19" s="25">
        <v>0</v>
      </c>
      <c r="E19" s="25">
        <v>0</v>
      </c>
      <c r="F19" s="25">
        <v>0</v>
      </c>
      <c r="G19" s="15"/>
      <c r="H19" s="29">
        <f>+C19*$H$6</f>
        <v>0</v>
      </c>
      <c r="I19" s="29">
        <f>+D19*$I$6</f>
        <v>0</v>
      </c>
      <c r="J19" s="29">
        <f>+E19*$J$6</f>
        <v>0</v>
      </c>
      <c r="K19" s="29">
        <f>+F19*$K$6</f>
        <v>0</v>
      </c>
      <c r="L19" s="34">
        <f t="shared" ref="L19:L20" si="6">SUM(H19:K19)</f>
        <v>0</v>
      </c>
      <c r="M19" s="31">
        <f t="shared" si="5"/>
        <v>0</v>
      </c>
      <c r="N19" s="256" t="s">
        <v>138</v>
      </c>
      <c r="P19" s="25">
        <v>0</v>
      </c>
      <c r="Q19" s="26">
        <f t="shared" si="4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2"/>
        <v>0</v>
      </c>
    </row>
    <row r="20" spans="1:21" ht="18" customHeight="1" x14ac:dyDescent="0.35">
      <c r="A20" s="35">
        <v>45748</v>
      </c>
      <c r="B20" s="33" t="s">
        <v>575</v>
      </c>
      <c r="C20" s="25">
        <v>0</v>
      </c>
      <c r="D20" s="25">
        <v>0</v>
      </c>
      <c r="E20" s="25">
        <v>0</v>
      </c>
      <c r="F20" s="25">
        <v>0</v>
      </c>
      <c r="G20" s="15"/>
      <c r="H20" s="29">
        <f t="shared" ref="H20:K20" si="7">+C20*H$7</f>
        <v>0</v>
      </c>
      <c r="I20" s="29">
        <f t="shared" si="7"/>
        <v>0</v>
      </c>
      <c r="J20" s="29">
        <f t="shared" si="7"/>
        <v>0</v>
      </c>
      <c r="K20" s="29">
        <f t="shared" si="7"/>
        <v>0</v>
      </c>
      <c r="L20" s="34">
        <f t="shared" si="6"/>
        <v>0</v>
      </c>
      <c r="M20" s="31">
        <f t="shared" si="5"/>
        <v>0</v>
      </c>
      <c r="N20" s="256" t="s">
        <v>138</v>
      </c>
      <c r="P20" s="25">
        <v>0</v>
      </c>
      <c r="Q20" s="26">
        <f t="shared" si="4"/>
        <v>0</v>
      </c>
      <c r="R20" s="26">
        <f t="shared" si="1"/>
        <v>0</v>
      </c>
      <c r="S20" s="26">
        <f t="shared" si="1"/>
        <v>0</v>
      </c>
      <c r="T20" s="26">
        <f t="shared" si="1"/>
        <v>0</v>
      </c>
      <c r="U20" s="26">
        <f t="shared" si="2"/>
        <v>0</v>
      </c>
    </row>
    <row r="21" spans="1:21" ht="18" customHeight="1" x14ac:dyDescent="0.35">
      <c r="A21" s="35">
        <v>45778</v>
      </c>
      <c r="B21" s="27" t="s">
        <v>576</v>
      </c>
      <c r="C21" s="25">
        <v>0</v>
      </c>
      <c r="D21" s="25">
        <v>0</v>
      </c>
      <c r="E21" s="25">
        <v>0</v>
      </c>
      <c r="F21" s="25">
        <v>0</v>
      </c>
      <c r="G21" s="15"/>
      <c r="H21" s="29">
        <f t="shared" ref="H21:H22" si="8">+C21*H$7</f>
        <v>0</v>
      </c>
      <c r="I21" s="29">
        <f t="shared" ref="I21:I22" si="9">+D21*I$7</f>
        <v>0</v>
      </c>
      <c r="J21" s="29">
        <f t="shared" ref="J21:J22" si="10">+E21*J$7</f>
        <v>0</v>
      </c>
      <c r="K21" s="29">
        <f t="shared" ref="K21:K22" si="11">+F21*K$7</f>
        <v>0</v>
      </c>
      <c r="L21" s="34">
        <f t="shared" ref="L21:L22" si="12">SUM(H21:K21)</f>
        <v>0</v>
      </c>
      <c r="M21" s="31">
        <f t="shared" ref="M21:M22" si="13">L21</f>
        <v>0</v>
      </c>
      <c r="N21" s="256" t="s">
        <v>138</v>
      </c>
      <c r="P21" s="25">
        <v>0</v>
      </c>
      <c r="Q21" s="26">
        <f t="shared" si="4"/>
        <v>0</v>
      </c>
      <c r="R21" s="26">
        <f t="shared" si="1"/>
        <v>0</v>
      </c>
      <c r="S21" s="26">
        <f t="shared" si="1"/>
        <v>0</v>
      </c>
      <c r="T21" s="26">
        <f t="shared" si="1"/>
        <v>0</v>
      </c>
      <c r="U21" s="26">
        <f t="shared" si="2"/>
        <v>0</v>
      </c>
    </row>
    <row r="22" spans="1:21" ht="18" customHeight="1" x14ac:dyDescent="0.35">
      <c r="A22" s="35">
        <v>45778</v>
      </c>
      <c r="B22" s="33" t="s">
        <v>575</v>
      </c>
      <c r="C22" s="25">
        <v>0</v>
      </c>
      <c r="D22" s="25">
        <v>0</v>
      </c>
      <c r="E22" s="25">
        <v>0</v>
      </c>
      <c r="F22" s="25">
        <v>0</v>
      </c>
      <c r="G22" s="15"/>
      <c r="H22" s="29">
        <f t="shared" si="8"/>
        <v>0</v>
      </c>
      <c r="I22" s="29">
        <f t="shared" si="9"/>
        <v>0</v>
      </c>
      <c r="J22" s="29">
        <f t="shared" si="10"/>
        <v>0</v>
      </c>
      <c r="K22" s="29">
        <f t="shared" si="11"/>
        <v>0</v>
      </c>
      <c r="L22" s="34">
        <f t="shared" si="12"/>
        <v>0</v>
      </c>
      <c r="M22" s="31">
        <f t="shared" si="13"/>
        <v>0</v>
      </c>
      <c r="N22" s="256" t="s">
        <v>138</v>
      </c>
      <c r="P22" s="25">
        <v>0</v>
      </c>
      <c r="Q22" s="26">
        <f t="shared" si="4"/>
        <v>0</v>
      </c>
      <c r="R22" s="26">
        <f t="shared" si="1"/>
        <v>0</v>
      </c>
      <c r="S22" s="26">
        <f t="shared" si="1"/>
        <v>0</v>
      </c>
      <c r="T22" s="26">
        <f t="shared" si="1"/>
        <v>0</v>
      </c>
      <c r="U22" s="26">
        <f t="shared" si="2"/>
        <v>0</v>
      </c>
    </row>
    <row r="23" spans="1:21" ht="18" customHeight="1" x14ac:dyDescent="0.35">
      <c r="A23" s="35">
        <v>46143</v>
      </c>
      <c r="B23" s="27" t="s">
        <v>576</v>
      </c>
      <c r="C23" s="25">
        <v>0</v>
      </c>
      <c r="D23" s="25">
        <v>0</v>
      </c>
      <c r="E23" s="25">
        <v>0</v>
      </c>
      <c r="F23" s="25">
        <v>0</v>
      </c>
      <c r="G23" s="15"/>
      <c r="H23" s="29">
        <f>+C23*H$15</f>
        <v>0</v>
      </c>
      <c r="I23" s="29">
        <f t="shared" ref="I23:K24" si="14">+D23*I$15</f>
        <v>0</v>
      </c>
      <c r="J23" s="29">
        <f t="shared" si="14"/>
        <v>0</v>
      </c>
      <c r="K23" s="29">
        <f t="shared" si="14"/>
        <v>0</v>
      </c>
      <c r="L23" s="34">
        <f t="shared" ref="L23:L24" si="15">SUM(H23:K23)</f>
        <v>0</v>
      </c>
      <c r="M23" s="31">
        <f t="shared" ref="M23:M24" si="16">L23</f>
        <v>0</v>
      </c>
      <c r="N23" s="256" t="s">
        <v>138</v>
      </c>
      <c r="P23" s="25">
        <v>12</v>
      </c>
      <c r="Q23" s="26">
        <f t="shared" si="4"/>
        <v>0</v>
      </c>
      <c r="R23" s="26">
        <f t="shared" si="1"/>
        <v>0</v>
      </c>
      <c r="S23" s="26">
        <f t="shared" si="1"/>
        <v>0</v>
      </c>
      <c r="T23" s="26">
        <f t="shared" si="1"/>
        <v>0</v>
      </c>
      <c r="U23" s="26">
        <f t="shared" si="2"/>
        <v>0</v>
      </c>
    </row>
    <row r="24" spans="1:21" ht="18" customHeight="1" x14ac:dyDescent="0.35">
      <c r="A24" s="35">
        <v>46143</v>
      </c>
      <c r="B24" s="33" t="s">
        <v>575</v>
      </c>
      <c r="C24" s="25">
        <v>0</v>
      </c>
      <c r="D24" s="25">
        <v>11</v>
      </c>
      <c r="E24" s="25">
        <v>0</v>
      </c>
      <c r="F24" s="25">
        <v>0</v>
      </c>
      <c r="G24" s="15"/>
      <c r="H24" s="29">
        <f>+C24*H$15</f>
        <v>0</v>
      </c>
      <c r="I24" s="29">
        <f t="shared" si="14"/>
        <v>1204410.3238380998</v>
      </c>
      <c r="J24" s="29">
        <f t="shared" si="14"/>
        <v>0</v>
      </c>
      <c r="K24" s="29">
        <f t="shared" si="14"/>
        <v>0</v>
      </c>
      <c r="L24" s="34">
        <f t="shared" si="15"/>
        <v>1204410.3238380998</v>
      </c>
      <c r="M24" s="31">
        <f t="shared" si="16"/>
        <v>1204410.3238380998</v>
      </c>
      <c r="N24" s="256" t="s">
        <v>138</v>
      </c>
      <c r="P24" s="25">
        <v>12</v>
      </c>
      <c r="Q24" s="26">
        <f t="shared" si="4"/>
        <v>0</v>
      </c>
      <c r="R24" s="26">
        <f t="shared" si="1"/>
        <v>0.91666666666666663</v>
      </c>
      <c r="S24" s="26">
        <f t="shared" si="1"/>
        <v>0</v>
      </c>
      <c r="T24" s="26">
        <f t="shared" si="1"/>
        <v>0</v>
      </c>
      <c r="U24" s="26">
        <f t="shared" si="2"/>
        <v>0.91666666666666663</v>
      </c>
    </row>
    <row r="25" spans="1:21" ht="18" customHeight="1" x14ac:dyDescent="0.35">
      <c r="A25" s="35"/>
      <c r="B25" s="33"/>
      <c r="C25" s="25"/>
      <c r="D25" s="25"/>
      <c r="E25" s="25"/>
      <c r="F25" s="25"/>
      <c r="G25" s="15"/>
      <c r="H25" s="29"/>
      <c r="I25" s="29"/>
      <c r="J25" s="29"/>
      <c r="K25" s="29"/>
      <c r="L25" s="34"/>
      <c r="M25" s="36"/>
      <c r="N25" s="37"/>
      <c r="P25" s="25"/>
      <c r="Q25" s="38"/>
      <c r="R25" s="38"/>
      <c r="S25" s="38"/>
      <c r="T25" s="38"/>
      <c r="U25" s="38"/>
    </row>
    <row r="26" spans="1:21" ht="18" customHeight="1" thickBot="1" x14ac:dyDescent="0.4">
      <c r="A26" s="39"/>
      <c r="B26" s="39"/>
      <c r="C26" s="40"/>
      <c r="D26" s="40"/>
      <c r="E26" s="40"/>
      <c r="F26" s="40"/>
      <c r="G26" s="15"/>
      <c r="H26" s="39"/>
      <c r="I26" s="39"/>
      <c r="J26" s="39"/>
      <c r="K26" s="39"/>
      <c r="L26" s="41">
        <f>SUM(L16:L25)</f>
        <v>1533486.3238380998</v>
      </c>
      <c r="M26" s="257">
        <f>SUM(M16:M20)</f>
        <v>329076</v>
      </c>
      <c r="N26" s="42"/>
      <c r="P26" s="40"/>
      <c r="Q26" s="40"/>
      <c r="R26" s="40"/>
      <c r="S26" s="40"/>
      <c r="T26" s="40"/>
      <c r="U26" s="40"/>
    </row>
    <row r="27" spans="1:21" x14ac:dyDescent="0.35">
      <c r="P27" s="43"/>
      <c r="Q27" s="43"/>
      <c r="R27" s="43"/>
      <c r="S27" s="43"/>
      <c r="T27" s="43"/>
      <c r="U27" s="43"/>
    </row>
    <row r="29" spans="1:21" x14ac:dyDescent="0.35">
      <c r="L29" s="44" t="s">
        <v>155</v>
      </c>
      <c r="M29" s="45">
        <f>SUM(M16:M20)</f>
        <v>329076</v>
      </c>
    </row>
    <row r="30" spans="1:21" x14ac:dyDescent="0.35">
      <c r="L30" s="46" t="s">
        <v>156</v>
      </c>
      <c r="M30" s="47"/>
    </row>
    <row r="31" spans="1:21" x14ac:dyDescent="0.35">
      <c r="M31" s="48">
        <f>+M30+M29</f>
        <v>329076</v>
      </c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5F1F-EAF3-41F0-A740-39AE23320A9E}">
  <dimension ref="A1:U43"/>
  <sheetViews>
    <sheetView topLeftCell="A9" workbookViewId="0">
      <selection activeCell="P37" sqref="P37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9" width="10.453125" bestFit="1" customWidth="1"/>
    <col min="10" max="10" width="10.26953125" bestFit="1" customWidth="1"/>
    <col min="11" max="11" width="10.453125" bestFit="1" customWidth="1"/>
    <col min="12" max="13" width="12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11" bestFit="1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1" x14ac:dyDescent="0.35">
      <c r="A1" s="7" t="s">
        <v>137</v>
      </c>
      <c r="B1" s="7"/>
      <c r="C1"/>
      <c r="D1"/>
      <c r="E1"/>
      <c r="F1"/>
      <c r="O1" s="8" t="s">
        <v>138</v>
      </c>
      <c r="P1" s="1914" t="s">
        <v>139</v>
      </c>
      <c r="Q1" s="1914"/>
    </row>
    <row r="2" spans="1:21" x14ac:dyDescent="0.35">
      <c r="A2" s="7" t="s">
        <v>140</v>
      </c>
      <c r="B2" s="7"/>
      <c r="C2"/>
      <c r="D2"/>
      <c r="E2"/>
      <c r="F2"/>
      <c r="O2" s="9" t="s">
        <v>141</v>
      </c>
      <c r="P2" s="1915" t="s">
        <v>142</v>
      </c>
      <c r="Q2" s="1915"/>
    </row>
    <row r="3" spans="1:21" ht="15" thickBot="1" x14ac:dyDescent="0.4">
      <c r="C3"/>
      <c r="D3"/>
      <c r="E3"/>
      <c r="F3"/>
    </row>
    <row r="4" spans="1:21" x14ac:dyDescent="0.35">
      <c r="C4" s="1916" t="s">
        <v>143</v>
      </c>
      <c r="D4" s="1917"/>
      <c r="E4" s="1917"/>
      <c r="F4" s="1918"/>
      <c r="G4" s="11"/>
      <c r="H4" s="12" t="s">
        <v>144</v>
      </c>
      <c r="I4" s="12" t="s">
        <v>145</v>
      </c>
      <c r="J4" s="12" t="s">
        <v>146</v>
      </c>
      <c r="K4" s="12" t="s">
        <v>147</v>
      </c>
      <c r="L4" s="10" t="s">
        <v>52</v>
      </c>
      <c r="M4" s="13" t="s">
        <v>98</v>
      </c>
      <c r="P4" s="1916" t="s">
        <v>148</v>
      </c>
      <c r="Q4" s="1917"/>
      <c r="R4" s="1917"/>
      <c r="S4" s="1917"/>
      <c r="T4" s="1917"/>
      <c r="U4" s="1918"/>
    </row>
    <row r="5" spans="1:21" x14ac:dyDescent="0.35">
      <c r="C5" s="14" t="s">
        <v>149</v>
      </c>
      <c r="D5" s="14" t="s">
        <v>150</v>
      </c>
      <c r="E5" s="14" t="s">
        <v>151</v>
      </c>
      <c r="F5" s="14" t="s">
        <v>152</v>
      </c>
      <c r="G5" s="15"/>
      <c r="H5" s="1022">
        <v>95889.2</v>
      </c>
      <c r="I5" s="1022">
        <v>86356.18</v>
      </c>
      <c r="J5" s="1022">
        <v>73781.11</v>
      </c>
      <c r="K5" s="1022">
        <v>68935.350000000006</v>
      </c>
      <c r="L5" s="1023">
        <v>45870</v>
      </c>
      <c r="M5" s="16"/>
      <c r="P5" s="12" t="s">
        <v>153</v>
      </c>
      <c r="Q5" s="12" t="s">
        <v>149</v>
      </c>
      <c r="R5" s="12" t="s">
        <v>150</v>
      </c>
      <c r="S5" s="12" t="s">
        <v>151</v>
      </c>
      <c r="T5" s="12" t="s">
        <v>152</v>
      </c>
      <c r="U5" s="12" t="s">
        <v>154</v>
      </c>
    </row>
    <row r="6" spans="1:21" x14ac:dyDescent="0.35">
      <c r="C6" s="14"/>
      <c r="D6" s="14"/>
      <c r="E6" s="14"/>
      <c r="F6" s="14"/>
      <c r="G6" s="15"/>
      <c r="H6" s="1022">
        <v>106516.01731157197</v>
      </c>
      <c r="I6" s="1022">
        <v>88649.807904071975</v>
      </c>
      <c r="J6" s="1022">
        <v>75758.191951571978</v>
      </c>
      <c r="K6" s="1022">
        <v>71041.118761571968</v>
      </c>
      <c r="L6" s="1023">
        <v>45901</v>
      </c>
      <c r="M6" s="16"/>
      <c r="P6" s="1063"/>
      <c r="Q6" s="1063"/>
      <c r="R6" s="1063"/>
      <c r="S6" s="1063"/>
      <c r="T6" s="1063"/>
      <c r="U6" s="1063"/>
    </row>
    <row r="7" spans="1:21" x14ac:dyDescent="0.35">
      <c r="C7" s="14"/>
      <c r="D7" s="14"/>
      <c r="E7" s="14"/>
      <c r="F7" s="14"/>
      <c r="G7" s="15"/>
      <c r="H7" s="1022">
        <v>106864.20592157198</v>
      </c>
      <c r="I7" s="1022">
        <v>88971.072744071964</v>
      </c>
      <c r="J7" s="1022">
        <v>76032.176431571977</v>
      </c>
      <c r="K7" s="1022">
        <v>71292.271201571988</v>
      </c>
      <c r="L7" s="1023">
        <v>45931</v>
      </c>
      <c r="M7" s="16"/>
      <c r="P7" s="1063"/>
      <c r="Q7" s="1063"/>
      <c r="R7" s="1063"/>
      <c r="S7" s="1063"/>
      <c r="T7" s="1063"/>
      <c r="U7" s="1063"/>
    </row>
    <row r="8" spans="1:21" x14ac:dyDescent="0.35">
      <c r="C8" s="14"/>
      <c r="D8" s="14"/>
      <c r="E8" s="14"/>
      <c r="F8" s="14"/>
      <c r="G8" s="15"/>
      <c r="H8" s="1022">
        <v>109621.10545407196</v>
      </c>
      <c r="I8" s="1022">
        <v>91252.850653390153</v>
      </c>
      <c r="J8" s="1022">
        <v>77612.118064071969</v>
      </c>
      <c r="K8" s="1022">
        <v>72486.68260657198</v>
      </c>
      <c r="L8" s="1023">
        <v>45962</v>
      </c>
      <c r="M8" s="16"/>
      <c r="P8" s="1063"/>
      <c r="Q8" s="1063"/>
      <c r="R8" s="1063"/>
      <c r="S8" s="1063"/>
      <c r="T8" s="1063"/>
      <c r="U8" s="1063"/>
    </row>
    <row r="9" spans="1:21" x14ac:dyDescent="0.35">
      <c r="C9" s="14"/>
      <c r="D9" s="14"/>
      <c r="E9" s="14"/>
      <c r="F9" s="14"/>
      <c r="G9" s="15"/>
      <c r="H9" s="1022">
        <v>113865.18185914542</v>
      </c>
      <c r="I9" s="1022">
        <v>95196.927058463611</v>
      </c>
      <c r="J9" s="1022">
        <v>81356.194469145426</v>
      </c>
      <c r="K9" s="1022">
        <v>76230.759011645438</v>
      </c>
      <c r="L9" s="1023">
        <v>45992</v>
      </c>
      <c r="M9" s="16"/>
      <c r="P9" s="1063"/>
      <c r="Q9" s="1063"/>
      <c r="R9" s="1063"/>
      <c r="S9" s="1063"/>
      <c r="T9" s="1063"/>
      <c r="U9" s="1063"/>
    </row>
    <row r="10" spans="1:21" x14ac:dyDescent="0.35">
      <c r="C10" s="14"/>
      <c r="D10" s="14"/>
      <c r="E10" s="14"/>
      <c r="F10" s="14"/>
      <c r="G10" s="15"/>
      <c r="H10" s="1022">
        <v>117452.65727664542</v>
      </c>
      <c r="I10" s="1022">
        <v>97866.769866645438</v>
      </c>
      <c r="J10" s="1022">
        <v>83614.940401645435</v>
      </c>
      <c r="K10" s="1022">
        <v>78291.041771645439</v>
      </c>
      <c r="L10" s="1023">
        <v>46023</v>
      </c>
      <c r="M10" s="16"/>
      <c r="P10" s="1063"/>
      <c r="Q10" s="1063"/>
      <c r="R10" s="1063"/>
      <c r="S10" s="1063"/>
      <c r="T10" s="1063"/>
      <c r="U10" s="1063"/>
    </row>
    <row r="11" spans="1:21" x14ac:dyDescent="0.35">
      <c r="C11" s="14"/>
      <c r="D11" s="14"/>
      <c r="E11" s="14"/>
      <c r="F11" s="14"/>
      <c r="G11" s="15"/>
      <c r="H11" s="1022">
        <v>119406.33424664545</v>
      </c>
      <c r="I11" s="1022">
        <v>99479.557976645432</v>
      </c>
      <c r="J11" s="1022">
        <v>84948.749161645435</v>
      </c>
      <c r="K11" s="1022">
        <v>79490.602471645427</v>
      </c>
      <c r="L11" s="1023">
        <v>46054</v>
      </c>
      <c r="M11" s="16"/>
      <c r="P11" s="1063"/>
      <c r="Q11" s="1063"/>
      <c r="R11" s="1063"/>
      <c r="S11" s="1063"/>
      <c r="T11" s="1063"/>
      <c r="U11" s="1063"/>
    </row>
    <row r="12" spans="1:21" x14ac:dyDescent="0.35">
      <c r="C12" s="14"/>
      <c r="D12" s="14"/>
      <c r="E12" s="14"/>
      <c r="F12" s="14"/>
      <c r="G12" s="15"/>
      <c r="H12" s="1022">
        <v>122445.79058664542</v>
      </c>
      <c r="I12" s="1022">
        <v>102029.0668827818</v>
      </c>
      <c r="J12" s="1022">
        <v>87100.469906645434</v>
      </c>
      <c r="K12" s="1022">
        <v>81453.719334145426</v>
      </c>
      <c r="L12" s="1023">
        <v>46082</v>
      </c>
      <c r="M12" s="16"/>
      <c r="P12" s="1063"/>
      <c r="Q12" s="1063"/>
      <c r="R12" s="1063"/>
      <c r="S12" s="1063"/>
      <c r="T12" s="1063"/>
      <c r="U12" s="1063"/>
    </row>
    <row r="13" spans="1:21" x14ac:dyDescent="0.35">
      <c r="C13" s="14"/>
      <c r="D13" s="14"/>
      <c r="E13" s="14"/>
      <c r="F13" s="14"/>
      <c r="G13" s="15"/>
      <c r="H13" s="1022">
        <v>128780.86640664545</v>
      </c>
      <c r="I13" s="1022">
        <v>106995.8620275545</v>
      </c>
      <c r="J13" s="1022">
        <v>91265.84225414542</v>
      </c>
      <c r="K13" s="1022">
        <v>85242.811911645418</v>
      </c>
      <c r="L13" s="1023">
        <v>46113</v>
      </c>
      <c r="M13" s="16"/>
      <c r="P13" s="1063"/>
      <c r="Q13" s="1063"/>
      <c r="R13" s="1063"/>
      <c r="S13" s="1063"/>
      <c r="T13" s="1063"/>
      <c r="U13" s="1063"/>
    </row>
    <row r="14" spans="1:21" x14ac:dyDescent="0.35">
      <c r="C14" s="14"/>
      <c r="D14" s="14"/>
      <c r="E14" s="14"/>
      <c r="F14" s="14"/>
      <c r="G14" s="15"/>
      <c r="H14" s="1022">
        <v>131727.58748664541</v>
      </c>
      <c r="I14" s="1022">
        <v>109491.84762164543</v>
      </c>
      <c r="J14" s="1022">
        <v>93345.065229145417</v>
      </c>
      <c r="K14" s="1022">
        <v>87239.917379145438</v>
      </c>
      <c r="L14" s="1023">
        <v>46143</v>
      </c>
      <c r="M14" s="16"/>
      <c r="P14" s="1063"/>
      <c r="Q14" s="1063"/>
      <c r="R14" s="1063"/>
      <c r="S14" s="1063"/>
      <c r="T14" s="1063"/>
      <c r="U14" s="1063"/>
    </row>
    <row r="15" spans="1:21" ht="18" customHeight="1" x14ac:dyDescent="0.35">
      <c r="A15" s="20">
        <v>45901</v>
      </c>
      <c r="B15" s="20" t="s">
        <v>576</v>
      </c>
      <c r="C15" s="21">
        <v>0</v>
      </c>
      <c r="D15" s="21">
        <f>3+2+3</f>
        <v>8</v>
      </c>
      <c r="E15" s="21"/>
      <c r="F15" s="21"/>
      <c r="G15" s="15"/>
      <c r="H15" s="29">
        <f>+C15*H$6</f>
        <v>0</v>
      </c>
      <c r="I15" s="29">
        <f t="shared" ref="I15:K16" si="0">+D15*I$6</f>
        <v>709198.4632325758</v>
      </c>
      <c r="J15" s="29">
        <f t="shared" si="0"/>
        <v>0</v>
      </c>
      <c r="K15" s="29">
        <f t="shared" si="0"/>
        <v>0</v>
      </c>
      <c r="L15" s="34">
        <f t="shared" ref="L15:L22" si="1">SUM(H15:K15)</f>
        <v>709198.4632325758</v>
      </c>
      <c r="M15" s="31">
        <f t="shared" ref="M15:M18" si="2">L15</f>
        <v>709198.4632325758</v>
      </c>
      <c r="N15" s="256" t="s">
        <v>138</v>
      </c>
      <c r="P15" s="25">
        <v>13</v>
      </c>
      <c r="Q15" s="38">
        <f t="shared" ref="Q15:Q16" si="3">IFERROR(C15/$P15,0)</f>
        <v>0</v>
      </c>
      <c r="R15" s="38">
        <f t="shared" ref="R15:T16" si="4">IFERROR(D15/$P15,0)</f>
        <v>0.61538461538461542</v>
      </c>
      <c r="S15" s="38">
        <f t="shared" si="4"/>
        <v>0</v>
      </c>
      <c r="T15" s="38">
        <f t="shared" si="4"/>
        <v>0</v>
      </c>
      <c r="U15" s="26">
        <f t="shared" ref="U15:U16" si="5">SUM(Q15:T15)</f>
        <v>0.61538461538461542</v>
      </c>
    </row>
    <row r="16" spans="1:21" ht="18" customHeight="1" x14ac:dyDescent="0.35">
      <c r="A16" s="35">
        <v>45901</v>
      </c>
      <c r="B16" s="33" t="s">
        <v>575</v>
      </c>
      <c r="C16" s="25">
        <v>0</v>
      </c>
      <c r="D16" s="25">
        <v>0</v>
      </c>
      <c r="E16" s="25">
        <v>0</v>
      </c>
      <c r="F16" s="25">
        <v>0</v>
      </c>
      <c r="G16" s="15"/>
      <c r="H16" s="29">
        <f>+C16*H$6</f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34">
        <f t="shared" si="1"/>
        <v>0</v>
      </c>
      <c r="M16" s="31">
        <f t="shared" si="2"/>
        <v>0</v>
      </c>
      <c r="N16" s="256" t="s">
        <v>138</v>
      </c>
      <c r="P16" s="25"/>
      <c r="Q16" s="38">
        <f t="shared" si="3"/>
        <v>0</v>
      </c>
      <c r="R16" s="38">
        <f t="shared" si="4"/>
        <v>0</v>
      </c>
      <c r="S16" s="38">
        <f t="shared" si="4"/>
        <v>0</v>
      </c>
      <c r="T16" s="38">
        <f t="shared" si="4"/>
        <v>0</v>
      </c>
      <c r="U16" s="26">
        <f t="shared" si="5"/>
        <v>0</v>
      </c>
    </row>
    <row r="17" spans="1:21" ht="18" customHeight="1" x14ac:dyDescent="0.35">
      <c r="A17" s="35">
        <v>45931</v>
      </c>
      <c r="B17" s="33" t="s">
        <v>576</v>
      </c>
      <c r="C17" s="25">
        <v>0</v>
      </c>
      <c r="D17" s="25">
        <v>0</v>
      </c>
      <c r="E17" s="25">
        <v>0</v>
      </c>
      <c r="F17" s="25">
        <v>0</v>
      </c>
      <c r="G17" s="15"/>
      <c r="H17" s="29">
        <f t="shared" ref="H17:K18" si="6">+C17*H$7</f>
        <v>0</v>
      </c>
      <c r="I17" s="29">
        <f t="shared" si="6"/>
        <v>0</v>
      </c>
      <c r="J17" s="29">
        <f t="shared" si="6"/>
        <v>0</v>
      </c>
      <c r="K17" s="29">
        <f t="shared" si="6"/>
        <v>0</v>
      </c>
      <c r="L17" s="34">
        <f t="shared" si="1"/>
        <v>0</v>
      </c>
      <c r="M17" s="31">
        <f t="shared" si="2"/>
        <v>0</v>
      </c>
      <c r="N17" s="256" t="s">
        <v>138</v>
      </c>
      <c r="P17" s="25"/>
      <c r="Q17" s="38">
        <f t="shared" ref="Q17" si="7">IFERROR(C17/$P17,0)</f>
        <v>0</v>
      </c>
      <c r="R17" s="38">
        <f t="shared" ref="R17" si="8">IFERROR(D17/$P17,0)</f>
        <v>0</v>
      </c>
      <c r="S17" s="38">
        <f t="shared" ref="S17" si="9">IFERROR(E17/$P17,0)</f>
        <v>0</v>
      </c>
      <c r="T17" s="38">
        <f t="shared" ref="T17" si="10">IFERROR(F17/$P17,0)</f>
        <v>0</v>
      </c>
      <c r="U17" s="26">
        <f t="shared" ref="U17" si="11">SUM(Q17:T17)</f>
        <v>0</v>
      </c>
    </row>
    <row r="18" spans="1:21" ht="18" customHeight="1" x14ac:dyDescent="0.35">
      <c r="A18" s="35">
        <v>45931</v>
      </c>
      <c r="B18" s="33" t="s">
        <v>575</v>
      </c>
      <c r="C18" s="25">
        <v>0</v>
      </c>
      <c r="D18" s="25">
        <f>1+1</f>
        <v>2</v>
      </c>
      <c r="E18" s="25">
        <v>0</v>
      </c>
      <c r="F18" s="25">
        <v>0</v>
      </c>
      <c r="G18" s="15"/>
      <c r="H18" s="29">
        <f t="shared" si="6"/>
        <v>0</v>
      </c>
      <c r="I18" s="29">
        <f t="shared" si="6"/>
        <v>177942.14548814393</v>
      </c>
      <c r="J18" s="29">
        <f t="shared" si="6"/>
        <v>0</v>
      </c>
      <c r="K18" s="29">
        <f t="shared" si="6"/>
        <v>0</v>
      </c>
      <c r="L18" s="34">
        <f t="shared" si="1"/>
        <v>177942.14548814393</v>
      </c>
      <c r="M18" s="31">
        <f t="shared" si="2"/>
        <v>177942.14548814393</v>
      </c>
      <c r="N18" s="256" t="s">
        <v>138</v>
      </c>
      <c r="P18" s="25">
        <v>1</v>
      </c>
      <c r="Q18" s="38">
        <f t="shared" ref="Q18" si="12">IFERROR(C18/$P18,0)</f>
        <v>0</v>
      </c>
      <c r="R18" s="38">
        <f t="shared" ref="R18" si="13">IFERROR(D18/$P18,0)</f>
        <v>2</v>
      </c>
      <c r="S18" s="38">
        <f t="shared" ref="S18" si="14">IFERROR(E18/$P18,0)</f>
        <v>0</v>
      </c>
      <c r="T18" s="38">
        <f t="shared" ref="T18" si="15">IFERROR(F18/$P18,0)</f>
        <v>0</v>
      </c>
      <c r="U18" s="26">
        <f t="shared" ref="U18" si="16">SUM(Q18:T18)</f>
        <v>2</v>
      </c>
    </row>
    <row r="19" spans="1:21" ht="18" customHeight="1" x14ac:dyDescent="0.35">
      <c r="A19" s="35">
        <v>45962</v>
      </c>
      <c r="B19" s="33" t="s">
        <v>576</v>
      </c>
      <c r="C19" s="25">
        <v>0</v>
      </c>
      <c r="D19" s="25">
        <v>0</v>
      </c>
      <c r="E19" s="25">
        <v>0</v>
      </c>
      <c r="F19" s="25">
        <v>0</v>
      </c>
      <c r="G19" s="15"/>
      <c r="H19" s="29">
        <f>+C19*H$8</f>
        <v>0</v>
      </c>
      <c r="I19" s="29">
        <f t="shared" ref="I19:K20" si="17">+D19*I$8</f>
        <v>0</v>
      </c>
      <c r="J19" s="29">
        <f t="shared" si="17"/>
        <v>0</v>
      </c>
      <c r="K19" s="29">
        <f t="shared" si="17"/>
        <v>0</v>
      </c>
      <c r="L19" s="34">
        <f t="shared" si="1"/>
        <v>0</v>
      </c>
      <c r="M19" s="31">
        <f t="shared" ref="M19:M22" si="18">L19</f>
        <v>0</v>
      </c>
      <c r="N19" s="256" t="s">
        <v>138</v>
      </c>
      <c r="P19" s="25"/>
      <c r="Q19" s="38"/>
      <c r="R19" s="38"/>
      <c r="S19" s="38"/>
      <c r="T19" s="38"/>
      <c r="U19" s="26"/>
    </row>
    <row r="20" spans="1:21" ht="18" customHeight="1" x14ac:dyDescent="0.35">
      <c r="A20" s="35">
        <v>45962</v>
      </c>
      <c r="B20" s="33" t="s">
        <v>575</v>
      </c>
      <c r="C20" s="25">
        <v>0</v>
      </c>
      <c r="D20" s="25">
        <v>0</v>
      </c>
      <c r="E20" s="25">
        <v>0</v>
      </c>
      <c r="F20" s="25">
        <v>0</v>
      </c>
      <c r="G20" s="15"/>
      <c r="H20" s="29">
        <f>+C20*H$8</f>
        <v>0</v>
      </c>
      <c r="I20" s="29">
        <f t="shared" si="17"/>
        <v>0</v>
      </c>
      <c r="J20" s="29">
        <f t="shared" si="17"/>
        <v>0</v>
      </c>
      <c r="K20" s="29">
        <f t="shared" si="17"/>
        <v>0</v>
      </c>
      <c r="L20" s="34">
        <f t="shared" si="1"/>
        <v>0</v>
      </c>
      <c r="M20" s="31">
        <f t="shared" si="18"/>
        <v>0</v>
      </c>
      <c r="N20" s="256" t="s">
        <v>138</v>
      </c>
      <c r="P20" s="25"/>
      <c r="Q20" s="38"/>
      <c r="R20" s="38"/>
      <c r="S20" s="38"/>
      <c r="T20" s="38"/>
      <c r="U20" s="26"/>
    </row>
    <row r="21" spans="1:21" ht="18" customHeight="1" x14ac:dyDescent="0.35">
      <c r="A21" s="35">
        <v>45992</v>
      </c>
      <c r="B21" s="33" t="s">
        <v>576</v>
      </c>
      <c r="C21" s="25">
        <v>0</v>
      </c>
      <c r="D21" s="25">
        <f>2+3.5</f>
        <v>5.5</v>
      </c>
      <c r="E21" s="25">
        <v>0</v>
      </c>
      <c r="F21" s="25">
        <v>0</v>
      </c>
      <c r="G21" s="15"/>
      <c r="H21" s="29">
        <f>+C21*H$9</f>
        <v>0</v>
      </c>
      <c r="I21" s="29">
        <f t="shared" ref="I21:K22" si="19">+D21*I$9</f>
        <v>523583.09882154985</v>
      </c>
      <c r="J21" s="29">
        <f t="shared" si="19"/>
        <v>0</v>
      </c>
      <c r="K21" s="29">
        <f t="shared" si="19"/>
        <v>0</v>
      </c>
      <c r="L21" s="34">
        <f t="shared" si="1"/>
        <v>523583.09882154985</v>
      </c>
      <c r="M21" s="31">
        <f t="shared" si="18"/>
        <v>523583.09882154985</v>
      </c>
      <c r="N21" s="256" t="s">
        <v>138</v>
      </c>
      <c r="P21" s="25">
        <v>13</v>
      </c>
      <c r="Q21" s="38">
        <f>C21/$P21</f>
        <v>0</v>
      </c>
      <c r="R21" s="38">
        <f t="shared" ref="R21:T22" si="20">D21/$P21</f>
        <v>0.42307692307692307</v>
      </c>
      <c r="S21" s="38">
        <f t="shared" si="20"/>
        <v>0</v>
      </c>
      <c r="T21" s="38">
        <f t="shared" si="20"/>
        <v>0</v>
      </c>
      <c r="U21" s="26">
        <f t="shared" ref="U21:U22" si="21">SUM(Q21:T21)</f>
        <v>0.42307692307692307</v>
      </c>
    </row>
    <row r="22" spans="1:21" ht="18" customHeight="1" x14ac:dyDescent="0.35">
      <c r="A22" s="35">
        <v>45992</v>
      </c>
      <c r="B22" s="33" t="s">
        <v>575</v>
      </c>
      <c r="C22" s="25">
        <v>0</v>
      </c>
      <c r="D22" s="25">
        <v>0</v>
      </c>
      <c r="E22" s="25">
        <v>0</v>
      </c>
      <c r="F22" s="25">
        <v>0</v>
      </c>
      <c r="G22" s="15"/>
      <c r="H22" s="29">
        <f>+C22*H$9</f>
        <v>0</v>
      </c>
      <c r="I22" s="29">
        <f t="shared" si="19"/>
        <v>0</v>
      </c>
      <c r="J22" s="29">
        <f t="shared" si="19"/>
        <v>0</v>
      </c>
      <c r="K22" s="29">
        <f t="shared" si="19"/>
        <v>0</v>
      </c>
      <c r="L22" s="34">
        <f t="shared" si="1"/>
        <v>0</v>
      </c>
      <c r="M22" s="31">
        <f t="shared" si="18"/>
        <v>0</v>
      </c>
      <c r="N22" s="256" t="s">
        <v>138</v>
      </c>
      <c r="P22" s="25">
        <v>14</v>
      </c>
      <c r="Q22" s="38">
        <f>C22/$P22</f>
        <v>0</v>
      </c>
      <c r="R22" s="38">
        <f t="shared" si="20"/>
        <v>0</v>
      </c>
      <c r="S22" s="38">
        <f t="shared" si="20"/>
        <v>0</v>
      </c>
      <c r="T22" s="38">
        <f t="shared" si="20"/>
        <v>0</v>
      </c>
      <c r="U22" s="26">
        <f t="shared" si="21"/>
        <v>0</v>
      </c>
    </row>
    <row r="23" spans="1:21" ht="18" customHeight="1" x14ac:dyDescent="0.35">
      <c r="A23" s="35">
        <v>46023</v>
      </c>
      <c r="B23" s="33" t="s">
        <v>576</v>
      </c>
      <c r="C23" s="25">
        <v>0</v>
      </c>
      <c r="D23" s="25">
        <v>17</v>
      </c>
      <c r="E23" s="25">
        <v>0</v>
      </c>
      <c r="F23" s="25">
        <v>0</v>
      </c>
      <c r="G23" s="15"/>
      <c r="H23" s="29">
        <f>+C23*H$10</f>
        <v>0</v>
      </c>
      <c r="I23" s="29">
        <f t="shared" ref="I23:K24" si="22">+D23*I$10</f>
        <v>1663735.0877329723</v>
      </c>
      <c r="J23" s="29">
        <f t="shared" si="22"/>
        <v>0</v>
      </c>
      <c r="K23" s="29">
        <f t="shared" si="22"/>
        <v>0</v>
      </c>
      <c r="L23" s="34">
        <f t="shared" ref="L23:L24" si="23">SUM(H23:K23)</f>
        <v>1663735.0877329723</v>
      </c>
      <c r="M23" s="31">
        <f t="shared" ref="M23:M24" si="24">L23</f>
        <v>1663735.0877329723</v>
      </c>
      <c r="N23" s="256" t="s">
        <v>138</v>
      </c>
      <c r="P23" s="25">
        <v>13</v>
      </c>
      <c r="Q23" s="38">
        <f t="shared" ref="Q23:Q24" si="25">C23/$P23</f>
        <v>0</v>
      </c>
      <c r="R23" s="38">
        <f t="shared" ref="R23:R24" si="26">D23/$P23</f>
        <v>1.3076923076923077</v>
      </c>
      <c r="S23" s="38">
        <f t="shared" ref="S23:S24" si="27">E23/$P23</f>
        <v>0</v>
      </c>
      <c r="T23" s="38">
        <f t="shared" ref="T23:T24" si="28">F23/$P23</f>
        <v>0</v>
      </c>
      <c r="U23" s="26">
        <f t="shared" ref="U23:U24" si="29">SUM(Q23:T23)</f>
        <v>1.3076923076923077</v>
      </c>
    </row>
    <row r="24" spans="1:21" ht="18" customHeight="1" x14ac:dyDescent="0.35">
      <c r="A24" s="35">
        <v>46023</v>
      </c>
      <c r="B24" s="33" t="s">
        <v>575</v>
      </c>
      <c r="C24" s="25">
        <v>0</v>
      </c>
      <c r="D24" s="25">
        <v>46</v>
      </c>
      <c r="E24" s="25">
        <v>0</v>
      </c>
      <c r="F24" s="25">
        <v>0</v>
      </c>
      <c r="G24" s="15"/>
      <c r="H24" s="29">
        <f>+C24*H$10</f>
        <v>0</v>
      </c>
      <c r="I24" s="29">
        <f t="shared" si="22"/>
        <v>4501871.4138656901</v>
      </c>
      <c r="J24" s="29">
        <f t="shared" si="22"/>
        <v>0</v>
      </c>
      <c r="K24" s="29">
        <f t="shared" si="22"/>
        <v>0</v>
      </c>
      <c r="L24" s="34">
        <f t="shared" si="23"/>
        <v>4501871.4138656901</v>
      </c>
      <c r="M24" s="31">
        <f t="shared" si="24"/>
        <v>4501871.4138656901</v>
      </c>
      <c r="N24" s="256" t="s">
        <v>138</v>
      </c>
      <c r="P24" s="25">
        <v>14</v>
      </c>
      <c r="Q24" s="38">
        <f t="shared" si="25"/>
        <v>0</v>
      </c>
      <c r="R24" s="38">
        <f t="shared" si="26"/>
        <v>3.2857142857142856</v>
      </c>
      <c r="S24" s="38">
        <f t="shared" si="27"/>
        <v>0</v>
      </c>
      <c r="T24" s="38">
        <f t="shared" si="28"/>
        <v>0</v>
      </c>
      <c r="U24" s="26">
        <f t="shared" si="29"/>
        <v>3.2857142857142856</v>
      </c>
    </row>
    <row r="25" spans="1:21" ht="18" customHeight="1" x14ac:dyDescent="0.35">
      <c r="A25" s="35">
        <v>46054</v>
      </c>
      <c r="B25" s="33" t="s">
        <v>576</v>
      </c>
      <c r="C25" s="25">
        <v>0</v>
      </c>
      <c r="D25" s="25">
        <v>42</v>
      </c>
      <c r="E25" s="25">
        <v>0</v>
      </c>
      <c r="F25" s="25">
        <v>0</v>
      </c>
      <c r="G25" s="15"/>
      <c r="H25" s="29">
        <f t="shared" ref="H25:K26" si="30">+C25*H$11</f>
        <v>0</v>
      </c>
      <c r="I25" s="29">
        <f t="shared" si="30"/>
        <v>4178141.435019108</v>
      </c>
      <c r="J25" s="29">
        <f t="shared" si="30"/>
        <v>0</v>
      </c>
      <c r="K25" s="29">
        <f t="shared" si="30"/>
        <v>0</v>
      </c>
      <c r="L25" s="34">
        <f t="shared" ref="L25:L26" si="31">SUM(H25:K25)</f>
        <v>4178141.435019108</v>
      </c>
      <c r="M25" s="31">
        <f t="shared" ref="M25:M26" si="32">L25</f>
        <v>4178141.435019108</v>
      </c>
      <c r="N25" s="256" t="s">
        <v>138</v>
      </c>
      <c r="P25" s="25">
        <v>13</v>
      </c>
      <c r="Q25" s="38">
        <f t="shared" ref="Q25:Q26" si="33">C25/P25</f>
        <v>0</v>
      </c>
      <c r="R25" s="38">
        <f t="shared" ref="R25:R26" si="34">D25/P25</f>
        <v>3.2307692307692308</v>
      </c>
      <c r="S25" s="38">
        <f t="shared" ref="S25:S26" si="35">E25/P25</f>
        <v>0</v>
      </c>
      <c r="T25" s="38">
        <f t="shared" ref="T25:T26" si="36">F25/P25</f>
        <v>0</v>
      </c>
      <c r="U25" s="38">
        <f t="shared" ref="U25:U26" si="37">SUM(Q25:T25)</f>
        <v>3.2307692307692308</v>
      </c>
    </row>
    <row r="26" spans="1:21" ht="18" customHeight="1" x14ac:dyDescent="0.35">
      <c r="A26" s="35">
        <v>46054</v>
      </c>
      <c r="B26" s="33" t="s">
        <v>575</v>
      </c>
      <c r="C26" s="25">
        <v>0</v>
      </c>
      <c r="D26" s="25">
        <v>37</v>
      </c>
      <c r="E26" s="25">
        <v>0</v>
      </c>
      <c r="F26" s="25">
        <v>0</v>
      </c>
      <c r="G26" s="15"/>
      <c r="H26" s="29">
        <f t="shared" si="30"/>
        <v>0</v>
      </c>
      <c r="I26" s="29">
        <f t="shared" si="30"/>
        <v>3680743.6451358809</v>
      </c>
      <c r="J26" s="29">
        <f t="shared" si="30"/>
        <v>0</v>
      </c>
      <c r="K26" s="29">
        <f t="shared" si="30"/>
        <v>0</v>
      </c>
      <c r="L26" s="34">
        <f t="shared" si="31"/>
        <v>3680743.6451358809</v>
      </c>
      <c r="M26" s="31">
        <f t="shared" si="32"/>
        <v>3680743.6451358809</v>
      </c>
      <c r="N26" s="256" t="s">
        <v>138</v>
      </c>
      <c r="P26" s="25">
        <v>14</v>
      </c>
      <c r="Q26" s="38">
        <f t="shared" si="33"/>
        <v>0</v>
      </c>
      <c r="R26" s="38">
        <f t="shared" si="34"/>
        <v>2.6428571428571428</v>
      </c>
      <c r="S26" s="38">
        <f t="shared" si="35"/>
        <v>0</v>
      </c>
      <c r="T26" s="38">
        <f t="shared" si="36"/>
        <v>0</v>
      </c>
      <c r="U26" s="38">
        <f t="shared" si="37"/>
        <v>2.6428571428571428</v>
      </c>
    </row>
    <row r="27" spans="1:21" ht="18" customHeight="1" x14ac:dyDescent="0.35">
      <c r="A27" s="35">
        <v>46082</v>
      </c>
      <c r="B27" s="33" t="s">
        <v>576</v>
      </c>
      <c r="C27" s="25">
        <v>0</v>
      </c>
      <c r="D27" s="25">
        <f>54+4</f>
        <v>58</v>
      </c>
      <c r="E27" s="25">
        <v>0</v>
      </c>
      <c r="F27" s="25">
        <v>0</v>
      </c>
      <c r="G27" s="15"/>
      <c r="H27" s="29">
        <f>+C27*H$12</f>
        <v>0</v>
      </c>
      <c r="I27" s="29">
        <f t="shared" ref="I27:K28" si="38">+D27*I$12</f>
        <v>5917685.8792013442</v>
      </c>
      <c r="J27" s="29">
        <f t="shared" si="38"/>
        <v>0</v>
      </c>
      <c r="K27" s="29">
        <f t="shared" si="38"/>
        <v>0</v>
      </c>
      <c r="L27" s="34">
        <f t="shared" ref="L27:L28" si="39">SUM(H27:K27)</f>
        <v>5917685.8792013442</v>
      </c>
      <c r="M27" s="31">
        <f t="shared" ref="M27:M28" si="40">L27</f>
        <v>5917685.8792013442</v>
      </c>
      <c r="N27" s="256" t="s">
        <v>138</v>
      </c>
      <c r="P27" s="25">
        <v>12</v>
      </c>
      <c r="Q27" s="38">
        <f t="shared" ref="Q27:Q28" si="41">C27/P27</f>
        <v>0</v>
      </c>
      <c r="R27" s="38">
        <f t="shared" ref="R27:R28" si="42">D27/P27</f>
        <v>4.833333333333333</v>
      </c>
      <c r="S27" s="38">
        <f t="shared" ref="S27:S28" si="43">E27/P27</f>
        <v>0</v>
      </c>
      <c r="T27" s="38">
        <f t="shared" ref="T27:T28" si="44">F27/P27</f>
        <v>0</v>
      </c>
      <c r="U27" s="38">
        <f t="shared" ref="U27:U28" si="45">SUM(Q27:T27)</f>
        <v>4.833333333333333</v>
      </c>
    </row>
    <row r="28" spans="1:21" ht="18" customHeight="1" x14ac:dyDescent="0.35">
      <c r="A28" s="35">
        <v>46082</v>
      </c>
      <c r="B28" s="33" t="s">
        <v>575</v>
      </c>
      <c r="C28" s="25">
        <v>0</v>
      </c>
      <c r="D28" s="25">
        <f>53+6</f>
        <v>59</v>
      </c>
      <c r="E28" s="25">
        <v>0</v>
      </c>
      <c r="F28" s="25">
        <v>0</v>
      </c>
      <c r="G28" s="15"/>
      <c r="H28" s="29">
        <f>+C28*H$12</f>
        <v>0</v>
      </c>
      <c r="I28" s="29">
        <f t="shared" si="38"/>
        <v>6019714.9460841259</v>
      </c>
      <c r="J28" s="29">
        <f t="shared" si="38"/>
        <v>0</v>
      </c>
      <c r="K28" s="29">
        <f t="shared" si="38"/>
        <v>0</v>
      </c>
      <c r="L28" s="34">
        <f t="shared" si="39"/>
        <v>6019714.9460841259</v>
      </c>
      <c r="M28" s="31">
        <f t="shared" si="40"/>
        <v>6019714.9460841259</v>
      </c>
      <c r="N28" s="256" t="s">
        <v>138</v>
      </c>
      <c r="P28" s="25">
        <v>13</v>
      </c>
      <c r="Q28" s="38">
        <f t="shared" si="41"/>
        <v>0</v>
      </c>
      <c r="R28" s="38">
        <f t="shared" si="42"/>
        <v>4.5384615384615383</v>
      </c>
      <c r="S28" s="38">
        <f t="shared" si="43"/>
        <v>0</v>
      </c>
      <c r="T28" s="38">
        <f t="shared" si="44"/>
        <v>0</v>
      </c>
      <c r="U28" s="38">
        <f t="shared" si="45"/>
        <v>4.5384615384615383</v>
      </c>
    </row>
    <row r="29" spans="1:21" ht="18" customHeight="1" x14ac:dyDescent="0.35">
      <c r="A29" s="35">
        <v>46113</v>
      </c>
      <c r="B29" s="33" t="s">
        <v>576</v>
      </c>
      <c r="C29" s="25">
        <v>0</v>
      </c>
      <c r="D29" s="25">
        <v>55.5</v>
      </c>
      <c r="E29" s="25">
        <v>0</v>
      </c>
      <c r="F29" s="25">
        <v>0</v>
      </c>
      <c r="G29" s="15"/>
      <c r="H29" s="29">
        <f>+C29*H$13</f>
        <v>0</v>
      </c>
      <c r="I29" s="29">
        <f t="shared" ref="I29:K30" si="46">+D29*I$13</f>
        <v>5938270.3425292745</v>
      </c>
      <c r="J29" s="29">
        <f t="shared" si="46"/>
        <v>0</v>
      </c>
      <c r="K29" s="29">
        <f t="shared" si="46"/>
        <v>0</v>
      </c>
      <c r="L29" s="34">
        <f t="shared" ref="L29:L30" si="47">SUM(H29:K29)</f>
        <v>5938270.3425292745</v>
      </c>
      <c r="M29" s="31">
        <f t="shared" ref="M29:M30" si="48">L29</f>
        <v>5938270.3425292745</v>
      </c>
      <c r="N29" s="256" t="s">
        <v>138</v>
      </c>
      <c r="P29" s="25">
        <v>13</v>
      </c>
      <c r="Q29" s="38">
        <f t="shared" ref="Q29:Q32" si="49">C29/P29</f>
        <v>0</v>
      </c>
      <c r="R29" s="38">
        <f t="shared" ref="R29:R32" si="50">D29/P29</f>
        <v>4.2692307692307692</v>
      </c>
      <c r="S29" s="38">
        <f t="shared" ref="S29:S32" si="51">E29/P29</f>
        <v>0</v>
      </c>
      <c r="T29" s="38">
        <f t="shared" ref="T29:T32" si="52">F29/P29</f>
        <v>0</v>
      </c>
      <c r="U29" s="38">
        <f t="shared" ref="U29:U32" si="53">SUM(Q29:T29)</f>
        <v>4.2692307692307692</v>
      </c>
    </row>
    <row r="30" spans="1:21" ht="18" customHeight="1" x14ac:dyDescent="0.35">
      <c r="A30" s="35">
        <v>46113</v>
      </c>
      <c r="B30" s="33" t="s">
        <v>575</v>
      </c>
      <c r="C30" s="25">
        <v>0</v>
      </c>
      <c r="D30" s="25">
        <v>46</v>
      </c>
      <c r="E30" s="25">
        <v>0</v>
      </c>
      <c r="F30" s="25">
        <v>4.5</v>
      </c>
      <c r="G30" s="15"/>
      <c r="H30" s="29">
        <f>+C30*H$13</f>
        <v>0</v>
      </c>
      <c r="I30" s="29">
        <f t="shared" si="46"/>
        <v>4921809.6532675065</v>
      </c>
      <c r="J30" s="29">
        <f t="shared" si="46"/>
        <v>0</v>
      </c>
      <c r="K30" s="29">
        <f t="shared" si="46"/>
        <v>383592.6536024044</v>
      </c>
      <c r="L30" s="34">
        <f t="shared" si="47"/>
        <v>5305402.306869911</v>
      </c>
      <c r="M30" s="31">
        <f t="shared" si="48"/>
        <v>5305402.306869911</v>
      </c>
      <c r="N30" s="256" t="s">
        <v>138</v>
      </c>
      <c r="P30" s="25">
        <v>13</v>
      </c>
      <c r="Q30" s="38">
        <f t="shared" si="49"/>
        <v>0</v>
      </c>
      <c r="R30" s="38">
        <f t="shared" si="50"/>
        <v>3.5384615384615383</v>
      </c>
      <c r="S30" s="38">
        <f t="shared" si="51"/>
        <v>0</v>
      </c>
      <c r="T30" s="38">
        <f t="shared" si="52"/>
        <v>0.34615384615384615</v>
      </c>
      <c r="U30" s="38">
        <f t="shared" si="53"/>
        <v>3.8846153846153846</v>
      </c>
    </row>
    <row r="31" spans="1:21" ht="18" customHeight="1" x14ac:dyDescent="0.35">
      <c r="A31" s="35">
        <v>46143</v>
      </c>
      <c r="B31" s="33" t="s">
        <v>576</v>
      </c>
      <c r="C31" s="25">
        <v>0</v>
      </c>
      <c r="D31" s="25">
        <v>41.5</v>
      </c>
      <c r="E31" s="25">
        <v>0</v>
      </c>
      <c r="F31" s="25">
        <v>9</v>
      </c>
      <c r="G31" s="15"/>
      <c r="H31" s="29">
        <f>+C31*H$14</f>
        <v>0</v>
      </c>
      <c r="I31" s="29">
        <f t="shared" ref="I31:K32" si="54">+D31*I$14</f>
        <v>4543911.6762982849</v>
      </c>
      <c r="J31" s="29">
        <f t="shared" si="54"/>
        <v>0</v>
      </c>
      <c r="K31" s="29">
        <f t="shared" si="54"/>
        <v>785159.2564123089</v>
      </c>
      <c r="L31" s="34">
        <f t="shared" ref="L31:L32" si="55">SUM(H31:K31)</f>
        <v>5329070.9327105936</v>
      </c>
      <c r="M31" s="31">
        <f t="shared" ref="M31:M32" si="56">L31</f>
        <v>5329070.9327105936</v>
      </c>
      <c r="N31" s="256" t="s">
        <v>138</v>
      </c>
      <c r="P31" s="25">
        <v>12</v>
      </c>
      <c r="Q31" s="38">
        <f t="shared" si="49"/>
        <v>0</v>
      </c>
      <c r="R31" s="38">
        <f t="shared" si="50"/>
        <v>3.4583333333333335</v>
      </c>
      <c r="S31" s="38">
        <f t="shared" si="51"/>
        <v>0</v>
      </c>
      <c r="T31" s="38">
        <f t="shared" si="52"/>
        <v>0.75</v>
      </c>
      <c r="U31" s="38">
        <f t="shared" si="53"/>
        <v>4.2083333333333339</v>
      </c>
    </row>
    <row r="32" spans="1:21" ht="18" customHeight="1" x14ac:dyDescent="0.35">
      <c r="A32" s="35">
        <v>46143</v>
      </c>
      <c r="B32" s="33" t="s">
        <v>575</v>
      </c>
      <c r="C32" s="25">
        <v>0</v>
      </c>
      <c r="D32" s="25">
        <v>41.5</v>
      </c>
      <c r="E32" s="25">
        <v>0</v>
      </c>
      <c r="F32" s="25">
        <v>11</v>
      </c>
      <c r="G32" s="15"/>
      <c r="H32" s="29">
        <f>+C32*H$14</f>
        <v>0</v>
      </c>
      <c r="I32" s="29">
        <f t="shared" si="54"/>
        <v>4543911.6762982849</v>
      </c>
      <c r="J32" s="29">
        <f t="shared" si="54"/>
        <v>0</v>
      </c>
      <c r="K32" s="29">
        <f t="shared" si="54"/>
        <v>959639.0911705998</v>
      </c>
      <c r="L32" s="34">
        <f t="shared" si="55"/>
        <v>5503550.7674688846</v>
      </c>
      <c r="M32" s="31">
        <f t="shared" si="56"/>
        <v>5503550.7674688846</v>
      </c>
      <c r="N32" s="256" t="s">
        <v>138</v>
      </c>
      <c r="P32" s="25">
        <v>12</v>
      </c>
      <c r="Q32" s="38">
        <f t="shared" si="49"/>
        <v>0</v>
      </c>
      <c r="R32" s="38">
        <f t="shared" si="50"/>
        <v>3.4583333333333335</v>
      </c>
      <c r="S32" s="38">
        <f t="shared" si="51"/>
        <v>0</v>
      </c>
      <c r="T32" s="38">
        <f t="shared" si="52"/>
        <v>0.91666666666666663</v>
      </c>
      <c r="U32" s="38">
        <f t="shared" si="53"/>
        <v>4.375</v>
      </c>
    </row>
    <row r="33" spans="1:21" ht="18" customHeight="1" x14ac:dyDescent="0.35">
      <c r="A33" s="35"/>
      <c r="B33" s="33"/>
      <c r="C33" s="25"/>
      <c r="D33" s="25"/>
      <c r="E33" s="25"/>
      <c r="F33" s="25"/>
      <c r="G33" s="15"/>
      <c r="H33" s="29"/>
      <c r="I33" s="29"/>
      <c r="J33" s="29"/>
      <c r="K33" s="29"/>
      <c r="L33" s="34"/>
      <c r="M33" s="36"/>
      <c r="N33" s="37"/>
      <c r="P33" s="25"/>
      <c r="Q33" s="38"/>
      <c r="R33" s="38"/>
      <c r="S33" s="38"/>
      <c r="T33" s="38"/>
      <c r="U33" s="38"/>
    </row>
    <row r="34" spans="1:21" ht="18" customHeight="1" thickBot="1" x14ac:dyDescent="0.4">
      <c r="A34" s="39"/>
      <c r="B34" s="39"/>
      <c r="C34" s="40"/>
      <c r="D34" s="40"/>
      <c r="E34" s="40"/>
      <c r="F34" s="40"/>
      <c r="G34" s="15"/>
      <c r="H34" s="39"/>
      <c r="I34" s="39"/>
      <c r="J34" s="39"/>
      <c r="K34" s="39"/>
      <c r="L34" s="41">
        <f>SUM(L15:L33)</f>
        <v>49448910.464160055</v>
      </c>
      <c r="M34" s="257">
        <f>SUM(M15:M33)</f>
        <v>49448910.464160055</v>
      </c>
      <c r="N34" s="42"/>
      <c r="P34" s="40"/>
      <c r="Q34" s="40"/>
      <c r="R34" s="40"/>
      <c r="S34" s="40"/>
      <c r="T34" s="40"/>
      <c r="U34" s="40"/>
    </row>
    <row r="35" spans="1:21" x14ac:dyDescent="0.35">
      <c r="P35" s="43"/>
      <c r="Q35" s="43"/>
      <c r="R35" s="43"/>
      <c r="S35" s="43"/>
      <c r="T35" s="43"/>
      <c r="U35" s="43"/>
    </row>
    <row r="37" spans="1:21" x14ac:dyDescent="0.35">
      <c r="L37" s="44" t="s">
        <v>155</v>
      </c>
      <c r="M37" s="45">
        <f>SUM(M15:M33)</f>
        <v>49448910.464160055</v>
      </c>
    </row>
    <row r="38" spans="1:21" x14ac:dyDescent="0.35">
      <c r="L38" s="46" t="s">
        <v>156</v>
      </c>
      <c r="M38" s="47"/>
    </row>
    <row r="39" spans="1:21" x14ac:dyDescent="0.35">
      <c r="M39" s="48">
        <f>+M38+M37</f>
        <v>49448910.464160055</v>
      </c>
    </row>
    <row r="43" spans="1:21" x14ac:dyDescent="0.35">
      <c r="M43" s="932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A6C2-04CF-4F5A-BDB7-0C67D7ABF21E}">
  <sheetPr codeName="Hoja7"/>
  <dimension ref="A1:K123"/>
  <sheetViews>
    <sheetView workbookViewId="0"/>
  </sheetViews>
  <sheetFormatPr defaultColWidth="11.453125" defaultRowHeight="14.5" x14ac:dyDescent="0.35"/>
  <cols>
    <col min="1" max="1" width="10.81640625" customWidth="1"/>
    <col min="2" max="2" width="28.54296875" bestFit="1" customWidth="1"/>
    <col min="3" max="3" width="15.453125" customWidth="1"/>
    <col min="4" max="4" width="12.81640625" customWidth="1"/>
    <col min="5" max="5" width="15.453125" customWidth="1"/>
    <col min="6" max="6" width="14" bestFit="1" customWidth="1"/>
    <col min="8" max="9" width="13.1796875" bestFit="1" customWidth="1"/>
    <col min="11" max="11" width="13.1796875" bestFit="1" customWidth="1"/>
  </cols>
  <sheetData>
    <row r="1" spans="1:6" x14ac:dyDescent="0.35">
      <c r="A1" s="7" t="s">
        <v>239</v>
      </c>
    </row>
    <row r="2" spans="1:6" x14ac:dyDescent="0.35">
      <c r="A2" s="7" t="s">
        <v>157</v>
      </c>
    </row>
    <row r="3" spans="1:6" ht="14.25" customHeight="1" thickBot="1" x14ac:dyDescent="0.4"/>
    <row r="4" spans="1:6" x14ac:dyDescent="0.35">
      <c r="A4" s="150" t="s">
        <v>579</v>
      </c>
      <c r="B4" s="151"/>
      <c r="C4" s="151"/>
      <c r="D4" s="151" t="s">
        <v>224</v>
      </c>
      <c r="E4" s="151"/>
      <c r="F4" s="152"/>
    </row>
    <row r="5" spans="1:6" x14ac:dyDescent="0.35">
      <c r="A5" s="270" t="s">
        <v>56</v>
      </c>
      <c r="B5" s="271" t="s">
        <v>158</v>
      </c>
      <c r="C5" s="272" t="s">
        <v>159</v>
      </c>
      <c r="D5" s="272" t="s">
        <v>58</v>
      </c>
      <c r="E5" s="272" t="s">
        <v>142</v>
      </c>
      <c r="F5" s="273"/>
    </row>
    <row r="6" spans="1:6" x14ac:dyDescent="0.35">
      <c r="A6" s="148">
        <v>45597</v>
      </c>
      <c r="B6" s="930" t="s">
        <v>26</v>
      </c>
      <c r="C6" s="49"/>
      <c r="D6" s="49"/>
      <c r="E6" s="931">
        <v>20625000</v>
      </c>
      <c r="F6" s="50"/>
    </row>
    <row r="7" spans="1:6" x14ac:dyDescent="0.35">
      <c r="A7" s="51">
        <v>45755</v>
      </c>
      <c r="B7" s="68" t="s">
        <v>580</v>
      </c>
      <c r="C7" s="149">
        <v>4747672.4000000004</v>
      </c>
      <c r="D7" s="149">
        <v>252327.6</v>
      </c>
      <c r="E7" s="149"/>
      <c r="F7" s="50"/>
    </row>
    <row r="8" spans="1:6" x14ac:dyDescent="0.35">
      <c r="A8" s="51">
        <v>45790</v>
      </c>
      <c r="B8" s="68" t="s">
        <v>623</v>
      </c>
      <c r="C8" s="52">
        <v>4702289.41</v>
      </c>
      <c r="D8" s="52">
        <v>297710.59000000003</v>
      </c>
      <c r="E8" s="52"/>
      <c r="F8" s="50"/>
    </row>
    <row r="9" spans="1:6" x14ac:dyDescent="0.35">
      <c r="A9" s="51">
        <v>45819</v>
      </c>
      <c r="B9" s="68" t="s">
        <v>646</v>
      </c>
      <c r="C9" s="52">
        <v>5362500</v>
      </c>
      <c r="D9" s="52">
        <v>431516.74</v>
      </c>
      <c r="E9" s="52"/>
      <c r="F9" s="53"/>
    </row>
    <row r="10" spans="1:6" x14ac:dyDescent="0.35">
      <c r="A10" s="51">
        <v>45874</v>
      </c>
      <c r="B10" s="68" t="s">
        <v>675</v>
      </c>
      <c r="C10" s="52">
        <v>3712500</v>
      </c>
      <c r="D10" s="52">
        <v>394966.76</v>
      </c>
      <c r="E10" s="54"/>
      <c r="F10" s="55"/>
    </row>
    <row r="11" spans="1:6" x14ac:dyDescent="0.35">
      <c r="A11" s="51">
        <v>45880</v>
      </c>
      <c r="B11" s="68" t="s">
        <v>676</v>
      </c>
      <c r="C11" s="52">
        <v>2100000</v>
      </c>
      <c r="D11" s="52">
        <v>223419.61</v>
      </c>
      <c r="E11" s="54"/>
      <c r="F11" s="55"/>
    </row>
    <row r="12" spans="1:6" x14ac:dyDescent="0.35">
      <c r="A12" s="51"/>
      <c r="B12" s="54"/>
      <c r="C12" s="52"/>
      <c r="D12" s="52"/>
      <c r="E12" s="54"/>
      <c r="F12" s="55"/>
    </row>
    <row r="13" spans="1:6" ht="15" thickBot="1" x14ac:dyDescent="0.4">
      <c r="A13" s="56"/>
      <c r="B13" s="57"/>
      <c r="C13" s="274">
        <f>SUM(C7:C12)</f>
        <v>20624961.810000002</v>
      </c>
      <c r="D13" s="274">
        <f>SUM(D7:D12)</f>
        <v>1599941.2999999998</v>
      </c>
      <c r="E13" s="274">
        <f>SUM(E6:E12)</f>
        <v>20625000</v>
      </c>
      <c r="F13" s="275">
        <f>+E13-C13</f>
        <v>38.189999997615814</v>
      </c>
    </row>
    <row r="14" spans="1:6" ht="15" thickBot="1" x14ac:dyDescent="0.4">
      <c r="B14" s="58"/>
      <c r="C14" s="58"/>
      <c r="D14" s="58"/>
      <c r="E14" s="58"/>
    </row>
    <row r="15" spans="1:6" x14ac:dyDescent="0.35">
      <c r="A15" s="991" t="s">
        <v>596</v>
      </c>
      <c r="B15" s="992"/>
      <c r="C15" s="992"/>
      <c r="D15" s="992" t="s">
        <v>597</v>
      </c>
      <c r="E15" s="992"/>
      <c r="F15" s="993"/>
    </row>
    <row r="16" spans="1:6" x14ac:dyDescent="0.35">
      <c r="A16" s="270" t="s">
        <v>56</v>
      </c>
      <c r="B16" s="271" t="s">
        <v>158</v>
      </c>
      <c r="C16" s="272" t="s">
        <v>159</v>
      </c>
      <c r="D16" s="272" t="s">
        <v>58</v>
      </c>
      <c r="E16" s="272" t="s">
        <v>142</v>
      </c>
      <c r="F16" s="273"/>
    </row>
    <row r="17" spans="1:6" x14ac:dyDescent="0.35">
      <c r="A17" s="51">
        <v>45756</v>
      </c>
      <c r="B17" s="68" t="s">
        <v>598</v>
      </c>
      <c r="C17" s="149">
        <v>67000</v>
      </c>
      <c r="D17" s="149"/>
      <c r="E17" s="149"/>
      <c r="F17" s="50"/>
    </row>
    <row r="18" spans="1:6" x14ac:dyDescent="0.35">
      <c r="A18" s="51">
        <v>45769</v>
      </c>
      <c r="B18" s="68" t="s">
        <v>598</v>
      </c>
      <c r="C18" s="52">
        <v>80000</v>
      </c>
      <c r="D18" s="52"/>
      <c r="E18" s="52"/>
      <c r="F18" s="50"/>
    </row>
    <row r="19" spans="1:6" x14ac:dyDescent="0.35">
      <c r="A19" s="51">
        <v>45769</v>
      </c>
      <c r="B19" s="68" t="s">
        <v>598</v>
      </c>
      <c r="C19" s="52">
        <v>93500</v>
      </c>
      <c r="D19" s="52"/>
      <c r="E19" s="52"/>
      <c r="F19" s="53"/>
    </row>
    <row r="20" spans="1:6" x14ac:dyDescent="0.35">
      <c r="A20" s="51">
        <v>45784</v>
      </c>
      <c r="B20" s="68" t="s">
        <v>599</v>
      </c>
      <c r="C20" s="52">
        <v>200000</v>
      </c>
      <c r="D20" s="52"/>
      <c r="E20" s="54"/>
      <c r="F20" s="55"/>
    </row>
    <row r="21" spans="1:6" x14ac:dyDescent="0.35">
      <c r="A21" s="51"/>
      <c r="B21" s="68"/>
      <c r="C21" s="52"/>
      <c r="D21" s="52"/>
      <c r="E21" s="54"/>
      <c r="F21" s="55"/>
    </row>
    <row r="22" spans="1:6" x14ac:dyDescent="0.35">
      <c r="A22" s="51"/>
      <c r="B22" s="54"/>
      <c r="C22" s="52"/>
      <c r="D22" s="52"/>
      <c r="E22" s="54"/>
      <c r="F22" s="55"/>
    </row>
    <row r="23" spans="1:6" ht="15" thickBot="1" x14ac:dyDescent="0.4">
      <c r="A23" s="56"/>
      <c r="B23" s="57"/>
      <c r="C23" s="994">
        <f>SUM(C17:C22)</f>
        <v>440500</v>
      </c>
      <c r="D23" s="994"/>
      <c r="E23" s="994"/>
      <c r="F23" s="995"/>
    </row>
    <row r="24" spans="1:6" ht="15" thickBot="1" x14ac:dyDescent="0.4"/>
    <row r="25" spans="1:6" x14ac:dyDescent="0.35">
      <c r="A25" s="1036" t="s">
        <v>672</v>
      </c>
      <c r="B25" s="1037"/>
      <c r="C25" s="1037"/>
      <c r="D25" s="1037" t="s">
        <v>673</v>
      </c>
      <c r="E25" s="1037"/>
      <c r="F25" s="1038"/>
    </row>
    <row r="26" spans="1:6" x14ac:dyDescent="0.35">
      <c r="A26" s="270" t="s">
        <v>56</v>
      </c>
      <c r="B26" s="271" t="s">
        <v>158</v>
      </c>
      <c r="C26" s="272" t="s">
        <v>159</v>
      </c>
      <c r="D26" s="272" t="s">
        <v>58</v>
      </c>
      <c r="E26" s="272" t="s">
        <v>142</v>
      </c>
      <c r="F26" s="273"/>
    </row>
    <row r="27" spans="1:6" x14ac:dyDescent="0.35">
      <c r="A27" s="51">
        <v>45809</v>
      </c>
      <c r="B27" s="68" t="s">
        <v>26</v>
      </c>
      <c r="C27" s="149"/>
      <c r="D27" s="149"/>
      <c r="E27" s="149">
        <v>37170000</v>
      </c>
      <c r="F27" s="50"/>
    </row>
    <row r="28" spans="1:6" x14ac:dyDescent="0.35">
      <c r="A28" s="51">
        <v>45909</v>
      </c>
      <c r="B28" s="68" t="s">
        <v>674</v>
      </c>
      <c r="C28" s="52">
        <v>159300</v>
      </c>
      <c r="D28" s="52">
        <v>4502.4799999999996</v>
      </c>
      <c r="E28" s="52"/>
      <c r="F28" s="50"/>
    </row>
    <row r="29" spans="1:6" x14ac:dyDescent="0.35">
      <c r="A29" s="51">
        <v>45929</v>
      </c>
      <c r="B29" s="68" t="s">
        <v>841</v>
      </c>
      <c r="C29" s="52">
        <v>603600</v>
      </c>
      <c r="D29" s="52">
        <v>21622.94</v>
      </c>
      <c r="E29" s="52"/>
      <c r="F29" s="53"/>
    </row>
    <row r="30" spans="1:6" x14ac:dyDescent="0.35">
      <c r="A30" s="51">
        <v>45961</v>
      </c>
      <c r="B30" s="68" t="s">
        <v>842</v>
      </c>
      <c r="C30" s="52">
        <v>508600</v>
      </c>
      <c r="D30" s="52">
        <v>33281.42</v>
      </c>
      <c r="E30" s="54"/>
      <c r="F30" s="55"/>
    </row>
    <row r="31" spans="1:6" x14ac:dyDescent="0.35">
      <c r="A31" s="51">
        <v>45982</v>
      </c>
      <c r="B31" s="68" t="s">
        <v>843</v>
      </c>
      <c r="C31" s="52">
        <v>318600</v>
      </c>
      <c r="D31" s="52">
        <v>20848.330000000002</v>
      </c>
      <c r="E31" s="54"/>
      <c r="F31" s="55"/>
    </row>
    <row r="32" spans="1:6" x14ac:dyDescent="0.35">
      <c r="A32" s="51">
        <v>46008</v>
      </c>
      <c r="B32" s="68" t="s">
        <v>844</v>
      </c>
      <c r="C32" s="52">
        <v>603600</v>
      </c>
      <c r="D32" s="52">
        <v>48609.74</v>
      </c>
      <c r="E32" s="54"/>
      <c r="F32" s="55"/>
    </row>
    <row r="33" spans="1:6" x14ac:dyDescent="0.35">
      <c r="A33" s="51">
        <v>46013</v>
      </c>
      <c r="B33" s="68" t="s">
        <v>845</v>
      </c>
      <c r="C33" s="52">
        <v>560000</v>
      </c>
      <c r="D33" s="52">
        <v>45098.5</v>
      </c>
      <c r="E33" s="54"/>
      <c r="F33" s="55"/>
    </row>
    <row r="34" spans="1:6" x14ac:dyDescent="0.35">
      <c r="A34" s="51">
        <v>46035</v>
      </c>
      <c r="B34" s="68" t="s">
        <v>846</v>
      </c>
      <c r="C34" s="52">
        <v>551040</v>
      </c>
      <c r="D34" s="52">
        <v>62191.33</v>
      </c>
      <c r="E34" s="54"/>
      <c r="F34" s="55"/>
    </row>
    <row r="35" spans="1:6" x14ac:dyDescent="0.35">
      <c r="A35" s="1305">
        <v>46052</v>
      </c>
      <c r="B35" s="68" t="s">
        <v>868</v>
      </c>
      <c r="C35" s="52">
        <v>1711160</v>
      </c>
      <c r="D35" s="52">
        <v>217030.87</v>
      </c>
      <c r="E35" s="54"/>
      <c r="F35" s="55"/>
    </row>
    <row r="36" spans="1:6" x14ac:dyDescent="0.35">
      <c r="A36" s="1305">
        <v>46099</v>
      </c>
      <c r="B36" s="68" t="s">
        <v>869</v>
      </c>
      <c r="C36" s="52">
        <v>959500</v>
      </c>
      <c r="D36" s="52">
        <v>151787.06</v>
      </c>
      <c r="E36" s="54"/>
      <c r="F36" s="55"/>
    </row>
    <row r="37" spans="1:6" x14ac:dyDescent="0.35">
      <c r="A37" s="1305">
        <v>46126</v>
      </c>
      <c r="B37" s="68" t="s">
        <v>886</v>
      </c>
      <c r="C37" s="52">
        <v>1194000</v>
      </c>
      <c r="D37" s="52">
        <v>212504.05</v>
      </c>
      <c r="E37" s="54"/>
      <c r="F37" s="55"/>
    </row>
    <row r="38" spans="1:6" x14ac:dyDescent="0.35">
      <c r="A38" s="1305">
        <v>46158</v>
      </c>
      <c r="B38" s="68" t="s">
        <v>917</v>
      </c>
      <c r="C38" s="52">
        <v>1284800</v>
      </c>
      <c r="D38" s="52">
        <v>276549.61</v>
      </c>
      <c r="E38" s="54"/>
      <c r="F38" s="55"/>
    </row>
    <row r="39" spans="1:6" ht="15" thickBot="1" x14ac:dyDescent="0.4">
      <c r="A39" s="1305">
        <v>46168</v>
      </c>
      <c r="B39" s="68" t="s">
        <v>939</v>
      </c>
      <c r="C39" s="52">
        <v>3253000</v>
      </c>
      <c r="D39" s="52">
        <v>896429.6</v>
      </c>
      <c r="E39" s="54"/>
      <c r="F39" s="55"/>
    </row>
    <row r="40" spans="1:6" x14ac:dyDescent="0.35">
      <c r="D40" s="52"/>
      <c r="E40" s="54"/>
      <c r="F40" s="1039" t="s">
        <v>65</v>
      </c>
    </row>
    <row r="41" spans="1:6" ht="15" thickBot="1" x14ac:dyDescent="0.4">
      <c r="A41" s="56"/>
      <c r="B41" s="57"/>
      <c r="C41" s="994">
        <f>SUM(C27:C39)</f>
        <v>11707200</v>
      </c>
      <c r="D41" s="994">
        <f>SUM(D28:D40)</f>
        <v>1990455.9300000002</v>
      </c>
      <c r="E41" s="994"/>
      <c r="F41" s="1040">
        <f>E27-C41</f>
        <v>25462800</v>
      </c>
    </row>
    <row r="42" spans="1:6" ht="15" thickBot="1" x14ac:dyDescent="0.4"/>
    <row r="43" spans="1:6" x14ac:dyDescent="0.35">
      <c r="A43" s="1290" t="s">
        <v>835</v>
      </c>
      <c r="B43" s="1291"/>
      <c r="C43" s="1291"/>
      <c r="D43" s="1291" t="s">
        <v>836</v>
      </c>
      <c r="E43" s="1291"/>
      <c r="F43" s="1292"/>
    </row>
    <row r="44" spans="1:6" x14ac:dyDescent="0.35">
      <c r="A44" s="270" t="s">
        <v>56</v>
      </c>
      <c r="B44" s="271" t="s">
        <v>158</v>
      </c>
      <c r="C44" s="272" t="s">
        <v>159</v>
      </c>
      <c r="D44" s="272" t="s">
        <v>58</v>
      </c>
      <c r="E44" s="272" t="s">
        <v>142</v>
      </c>
      <c r="F44" s="273"/>
    </row>
    <row r="45" spans="1:6" x14ac:dyDescent="0.35">
      <c r="A45" s="51"/>
      <c r="B45" s="68" t="s">
        <v>26</v>
      </c>
      <c r="C45" s="149"/>
      <c r="D45" s="149"/>
      <c r="E45" s="149">
        <v>180000</v>
      </c>
      <c r="F45" s="50"/>
    </row>
    <row r="46" spans="1:6" ht="15" thickBot="1" x14ac:dyDescent="0.4">
      <c r="A46" s="51">
        <v>45790</v>
      </c>
      <c r="B46" s="68" t="s">
        <v>674</v>
      </c>
      <c r="C46" s="52">
        <v>180000</v>
      </c>
      <c r="D46" s="52"/>
      <c r="E46" s="52"/>
      <c r="F46" s="50"/>
    </row>
    <row r="47" spans="1:6" x14ac:dyDescent="0.35">
      <c r="A47" s="51"/>
      <c r="B47" s="54"/>
      <c r="C47" s="52"/>
      <c r="D47" s="52"/>
      <c r="E47" s="54"/>
      <c r="F47" s="1039" t="s">
        <v>65</v>
      </c>
    </row>
    <row r="48" spans="1:6" ht="15" thickBot="1" x14ac:dyDescent="0.4">
      <c r="A48" s="56"/>
      <c r="B48" s="57"/>
      <c r="C48" s="994">
        <f>SUM(C45:C47)</f>
        <v>180000</v>
      </c>
      <c r="D48" s="994">
        <f>SUM(D46:D47)</f>
        <v>0</v>
      </c>
      <c r="E48" s="994"/>
      <c r="F48" s="1040">
        <f>E45-C48</f>
        <v>0</v>
      </c>
    </row>
    <row r="49" spans="1:6" ht="15" thickBot="1" x14ac:dyDescent="0.4"/>
    <row r="50" spans="1:6" x14ac:dyDescent="0.35">
      <c r="A50" s="1036" t="s">
        <v>837</v>
      </c>
      <c r="B50" s="1037"/>
      <c r="C50" s="1037"/>
      <c r="D50" s="1037" t="s">
        <v>673</v>
      </c>
      <c r="E50" s="1037"/>
      <c r="F50" s="1038"/>
    </row>
    <row r="51" spans="1:6" x14ac:dyDescent="0.35">
      <c r="A51" s="270" t="s">
        <v>56</v>
      </c>
      <c r="B51" s="271" t="s">
        <v>158</v>
      </c>
      <c r="C51" s="272" t="s">
        <v>159</v>
      </c>
      <c r="D51" s="272" t="s">
        <v>58</v>
      </c>
      <c r="E51" s="272" t="s">
        <v>142</v>
      </c>
      <c r="F51" s="273"/>
    </row>
    <row r="52" spans="1:6" x14ac:dyDescent="0.35">
      <c r="A52" s="51"/>
      <c r="B52" s="68" t="s">
        <v>26</v>
      </c>
      <c r="C52" s="149"/>
      <c r="D52" s="149"/>
      <c r="E52" s="149">
        <v>550000</v>
      </c>
      <c r="F52" s="50"/>
    </row>
    <row r="53" spans="1:6" ht="15" thickBot="1" x14ac:dyDescent="0.4">
      <c r="A53" s="51">
        <v>46219</v>
      </c>
      <c r="B53" s="68" t="s">
        <v>674</v>
      </c>
      <c r="C53" s="52">
        <v>550000</v>
      </c>
      <c r="D53" s="52"/>
      <c r="E53" s="52"/>
      <c r="F53" s="50"/>
    </row>
    <row r="54" spans="1:6" x14ac:dyDescent="0.35">
      <c r="A54" s="51"/>
      <c r="B54" s="54"/>
      <c r="C54" s="52"/>
      <c r="D54" s="52"/>
      <c r="E54" s="54"/>
      <c r="F54" s="1039" t="s">
        <v>65</v>
      </c>
    </row>
    <row r="55" spans="1:6" ht="15" thickBot="1" x14ac:dyDescent="0.4">
      <c r="A55" s="56"/>
      <c r="B55" s="57"/>
      <c r="C55" s="994">
        <f>SUM(C52:C54)</f>
        <v>550000</v>
      </c>
      <c r="D55" s="994">
        <f>SUM(D53:D54)</f>
        <v>0</v>
      </c>
      <c r="E55" s="994"/>
      <c r="F55" s="1040">
        <f>E52-C55</f>
        <v>0</v>
      </c>
    </row>
    <row r="56" spans="1:6" ht="15" thickBot="1" x14ac:dyDescent="0.4"/>
    <row r="57" spans="1:6" x14ac:dyDescent="0.35">
      <c r="A57" s="1293" t="s">
        <v>838</v>
      </c>
      <c r="B57" s="1294"/>
      <c r="C57" s="1294"/>
      <c r="D57" s="1294" t="s">
        <v>839</v>
      </c>
      <c r="E57" s="1294"/>
      <c r="F57" s="1295"/>
    </row>
    <row r="58" spans="1:6" x14ac:dyDescent="0.35">
      <c r="A58" s="270" t="s">
        <v>56</v>
      </c>
      <c r="B58" s="271" t="s">
        <v>158</v>
      </c>
      <c r="C58" s="272" t="s">
        <v>159</v>
      </c>
      <c r="D58" s="272" t="s">
        <v>58</v>
      </c>
      <c r="E58" s="272" t="s">
        <v>142</v>
      </c>
      <c r="F58" s="273"/>
    </row>
    <row r="59" spans="1:6" x14ac:dyDescent="0.35">
      <c r="A59" s="51">
        <v>45979</v>
      </c>
      <c r="B59" s="68" t="s">
        <v>26</v>
      </c>
      <c r="C59" s="149"/>
      <c r="D59" s="149"/>
      <c r="E59" s="149">
        <v>66989647</v>
      </c>
      <c r="F59" s="50"/>
    </row>
    <row r="60" spans="1:6" x14ac:dyDescent="0.35">
      <c r="A60" s="51"/>
      <c r="B60" s="68" t="s">
        <v>927</v>
      </c>
      <c r="C60" s="149"/>
      <c r="D60" s="149"/>
      <c r="E60" s="149">
        <v>5983400</v>
      </c>
      <c r="F60" s="50"/>
    </row>
    <row r="61" spans="1:6" x14ac:dyDescent="0.35">
      <c r="A61" s="51">
        <v>46024</v>
      </c>
      <c r="B61" s="68" t="s">
        <v>840</v>
      </c>
      <c r="C61" s="52">
        <v>1500000</v>
      </c>
      <c r="D61" s="52"/>
      <c r="E61" s="52"/>
      <c r="F61" s="50"/>
    </row>
    <row r="62" spans="1:6" x14ac:dyDescent="0.35">
      <c r="A62" s="51">
        <v>46038</v>
      </c>
      <c r="B62" s="68" t="s">
        <v>850</v>
      </c>
      <c r="C62" s="52">
        <v>3700000</v>
      </c>
      <c r="D62" s="52">
        <v>119676.86</v>
      </c>
      <c r="E62" s="52"/>
      <c r="F62" s="50"/>
    </row>
    <row r="63" spans="1:6" x14ac:dyDescent="0.35">
      <c r="A63" s="51">
        <v>46052</v>
      </c>
      <c r="B63" s="68" t="s">
        <v>851</v>
      </c>
      <c r="C63" s="52">
        <v>1130000</v>
      </c>
      <c r="D63" s="52">
        <v>47504.57</v>
      </c>
      <c r="E63" s="52"/>
      <c r="F63" s="50"/>
    </row>
    <row r="64" spans="1:6" x14ac:dyDescent="0.35">
      <c r="A64" s="51">
        <v>46066</v>
      </c>
      <c r="B64" s="68" t="s">
        <v>852</v>
      </c>
      <c r="C64" s="52">
        <v>1714900</v>
      </c>
      <c r="D64" s="52">
        <v>66934.929999999993</v>
      </c>
      <c r="E64" s="52"/>
      <c r="F64" s="50"/>
    </row>
    <row r="65" spans="1:11" x14ac:dyDescent="0.35">
      <c r="A65" s="51">
        <v>46099</v>
      </c>
      <c r="B65" s="68" t="s">
        <v>867</v>
      </c>
      <c r="C65" s="52">
        <v>283815.59000000003</v>
      </c>
      <c r="D65" s="52">
        <v>16189.21</v>
      </c>
      <c r="E65" s="52"/>
      <c r="F65" s="50"/>
    </row>
    <row r="66" spans="1:11" x14ac:dyDescent="0.35">
      <c r="A66" s="51">
        <v>46108</v>
      </c>
      <c r="B66" s="68" t="s">
        <v>918</v>
      </c>
      <c r="C66" s="52">
        <f>521984.41+84780</f>
        <v>606764.40999999992</v>
      </c>
      <c r="D66" s="52">
        <v>36771.68</v>
      </c>
      <c r="E66" s="52"/>
      <c r="F66" s="50"/>
    </row>
    <row r="67" spans="1:11" x14ac:dyDescent="0.35">
      <c r="A67" s="51">
        <v>46127</v>
      </c>
      <c r="B67" s="68" t="s">
        <v>919</v>
      </c>
      <c r="C67" s="52">
        <v>1692876</v>
      </c>
      <c r="D67" s="52"/>
      <c r="E67" s="52"/>
      <c r="F67" s="50"/>
    </row>
    <row r="68" spans="1:11" x14ac:dyDescent="0.35">
      <c r="A68" s="51">
        <v>46127</v>
      </c>
      <c r="B68" s="68" t="s">
        <v>920</v>
      </c>
      <c r="C68" s="52">
        <f>3435958-C67</f>
        <v>1743082</v>
      </c>
      <c r="D68" s="52">
        <v>247611.85</v>
      </c>
      <c r="E68" s="52"/>
      <c r="F68" s="50"/>
    </row>
    <row r="69" spans="1:11" x14ac:dyDescent="0.35">
      <c r="A69" s="51">
        <v>46127</v>
      </c>
      <c r="B69" s="68" t="s">
        <v>884</v>
      </c>
      <c r="C69" s="52">
        <v>635942</v>
      </c>
      <c r="D69" s="52"/>
      <c r="E69" s="52"/>
      <c r="F69" s="50"/>
    </row>
    <row r="70" spans="1:11" x14ac:dyDescent="0.35">
      <c r="A70" s="51">
        <v>46134</v>
      </c>
      <c r="B70" s="68" t="s">
        <v>921</v>
      </c>
      <c r="C70" s="52">
        <f>2540994.51</f>
        <v>2540994.5099999998</v>
      </c>
      <c r="D70" s="52"/>
      <c r="E70" s="52"/>
      <c r="F70" s="50"/>
    </row>
    <row r="71" spans="1:11" x14ac:dyDescent="0.35">
      <c r="A71" s="51">
        <v>46134</v>
      </c>
      <c r="B71" s="68" t="s">
        <v>922</v>
      </c>
      <c r="C71" s="52">
        <f>4050768.51-C70</f>
        <v>1509774</v>
      </c>
      <c r="D71" s="52">
        <v>356287.88</v>
      </c>
      <c r="E71" s="52"/>
      <c r="F71" s="50"/>
    </row>
    <row r="72" spans="1:11" x14ac:dyDescent="0.35">
      <c r="A72" s="51">
        <v>46140</v>
      </c>
      <c r="B72" s="68" t="s">
        <v>923</v>
      </c>
      <c r="C72" s="52">
        <v>2754781.2</v>
      </c>
      <c r="D72" s="52"/>
      <c r="E72" s="52"/>
      <c r="F72" s="50"/>
    </row>
    <row r="73" spans="1:11" x14ac:dyDescent="0.35">
      <c r="A73" s="51">
        <v>46140</v>
      </c>
      <c r="B73" s="68" t="s">
        <v>924</v>
      </c>
      <c r="C73" s="52">
        <f>3770817.2-C72</f>
        <v>1016036</v>
      </c>
      <c r="D73" s="52">
        <v>314073.46000000002</v>
      </c>
      <c r="E73" s="52"/>
      <c r="F73" s="50"/>
    </row>
    <row r="74" spans="1:11" x14ac:dyDescent="0.35">
      <c r="A74" s="51">
        <v>46148</v>
      </c>
      <c r="B74" s="68" t="s">
        <v>925</v>
      </c>
      <c r="C74" s="52">
        <v>1240057.831143236</v>
      </c>
      <c r="D74" s="52"/>
      <c r="E74" s="52"/>
      <c r="F74" s="50"/>
    </row>
    <row r="75" spans="1:11" x14ac:dyDescent="0.35">
      <c r="A75" s="51">
        <v>46148</v>
      </c>
      <c r="B75" s="68" t="s">
        <v>926</v>
      </c>
      <c r="C75" s="52">
        <v>4176351.3037947523</v>
      </c>
      <c r="D75" s="52">
        <v>557212.61</v>
      </c>
      <c r="E75" s="54"/>
      <c r="F75" s="50"/>
    </row>
    <row r="76" spans="1:11" x14ac:dyDescent="0.35">
      <c r="A76" s="51">
        <v>46148</v>
      </c>
      <c r="B76" s="68" t="s">
        <v>928</v>
      </c>
      <c r="C76" s="52">
        <v>512985.86506201158</v>
      </c>
      <c r="D76" s="52"/>
      <c r="E76" s="54"/>
      <c r="F76" s="50"/>
    </row>
    <row r="77" spans="1:11" x14ac:dyDescent="0.35">
      <c r="A77" s="51">
        <v>46148</v>
      </c>
      <c r="B77" s="68" t="s">
        <v>893</v>
      </c>
      <c r="C77" s="52">
        <v>1005761</v>
      </c>
      <c r="D77" s="52"/>
      <c r="E77" s="54"/>
      <c r="F77" s="50"/>
    </row>
    <row r="78" spans="1:11" x14ac:dyDescent="0.35">
      <c r="A78" s="51">
        <v>46162</v>
      </c>
      <c r="B78" s="68" t="s">
        <v>931</v>
      </c>
      <c r="C78" s="52">
        <v>1460732.6704790588</v>
      </c>
      <c r="D78" s="52"/>
      <c r="E78" s="54"/>
      <c r="F78" s="50"/>
      <c r="H78" s="1062"/>
    </row>
    <row r="79" spans="1:11" x14ac:dyDescent="0.35">
      <c r="A79" s="51">
        <v>46162</v>
      </c>
      <c r="B79" s="68" t="s">
        <v>932</v>
      </c>
      <c r="C79" s="52">
        <v>1125568.1295209413</v>
      </c>
      <c r="D79" s="52">
        <v>279548.03000000003</v>
      </c>
      <c r="E79" s="54"/>
      <c r="F79" s="50"/>
      <c r="H79" s="1062"/>
    </row>
    <row r="80" spans="1:11" x14ac:dyDescent="0.35">
      <c r="A80" s="51">
        <v>46162</v>
      </c>
      <c r="B80" s="68" t="s">
        <v>930</v>
      </c>
      <c r="C80" s="52">
        <v>1309409</v>
      </c>
      <c r="D80" s="52"/>
      <c r="E80" s="54"/>
      <c r="F80" s="50"/>
      <c r="K80" s="1302"/>
    </row>
    <row r="81" spans="1:10" x14ac:dyDescent="0.35">
      <c r="A81" s="51">
        <v>46169</v>
      </c>
      <c r="B81" s="68" t="s">
        <v>940</v>
      </c>
      <c r="C81" s="52">
        <v>864000</v>
      </c>
      <c r="D81" s="52">
        <v>110320.13</v>
      </c>
      <c r="E81" s="54"/>
      <c r="F81" s="50"/>
    </row>
    <row r="82" spans="1:10" x14ac:dyDescent="0.35">
      <c r="A82" s="51">
        <v>46176</v>
      </c>
      <c r="B82" s="68" t="s">
        <v>945</v>
      </c>
      <c r="C82" s="1338">
        <v>753442.73962710518</v>
      </c>
      <c r="D82" s="52"/>
      <c r="E82" s="54"/>
      <c r="F82" s="50"/>
      <c r="H82" s="1302"/>
      <c r="I82" s="1062"/>
    </row>
    <row r="83" spans="1:10" x14ac:dyDescent="0.35">
      <c r="A83" s="51">
        <v>46176</v>
      </c>
      <c r="B83" s="68" t="s">
        <v>947</v>
      </c>
      <c r="C83" s="1338">
        <v>4909643.2603728948</v>
      </c>
      <c r="D83" s="52">
        <v>735658.12</v>
      </c>
      <c r="E83" s="54"/>
      <c r="F83" s="50"/>
      <c r="H83" s="1302"/>
      <c r="I83" s="1062"/>
      <c r="J83" s="1062"/>
    </row>
    <row r="84" spans="1:10" ht="15" thickBot="1" x14ac:dyDescent="0.4">
      <c r="A84" s="51">
        <v>46176</v>
      </c>
      <c r="B84" s="68" t="s">
        <v>946</v>
      </c>
      <c r="C84" s="52">
        <v>658492</v>
      </c>
      <c r="D84" s="1337"/>
      <c r="E84" s="54"/>
      <c r="F84" s="50"/>
      <c r="H84" s="1302"/>
    </row>
    <row r="85" spans="1:10" x14ac:dyDescent="0.35">
      <c r="A85" s="51"/>
      <c r="B85" s="68"/>
      <c r="C85" s="52"/>
      <c r="D85" s="52"/>
      <c r="E85" s="54"/>
      <c r="F85" s="1039" t="s">
        <v>65</v>
      </c>
      <c r="H85" s="1302"/>
      <c r="I85" s="1302"/>
    </row>
    <row r="86" spans="1:10" ht="15" thickBot="1" x14ac:dyDescent="0.4">
      <c r="A86" s="56"/>
      <c r="B86" s="57"/>
      <c r="C86" s="994">
        <f>SUM(C59:C81)</f>
        <v>32523831.510000002</v>
      </c>
      <c r="D86" s="994">
        <f>SUM(D61:D80)</f>
        <v>2041811.0799999998</v>
      </c>
      <c r="E86" s="994"/>
      <c r="F86" s="1040">
        <f>E59-C86+E60</f>
        <v>40449215.489999995</v>
      </c>
      <c r="H86" s="1302"/>
    </row>
    <row r="87" spans="1:10" ht="15" thickBot="1" x14ac:dyDescent="0.4"/>
    <row r="88" spans="1:10" x14ac:dyDescent="0.35">
      <c r="A88" s="1296" t="s">
        <v>847</v>
      </c>
      <c r="B88" s="1297"/>
      <c r="C88" s="1297"/>
      <c r="D88" s="1297" t="s">
        <v>848</v>
      </c>
      <c r="E88" s="1297"/>
      <c r="F88" s="1298"/>
    </row>
    <row r="89" spans="1:10" x14ac:dyDescent="0.35">
      <c r="A89" s="270" t="s">
        <v>56</v>
      </c>
      <c r="B89" s="271" t="s">
        <v>158</v>
      </c>
      <c r="C89" s="272" t="s">
        <v>159</v>
      </c>
      <c r="D89" s="272" t="s">
        <v>58</v>
      </c>
      <c r="E89" s="272" t="s">
        <v>142</v>
      </c>
      <c r="F89" s="273"/>
    </row>
    <row r="90" spans="1:10" x14ac:dyDescent="0.35">
      <c r="A90" s="51">
        <v>46336</v>
      </c>
      <c r="B90" s="68" t="s">
        <v>26</v>
      </c>
      <c r="C90" s="149"/>
      <c r="D90" s="149"/>
      <c r="E90" s="149">
        <v>18570000</v>
      </c>
      <c r="F90" s="50"/>
    </row>
    <row r="91" spans="1:10" x14ac:dyDescent="0.35">
      <c r="A91" s="51">
        <v>46050</v>
      </c>
      <c r="B91" s="68" t="s">
        <v>849</v>
      </c>
      <c r="C91" s="52">
        <v>4235000</v>
      </c>
      <c r="D91" s="52"/>
      <c r="E91" s="52"/>
      <c r="F91" s="50"/>
    </row>
    <row r="92" spans="1:10" x14ac:dyDescent="0.35">
      <c r="A92" s="51">
        <v>46099</v>
      </c>
      <c r="B92" s="68" t="s">
        <v>866</v>
      </c>
      <c r="C92" s="52">
        <v>1464000</v>
      </c>
      <c r="D92" s="52"/>
      <c r="E92" s="52"/>
      <c r="F92" s="50"/>
    </row>
    <row r="93" spans="1:10" x14ac:dyDescent="0.35">
      <c r="A93" s="51">
        <v>46126</v>
      </c>
      <c r="B93" s="68" t="s">
        <v>885</v>
      </c>
      <c r="C93" s="52">
        <v>4233000</v>
      </c>
      <c r="D93" s="52"/>
      <c r="E93" s="52"/>
      <c r="F93" s="50"/>
    </row>
    <row r="94" spans="1:10" ht="15" thickBot="1" x14ac:dyDescent="0.4">
      <c r="A94" s="51">
        <v>46140</v>
      </c>
      <c r="B94" s="68" t="s">
        <v>895</v>
      </c>
      <c r="C94" s="52">
        <v>807000</v>
      </c>
      <c r="D94" s="52"/>
      <c r="E94" s="52"/>
      <c r="F94" s="50"/>
    </row>
    <row r="95" spans="1:10" x14ac:dyDescent="0.35">
      <c r="A95" s="51"/>
      <c r="B95" s="54"/>
      <c r="C95" s="52"/>
      <c r="D95" s="52"/>
      <c r="E95" s="54"/>
      <c r="F95" s="1039" t="s">
        <v>65</v>
      </c>
    </row>
    <row r="96" spans="1:10" ht="15" thickBot="1" x14ac:dyDescent="0.4">
      <c r="A96" s="56"/>
      <c r="B96" s="57"/>
      <c r="C96" s="994">
        <f>SUM(C90:C95)</f>
        <v>10739000</v>
      </c>
      <c r="D96" s="994">
        <f>SUM(D91:D95)</f>
        <v>0</v>
      </c>
      <c r="E96" s="994"/>
      <c r="F96" s="1040">
        <f>E90-C96</f>
        <v>7831000</v>
      </c>
    </row>
    <row r="97" spans="1:9" ht="15" thickBot="1" x14ac:dyDescent="0.4"/>
    <row r="98" spans="1:9" x14ac:dyDescent="0.35">
      <c r="A98" s="1299" t="s">
        <v>859</v>
      </c>
      <c r="B98" s="1300"/>
      <c r="C98" s="1300"/>
      <c r="D98" s="1300" t="s">
        <v>848</v>
      </c>
      <c r="E98" s="1300"/>
      <c r="F98" s="1301"/>
    </row>
    <row r="99" spans="1:9" x14ac:dyDescent="0.35">
      <c r="A99" s="270" t="s">
        <v>56</v>
      </c>
      <c r="B99" s="271" t="s">
        <v>158</v>
      </c>
      <c r="C99" s="272" t="s">
        <v>159</v>
      </c>
      <c r="D99" s="272" t="s">
        <v>58</v>
      </c>
      <c r="E99" s="272" t="s">
        <v>142</v>
      </c>
      <c r="F99" s="273"/>
    </row>
    <row r="100" spans="1:9" x14ac:dyDescent="0.35">
      <c r="A100" s="51">
        <v>45958</v>
      </c>
      <c r="B100" s="68" t="s">
        <v>26</v>
      </c>
      <c r="C100" s="149"/>
      <c r="D100" s="149"/>
      <c r="E100" s="149">
        <v>4200000</v>
      </c>
      <c r="F100" s="50"/>
      <c r="I100" s="1302"/>
    </row>
    <row r="101" spans="1:9" ht="15" thickBot="1" x14ac:dyDescent="0.4">
      <c r="A101" s="51">
        <v>46094</v>
      </c>
      <c r="B101" s="68" t="s">
        <v>860</v>
      </c>
      <c r="C101" s="52">
        <v>480000</v>
      </c>
      <c r="D101" s="52"/>
      <c r="E101" s="52"/>
      <c r="F101" s="50"/>
      <c r="I101" s="1302"/>
    </row>
    <row r="102" spans="1:9" x14ac:dyDescent="0.35">
      <c r="A102" s="51"/>
      <c r="B102" s="54"/>
      <c r="C102" s="52"/>
      <c r="D102" s="52"/>
      <c r="E102" s="54"/>
      <c r="F102" s="1039" t="s">
        <v>65</v>
      </c>
    </row>
    <row r="103" spans="1:9" ht="15" thickBot="1" x14ac:dyDescent="0.4">
      <c r="A103" s="56"/>
      <c r="B103" s="57"/>
      <c r="C103" s="994">
        <f>SUM(C100:C102)</f>
        <v>480000</v>
      </c>
      <c r="D103" s="994">
        <f>SUM(D101:D102)</f>
        <v>0</v>
      </c>
      <c r="E103" s="994"/>
      <c r="F103" s="1040">
        <f>E100-C103</f>
        <v>3720000</v>
      </c>
    </row>
    <row r="104" spans="1:9" ht="15" thickBot="1" x14ac:dyDescent="0.4"/>
    <row r="105" spans="1:9" x14ac:dyDescent="0.35">
      <c r="A105" s="1310" t="s">
        <v>883</v>
      </c>
      <c r="B105" s="1311"/>
      <c r="C105" s="1311"/>
      <c r="D105" s="1311" t="s">
        <v>894</v>
      </c>
      <c r="E105" s="1311"/>
      <c r="F105" s="1312"/>
    </row>
    <row r="106" spans="1:9" x14ac:dyDescent="0.35">
      <c r="A106" s="270" t="s">
        <v>56</v>
      </c>
      <c r="B106" s="271" t="s">
        <v>158</v>
      </c>
      <c r="C106" s="272" t="s">
        <v>159</v>
      </c>
      <c r="D106" s="272" t="s">
        <v>58</v>
      </c>
      <c r="E106" s="272" t="s">
        <v>142</v>
      </c>
      <c r="F106" s="273"/>
    </row>
    <row r="107" spans="1:9" x14ac:dyDescent="0.35">
      <c r="A107" s="51">
        <v>46107</v>
      </c>
      <c r="B107" s="68" t="s">
        <v>26</v>
      </c>
      <c r="C107" s="149"/>
      <c r="D107" s="149"/>
      <c r="E107" s="149">
        <v>4361700</v>
      </c>
      <c r="F107" s="50"/>
    </row>
    <row r="108" spans="1:9" x14ac:dyDescent="0.35">
      <c r="A108" s="51">
        <v>46119</v>
      </c>
      <c r="B108" s="68" t="s">
        <v>929</v>
      </c>
      <c r="C108" s="52">
        <v>534400</v>
      </c>
      <c r="D108" s="52"/>
      <c r="E108" s="52"/>
      <c r="F108" s="50"/>
    </row>
    <row r="109" spans="1:9" x14ac:dyDescent="0.35">
      <c r="A109" s="51">
        <v>46129</v>
      </c>
      <c r="B109" s="68" t="s">
        <v>841</v>
      </c>
      <c r="C109" s="52">
        <v>1500000</v>
      </c>
      <c r="D109" s="52"/>
      <c r="E109" s="52"/>
      <c r="F109" s="50"/>
    </row>
    <row r="110" spans="1:9" x14ac:dyDescent="0.35">
      <c r="A110" s="51">
        <v>46132</v>
      </c>
      <c r="B110" s="68" t="s">
        <v>884</v>
      </c>
      <c r="C110" s="52">
        <f>52597*3+3607*2</f>
        <v>165005</v>
      </c>
      <c r="D110" s="52"/>
      <c r="E110" s="52"/>
      <c r="F110" s="50"/>
    </row>
    <row r="111" spans="1:9" x14ac:dyDescent="0.35">
      <c r="A111" s="51">
        <v>46132</v>
      </c>
      <c r="B111" s="68" t="s">
        <v>893</v>
      </c>
      <c r="C111" s="52">
        <v>84782</v>
      </c>
      <c r="D111" s="52"/>
      <c r="E111" s="52"/>
      <c r="F111" s="50"/>
    </row>
    <row r="112" spans="1:9" x14ac:dyDescent="0.35">
      <c r="A112" s="51">
        <v>46132</v>
      </c>
      <c r="B112" s="68" t="s">
        <v>842</v>
      </c>
      <c r="C112" s="52">
        <v>1727513</v>
      </c>
      <c r="D112" s="52"/>
      <c r="E112" s="52"/>
      <c r="F112" s="50"/>
    </row>
    <row r="113" spans="1:8" x14ac:dyDescent="0.35">
      <c r="A113" s="51">
        <v>46162</v>
      </c>
      <c r="B113" s="68" t="s">
        <v>843</v>
      </c>
      <c r="C113" s="52">
        <v>320640</v>
      </c>
      <c r="D113" s="52"/>
      <c r="E113" s="52"/>
      <c r="F113" s="50"/>
    </row>
    <row r="114" spans="1:8" ht="15" thickBot="1" x14ac:dyDescent="0.4">
      <c r="A114" s="51">
        <v>46163</v>
      </c>
      <c r="B114" s="68" t="s">
        <v>399</v>
      </c>
      <c r="C114" s="52">
        <v>29360</v>
      </c>
      <c r="D114" s="52"/>
      <c r="E114" s="52"/>
      <c r="F114" s="50"/>
    </row>
    <row r="115" spans="1:8" x14ac:dyDescent="0.35">
      <c r="A115" s="51"/>
      <c r="B115" s="54"/>
      <c r="C115" s="52"/>
      <c r="D115" s="52"/>
      <c r="E115" s="54"/>
      <c r="F115" s="1039" t="s">
        <v>65</v>
      </c>
    </row>
    <row r="116" spans="1:8" ht="15" thickBot="1" x14ac:dyDescent="0.4">
      <c r="A116" s="56"/>
      <c r="B116" s="57"/>
      <c r="C116" s="994">
        <f>SUM(C107:C115)</f>
        <v>4361700</v>
      </c>
      <c r="D116" s="994">
        <f>SUM(D108:D115)</f>
        <v>0</v>
      </c>
      <c r="E116" s="994"/>
      <c r="F116" s="1040">
        <f>E107-C116</f>
        <v>0</v>
      </c>
    </row>
    <row r="117" spans="1:8" ht="15" thickBot="1" x14ac:dyDescent="0.4"/>
    <row r="118" spans="1:8" x14ac:dyDescent="0.35">
      <c r="A118" s="1339" t="s">
        <v>948</v>
      </c>
      <c r="B118" s="1340"/>
      <c r="C118" s="1340"/>
      <c r="D118" s="1340" t="s">
        <v>949</v>
      </c>
      <c r="E118" s="1340"/>
      <c r="F118" s="1341"/>
    </row>
    <row r="119" spans="1:8" x14ac:dyDescent="0.35">
      <c r="A119" s="270" t="s">
        <v>56</v>
      </c>
      <c r="B119" s="271" t="s">
        <v>158</v>
      </c>
      <c r="C119" s="272" t="s">
        <v>159</v>
      </c>
      <c r="D119" s="272" t="s">
        <v>58</v>
      </c>
      <c r="E119" s="272" t="s">
        <v>142</v>
      </c>
      <c r="F119" s="273"/>
      <c r="G119" s="272" t="s">
        <v>38</v>
      </c>
      <c r="H119" s="272" t="s">
        <v>39</v>
      </c>
    </row>
    <row r="120" spans="1:8" x14ac:dyDescent="0.35">
      <c r="A120" s="51">
        <v>46094</v>
      </c>
      <c r="B120" s="68" t="s">
        <v>26</v>
      </c>
      <c r="C120" s="149"/>
      <c r="D120" s="149"/>
      <c r="E120" s="149">
        <v>40300000</v>
      </c>
      <c r="F120" s="50"/>
      <c r="G120" s="1342">
        <f>34000000/E120</f>
        <v>0.84367245657568235</v>
      </c>
      <c r="H120" s="1342">
        <f>6300000/E120</f>
        <v>0.15632754342431762</v>
      </c>
    </row>
    <row r="121" spans="1:8" ht="15" thickBot="1" x14ac:dyDescent="0.4">
      <c r="A121" s="51">
        <v>46094</v>
      </c>
      <c r="B121" s="68" t="s">
        <v>950</v>
      </c>
      <c r="C121" s="52">
        <v>17000000</v>
      </c>
      <c r="D121" s="52"/>
      <c r="E121" s="52"/>
      <c r="F121" s="50"/>
    </row>
    <row r="122" spans="1:8" x14ac:dyDescent="0.35">
      <c r="A122" s="51"/>
      <c r="B122" s="54"/>
      <c r="C122" s="52"/>
      <c r="D122" s="52"/>
      <c r="E122" s="54"/>
      <c r="F122" s="1039" t="s">
        <v>65</v>
      </c>
    </row>
    <row r="123" spans="1:8" ht="15" thickBot="1" x14ac:dyDescent="0.4">
      <c r="A123" s="56"/>
      <c r="B123" s="57"/>
      <c r="C123" s="994">
        <f>SUM(C120:C122)</f>
        <v>17000000</v>
      </c>
      <c r="D123" s="994">
        <f>SUM(D121:D122)</f>
        <v>0</v>
      </c>
      <c r="E123" s="994"/>
      <c r="F123" s="1040">
        <f>E120-C123</f>
        <v>23300000</v>
      </c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8F7A-B195-43C6-8C23-020B9A668C77}">
  <dimension ref="A1:AN250"/>
  <sheetViews>
    <sheetView tabSelected="1" topLeftCell="A2" workbookViewId="0">
      <pane ySplit="6" topLeftCell="A67" activePane="bottomLeft" state="frozen"/>
      <selection activeCell="A2" sqref="A2"/>
      <selection pane="bottomLeft" activeCell="A67" sqref="A67"/>
    </sheetView>
  </sheetViews>
  <sheetFormatPr defaultColWidth="11.54296875" defaultRowHeight="12.75" customHeight="1" outlineLevelRow="1" x14ac:dyDescent="0.25"/>
  <cols>
    <col min="1" max="1" width="6.08984375" style="1678" customWidth="1"/>
    <col min="2" max="2" width="4.81640625" style="1472" bestFit="1" customWidth="1"/>
    <col min="3" max="3" width="19" style="1655" customWidth="1"/>
    <col min="4" max="4" width="4" style="1473" bestFit="1" customWidth="1"/>
    <col min="5" max="5" width="4.81640625" style="1474" bestFit="1" customWidth="1"/>
    <col min="6" max="6" width="7.54296875" style="1474" bestFit="1" customWidth="1"/>
    <col min="7" max="7" width="7.08984375" style="1474" bestFit="1" customWidth="1"/>
    <col min="8" max="8" width="8.90625" style="1474" bestFit="1" customWidth="1"/>
    <col min="9" max="9" width="7.26953125" style="1474" bestFit="1" customWidth="1"/>
    <col min="10" max="10" width="4.453125" style="1474" bestFit="1" customWidth="1"/>
    <col min="11" max="11" width="8.08984375" style="1475" bestFit="1" customWidth="1"/>
    <col min="12" max="12" width="8.6328125" style="1475" bestFit="1" customWidth="1"/>
    <col min="13" max="13" width="9.90625" style="1477" bestFit="1" customWidth="1"/>
    <col min="14" max="14" width="8.08984375" style="1471" bestFit="1" customWidth="1"/>
    <col min="15" max="15" width="11.54296875" style="1471"/>
    <col min="16" max="16" width="16.81640625" style="1471" bestFit="1" customWidth="1"/>
    <col min="17" max="28" width="8.81640625" style="1471" bestFit="1" customWidth="1"/>
    <col min="29" max="32" width="9.90625" style="1471" bestFit="1" customWidth="1"/>
    <col min="33" max="33" width="3.81640625" style="1471" bestFit="1" customWidth="1"/>
    <col min="34" max="34" width="9.90625" style="1471" bestFit="1" customWidth="1"/>
    <col min="35" max="35" width="5.90625" style="1471" bestFit="1" customWidth="1"/>
    <col min="36" max="36" width="4.08984375" style="1471" bestFit="1" customWidth="1"/>
    <col min="37" max="37" width="1.36328125" style="1471" bestFit="1" customWidth="1"/>
    <col min="38" max="39" width="8.81640625" style="1471" bestFit="1" customWidth="1"/>
    <col min="40" max="40" width="9.90625" style="1471" bestFit="1" customWidth="1"/>
    <col min="41" max="16384" width="11.54296875" style="1471"/>
  </cols>
  <sheetData>
    <row r="1" spans="1:33" ht="12.75" customHeight="1" x14ac:dyDescent="0.25">
      <c r="L1" s="1476" t="s">
        <v>77</v>
      </c>
      <c r="M1" s="1476" t="s">
        <v>78</v>
      </c>
    </row>
    <row r="2" spans="1:33" ht="10.5" x14ac:dyDescent="0.25">
      <c r="K2" s="1478" t="s">
        <v>244</v>
      </c>
      <c r="L2" s="1479">
        <v>1005</v>
      </c>
      <c r="M2" s="1479">
        <v>1170</v>
      </c>
    </row>
    <row r="3" spans="1:33" s="1480" customFormat="1" ht="10.5" x14ac:dyDescent="0.35">
      <c r="A3" s="1679"/>
      <c r="B3" s="1481"/>
      <c r="C3" s="1656"/>
      <c r="D3" s="1482"/>
      <c r="E3" s="1483"/>
      <c r="F3" s="1483"/>
      <c r="G3" s="1483"/>
      <c r="H3" s="1483"/>
      <c r="I3" s="1483"/>
      <c r="J3" s="1483"/>
      <c r="K3" s="1483"/>
      <c r="L3" s="1483"/>
      <c r="M3" s="1484"/>
    </row>
    <row r="4" spans="1:33" s="1480" customFormat="1" ht="10.5" x14ac:dyDescent="0.35">
      <c r="A4" s="1679"/>
      <c r="B4" s="1481"/>
      <c r="C4" s="1656"/>
      <c r="D4" s="1482"/>
      <c r="E4" s="1483"/>
      <c r="F4" s="1483"/>
      <c r="G4" s="1483"/>
      <c r="H4" s="1483"/>
      <c r="I4" s="1483"/>
      <c r="J4" s="1483"/>
      <c r="K4" s="1483"/>
      <c r="L4" s="1485">
        <v>45628</v>
      </c>
      <c r="M4" s="1484"/>
    </row>
    <row r="5" spans="1:33" s="1480" customFormat="1" ht="10.5" x14ac:dyDescent="0.35">
      <c r="A5" s="1679"/>
      <c r="B5" s="1481"/>
      <c r="C5" s="1486" t="s">
        <v>245</v>
      </c>
      <c r="D5" s="1482"/>
      <c r="E5" s="1483"/>
      <c r="F5" s="1483"/>
      <c r="G5" s="1483"/>
      <c r="H5" s="1483"/>
      <c r="I5" s="1483"/>
      <c r="J5" s="1483"/>
      <c r="K5" s="1487"/>
      <c r="L5" s="1487"/>
      <c r="M5" s="1484"/>
    </row>
    <row r="6" spans="1:33" s="1480" customFormat="1" ht="10.5" x14ac:dyDescent="0.35">
      <c r="A6" s="1679"/>
      <c r="B6" s="1481"/>
      <c r="C6" s="1486" t="s">
        <v>87</v>
      </c>
      <c r="D6" s="1488"/>
      <c r="E6" s="1489"/>
      <c r="F6" s="1483"/>
      <c r="G6" s="1483"/>
      <c r="H6" s="1483"/>
      <c r="I6" s="1483"/>
      <c r="J6" s="1483"/>
      <c r="K6" s="1490"/>
      <c r="L6" s="1490"/>
      <c r="M6" s="1484"/>
      <c r="P6" s="1491" t="s">
        <v>246</v>
      </c>
    </row>
    <row r="7" spans="1:33" ht="10.5" x14ac:dyDescent="0.25">
      <c r="B7" s="1492" t="s">
        <v>88</v>
      </c>
      <c r="C7" s="1657" t="s">
        <v>90</v>
      </c>
      <c r="D7" s="1493" t="s">
        <v>91</v>
      </c>
      <c r="E7" s="1494" t="s">
        <v>92</v>
      </c>
      <c r="F7" s="1696" t="s">
        <v>861</v>
      </c>
      <c r="G7" s="1696" t="s">
        <v>862</v>
      </c>
      <c r="H7" s="1696" t="s">
        <v>863</v>
      </c>
      <c r="I7" s="1696" t="s">
        <v>864</v>
      </c>
      <c r="J7" s="1696" t="s">
        <v>865</v>
      </c>
      <c r="K7" s="1696" t="s">
        <v>99</v>
      </c>
      <c r="L7" s="1696" t="s">
        <v>98</v>
      </c>
      <c r="P7" s="1499" t="s">
        <v>247</v>
      </c>
      <c r="Q7" s="1499" t="s">
        <v>248</v>
      </c>
      <c r="R7" s="1499" t="s">
        <v>249</v>
      </c>
      <c r="S7" s="1499" t="s">
        <v>250</v>
      </c>
      <c r="T7" s="1499" t="s">
        <v>251</v>
      </c>
      <c r="U7" s="1499" t="s">
        <v>252</v>
      </c>
      <c r="V7" s="1499" t="s">
        <v>253</v>
      </c>
      <c r="W7" s="1499" t="s">
        <v>254</v>
      </c>
      <c r="X7" s="1499" t="s">
        <v>255</v>
      </c>
      <c r="Y7" s="1499" t="s">
        <v>256</v>
      </c>
      <c r="Z7" s="1499" t="s">
        <v>257</v>
      </c>
      <c r="AA7" s="1499" t="s">
        <v>258</v>
      </c>
      <c r="AB7" s="1499" t="s">
        <v>259</v>
      </c>
      <c r="AC7" s="1499" t="s">
        <v>260</v>
      </c>
      <c r="AD7" s="1499" t="s">
        <v>261</v>
      </c>
      <c r="AE7" s="1499" t="s">
        <v>262</v>
      </c>
      <c r="AF7" s="1499" t="s">
        <v>263</v>
      </c>
      <c r="AG7" s="1499" t="s">
        <v>264</v>
      </c>
    </row>
    <row r="8" spans="1:33" ht="10.5" x14ac:dyDescent="0.25">
      <c r="B8" s="1500"/>
      <c r="C8" s="1590" t="s">
        <v>265</v>
      </c>
      <c r="D8" s="1501"/>
      <c r="E8" s="1502"/>
      <c r="F8" s="1502"/>
      <c r="G8" s="1502"/>
      <c r="H8" s="1502"/>
      <c r="I8" s="1502"/>
      <c r="J8" s="1502"/>
      <c r="K8" s="1502"/>
      <c r="L8" s="1502"/>
      <c r="M8" s="1504"/>
      <c r="N8" s="1505"/>
      <c r="P8" s="1506"/>
      <c r="Q8" s="1506"/>
      <c r="R8" s="1506"/>
      <c r="S8" s="1506"/>
      <c r="T8" s="1506"/>
      <c r="U8" s="1507"/>
      <c r="V8" s="1507"/>
      <c r="W8" s="1507"/>
      <c r="X8" s="1507"/>
      <c r="Y8" s="1507"/>
      <c r="Z8" s="1507"/>
      <c r="AA8" s="1507"/>
      <c r="AB8" s="1507"/>
      <c r="AC8" s="1507"/>
      <c r="AD8" s="1507"/>
      <c r="AE8" s="1507"/>
      <c r="AF8" s="1507"/>
      <c r="AG8" s="1507"/>
    </row>
    <row r="9" spans="1:33" ht="10.5" x14ac:dyDescent="0.25">
      <c r="B9" s="1500">
        <v>1</v>
      </c>
      <c r="C9" s="1590" t="s">
        <v>105</v>
      </c>
      <c r="D9" s="1501"/>
      <c r="E9" s="1502"/>
      <c r="F9" s="1502"/>
      <c r="G9" s="1502"/>
      <c r="H9" s="1502"/>
      <c r="I9" s="1502"/>
      <c r="J9" s="1502"/>
      <c r="K9" s="1502"/>
      <c r="L9" s="1502"/>
      <c r="M9" s="1504">
        <f>SUM(L10:L19)</f>
        <v>24784163</v>
      </c>
      <c r="N9" s="895">
        <f>M9-'01'!W8</f>
        <v>0</v>
      </c>
      <c r="P9" s="1506"/>
      <c r="Q9" s="1506"/>
      <c r="R9" s="1506"/>
      <c r="S9" s="1506"/>
      <c r="T9" s="1506"/>
      <c r="U9" s="1507"/>
      <c r="V9" s="1507"/>
      <c r="W9" s="1507"/>
      <c r="X9" s="1507"/>
      <c r="Y9" s="1507"/>
      <c r="Z9" s="1507"/>
      <c r="AA9" s="1507"/>
      <c r="AB9" s="1507"/>
      <c r="AC9" s="1507"/>
      <c r="AD9" s="1507"/>
      <c r="AE9" s="1507"/>
      <c r="AF9" s="1507"/>
      <c r="AG9" s="1507"/>
    </row>
    <row r="10" spans="1:33" ht="10.5" outlineLevel="1" x14ac:dyDescent="0.25">
      <c r="B10" s="1510">
        <v>1.01</v>
      </c>
      <c r="C10" s="1658" t="s">
        <v>1007</v>
      </c>
      <c r="D10" s="1511" t="s">
        <v>107</v>
      </c>
      <c r="E10" s="1512">
        <v>0</v>
      </c>
      <c r="F10" s="1512"/>
      <c r="G10" s="1512"/>
      <c r="H10" s="1512"/>
      <c r="I10" s="1512"/>
      <c r="J10" s="1512">
        <f>+I10+G10</f>
        <v>0</v>
      </c>
      <c r="K10" s="1513">
        <v>0</v>
      </c>
      <c r="L10" s="1513">
        <f t="shared" ref="L10:L19" si="0">+K10*E10</f>
        <v>0</v>
      </c>
      <c r="N10" s="1505"/>
      <c r="P10" s="1515"/>
      <c r="Q10" s="1515"/>
      <c r="R10" s="1515"/>
      <c r="S10" s="1515"/>
      <c r="T10" s="1515"/>
      <c r="U10" s="1515"/>
      <c r="V10" s="1515"/>
      <c r="W10" s="1515"/>
      <c r="X10" s="1515"/>
      <c r="Y10" s="1515"/>
      <c r="Z10" s="1515"/>
      <c r="AA10" s="1515"/>
      <c r="AB10" s="1515"/>
      <c r="AC10" s="1515"/>
      <c r="AD10" s="1515"/>
      <c r="AE10" s="1515"/>
      <c r="AF10" s="1515"/>
      <c r="AG10" s="1515">
        <f t="shared" ref="AG10:AG19" si="1">SUM(Q10:AF10)</f>
        <v>0</v>
      </c>
    </row>
    <row r="11" spans="1:33" ht="10.5" outlineLevel="1" x14ac:dyDescent="0.25">
      <c r="B11" s="1516">
        <v>1.02</v>
      </c>
      <c r="C11" s="1574" t="s">
        <v>267</v>
      </c>
      <c r="D11" s="1517" t="s">
        <v>104</v>
      </c>
      <c r="E11" s="1518">
        <v>3</v>
      </c>
      <c r="F11" s="1518"/>
      <c r="G11" s="1518"/>
      <c r="H11" s="1518"/>
      <c r="I11" s="1518"/>
      <c r="J11" s="1518"/>
      <c r="K11" s="1519">
        <v>379588</v>
      </c>
      <c r="L11" s="1519">
        <f t="shared" si="0"/>
        <v>1138764</v>
      </c>
      <c r="N11" s="1505"/>
      <c r="P11" s="1515"/>
      <c r="Q11" s="1515">
        <v>0.4</v>
      </c>
      <c r="R11" s="1515"/>
      <c r="S11" s="1515"/>
      <c r="T11" s="1515">
        <v>0.4</v>
      </c>
      <c r="U11" s="1515"/>
      <c r="V11" s="1515">
        <v>0.2</v>
      </c>
      <c r="W11" s="1515"/>
      <c r="X11" s="1515"/>
      <c r="Y11" s="1515"/>
      <c r="Z11" s="1515"/>
      <c r="AA11" s="1515"/>
      <c r="AB11" s="1515"/>
      <c r="AC11" s="1515"/>
      <c r="AD11" s="1515"/>
      <c r="AE11" s="1515"/>
      <c r="AF11" s="1515"/>
      <c r="AG11" s="1515">
        <f t="shared" si="1"/>
        <v>1</v>
      </c>
    </row>
    <row r="12" spans="1:33" ht="10.5" outlineLevel="1" x14ac:dyDescent="0.25">
      <c r="B12" s="1516">
        <v>1.03</v>
      </c>
      <c r="C12" s="1574" t="s">
        <v>1008</v>
      </c>
      <c r="D12" s="1520" t="s">
        <v>107</v>
      </c>
      <c r="E12" s="1521">
        <v>0</v>
      </c>
      <c r="F12" s="1521"/>
      <c r="G12" s="1521"/>
      <c r="H12" s="1521"/>
      <c r="I12" s="1521"/>
      <c r="J12" s="1521"/>
      <c r="K12" s="1519">
        <v>0</v>
      </c>
      <c r="L12" s="1519">
        <f t="shared" si="0"/>
        <v>0</v>
      </c>
      <c r="N12" s="1505"/>
      <c r="P12" s="1515"/>
      <c r="Q12" s="1515"/>
      <c r="R12" s="1515"/>
      <c r="S12" s="1515"/>
      <c r="T12" s="1515"/>
      <c r="U12" s="1515"/>
      <c r="V12" s="1515"/>
      <c r="W12" s="1515"/>
      <c r="X12" s="1515"/>
      <c r="Y12" s="1515"/>
      <c r="Z12" s="1515"/>
      <c r="AA12" s="1515"/>
      <c r="AB12" s="1515"/>
      <c r="AC12" s="1515"/>
      <c r="AD12" s="1515"/>
      <c r="AE12" s="1515"/>
      <c r="AF12" s="1515"/>
      <c r="AG12" s="1515">
        <f t="shared" si="1"/>
        <v>0</v>
      </c>
    </row>
    <row r="13" spans="1:33" ht="10.5" outlineLevel="1" x14ac:dyDescent="0.25">
      <c r="B13" s="1516">
        <v>1.04</v>
      </c>
      <c r="C13" s="1574" t="s">
        <v>1009</v>
      </c>
      <c r="D13" s="1517" t="s">
        <v>124</v>
      </c>
      <c r="E13" s="1518">
        <v>11</v>
      </c>
      <c r="F13" s="1518"/>
      <c r="G13" s="1518"/>
      <c r="H13" s="1518"/>
      <c r="I13" s="1518"/>
      <c r="J13" s="1518"/>
      <c r="K13" s="1519">
        <v>141220</v>
      </c>
      <c r="L13" s="1519">
        <f t="shared" si="0"/>
        <v>1553420</v>
      </c>
      <c r="N13" s="1505"/>
      <c r="P13" s="1515"/>
      <c r="Q13" s="1515">
        <v>1</v>
      </c>
      <c r="R13" s="1515"/>
      <c r="S13" s="1515"/>
      <c r="T13" s="1515"/>
      <c r="U13" s="1515"/>
      <c r="V13" s="1515"/>
      <c r="W13" s="1515"/>
      <c r="X13" s="1515"/>
      <c r="Y13" s="1515"/>
      <c r="Z13" s="1515"/>
      <c r="AA13" s="1515"/>
      <c r="AB13" s="1515"/>
      <c r="AC13" s="1515"/>
      <c r="AD13" s="1515"/>
      <c r="AE13" s="1515"/>
      <c r="AF13" s="1515"/>
      <c r="AG13" s="1515">
        <f t="shared" si="1"/>
        <v>1</v>
      </c>
    </row>
    <row r="14" spans="1:33" ht="10.5" outlineLevel="1" x14ac:dyDescent="0.25">
      <c r="B14" s="1516">
        <v>1.05</v>
      </c>
      <c r="C14" s="1574" t="s">
        <v>270</v>
      </c>
      <c r="D14" s="1517" t="s">
        <v>107</v>
      </c>
      <c r="E14" s="1518">
        <v>1</v>
      </c>
      <c r="F14" s="1518"/>
      <c r="G14" s="1518"/>
      <c r="H14" s="1518"/>
      <c r="I14" s="1518"/>
      <c r="J14" s="1518"/>
      <c r="K14" s="1519">
        <v>7548771</v>
      </c>
      <c r="L14" s="1519">
        <f t="shared" si="0"/>
        <v>7548771</v>
      </c>
      <c r="N14" s="1505"/>
      <c r="P14" s="1515"/>
      <c r="Q14" s="1515">
        <v>1</v>
      </c>
      <c r="R14" s="1515"/>
      <c r="S14" s="1515"/>
      <c r="T14" s="1515"/>
      <c r="U14" s="1515"/>
      <c r="V14" s="1515"/>
      <c r="W14" s="1515"/>
      <c r="X14" s="1515"/>
      <c r="Y14" s="1515"/>
      <c r="Z14" s="1515"/>
      <c r="AA14" s="1515"/>
      <c r="AB14" s="1515"/>
      <c r="AC14" s="1515"/>
      <c r="AD14" s="1515"/>
      <c r="AE14" s="1515"/>
      <c r="AF14" s="1515"/>
      <c r="AG14" s="1515">
        <f t="shared" si="1"/>
        <v>1</v>
      </c>
    </row>
    <row r="15" spans="1:33" ht="10.5" outlineLevel="1" x14ac:dyDescent="0.25">
      <c r="B15" s="1516">
        <v>1.06</v>
      </c>
      <c r="C15" s="1574" t="s">
        <v>271</v>
      </c>
      <c r="D15" s="1517" t="s">
        <v>101</v>
      </c>
      <c r="E15" s="1518">
        <v>3</v>
      </c>
      <c r="F15" s="1518"/>
      <c r="G15" s="1518"/>
      <c r="H15" s="1518"/>
      <c r="I15" s="1518"/>
      <c r="J15" s="1518"/>
      <c r="K15" s="1519">
        <v>392028</v>
      </c>
      <c r="L15" s="1519">
        <f t="shared" si="0"/>
        <v>1176084</v>
      </c>
      <c r="N15" s="1505"/>
      <c r="P15" s="1515"/>
      <c r="Q15" s="1515">
        <v>0.4</v>
      </c>
      <c r="R15" s="1515">
        <v>0.3</v>
      </c>
      <c r="S15" s="1515">
        <v>0.3</v>
      </c>
      <c r="T15" s="1515"/>
      <c r="U15" s="1515"/>
      <c r="V15" s="1515"/>
      <c r="W15" s="1515"/>
      <c r="X15" s="1515"/>
      <c r="Y15" s="1515"/>
      <c r="Z15" s="1515"/>
      <c r="AA15" s="1515"/>
      <c r="AB15" s="1515"/>
      <c r="AC15" s="1515"/>
      <c r="AD15" s="1515"/>
      <c r="AE15" s="1515"/>
      <c r="AF15" s="1515"/>
      <c r="AG15" s="1515">
        <f t="shared" si="1"/>
        <v>1</v>
      </c>
    </row>
    <row r="16" spans="1:33" ht="10.5" outlineLevel="1" x14ac:dyDescent="0.25">
      <c r="B16" s="1516">
        <v>1.07</v>
      </c>
      <c r="C16" s="1574" t="s">
        <v>272</v>
      </c>
      <c r="D16" s="1517" t="s">
        <v>107</v>
      </c>
      <c r="E16" s="1518">
        <v>1</v>
      </c>
      <c r="F16" s="1518"/>
      <c r="G16" s="1518"/>
      <c r="H16" s="1518"/>
      <c r="I16" s="1518"/>
      <c r="J16" s="1518"/>
      <c r="K16" s="1519">
        <v>1731320</v>
      </c>
      <c r="L16" s="1519">
        <f t="shared" si="0"/>
        <v>1731320</v>
      </c>
      <c r="N16" s="1505"/>
      <c r="P16" s="1515"/>
      <c r="Q16" s="1515">
        <v>1</v>
      </c>
      <c r="R16" s="1515"/>
      <c r="S16" s="1515"/>
      <c r="T16" s="1515"/>
      <c r="U16" s="1515"/>
      <c r="V16" s="1515"/>
      <c r="W16" s="1515"/>
      <c r="X16" s="1515"/>
      <c r="Y16" s="1515"/>
      <c r="Z16" s="1515"/>
      <c r="AA16" s="1515"/>
      <c r="AB16" s="1515"/>
      <c r="AC16" s="1515"/>
      <c r="AD16" s="1515"/>
      <c r="AE16" s="1515"/>
      <c r="AF16" s="1515"/>
      <c r="AG16" s="1515">
        <f t="shared" si="1"/>
        <v>1</v>
      </c>
    </row>
    <row r="17" spans="2:33" ht="10.5" outlineLevel="1" x14ac:dyDescent="0.25">
      <c r="B17" s="1516">
        <v>1.08</v>
      </c>
      <c r="C17" s="1574" t="s">
        <v>273</v>
      </c>
      <c r="D17" s="1517" t="s">
        <v>107</v>
      </c>
      <c r="E17" s="1518">
        <v>1</v>
      </c>
      <c r="F17" s="1518"/>
      <c r="G17" s="1518"/>
      <c r="H17" s="1518"/>
      <c r="I17" s="1518"/>
      <c r="J17" s="1518"/>
      <c r="K17" s="1519">
        <v>1405632</v>
      </c>
      <c r="L17" s="1519">
        <f t="shared" si="0"/>
        <v>1405632</v>
      </c>
      <c r="N17" s="1505"/>
      <c r="P17" s="1515"/>
      <c r="Q17" s="1515">
        <v>1</v>
      </c>
      <c r="R17" s="1515"/>
      <c r="S17" s="1515"/>
      <c r="T17" s="1515"/>
      <c r="U17" s="1515"/>
      <c r="V17" s="1515"/>
      <c r="W17" s="1515"/>
      <c r="X17" s="1515"/>
      <c r="Y17" s="1515"/>
      <c r="Z17" s="1515"/>
      <c r="AA17" s="1515"/>
      <c r="AB17" s="1515"/>
      <c r="AC17" s="1515"/>
      <c r="AD17" s="1515"/>
      <c r="AE17" s="1515"/>
      <c r="AF17" s="1515"/>
      <c r="AG17" s="1515">
        <f t="shared" si="1"/>
        <v>1</v>
      </c>
    </row>
    <row r="18" spans="2:33" ht="10.5" outlineLevel="1" x14ac:dyDescent="0.25">
      <c r="B18" s="1516">
        <v>1.0900000000000001</v>
      </c>
      <c r="C18" s="1574" t="s">
        <v>274</v>
      </c>
      <c r="D18" s="1517" t="s">
        <v>107</v>
      </c>
      <c r="E18" s="1518">
        <v>1</v>
      </c>
      <c r="F18" s="1518"/>
      <c r="G18" s="1518"/>
      <c r="H18" s="1518"/>
      <c r="I18" s="1518"/>
      <c r="J18" s="1518"/>
      <c r="K18" s="1519">
        <v>426487</v>
      </c>
      <c r="L18" s="1519">
        <f t="shared" si="0"/>
        <v>426487</v>
      </c>
      <c r="N18" s="1505"/>
      <c r="P18" s="1515"/>
      <c r="Q18" s="1515">
        <v>1</v>
      </c>
      <c r="R18" s="1515"/>
      <c r="S18" s="1515"/>
      <c r="T18" s="1515"/>
      <c r="U18" s="1515"/>
      <c r="V18" s="1515"/>
      <c r="W18" s="1515"/>
      <c r="X18" s="1515"/>
      <c r="Y18" s="1515"/>
      <c r="Z18" s="1515"/>
      <c r="AA18" s="1515"/>
      <c r="AB18" s="1515"/>
      <c r="AC18" s="1515"/>
      <c r="AD18" s="1515"/>
      <c r="AE18" s="1515"/>
      <c r="AF18" s="1515"/>
      <c r="AG18" s="1515">
        <f t="shared" si="1"/>
        <v>1</v>
      </c>
    </row>
    <row r="19" spans="2:33" ht="10.5" outlineLevel="1" x14ac:dyDescent="0.25">
      <c r="B19" s="1522">
        <v>1.1000000000000001</v>
      </c>
      <c r="C19" s="1659" t="s">
        <v>275</v>
      </c>
      <c r="D19" s="1523" t="s">
        <v>107</v>
      </c>
      <c r="E19" s="1524">
        <v>1</v>
      </c>
      <c r="F19" s="1550"/>
      <c r="G19" s="1550"/>
      <c r="H19" s="1550"/>
      <c r="I19" s="1550"/>
      <c r="J19" s="1550"/>
      <c r="K19" s="1519">
        <v>9803685</v>
      </c>
      <c r="L19" s="1519">
        <f t="shared" si="0"/>
        <v>9803685</v>
      </c>
      <c r="N19" s="1505"/>
      <c r="P19" s="1515"/>
      <c r="Q19" s="1515">
        <v>1</v>
      </c>
      <c r="R19" s="1515"/>
      <c r="S19" s="1515"/>
      <c r="T19" s="1515"/>
      <c r="U19" s="1515"/>
      <c r="V19" s="1515"/>
      <c r="W19" s="1515"/>
      <c r="X19" s="1515"/>
      <c r="Y19" s="1515"/>
      <c r="Z19" s="1515"/>
      <c r="AA19" s="1515"/>
      <c r="AB19" s="1515"/>
      <c r="AC19" s="1515"/>
      <c r="AD19" s="1515"/>
      <c r="AE19" s="1515"/>
      <c r="AF19" s="1515"/>
      <c r="AG19" s="1515">
        <f t="shared" si="1"/>
        <v>1</v>
      </c>
    </row>
    <row r="20" spans="2:33" ht="10.5" x14ac:dyDescent="0.25">
      <c r="B20" s="1500">
        <v>2</v>
      </c>
      <c r="C20" s="1590" t="s">
        <v>196</v>
      </c>
      <c r="D20" s="1501"/>
      <c r="E20" s="1502"/>
      <c r="F20" s="1502"/>
      <c r="G20" s="1502"/>
      <c r="H20" s="1502"/>
      <c r="I20" s="1502"/>
      <c r="J20" s="1502"/>
      <c r="K20" s="1502"/>
      <c r="L20" s="1502"/>
      <c r="M20" s="1504">
        <f>SUM(L21:L23)</f>
        <v>42017464</v>
      </c>
      <c r="N20" s="895">
        <f>M20-'01'!W19</f>
        <v>0</v>
      </c>
      <c r="P20" s="1506"/>
      <c r="Q20" s="1506"/>
      <c r="R20" s="1506"/>
      <c r="S20" s="1506"/>
      <c r="T20" s="1506"/>
      <c r="U20" s="1507"/>
      <c r="V20" s="1507"/>
      <c r="W20" s="1507"/>
      <c r="X20" s="1507"/>
      <c r="Y20" s="1507"/>
      <c r="Z20" s="1507"/>
      <c r="AA20" s="1507"/>
      <c r="AB20" s="1507"/>
      <c r="AC20" s="1507"/>
      <c r="AD20" s="1507"/>
      <c r="AE20" s="1507"/>
      <c r="AF20" s="1507"/>
      <c r="AG20" s="1507"/>
    </row>
    <row r="21" spans="2:33" ht="10.5" outlineLevel="1" x14ac:dyDescent="0.25">
      <c r="B21" s="1516">
        <v>2.0099999999999998</v>
      </c>
      <c r="C21" s="1528" t="s">
        <v>276</v>
      </c>
      <c r="D21" s="1529" t="s">
        <v>108</v>
      </c>
      <c r="E21" s="1530">
        <v>1266</v>
      </c>
      <c r="F21" s="1530"/>
      <c r="G21" s="1530"/>
      <c r="H21" s="1530"/>
      <c r="I21" s="1530"/>
      <c r="J21" s="1530"/>
      <c r="K21" s="1519">
        <v>33090</v>
      </c>
      <c r="L21" s="1519">
        <f>+K21*E21</f>
        <v>41891940</v>
      </c>
      <c r="N21" s="1505"/>
      <c r="P21" s="1515"/>
      <c r="Q21" s="1515">
        <v>0.2</v>
      </c>
      <c r="R21" s="1515">
        <v>0.4</v>
      </c>
      <c r="S21" s="1515">
        <v>0.4</v>
      </c>
      <c r="T21" s="1515"/>
      <c r="U21" s="1515"/>
      <c r="V21" s="1515"/>
      <c r="W21" s="1515"/>
      <c r="X21" s="1515"/>
      <c r="Y21" s="1515"/>
      <c r="Z21" s="1515"/>
      <c r="AA21" s="1515"/>
      <c r="AB21" s="1515"/>
      <c r="AC21" s="1515"/>
      <c r="AD21" s="1515"/>
      <c r="AE21" s="1515"/>
      <c r="AF21" s="1515"/>
      <c r="AG21" s="1515">
        <f>SUM(Q21:AF21)</f>
        <v>1</v>
      </c>
    </row>
    <row r="22" spans="2:33" ht="10.5" outlineLevel="1" x14ac:dyDescent="0.25">
      <c r="B22" s="1516">
        <v>2.02</v>
      </c>
      <c r="C22" s="1660" t="s">
        <v>1010</v>
      </c>
      <c r="D22" s="1517" t="s">
        <v>107</v>
      </c>
      <c r="E22" s="1530">
        <v>0</v>
      </c>
      <c r="F22" s="1530"/>
      <c r="G22" s="1530"/>
      <c r="H22" s="1530"/>
      <c r="I22" s="1530"/>
      <c r="J22" s="1530"/>
      <c r="K22" s="1519">
        <v>0</v>
      </c>
      <c r="L22" s="1519">
        <f>+K22*E22</f>
        <v>0</v>
      </c>
      <c r="N22" s="1505"/>
      <c r="P22" s="1515"/>
      <c r="Q22" s="1515"/>
      <c r="R22" s="1515"/>
      <c r="S22" s="1515"/>
      <c r="T22" s="1515"/>
      <c r="U22" s="1515"/>
      <c r="V22" s="1515"/>
      <c r="W22" s="1515"/>
      <c r="X22" s="1515"/>
      <c r="Y22" s="1515"/>
      <c r="Z22" s="1515"/>
      <c r="AA22" s="1515"/>
      <c r="AB22" s="1515"/>
      <c r="AC22" s="1515"/>
      <c r="AD22" s="1515"/>
      <c r="AE22" s="1515"/>
      <c r="AF22" s="1515"/>
      <c r="AG22" s="1515">
        <f>SUM(Q22:AF22)</f>
        <v>0</v>
      </c>
    </row>
    <row r="23" spans="2:33" ht="10.5" outlineLevel="1" x14ac:dyDescent="0.25">
      <c r="B23" s="1516">
        <v>2.0299999999999998</v>
      </c>
      <c r="C23" s="1528" t="s">
        <v>278</v>
      </c>
      <c r="D23" s="1529" t="s">
        <v>108</v>
      </c>
      <c r="E23" s="1530">
        <v>2</v>
      </c>
      <c r="F23" s="1530"/>
      <c r="G23" s="1530"/>
      <c r="H23" s="1530"/>
      <c r="I23" s="1530"/>
      <c r="J23" s="1530"/>
      <c r="K23" s="1519">
        <v>62762</v>
      </c>
      <c r="L23" s="1519">
        <f>+K23*E23</f>
        <v>125524</v>
      </c>
      <c r="N23" s="1505"/>
      <c r="P23" s="1515"/>
      <c r="Q23" s="1515"/>
      <c r="R23" s="1515"/>
      <c r="S23" s="1515">
        <v>1</v>
      </c>
      <c r="T23" s="1515"/>
      <c r="U23" s="1515"/>
      <c r="V23" s="1515"/>
      <c r="W23" s="1515"/>
      <c r="X23" s="1515"/>
      <c r="Y23" s="1515"/>
      <c r="Z23" s="1515"/>
      <c r="AA23" s="1515"/>
      <c r="AB23" s="1515"/>
      <c r="AC23" s="1515"/>
      <c r="AD23" s="1515"/>
      <c r="AE23" s="1515"/>
      <c r="AF23" s="1515"/>
      <c r="AG23" s="1515">
        <f>SUM(Q23:AF23)</f>
        <v>1</v>
      </c>
    </row>
    <row r="24" spans="2:33" ht="10.5" x14ac:dyDescent="0.25">
      <c r="B24" s="1500">
        <v>3</v>
      </c>
      <c r="C24" s="1411" t="s">
        <v>279</v>
      </c>
      <c r="D24" s="1501"/>
      <c r="E24" s="1502"/>
      <c r="F24" s="1502"/>
      <c r="G24" s="1502"/>
      <c r="H24" s="1502"/>
      <c r="I24" s="1502"/>
      <c r="J24" s="1502"/>
      <c r="K24" s="1502"/>
      <c r="L24" s="1502"/>
      <c r="M24" s="1504">
        <f>SUM(L25:L41)</f>
        <v>277149875</v>
      </c>
      <c r="N24" s="896">
        <f>M24-'01'!W23</f>
        <v>24079092</v>
      </c>
      <c r="P24" s="1506"/>
      <c r="Q24" s="1506"/>
      <c r="R24" s="1506"/>
      <c r="S24" s="1506"/>
      <c r="T24" s="1506"/>
      <c r="U24" s="1507"/>
      <c r="V24" s="1507"/>
      <c r="W24" s="1507"/>
      <c r="X24" s="1507"/>
      <c r="Y24" s="1507"/>
      <c r="Z24" s="1507"/>
      <c r="AA24" s="1507"/>
      <c r="AB24" s="1507"/>
      <c r="AC24" s="1507"/>
      <c r="AD24" s="1507"/>
      <c r="AE24" s="1507"/>
      <c r="AF24" s="1507"/>
      <c r="AG24" s="1507"/>
    </row>
    <row r="25" spans="2:33" ht="10.5" outlineLevel="1" x14ac:dyDescent="0.25">
      <c r="B25" s="1516">
        <v>3.01</v>
      </c>
      <c r="C25" s="1661" t="s">
        <v>280</v>
      </c>
      <c r="D25" s="1520" t="s">
        <v>108</v>
      </c>
      <c r="E25" s="1521">
        <v>35</v>
      </c>
      <c r="F25" s="1521"/>
      <c r="G25" s="1521"/>
      <c r="H25" s="1521"/>
      <c r="I25" s="1521"/>
      <c r="J25" s="1521"/>
      <c r="K25" s="1369">
        <v>314478</v>
      </c>
      <c r="L25" s="1519">
        <f t="shared" ref="L25:L41" si="2">+K25*E25</f>
        <v>11006730</v>
      </c>
      <c r="N25" s="1505"/>
      <c r="P25" s="1532"/>
      <c r="Q25" s="1532"/>
      <c r="R25" s="1532">
        <v>0.5</v>
      </c>
      <c r="S25" s="1532">
        <v>0.5</v>
      </c>
      <c r="T25" s="1532"/>
      <c r="U25" s="1532"/>
      <c r="V25" s="1532"/>
      <c r="W25" s="1532"/>
      <c r="X25" s="1532"/>
      <c r="Y25" s="1532"/>
      <c r="Z25" s="1515"/>
      <c r="AA25" s="1515"/>
      <c r="AB25" s="1515"/>
      <c r="AC25" s="1515"/>
      <c r="AD25" s="1515"/>
      <c r="AE25" s="1515"/>
      <c r="AF25" s="1515"/>
      <c r="AG25" s="1515">
        <f t="shared" ref="AG25:AG41" si="3">SUM(Q25:AF25)</f>
        <v>1</v>
      </c>
    </row>
    <row r="26" spans="2:33" ht="10.5" outlineLevel="1" x14ac:dyDescent="0.25">
      <c r="B26" s="1516">
        <v>3.02</v>
      </c>
      <c r="C26" s="1661" t="s">
        <v>281</v>
      </c>
      <c r="D26" s="1520" t="s">
        <v>108</v>
      </c>
      <c r="E26" s="1521">
        <v>40</v>
      </c>
      <c r="F26" s="1521"/>
      <c r="G26" s="1521"/>
      <c r="H26" s="1521"/>
      <c r="I26" s="1521"/>
      <c r="J26" s="1521"/>
      <c r="K26" s="1379">
        <v>536061.60463499255</v>
      </c>
      <c r="L26" s="1519">
        <f t="shared" si="2"/>
        <v>21442464.185399704</v>
      </c>
      <c r="N26" s="1505"/>
      <c r="P26" s="1532"/>
      <c r="Q26" s="1532">
        <v>0.2</v>
      </c>
      <c r="R26" s="1532">
        <v>0.5</v>
      </c>
      <c r="S26" s="1532">
        <v>0.3</v>
      </c>
      <c r="T26" s="1532"/>
      <c r="U26" s="1532"/>
      <c r="V26" s="1532"/>
      <c r="W26" s="1532"/>
      <c r="X26" s="1532"/>
      <c r="Y26" s="1532"/>
      <c r="Z26" s="1515"/>
      <c r="AA26" s="1515"/>
      <c r="AB26" s="1515"/>
      <c r="AC26" s="1515"/>
      <c r="AD26" s="1515"/>
      <c r="AE26" s="1515"/>
      <c r="AF26" s="1515"/>
      <c r="AG26" s="1515">
        <f t="shared" si="3"/>
        <v>1</v>
      </c>
    </row>
    <row r="27" spans="2:33" ht="10.5" outlineLevel="1" x14ac:dyDescent="0.25">
      <c r="B27" s="1516">
        <v>3.03</v>
      </c>
      <c r="C27" s="1661" t="s">
        <v>282</v>
      </c>
      <c r="D27" s="1520" t="s">
        <v>108</v>
      </c>
      <c r="E27" s="1521">
        <v>28</v>
      </c>
      <c r="F27" s="1521"/>
      <c r="G27" s="1521"/>
      <c r="H27" s="1521"/>
      <c r="I27" s="1521"/>
      <c r="J27" s="1521"/>
      <c r="K27" s="1379">
        <v>437680.75902561104</v>
      </c>
      <c r="L27" s="1519">
        <f t="shared" si="2"/>
        <v>12255061.252717109</v>
      </c>
      <c r="N27" s="1505"/>
      <c r="P27" s="1532"/>
      <c r="Q27" s="1532">
        <v>0.2</v>
      </c>
      <c r="R27" s="1532">
        <v>0.5</v>
      </c>
      <c r="S27" s="1532">
        <v>0.3</v>
      </c>
      <c r="T27" s="1532"/>
      <c r="U27" s="1532"/>
      <c r="V27" s="1532"/>
      <c r="W27" s="1532"/>
      <c r="X27" s="1532"/>
      <c r="Y27" s="1532"/>
      <c r="Z27" s="1515"/>
      <c r="AA27" s="1515"/>
      <c r="AB27" s="1515"/>
      <c r="AC27" s="1515"/>
      <c r="AD27" s="1515"/>
      <c r="AE27" s="1515"/>
      <c r="AF27" s="1515"/>
      <c r="AG27" s="1515">
        <f t="shared" si="3"/>
        <v>1</v>
      </c>
    </row>
    <row r="28" spans="2:33" ht="10.5" outlineLevel="1" x14ac:dyDescent="0.25">
      <c r="B28" s="1516">
        <v>3.04</v>
      </c>
      <c r="C28" s="1661" t="s">
        <v>283</v>
      </c>
      <c r="D28" s="1520" t="s">
        <v>108</v>
      </c>
      <c r="E28" s="1521">
        <v>179</v>
      </c>
      <c r="F28" s="1521"/>
      <c r="G28" s="1521"/>
      <c r="H28" s="1521"/>
      <c r="I28" s="1521"/>
      <c r="J28" s="1521"/>
      <c r="K28" s="1379">
        <v>214461.71810976119</v>
      </c>
      <c r="L28" s="1519">
        <f t="shared" si="2"/>
        <v>38388647.541647255</v>
      </c>
      <c r="N28" s="1505"/>
      <c r="P28" s="1532"/>
      <c r="Q28" s="1532"/>
      <c r="R28" s="1532"/>
      <c r="S28" s="1532">
        <v>0.5</v>
      </c>
      <c r="T28" s="1532">
        <v>0.5</v>
      </c>
      <c r="U28" s="1532"/>
      <c r="V28" s="1532"/>
      <c r="W28" s="1532"/>
      <c r="X28" s="1532"/>
      <c r="Y28" s="1532"/>
      <c r="Z28" s="1515"/>
      <c r="AA28" s="1515"/>
      <c r="AB28" s="1515"/>
      <c r="AC28" s="1515"/>
      <c r="AD28" s="1515"/>
      <c r="AE28" s="1515"/>
      <c r="AF28" s="1515"/>
      <c r="AG28" s="1515">
        <f t="shared" si="3"/>
        <v>1</v>
      </c>
    </row>
    <row r="29" spans="2:33" ht="10.5" outlineLevel="1" x14ac:dyDescent="0.25">
      <c r="B29" s="1516">
        <v>3.05</v>
      </c>
      <c r="C29" s="1661" t="s">
        <v>284</v>
      </c>
      <c r="D29" s="1520" t="s">
        <v>108</v>
      </c>
      <c r="E29" s="1521">
        <v>10</v>
      </c>
      <c r="F29" s="1521"/>
      <c r="G29" s="1521"/>
      <c r="H29" s="1521"/>
      <c r="I29" s="1521"/>
      <c r="J29" s="1521"/>
      <c r="K29" s="1379">
        <v>462731.65315224335</v>
      </c>
      <c r="L29" s="1519">
        <f t="shared" si="2"/>
        <v>4627316.5315224333</v>
      </c>
      <c r="N29" s="1505"/>
      <c r="P29" s="1532"/>
      <c r="Q29" s="1532"/>
      <c r="R29" s="1532"/>
      <c r="S29" s="1532"/>
      <c r="T29" s="1532"/>
      <c r="U29" s="1532">
        <v>1</v>
      </c>
      <c r="V29" s="1532"/>
      <c r="W29" s="1532"/>
      <c r="X29" s="1532"/>
      <c r="Y29" s="1532"/>
      <c r="Z29" s="1515"/>
      <c r="AA29" s="1515"/>
      <c r="AB29" s="1515"/>
      <c r="AC29" s="1515"/>
      <c r="AD29" s="1515"/>
      <c r="AE29" s="1515"/>
      <c r="AF29" s="1515"/>
      <c r="AG29" s="1515">
        <f t="shared" si="3"/>
        <v>1</v>
      </c>
    </row>
    <row r="30" spans="2:33" ht="10.5" outlineLevel="1" x14ac:dyDescent="0.25">
      <c r="B30" s="1516">
        <v>3.06</v>
      </c>
      <c r="C30" s="1574" t="s">
        <v>285</v>
      </c>
      <c r="D30" s="1529" t="s">
        <v>108</v>
      </c>
      <c r="E30" s="1518">
        <v>177</v>
      </c>
      <c r="F30" s="1518"/>
      <c r="G30" s="1518"/>
      <c r="H30" s="1518"/>
      <c r="I30" s="1518"/>
      <c r="J30" s="1518"/>
      <c r="K30" s="1379">
        <v>317280.61373546202</v>
      </c>
      <c r="L30" s="1519">
        <f t="shared" si="2"/>
        <v>56158668.631176777</v>
      </c>
      <c r="N30" s="1505"/>
      <c r="P30" s="1532"/>
      <c r="Q30" s="1532"/>
      <c r="R30" s="1532"/>
      <c r="S30" s="1532"/>
      <c r="T30" s="1532">
        <v>0.2</v>
      </c>
      <c r="U30" s="1532">
        <v>0.2</v>
      </c>
      <c r="V30" s="1532">
        <v>0.2</v>
      </c>
      <c r="W30" s="1532">
        <v>0.2</v>
      </c>
      <c r="X30" s="1532">
        <v>0.2</v>
      </c>
      <c r="Y30" s="1532"/>
      <c r="Z30" s="1515"/>
      <c r="AA30" s="1515"/>
      <c r="AB30" s="1515"/>
      <c r="AC30" s="1515"/>
      <c r="AD30" s="1515"/>
      <c r="AE30" s="1515"/>
      <c r="AF30" s="1515"/>
      <c r="AG30" s="1515">
        <f t="shared" si="3"/>
        <v>1</v>
      </c>
    </row>
    <row r="31" spans="2:33" ht="10.5" outlineLevel="1" x14ac:dyDescent="0.25">
      <c r="B31" s="1516">
        <v>3.07</v>
      </c>
      <c r="C31" s="1574" t="s">
        <v>286</v>
      </c>
      <c r="D31" s="1529" t="s">
        <v>108</v>
      </c>
      <c r="E31" s="1518">
        <v>65</v>
      </c>
      <c r="F31" s="1518"/>
      <c r="G31" s="1518"/>
      <c r="H31" s="1518"/>
      <c r="I31" s="1518"/>
      <c r="J31" s="1518"/>
      <c r="K31" s="1379">
        <v>789050.43678086973</v>
      </c>
      <c r="L31" s="1519">
        <f t="shared" si="2"/>
        <v>51288278.390756533</v>
      </c>
      <c r="N31" s="1505"/>
      <c r="P31" s="1532"/>
      <c r="Q31" s="1532"/>
      <c r="R31" s="1532"/>
      <c r="S31" s="1532"/>
      <c r="T31" s="1532">
        <v>0.2</v>
      </c>
      <c r="U31" s="1532">
        <v>0.2</v>
      </c>
      <c r="V31" s="1532">
        <v>0.2</v>
      </c>
      <c r="W31" s="1532">
        <v>0.2</v>
      </c>
      <c r="X31" s="1532">
        <v>0.2</v>
      </c>
      <c r="Y31" s="1532"/>
      <c r="Z31" s="1515"/>
      <c r="AA31" s="1515"/>
      <c r="AB31" s="1515"/>
      <c r="AC31" s="1515"/>
      <c r="AD31" s="1515"/>
      <c r="AE31" s="1515"/>
      <c r="AF31" s="1515"/>
      <c r="AG31" s="1515">
        <f t="shared" si="3"/>
        <v>1</v>
      </c>
    </row>
    <row r="32" spans="2:33" ht="10.5" outlineLevel="1" x14ac:dyDescent="0.25">
      <c r="B32" s="1516">
        <v>3.08</v>
      </c>
      <c r="C32" s="1574" t="s">
        <v>287</v>
      </c>
      <c r="D32" s="1529" t="s">
        <v>108</v>
      </c>
      <c r="E32" s="1518">
        <v>12</v>
      </c>
      <c r="F32" s="1518"/>
      <c r="G32" s="1518"/>
      <c r="H32" s="1518"/>
      <c r="I32" s="1518"/>
      <c r="J32" s="1518"/>
      <c r="K32" s="1379">
        <v>917117.81855494005</v>
      </c>
      <c r="L32" s="1519">
        <f t="shared" si="2"/>
        <v>11005413.82265928</v>
      </c>
      <c r="N32" s="1505"/>
      <c r="P32" s="1532"/>
      <c r="Q32" s="1532"/>
      <c r="R32" s="1532"/>
      <c r="S32" s="1532"/>
      <c r="T32" s="1532">
        <v>0.2</v>
      </c>
      <c r="U32" s="1532">
        <v>0.2</v>
      </c>
      <c r="V32" s="1532">
        <v>0.2</v>
      </c>
      <c r="W32" s="1532">
        <v>0.2</v>
      </c>
      <c r="X32" s="1532">
        <v>0.2</v>
      </c>
      <c r="Y32" s="1532"/>
      <c r="Z32" s="1515"/>
      <c r="AA32" s="1515"/>
      <c r="AB32" s="1515"/>
      <c r="AC32" s="1515"/>
      <c r="AD32" s="1515"/>
      <c r="AE32" s="1515"/>
      <c r="AF32" s="1515"/>
      <c r="AG32" s="1515">
        <f t="shared" si="3"/>
        <v>1</v>
      </c>
    </row>
    <row r="33" spans="1:33" ht="10.5" outlineLevel="1" x14ac:dyDescent="0.25">
      <c r="B33" s="1516">
        <v>3.09</v>
      </c>
      <c r="C33" s="1574" t="s">
        <v>288</v>
      </c>
      <c r="D33" s="1529" t="s">
        <v>108</v>
      </c>
      <c r="E33" s="1518">
        <v>28</v>
      </c>
      <c r="F33" s="1518"/>
      <c r="G33" s="1518"/>
      <c r="H33" s="1518"/>
      <c r="I33" s="1518"/>
      <c r="J33" s="1518"/>
      <c r="K33" s="1379">
        <v>536061.60463499266</v>
      </c>
      <c r="L33" s="1519">
        <f t="shared" si="2"/>
        <v>15009724.929779794</v>
      </c>
      <c r="N33" s="1505"/>
      <c r="P33" s="1532"/>
      <c r="Q33" s="1532"/>
      <c r="R33" s="1532"/>
      <c r="S33" s="1532"/>
      <c r="T33" s="1532">
        <v>0.2</v>
      </c>
      <c r="U33" s="1532">
        <v>0.2</v>
      </c>
      <c r="V33" s="1532">
        <v>0.2</v>
      </c>
      <c r="W33" s="1532">
        <v>0.2</v>
      </c>
      <c r="X33" s="1532">
        <v>0.2</v>
      </c>
      <c r="Y33" s="1532"/>
      <c r="Z33" s="1515"/>
      <c r="AA33" s="1515"/>
      <c r="AB33" s="1515"/>
      <c r="AC33" s="1515"/>
      <c r="AD33" s="1515"/>
      <c r="AE33" s="1515"/>
      <c r="AF33" s="1515"/>
      <c r="AG33" s="1515">
        <f t="shared" si="3"/>
        <v>1</v>
      </c>
    </row>
    <row r="34" spans="1:33" ht="10.5" outlineLevel="1" x14ac:dyDescent="0.25">
      <c r="B34" s="1516">
        <v>3.1</v>
      </c>
      <c r="C34" s="1574" t="s">
        <v>289</v>
      </c>
      <c r="D34" s="1529" t="s">
        <v>108</v>
      </c>
      <c r="E34" s="1518">
        <v>54</v>
      </c>
      <c r="F34" s="1518"/>
      <c r="G34" s="1518"/>
      <c r="H34" s="1518"/>
      <c r="I34" s="1518"/>
      <c r="J34" s="1518"/>
      <c r="K34" s="1379">
        <v>473858.97015163902</v>
      </c>
      <c r="L34" s="1519">
        <f t="shared" si="2"/>
        <v>25588384.388188507</v>
      </c>
      <c r="N34" s="1505"/>
      <c r="P34" s="1532"/>
      <c r="Q34" s="1532"/>
      <c r="R34" s="1532"/>
      <c r="S34" s="1532"/>
      <c r="T34" s="1532">
        <v>0.2</v>
      </c>
      <c r="U34" s="1532">
        <v>0.2</v>
      </c>
      <c r="V34" s="1532">
        <v>0.2</v>
      </c>
      <c r="W34" s="1532">
        <v>0.2</v>
      </c>
      <c r="X34" s="1532">
        <v>0.2</v>
      </c>
      <c r="Y34" s="1532"/>
      <c r="Z34" s="1515"/>
      <c r="AA34" s="1515"/>
      <c r="AB34" s="1515"/>
      <c r="AC34" s="1515"/>
      <c r="AD34" s="1515"/>
      <c r="AE34" s="1515"/>
      <c r="AF34" s="1515"/>
      <c r="AG34" s="1515">
        <f t="shared" si="3"/>
        <v>1</v>
      </c>
    </row>
    <row r="35" spans="1:33" ht="10.5" outlineLevel="1" x14ac:dyDescent="0.25">
      <c r="B35" s="1516">
        <v>3.11</v>
      </c>
      <c r="C35" s="1574" t="s">
        <v>290</v>
      </c>
      <c r="D35" s="1529" t="s">
        <v>108</v>
      </c>
      <c r="E35" s="1518">
        <v>11</v>
      </c>
      <c r="F35" s="1518"/>
      <c r="G35" s="1518"/>
      <c r="H35" s="1518"/>
      <c r="I35" s="1518"/>
      <c r="J35" s="1518"/>
      <c r="K35" s="1379">
        <v>497587.77384069352</v>
      </c>
      <c r="L35" s="1519">
        <f t="shared" si="2"/>
        <v>5473465.5122476285</v>
      </c>
      <c r="N35" s="1505"/>
      <c r="P35" s="1532"/>
      <c r="Q35" s="1532"/>
      <c r="R35" s="1532"/>
      <c r="S35" s="1532"/>
      <c r="T35" s="1532">
        <v>0.2</v>
      </c>
      <c r="U35" s="1532">
        <v>0.2</v>
      </c>
      <c r="V35" s="1532">
        <v>0.2</v>
      </c>
      <c r="W35" s="1532">
        <v>0.2</v>
      </c>
      <c r="X35" s="1532">
        <v>0.2</v>
      </c>
      <c r="Y35" s="1532"/>
      <c r="Z35" s="1515"/>
      <c r="AA35" s="1515"/>
      <c r="AB35" s="1515"/>
      <c r="AC35" s="1515"/>
      <c r="AD35" s="1515"/>
      <c r="AE35" s="1515"/>
      <c r="AF35" s="1515"/>
      <c r="AG35" s="1515">
        <f t="shared" si="3"/>
        <v>1</v>
      </c>
    </row>
    <row r="36" spans="1:33" ht="10.5" outlineLevel="1" x14ac:dyDescent="0.25">
      <c r="B36" s="1516">
        <v>3.12</v>
      </c>
      <c r="C36" s="1574" t="s">
        <v>291</v>
      </c>
      <c r="D36" s="1529" t="s">
        <v>108</v>
      </c>
      <c r="E36" s="1518">
        <v>3</v>
      </c>
      <c r="F36" s="1518"/>
      <c r="G36" s="1518"/>
      <c r="H36" s="1518"/>
      <c r="I36" s="1518"/>
      <c r="J36" s="1518"/>
      <c r="K36" s="1379">
        <v>536061.60463499266</v>
      </c>
      <c r="L36" s="1519">
        <f t="shared" si="2"/>
        <v>1608184.8139049779</v>
      </c>
      <c r="N36" s="1505"/>
      <c r="P36" s="1532"/>
      <c r="Q36" s="1532"/>
      <c r="R36" s="1532"/>
      <c r="S36" s="1532"/>
      <c r="T36" s="1532">
        <v>0.2</v>
      </c>
      <c r="U36" s="1532">
        <v>0.2</v>
      </c>
      <c r="V36" s="1532">
        <v>0.2</v>
      </c>
      <c r="W36" s="1532">
        <v>0.2</v>
      </c>
      <c r="X36" s="1532">
        <v>0.2</v>
      </c>
      <c r="Y36" s="1532"/>
      <c r="Z36" s="1515"/>
      <c r="AA36" s="1515"/>
      <c r="AB36" s="1515"/>
      <c r="AC36" s="1515"/>
      <c r="AD36" s="1515"/>
      <c r="AE36" s="1515"/>
      <c r="AF36" s="1515"/>
      <c r="AG36" s="1515">
        <f t="shared" si="3"/>
        <v>1</v>
      </c>
    </row>
    <row r="37" spans="1:33" ht="10.5" outlineLevel="1" x14ac:dyDescent="0.25">
      <c r="B37" s="1516">
        <v>3.13</v>
      </c>
      <c r="C37" s="1574" t="s">
        <v>1011</v>
      </c>
      <c r="D37" s="1529" t="s">
        <v>124</v>
      </c>
      <c r="E37" s="1518">
        <v>240</v>
      </c>
      <c r="F37" s="1518"/>
      <c r="G37" s="1518"/>
      <c r="H37" s="1518"/>
      <c r="I37" s="1518"/>
      <c r="J37" s="1518"/>
      <c r="K37" s="1369">
        <v>31137</v>
      </c>
      <c r="L37" s="1519">
        <f t="shared" si="2"/>
        <v>7472880</v>
      </c>
      <c r="N37" s="1505"/>
      <c r="P37" s="1532"/>
      <c r="Q37" s="1532"/>
      <c r="R37" s="1532">
        <v>0.5</v>
      </c>
      <c r="S37" s="1532">
        <v>0.5</v>
      </c>
      <c r="T37" s="1532"/>
      <c r="U37" s="1532"/>
      <c r="V37" s="1532"/>
      <c r="W37" s="1532"/>
      <c r="X37" s="1532"/>
      <c r="Y37" s="1532"/>
      <c r="Z37" s="1515"/>
      <c r="AA37" s="1515"/>
      <c r="AB37" s="1515"/>
      <c r="AC37" s="1515"/>
      <c r="AD37" s="1515"/>
      <c r="AE37" s="1515"/>
      <c r="AF37" s="1515"/>
      <c r="AG37" s="1515">
        <f t="shared" si="3"/>
        <v>1</v>
      </c>
    </row>
    <row r="38" spans="1:33" ht="10.5" outlineLevel="1" x14ac:dyDescent="0.25">
      <c r="B38" s="1516">
        <v>3.14</v>
      </c>
      <c r="C38" s="1533" t="s">
        <v>112</v>
      </c>
      <c r="D38" s="1529" t="s">
        <v>107</v>
      </c>
      <c r="E38" s="1530">
        <v>1</v>
      </c>
      <c r="F38" s="1530"/>
      <c r="G38" s="1530"/>
      <c r="H38" s="1530"/>
      <c r="I38" s="1530"/>
      <c r="J38" s="1530"/>
      <c r="K38" s="1369">
        <v>11089161</v>
      </c>
      <c r="L38" s="1519">
        <f t="shared" si="2"/>
        <v>11089161</v>
      </c>
      <c r="N38" s="1505"/>
      <c r="P38" s="1532"/>
      <c r="Q38" s="1532"/>
      <c r="R38" s="1532"/>
      <c r="S38" s="1532"/>
      <c r="T38" s="1532">
        <v>0.2</v>
      </c>
      <c r="U38" s="1532">
        <v>0.2</v>
      </c>
      <c r="V38" s="1532">
        <v>0.2</v>
      </c>
      <c r="W38" s="1532">
        <v>0.2</v>
      </c>
      <c r="X38" s="1532">
        <v>0.2</v>
      </c>
      <c r="Y38" s="1532"/>
      <c r="Z38" s="1515"/>
      <c r="AA38" s="1515"/>
      <c r="AB38" s="1515"/>
      <c r="AC38" s="1515"/>
      <c r="AD38" s="1515"/>
      <c r="AE38" s="1515"/>
      <c r="AF38" s="1515"/>
      <c r="AG38" s="1515">
        <f t="shared" si="3"/>
        <v>1</v>
      </c>
    </row>
    <row r="39" spans="1:33" ht="10.5" outlineLevel="1" x14ac:dyDescent="0.25">
      <c r="B39" s="1516">
        <v>3.15</v>
      </c>
      <c r="C39" s="1533" t="s">
        <v>198</v>
      </c>
      <c r="D39" s="1529" t="s">
        <v>111</v>
      </c>
      <c r="E39" s="1530">
        <v>14</v>
      </c>
      <c r="F39" s="1530"/>
      <c r="G39" s="1530"/>
      <c r="H39" s="1530"/>
      <c r="I39" s="1530"/>
      <c r="J39" s="1530"/>
      <c r="K39" s="1369">
        <v>155217</v>
      </c>
      <c r="L39" s="1519">
        <f t="shared" si="2"/>
        <v>2173038</v>
      </c>
      <c r="N39" s="1505"/>
      <c r="P39" s="1532"/>
      <c r="Q39" s="1532"/>
      <c r="R39" s="1532"/>
      <c r="S39" s="1532"/>
      <c r="T39" s="1532">
        <v>0.2</v>
      </c>
      <c r="U39" s="1532">
        <v>0.2</v>
      </c>
      <c r="V39" s="1532">
        <v>0.2</v>
      </c>
      <c r="W39" s="1532">
        <v>0.2</v>
      </c>
      <c r="X39" s="1532">
        <v>0.2</v>
      </c>
      <c r="Y39" s="1532"/>
      <c r="Z39" s="1515"/>
      <c r="AA39" s="1515"/>
      <c r="AB39" s="1515"/>
      <c r="AC39" s="1515"/>
      <c r="AD39" s="1515"/>
      <c r="AE39" s="1515"/>
      <c r="AF39" s="1515"/>
      <c r="AG39" s="1515">
        <f t="shared" si="3"/>
        <v>1</v>
      </c>
    </row>
    <row r="40" spans="1:33" ht="10.5" outlineLevel="1" x14ac:dyDescent="0.25">
      <c r="B40" s="1516">
        <v>3.16</v>
      </c>
      <c r="C40" s="1534" t="s">
        <v>293</v>
      </c>
      <c r="D40" s="1535" t="s">
        <v>107</v>
      </c>
      <c r="E40" s="1536">
        <v>4</v>
      </c>
      <c r="F40" s="1536"/>
      <c r="G40" s="1536"/>
      <c r="H40" s="1536"/>
      <c r="I40" s="1536"/>
      <c r="J40" s="1536"/>
      <c r="K40" s="1369">
        <v>69129</v>
      </c>
      <c r="L40" s="1519">
        <f t="shared" si="2"/>
        <v>276516</v>
      </c>
      <c r="N40" s="1505"/>
      <c r="P40" s="1532"/>
      <c r="Q40" s="1532"/>
      <c r="R40" s="1532">
        <v>0.4</v>
      </c>
      <c r="S40" s="1532"/>
      <c r="T40" s="1532"/>
      <c r="U40" s="1532">
        <v>0.3</v>
      </c>
      <c r="V40" s="1532"/>
      <c r="W40" s="1532"/>
      <c r="X40" s="1532">
        <v>0.3</v>
      </c>
      <c r="Y40" s="1532"/>
      <c r="Z40" s="1515"/>
      <c r="AA40" s="1515"/>
      <c r="AB40" s="1515"/>
      <c r="AC40" s="1515"/>
      <c r="AD40" s="1515"/>
      <c r="AE40" s="1515"/>
      <c r="AF40" s="1515"/>
      <c r="AG40" s="1515">
        <f t="shared" si="3"/>
        <v>1</v>
      </c>
    </row>
    <row r="41" spans="1:33" ht="10.5" outlineLevel="1" x14ac:dyDescent="0.25">
      <c r="B41" s="1516">
        <v>3.17</v>
      </c>
      <c r="C41" s="1659" t="s">
        <v>1012</v>
      </c>
      <c r="D41" s="1523" t="s">
        <v>109</v>
      </c>
      <c r="E41" s="1537">
        <v>93</v>
      </c>
      <c r="F41" s="1536"/>
      <c r="G41" s="1536"/>
      <c r="H41" s="1536"/>
      <c r="I41" s="1536"/>
      <c r="J41" s="1536"/>
      <c r="K41" s="1369">
        <v>24580</v>
      </c>
      <c r="L41" s="1519">
        <f t="shared" si="2"/>
        <v>2285940</v>
      </c>
      <c r="N41" s="1505"/>
      <c r="P41" s="1532"/>
      <c r="Q41" s="1532"/>
      <c r="R41" s="1532"/>
      <c r="S41" s="1532"/>
      <c r="T41" s="1532"/>
      <c r="U41" s="1532">
        <v>0.5</v>
      </c>
      <c r="V41" s="1532">
        <v>0.5</v>
      </c>
      <c r="W41" s="1532"/>
      <c r="X41" s="1532"/>
      <c r="Y41" s="1532"/>
      <c r="Z41" s="1515"/>
      <c r="AA41" s="1515"/>
      <c r="AB41" s="1515"/>
      <c r="AC41" s="1515"/>
      <c r="AD41" s="1515"/>
      <c r="AE41" s="1515"/>
      <c r="AF41" s="1515"/>
      <c r="AG41" s="1515">
        <f t="shared" si="3"/>
        <v>1</v>
      </c>
    </row>
    <row r="42" spans="1:33" ht="10.5" x14ac:dyDescent="0.25">
      <c r="B42" s="1500">
        <v>24</v>
      </c>
      <c r="C42" s="1590" t="s">
        <v>212</v>
      </c>
      <c r="D42" s="1501"/>
      <c r="E42" s="1502"/>
      <c r="F42" s="1502"/>
      <c r="G42" s="1502"/>
      <c r="H42" s="1502"/>
      <c r="I42" s="1502"/>
      <c r="J42" s="1502"/>
      <c r="K42" s="1502"/>
      <c r="L42" s="1502"/>
      <c r="M42" s="1504">
        <f>SUM(L43:L52)</f>
        <v>34134166</v>
      </c>
      <c r="N42" s="895">
        <f>M42+M224-'01'!W202</f>
        <v>1200000</v>
      </c>
      <c r="P42" s="1506"/>
      <c r="Q42" s="1506"/>
      <c r="R42" s="1506"/>
      <c r="S42" s="1506"/>
      <c r="T42" s="1506"/>
      <c r="U42" s="1507"/>
      <c r="V42" s="1507"/>
      <c r="W42" s="1507"/>
      <c r="X42" s="1507"/>
      <c r="Y42" s="1507"/>
      <c r="Z42" s="1507"/>
      <c r="AA42" s="1507"/>
      <c r="AB42" s="1507"/>
      <c r="AC42" s="1507"/>
      <c r="AD42" s="1507"/>
      <c r="AE42" s="1507"/>
      <c r="AF42" s="1507"/>
      <c r="AG42" s="1507"/>
    </row>
    <row r="43" spans="1:33" ht="10.5" outlineLevel="1" x14ac:dyDescent="0.25">
      <c r="B43" s="1510">
        <v>24.01</v>
      </c>
      <c r="C43" s="1538" t="s">
        <v>135</v>
      </c>
      <c r="D43" s="1511" t="s">
        <v>101</v>
      </c>
      <c r="E43" s="1512">
        <v>8</v>
      </c>
      <c r="F43" s="1542"/>
      <c r="G43" s="1542"/>
      <c r="H43" s="1542"/>
      <c r="I43" s="1542"/>
      <c r="J43" s="1542"/>
      <c r="K43" s="1519">
        <v>753138</v>
      </c>
      <c r="L43" s="1519">
        <f t="shared" ref="L43:L52" si="4">+K43*E43</f>
        <v>6025104</v>
      </c>
      <c r="P43" s="1515"/>
      <c r="Q43" s="1515">
        <v>0.125</v>
      </c>
      <c r="R43" s="1515">
        <v>0.125</v>
      </c>
      <c r="S43" s="1515">
        <v>0.125</v>
      </c>
      <c r="T43" s="1515">
        <v>0.125</v>
      </c>
      <c r="U43" s="1515">
        <v>0.125</v>
      </c>
      <c r="V43" s="1515">
        <v>0.125</v>
      </c>
      <c r="W43" s="1515">
        <v>0.125</v>
      </c>
      <c r="X43" s="1515">
        <v>0.125</v>
      </c>
      <c r="Y43" s="1515"/>
      <c r="Z43" s="1515"/>
      <c r="AA43" s="1515"/>
      <c r="AB43" s="1515"/>
      <c r="AC43" s="1515"/>
      <c r="AD43" s="1515"/>
      <c r="AE43" s="1515"/>
      <c r="AF43" s="1515"/>
      <c r="AG43" s="1515">
        <f t="shared" ref="AG43:AG52" si="5">SUM(Q43:AF43)</f>
        <v>1</v>
      </c>
    </row>
    <row r="44" spans="1:33" ht="10.5" outlineLevel="1" x14ac:dyDescent="0.25">
      <c r="B44" s="1539">
        <v>24.02</v>
      </c>
      <c r="C44" s="1540" t="s">
        <v>295</v>
      </c>
      <c r="D44" s="1541" t="s">
        <v>101</v>
      </c>
      <c r="E44" s="1542">
        <v>4</v>
      </c>
      <c r="F44" s="1542"/>
      <c r="G44" s="1542"/>
      <c r="H44" s="1542"/>
      <c r="I44" s="1542"/>
      <c r="J44" s="1542"/>
      <c r="K44" s="1519">
        <v>1944871</v>
      </c>
      <c r="L44" s="1519">
        <f t="shared" si="4"/>
        <v>7779484</v>
      </c>
      <c r="P44" s="1515"/>
      <c r="Q44" s="1515">
        <v>0.25</v>
      </c>
      <c r="R44" s="1515">
        <v>0.25</v>
      </c>
      <c r="S44" s="1515">
        <v>0.25</v>
      </c>
      <c r="T44" s="1515">
        <v>0.25</v>
      </c>
      <c r="U44" s="1515"/>
      <c r="V44" s="1515"/>
      <c r="W44" s="1515"/>
      <c r="X44" s="1515"/>
      <c r="Y44" s="1515"/>
      <c r="Z44" s="1515"/>
      <c r="AA44" s="1515"/>
      <c r="AB44" s="1515"/>
      <c r="AC44" s="1515"/>
      <c r="AD44" s="1515"/>
      <c r="AE44" s="1515"/>
      <c r="AF44" s="1515"/>
      <c r="AG44" s="1515">
        <f t="shared" si="5"/>
        <v>1</v>
      </c>
    </row>
    <row r="45" spans="1:33" ht="10.5" outlineLevel="1" x14ac:dyDescent="0.25">
      <c r="B45" s="1516">
        <v>24.03</v>
      </c>
      <c r="C45" s="1543" t="s">
        <v>213</v>
      </c>
      <c r="D45" s="1517" t="s">
        <v>101</v>
      </c>
      <c r="E45" s="1518">
        <v>8</v>
      </c>
      <c r="F45" s="1518"/>
      <c r="G45" s="1518"/>
      <c r="H45" s="1518"/>
      <c r="I45" s="1518"/>
      <c r="J45" s="1518"/>
      <c r="K45" s="1519">
        <v>188533</v>
      </c>
      <c r="L45" s="1519">
        <f t="shared" si="4"/>
        <v>1508264</v>
      </c>
      <c r="P45" s="1515"/>
      <c r="Q45" s="1515">
        <v>0.125</v>
      </c>
      <c r="R45" s="1515">
        <v>0.125</v>
      </c>
      <c r="S45" s="1515">
        <v>0.125</v>
      </c>
      <c r="T45" s="1515">
        <v>0.125</v>
      </c>
      <c r="U45" s="1515">
        <v>0.125</v>
      </c>
      <c r="V45" s="1515">
        <v>0.125</v>
      </c>
      <c r="W45" s="1515">
        <v>0.125</v>
      </c>
      <c r="X45" s="1515">
        <v>0.125</v>
      </c>
      <c r="Y45" s="1515"/>
      <c r="Z45" s="1515"/>
      <c r="AA45" s="1515"/>
      <c r="AB45" s="1515"/>
      <c r="AC45" s="1515"/>
      <c r="AD45" s="1515"/>
      <c r="AE45" s="1515"/>
      <c r="AF45" s="1515"/>
      <c r="AG45" s="1515">
        <f t="shared" si="5"/>
        <v>1</v>
      </c>
    </row>
    <row r="46" spans="1:33" ht="10.5" outlineLevel="1" x14ac:dyDescent="0.25">
      <c r="B46" s="1539">
        <v>24.04</v>
      </c>
      <c r="C46" s="1543" t="s">
        <v>214</v>
      </c>
      <c r="D46" s="1517" t="s">
        <v>107</v>
      </c>
      <c r="E46" s="1518">
        <v>1</v>
      </c>
      <c r="F46" s="1518"/>
      <c r="G46" s="1518"/>
      <c r="H46" s="1518"/>
      <c r="I46" s="1518"/>
      <c r="J46" s="1518"/>
      <c r="K46" s="1519">
        <v>4606562</v>
      </c>
      <c r="L46" s="1519">
        <f t="shared" si="4"/>
        <v>4606562</v>
      </c>
      <c r="P46" s="1515"/>
      <c r="Q46" s="1515"/>
      <c r="R46" s="1515"/>
      <c r="S46" s="1515"/>
      <c r="T46" s="1515"/>
      <c r="U46" s="1515">
        <v>0.5</v>
      </c>
      <c r="V46" s="1515"/>
      <c r="W46" s="1515"/>
      <c r="X46" s="1515">
        <v>0.5</v>
      </c>
      <c r="Y46" s="1515"/>
      <c r="Z46" s="1515"/>
      <c r="AA46" s="1515"/>
      <c r="AB46" s="1515"/>
      <c r="AC46" s="1515"/>
      <c r="AD46" s="1515"/>
      <c r="AE46" s="1515"/>
      <c r="AF46" s="1515"/>
      <c r="AG46" s="1515">
        <f t="shared" si="5"/>
        <v>1</v>
      </c>
    </row>
    <row r="47" spans="1:33" s="1546" customFormat="1" ht="10.5" outlineLevel="1" x14ac:dyDescent="0.25">
      <c r="A47" s="1706"/>
      <c r="B47" s="1516">
        <v>24.05</v>
      </c>
      <c r="C47" s="1543" t="s">
        <v>296</v>
      </c>
      <c r="D47" s="1544" t="s">
        <v>101</v>
      </c>
      <c r="E47" s="1518">
        <v>8</v>
      </c>
      <c r="F47" s="1518"/>
      <c r="G47" s="1518"/>
      <c r="H47" s="1518"/>
      <c r="I47" s="1518"/>
      <c r="J47" s="1518"/>
      <c r="K47" s="1519">
        <v>696152</v>
      </c>
      <c r="L47" s="1519">
        <f t="shared" si="4"/>
        <v>5569216</v>
      </c>
      <c r="M47" s="1545"/>
      <c r="N47" s="1505"/>
      <c r="P47" s="1515"/>
      <c r="Q47" s="1515">
        <v>0.125</v>
      </c>
      <c r="R47" s="1515">
        <v>0.125</v>
      </c>
      <c r="S47" s="1515">
        <v>0.125</v>
      </c>
      <c r="T47" s="1515">
        <v>0.125</v>
      </c>
      <c r="U47" s="1515">
        <v>0.125</v>
      </c>
      <c r="V47" s="1515">
        <v>0.125</v>
      </c>
      <c r="W47" s="1515">
        <v>0.125</v>
      </c>
      <c r="X47" s="1515">
        <v>0.125</v>
      </c>
      <c r="Y47" s="1515"/>
      <c r="Z47" s="1515"/>
      <c r="AA47" s="1515"/>
      <c r="AB47" s="1515"/>
      <c r="AC47" s="1515"/>
      <c r="AD47" s="1515"/>
      <c r="AE47" s="1515"/>
      <c r="AF47" s="1515"/>
      <c r="AG47" s="1515">
        <f t="shared" si="5"/>
        <v>1</v>
      </c>
    </row>
    <row r="48" spans="1:33" s="1546" customFormat="1" ht="10.5" outlineLevel="1" x14ac:dyDescent="0.25">
      <c r="A48" s="1706"/>
      <c r="B48" s="1539">
        <v>24.06</v>
      </c>
      <c r="C48" s="1543" t="s">
        <v>114</v>
      </c>
      <c r="D48" s="1544" t="s">
        <v>101</v>
      </c>
      <c r="E48" s="1518">
        <v>8</v>
      </c>
      <c r="F48" s="1518"/>
      <c r="G48" s="1518"/>
      <c r="H48" s="1518"/>
      <c r="I48" s="1518"/>
      <c r="J48" s="1518"/>
      <c r="K48" s="1519">
        <v>452333</v>
      </c>
      <c r="L48" s="1519">
        <f t="shared" si="4"/>
        <v>3618664</v>
      </c>
      <c r="M48" s="1545"/>
      <c r="N48" s="1505"/>
      <c r="P48" s="1515"/>
      <c r="Q48" s="1515">
        <v>0.125</v>
      </c>
      <c r="R48" s="1515">
        <v>0.125</v>
      </c>
      <c r="S48" s="1515">
        <v>0.125</v>
      </c>
      <c r="T48" s="1515">
        <v>0.125</v>
      </c>
      <c r="U48" s="1515">
        <v>0.125</v>
      </c>
      <c r="V48" s="1515">
        <v>0.125</v>
      </c>
      <c r="W48" s="1515">
        <v>0.125</v>
      </c>
      <c r="X48" s="1515">
        <v>0.125</v>
      </c>
      <c r="Y48" s="1515"/>
      <c r="Z48" s="1515"/>
      <c r="AA48" s="1515"/>
      <c r="AB48" s="1515"/>
      <c r="AC48" s="1515"/>
      <c r="AD48" s="1515"/>
      <c r="AE48" s="1515"/>
      <c r="AF48" s="1515"/>
      <c r="AG48" s="1515">
        <f t="shared" si="5"/>
        <v>1</v>
      </c>
    </row>
    <row r="49" spans="1:33" s="1546" customFormat="1" ht="10.5" outlineLevel="1" x14ac:dyDescent="0.25">
      <c r="A49" s="1706"/>
      <c r="B49" s="1516">
        <v>24.07</v>
      </c>
      <c r="C49" s="1543" t="s">
        <v>297</v>
      </c>
      <c r="D49" s="1544" t="s">
        <v>107</v>
      </c>
      <c r="E49" s="1518">
        <v>0</v>
      </c>
      <c r="F49" s="1518"/>
      <c r="G49" s="1518"/>
      <c r="H49" s="1518"/>
      <c r="I49" s="1518"/>
      <c r="J49" s="1518"/>
      <c r="K49" s="1519">
        <v>0</v>
      </c>
      <c r="L49" s="1519">
        <f t="shared" si="4"/>
        <v>0</v>
      </c>
      <c r="M49" s="1545"/>
      <c r="N49" s="1505"/>
      <c r="P49" s="1515"/>
      <c r="Q49" s="1515"/>
      <c r="R49" s="1515"/>
      <c r="S49" s="1515"/>
      <c r="T49" s="1515"/>
      <c r="U49" s="1515"/>
      <c r="V49" s="1515"/>
      <c r="W49" s="1515"/>
      <c r="X49" s="1515"/>
      <c r="Y49" s="1515"/>
      <c r="Z49" s="1515"/>
      <c r="AA49" s="1515"/>
      <c r="AB49" s="1515"/>
      <c r="AC49" s="1515"/>
      <c r="AD49" s="1515"/>
      <c r="AE49" s="1515"/>
      <c r="AF49" s="1515"/>
      <c r="AG49" s="1515">
        <f t="shared" si="5"/>
        <v>0</v>
      </c>
    </row>
    <row r="50" spans="1:33" s="1546" customFormat="1" ht="10.5" outlineLevel="1" x14ac:dyDescent="0.25">
      <c r="A50" s="1706"/>
      <c r="B50" s="1539">
        <v>24.08</v>
      </c>
      <c r="C50" s="1543" t="s">
        <v>115</v>
      </c>
      <c r="D50" s="1544" t="s">
        <v>101</v>
      </c>
      <c r="E50" s="1518">
        <v>8</v>
      </c>
      <c r="F50" s="1518"/>
      <c r="G50" s="1518"/>
      <c r="H50" s="1518"/>
      <c r="I50" s="1518"/>
      <c r="J50" s="1518"/>
      <c r="K50" s="1519">
        <v>314221</v>
      </c>
      <c r="L50" s="1519">
        <f t="shared" si="4"/>
        <v>2513768</v>
      </c>
      <c r="M50" s="1545"/>
      <c r="N50" s="1505"/>
      <c r="P50" s="1515"/>
      <c r="Q50" s="1515">
        <v>0.125</v>
      </c>
      <c r="R50" s="1515">
        <v>0.125</v>
      </c>
      <c r="S50" s="1515">
        <v>0.125</v>
      </c>
      <c r="T50" s="1515">
        <v>0.125</v>
      </c>
      <c r="U50" s="1515">
        <v>0.125</v>
      </c>
      <c r="V50" s="1515">
        <v>0.125</v>
      </c>
      <c r="W50" s="1515">
        <v>0.125</v>
      </c>
      <c r="X50" s="1515">
        <v>0.125</v>
      </c>
      <c r="Y50" s="1515"/>
      <c r="Z50" s="1515"/>
      <c r="AA50" s="1515"/>
      <c r="AB50" s="1515"/>
      <c r="AC50" s="1515"/>
      <c r="AD50" s="1515"/>
      <c r="AE50" s="1515"/>
      <c r="AF50" s="1515"/>
      <c r="AG50" s="1515">
        <f t="shared" si="5"/>
        <v>1</v>
      </c>
    </row>
    <row r="51" spans="1:33" s="1547" customFormat="1" ht="10.5" outlineLevel="1" x14ac:dyDescent="0.25">
      <c r="A51" s="1707"/>
      <c r="B51" s="1516">
        <v>24.09</v>
      </c>
      <c r="C51" s="1543" t="s">
        <v>298</v>
      </c>
      <c r="D51" s="1544" t="s">
        <v>101</v>
      </c>
      <c r="E51" s="1518">
        <v>4</v>
      </c>
      <c r="F51" s="1518"/>
      <c r="G51" s="1518"/>
      <c r="H51" s="1518"/>
      <c r="I51" s="1518"/>
      <c r="J51" s="1518"/>
      <c r="K51" s="1518">
        <v>0</v>
      </c>
      <c r="L51" s="1518">
        <f t="shared" si="4"/>
        <v>0</v>
      </c>
      <c r="M51" s="1545"/>
      <c r="N51" s="1505"/>
      <c r="P51" s="1515"/>
      <c r="Q51" s="1515"/>
      <c r="R51" s="1515"/>
      <c r="S51" s="1515"/>
      <c r="T51" s="1515"/>
      <c r="U51" s="1515"/>
      <c r="V51" s="1515"/>
      <c r="W51" s="1515"/>
      <c r="X51" s="1515"/>
      <c r="Y51" s="1515"/>
      <c r="Z51" s="1515"/>
      <c r="AA51" s="1515"/>
      <c r="AB51" s="1515"/>
      <c r="AC51" s="1515"/>
      <c r="AD51" s="1515"/>
      <c r="AE51" s="1515"/>
      <c r="AF51" s="1515"/>
      <c r="AG51" s="1515">
        <f t="shared" si="5"/>
        <v>0</v>
      </c>
    </row>
    <row r="52" spans="1:33" s="1547" customFormat="1" ht="10.5" outlineLevel="1" x14ac:dyDescent="0.25">
      <c r="A52" s="1707"/>
      <c r="B52" s="1539">
        <v>24.1</v>
      </c>
      <c r="C52" s="1551" t="s">
        <v>116</v>
      </c>
      <c r="D52" s="1552" t="s">
        <v>101</v>
      </c>
      <c r="E52" s="1524">
        <v>8</v>
      </c>
      <c r="F52" s="1524"/>
      <c r="G52" s="1524"/>
      <c r="H52" s="1524"/>
      <c r="I52" s="1524"/>
      <c r="J52" s="1524"/>
      <c r="K52" s="1697">
        <v>314138</v>
      </c>
      <c r="L52" s="1697">
        <f t="shared" si="4"/>
        <v>2513104</v>
      </c>
      <c r="M52" s="1545"/>
      <c r="N52" s="1505"/>
      <c r="P52" s="1515"/>
      <c r="Q52" s="1515">
        <v>0.125</v>
      </c>
      <c r="R52" s="1515">
        <v>0.125</v>
      </c>
      <c r="S52" s="1515">
        <v>0.125</v>
      </c>
      <c r="T52" s="1515">
        <v>0.125</v>
      </c>
      <c r="U52" s="1515">
        <v>0.125</v>
      </c>
      <c r="V52" s="1515">
        <v>0.125</v>
      </c>
      <c r="W52" s="1515">
        <v>0.125</v>
      </c>
      <c r="X52" s="1515">
        <v>0.125</v>
      </c>
      <c r="Y52" s="1515"/>
      <c r="Z52" s="1515"/>
      <c r="AA52" s="1515"/>
      <c r="AB52" s="1515"/>
      <c r="AC52" s="1515"/>
      <c r="AD52" s="1515"/>
      <c r="AE52" s="1515"/>
      <c r="AF52" s="1515"/>
      <c r="AG52" s="1515">
        <f t="shared" si="5"/>
        <v>1</v>
      </c>
    </row>
    <row r="53" spans="1:33" ht="10.5" x14ac:dyDescent="0.25">
      <c r="B53" s="1500">
        <v>25</v>
      </c>
      <c r="C53" s="1590" t="s">
        <v>215</v>
      </c>
      <c r="D53" s="1501"/>
      <c r="E53" s="1502"/>
      <c r="F53" s="1502"/>
      <c r="G53" s="1502"/>
      <c r="H53" s="1502"/>
      <c r="I53" s="1502"/>
      <c r="J53" s="1502"/>
      <c r="K53" s="1502"/>
      <c r="L53" s="1502"/>
      <c r="M53" s="1504">
        <f>SUM(L54:L55)</f>
        <v>43220384</v>
      </c>
      <c r="N53" s="895">
        <f>M53+M236-'01'!W213</f>
        <v>0</v>
      </c>
      <c r="P53" s="1506"/>
      <c r="Q53" s="1506"/>
      <c r="R53" s="1506"/>
      <c r="S53" s="1506"/>
      <c r="T53" s="1506"/>
      <c r="U53" s="1507"/>
      <c r="V53" s="1507"/>
      <c r="W53" s="1507"/>
      <c r="X53" s="1507"/>
      <c r="Y53" s="1507"/>
      <c r="Z53" s="1507"/>
      <c r="AA53" s="1507"/>
      <c r="AB53" s="1507"/>
      <c r="AC53" s="1507"/>
      <c r="AD53" s="1507"/>
      <c r="AE53" s="1507"/>
      <c r="AF53" s="1507"/>
      <c r="AG53" s="1507"/>
    </row>
    <row r="54" spans="1:33" s="1556" customFormat="1" ht="10.5" outlineLevel="1" x14ac:dyDescent="0.25">
      <c r="A54" s="1678"/>
      <c r="B54" s="1510">
        <v>25.01</v>
      </c>
      <c r="C54" s="1658" t="s">
        <v>299</v>
      </c>
      <c r="D54" s="1553" t="s">
        <v>101</v>
      </c>
      <c r="E54" s="1554">
        <v>8</v>
      </c>
      <c r="F54" s="1698"/>
      <c r="G54" s="1698"/>
      <c r="H54" s="1698"/>
      <c r="I54" s="1698"/>
      <c r="J54" s="1698"/>
      <c r="K54" s="1592">
        <v>4774106</v>
      </c>
      <c r="L54" s="1531">
        <f>+K54*E54</f>
        <v>38192848</v>
      </c>
      <c r="M54" s="1555"/>
      <c r="P54" s="1515"/>
      <c r="Q54" s="1515">
        <v>0.125</v>
      </c>
      <c r="R54" s="1515">
        <v>0.125</v>
      </c>
      <c r="S54" s="1515">
        <v>0.125</v>
      </c>
      <c r="T54" s="1515">
        <v>0.125</v>
      </c>
      <c r="U54" s="1515">
        <v>0.125</v>
      </c>
      <c r="V54" s="1515">
        <v>0.125</v>
      </c>
      <c r="W54" s="1515">
        <v>0.125</v>
      </c>
      <c r="X54" s="1515">
        <v>0.125</v>
      </c>
      <c r="Y54" s="1515"/>
      <c r="Z54" s="1515"/>
      <c r="AA54" s="1515"/>
      <c r="AB54" s="1515"/>
      <c r="AC54" s="1515"/>
      <c r="AD54" s="1515"/>
      <c r="AE54" s="1515"/>
      <c r="AF54" s="1515"/>
      <c r="AG54" s="1515">
        <f>SUM(Q54:AF54)</f>
        <v>1</v>
      </c>
    </row>
    <row r="55" spans="1:33" s="1556" customFormat="1" ht="10.5" outlineLevel="1" x14ac:dyDescent="0.25">
      <c r="A55" s="1678"/>
      <c r="B55" s="1522">
        <v>25.02</v>
      </c>
      <c r="C55" s="1659" t="s">
        <v>102</v>
      </c>
      <c r="D55" s="1557" t="s">
        <v>101</v>
      </c>
      <c r="E55" s="1537">
        <v>8</v>
      </c>
      <c r="F55" s="1699"/>
      <c r="G55" s="1699"/>
      <c r="H55" s="1699"/>
      <c r="I55" s="1699"/>
      <c r="J55" s="1699"/>
      <c r="K55" s="1592">
        <v>628442</v>
      </c>
      <c r="L55" s="1519">
        <f>+K55*E55</f>
        <v>5027536</v>
      </c>
      <c r="M55" s="1558"/>
      <c r="P55" s="1515"/>
      <c r="Q55" s="1515">
        <v>0.125</v>
      </c>
      <c r="R55" s="1515">
        <v>0.125</v>
      </c>
      <c r="S55" s="1515">
        <v>0.125</v>
      </c>
      <c r="T55" s="1515">
        <v>0.125</v>
      </c>
      <c r="U55" s="1515">
        <v>0.125</v>
      </c>
      <c r="V55" s="1515">
        <v>0.125</v>
      </c>
      <c r="W55" s="1515">
        <v>0.125</v>
      </c>
      <c r="X55" s="1515">
        <v>0.125</v>
      </c>
      <c r="Y55" s="1515"/>
      <c r="Z55" s="1515"/>
      <c r="AA55" s="1515"/>
      <c r="AB55" s="1515"/>
      <c r="AC55" s="1515"/>
      <c r="AD55" s="1515"/>
      <c r="AE55" s="1515"/>
      <c r="AF55" s="1515"/>
      <c r="AG55" s="1515">
        <f>SUM(Q55:AF55)</f>
        <v>1</v>
      </c>
    </row>
    <row r="56" spans="1:33" s="1556" customFormat="1" ht="10.5" outlineLevel="1" x14ac:dyDescent="0.25">
      <c r="A56" s="1678"/>
      <c r="B56" s="1500"/>
      <c r="C56" s="1590" t="s">
        <v>300</v>
      </c>
      <c r="D56" s="1501"/>
      <c r="E56" s="1502"/>
      <c r="F56" s="1502"/>
      <c r="G56" s="1502"/>
      <c r="H56" s="1502"/>
      <c r="I56" s="1502"/>
      <c r="J56" s="1502"/>
      <c r="K56" s="1502"/>
      <c r="L56" s="1502">
        <f>SUM(L9:L55)</f>
        <v>421306051.99999994</v>
      </c>
      <c r="M56" s="1502">
        <f>SUM(M9:M55)</f>
        <v>421306052</v>
      </c>
      <c r="N56" s="1505"/>
      <c r="P56" s="1560">
        <f t="shared" ref="P56:AF56" si="6">+SUMPRODUCT(P$10:P$55,$L$10:$L$55)</f>
        <v>0</v>
      </c>
      <c r="Q56" s="1560">
        <f t="shared" si="6"/>
        <v>48579081.287623361</v>
      </c>
      <c r="R56" s="1560">
        <f t="shared" si="6"/>
        <v>53374709.319058403</v>
      </c>
      <c r="S56" s="1560">
        <f t="shared" si="6"/>
        <v>65844445.602258667</v>
      </c>
      <c r="T56" s="1560">
        <f t="shared" si="6"/>
        <v>65594627.26856634</v>
      </c>
      <c r="U56" s="1560">
        <f t="shared" si="6"/>
        <v>52156449.229265139</v>
      </c>
      <c r="V56" s="1560">
        <f t="shared" si="6"/>
        <v>45370649.697742708</v>
      </c>
      <c r="W56" s="1560">
        <f t="shared" si="6"/>
        <v>43999926.897742704</v>
      </c>
      <c r="X56" s="1560">
        <f t="shared" si="6"/>
        <v>46386162.697742701</v>
      </c>
      <c r="Y56" s="1560">
        <f t="shared" si="6"/>
        <v>0</v>
      </c>
      <c r="Z56" s="1560">
        <f t="shared" si="6"/>
        <v>0</v>
      </c>
      <c r="AA56" s="1560">
        <f t="shared" si="6"/>
        <v>0</v>
      </c>
      <c r="AB56" s="1560">
        <f t="shared" si="6"/>
        <v>0</v>
      </c>
      <c r="AC56" s="1560">
        <f t="shared" si="6"/>
        <v>0</v>
      </c>
      <c r="AD56" s="1560">
        <f t="shared" si="6"/>
        <v>0</v>
      </c>
      <c r="AE56" s="1560">
        <f t="shared" si="6"/>
        <v>0</v>
      </c>
      <c r="AF56" s="1560">
        <f t="shared" si="6"/>
        <v>0</v>
      </c>
      <c r="AG56" s="1561"/>
    </row>
    <row r="57" spans="1:33" s="1556" customFormat="1" ht="10.5" outlineLevel="1" x14ac:dyDescent="0.25">
      <c r="A57" s="1678"/>
      <c r="B57" s="1562"/>
      <c r="C57" s="1662"/>
      <c r="D57" s="1562"/>
      <c r="E57" s="1562"/>
      <c r="F57" s="1562"/>
      <c r="G57" s="1562"/>
      <c r="H57" s="1562"/>
      <c r="I57" s="1562"/>
      <c r="J57" s="1562"/>
      <c r="K57" s="1562"/>
      <c r="L57" s="1562"/>
      <c r="M57" s="1562"/>
    </row>
    <row r="58" spans="1:33" s="1556" customFormat="1" ht="10.5" outlineLevel="1" x14ac:dyDescent="0.25">
      <c r="A58" s="1678"/>
      <c r="B58" s="1562"/>
      <c r="C58" s="1662"/>
      <c r="D58" s="1562"/>
      <c r="E58" s="1562"/>
      <c r="F58" s="1562"/>
      <c r="G58" s="1562"/>
      <c r="H58" s="1562"/>
      <c r="I58" s="1562"/>
      <c r="J58" s="1562"/>
      <c r="K58" s="1562"/>
      <c r="L58" s="1562"/>
      <c r="M58" s="1562"/>
    </row>
    <row r="59" spans="1:33" s="1556" customFormat="1" ht="10.5" outlineLevel="1" x14ac:dyDescent="0.25">
      <c r="A59" s="1678"/>
      <c r="B59" s="1562"/>
      <c r="C59" s="1662"/>
      <c r="D59" s="1562"/>
      <c r="E59" s="1562"/>
      <c r="F59" s="1562"/>
      <c r="G59" s="1562"/>
      <c r="H59" s="1562"/>
      <c r="I59" s="1562"/>
      <c r="J59" s="1562"/>
      <c r="K59" s="1562"/>
      <c r="L59" s="1562"/>
      <c r="M59" s="1562"/>
    </row>
    <row r="60" spans="1:33" s="1556" customFormat="1" ht="10.5" outlineLevel="1" x14ac:dyDescent="0.25">
      <c r="A60" s="1678"/>
      <c r="B60" s="1562"/>
      <c r="C60" s="1662"/>
      <c r="D60" s="1562"/>
      <c r="E60" s="1562"/>
      <c r="F60" s="1562"/>
      <c r="G60" s="1562"/>
      <c r="H60" s="1562"/>
      <c r="I60" s="1562"/>
      <c r="J60" s="1562"/>
      <c r="K60" s="1562"/>
      <c r="L60" s="1562"/>
      <c r="M60" s="1562"/>
    </row>
    <row r="61" spans="1:33" ht="10.5" x14ac:dyDescent="0.25">
      <c r="B61" s="1500"/>
      <c r="C61" s="1590" t="s">
        <v>301</v>
      </c>
      <c r="D61" s="1501"/>
      <c r="E61" s="1502"/>
      <c r="F61" s="1502"/>
      <c r="G61" s="1502"/>
      <c r="H61" s="1502"/>
      <c r="I61" s="1502"/>
      <c r="J61" s="1502"/>
      <c r="K61" s="1502"/>
      <c r="L61" s="1502"/>
      <c r="M61" s="1504"/>
      <c r="N61" s="1505"/>
    </row>
    <row r="62" spans="1:33" ht="10.5" x14ac:dyDescent="0.25">
      <c r="B62" s="1500">
        <v>4</v>
      </c>
      <c r="C62" s="1590" t="s">
        <v>125</v>
      </c>
      <c r="D62" s="1501"/>
      <c r="E62" s="1502"/>
      <c r="F62" s="1502"/>
      <c r="G62" s="1502"/>
      <c r="H62" s="1502"/>
      <c r="I62" s="1502"/>
      <c r="J62" s="1502"/>
      <c r="K62" s="1502"/>
      <c r="L62" s="1502"/>
      <c r="M62" s="1504">
        <f>SUM(L63:L70)</f>
        <v>54302889.68</v>
      </c>
      <c r="N62" s="1513">
        <f>M62-'01'!W41</f>
        <v>0</v>
      </c>
      <c r="P62" s="1564"/>
      <c r="Q62" s="1564"/>
      <c r="R62" s="1564"/>
      <c r="S62" s="1564"/>
      <c r="T62" s="1564"/>
      <c r="U62" s="1565"/>
      <c r="V62" s="1565"/>
      <c r="W62" s="1565"/>
      <c r="X62" s="1565"/>
      <c r="Y62" s="1565"/>
      <c r="Z62" s="1565"/>
      <c r="AA62" s="1565"/>
      <c r="AB62" s="1565"/>
      <c r="AC62" s="1565"/>
      <c r="AD62" s="1565"/>
      <c r="AE62" s="1565"/>
      <c r="AF62" s="1565"/>
      <c r="AG62" s="1565"/>
    </row>
    <row r="63" spans="1:33" s="1556" customFormat="1" ht="10.5" outlineLevel="1" x14ac:dyDescent="0.25">
      <c r="A63" s="1682" t="s">
        <v>113</v>
      </c>
      <c r="B63" s="1510">
        <v>4.01</v>
      </c>
      <c r="C63" s="1658" t="s">
        <v>302</v>
      </c>
      <c r="D63" s="1553" t="s">
        <v>109</v>
      </c>
      <c r="E63" s="1554">
        <v>819</v>
      </c>
      <c r="F63" s="1554"/>
      <c r="G63" s="1554"/>
      <c r="H63" s="1554"/>
      <c r="I63" s="1554"/>
      <c r="J63" s="1554"/>
      <c r="K63" s="1513">
        <v>18993</v>
      </c>
      <c r="L63" s="1513">
        <f t="shared" ref="L63:L70" si="7">+K63*E63</f>
        <v>15555267</v>
      </c>
      <c r="M63" s="1566"/>
      <c r="N63" s="1513">
        <v>15110.854599635912</v>
      </c>
      <c r="P63" s="1515"/>
      <c r="Q63" s="1515"/>
      <c r="R63" s="1515"/>
      <c r="S63" s="1515"/>
      <c r="T63" s="1515"/>
      <c r="U63" s="1515"/>
      <c r="V63" s="1515"/>
      <c r="W63" s="1515">
        <v>0.25</v>
      </c>
      <c r="X63" s="1515">
        <v>0.25</v>
      </c>
      <c r="Y63" s="1515">
        <v>0.25</v>
      </c>
      <c r="Z63" s="1515">
        <v>0.25</v>
      </c>
      <c r="AA63" s="1515"/>
      <c r="AB63" s="1515"/>
      <c r="AC63" s="1515"/>
      <c r="AD63" s="1515"/>
      <c r="AE63" s="1515"/>
      <c r="AF63" s="1515"/>
      <c r="AG63" s="1515">
        <f t="shared" ref="AG63:AG70" si="8">SUM(Q63:AF63)</f>
        <v>1</v>
      </c>
    </row>
    <row r="64" spans="1:33" s="1556" customFormat="1" ht="10.5" outlineLevel="1" x14ac:dyDescent="0.25">
      <c r="A64" s="1683" t="s">
        <v>113</v>
      </c>
      <c r="B64" s="1516">
        <v>4.0199999999999996</v>
      </c>
      <c r="C64" s="1663" t="s">
        <v>303</v>
      </c>
      <c r="D64" s="1529" t="s">
        <v>109</v>
      </c>
      <c r="E64" s="1530">
        <v>612</v>
      </c>
      <c r="F64" s="1578"/>
      <c r="G64" s="1578"/>
      <c r="H64" s="1578"/>
      <c r="I64" s="1578"/>
      <c r="J64" s="1578"/>
      <c r="K64" s="1531">
        <v>25172</v>
      </c>
      <c r="L64" s="1519">
        <f t="shared" si="7"/>
        <v>15405264</v>
      </c>
      <c r="M64" s="1566"/>
      <c r="N64" s="1513">
        <f>+N63*'01'!T5</f>
        <v>18992.569757082911</v>
      </c>
      <c r="P64" s="1515"/>
      <c r="Q64" s="1515"/>
      <c r="R64" s="1515"/>
      <c r="S64" s="1515"/>
      <c r="T64" s="1515"/>
      <c r="U64" s="1515"/>
      <c r="V64" s="1515"/>
      <c r="W64" s="1515">
        <v>0.25</v>
      </c>
      <c r="X64" s="1515">
        <v>0.25</v>
      </c>
      <c r="Y64" s="1515">
        <v>0.25</v>
      </c>
      <c r="Z64" s="1515">
        <v>0.25</v>
      </c>
      <c r="AA64" s="1515"/>
      <c r="AB64" s="1515"/>
      <c r="AC64" s="1515"/>
      <c r="AD64" s="1515"/>
      <c r="AE64" s="1515"/>
      <c r="AF64" s="1515"/>
      <c r="AG64" s="1515">
        <f t="shared" si="8"/>
        <v>1</v>
      </c>
    </row>
    <row r="65" spans="1:33" s="1556" customFormat="1" ht="10.5" outlineLevel="1" x14ac:dyDescent="0.25">
      <c r="A65" s="1683" t="s">
        <v>113</v>
      </c>
      <c r="B65" s="1516">
        <v>4.03</v>
      </c>
      <c r="C65" s="1574" t="s">
        <v>304</v>
      </c>
      <c r="D65" s="1529" t="s">
        <v>109</v>
      </c>
      <c r="E65" s="1530">
        <v>636</v>
      </c>
      <c r="F65" s="1578"/>
      <c r="G65" s="1578"/>
      <c r="H65" s="1578"/>
      <c r="I65" s="1578"/>
      <c r="J65" s="1578"/>
      <c r="K65" s="1531">
        <v>21109</v>
      </c>
      <c r="L65" s="1519">
        <f t="shared" si="7"/>
        <v>13425324</v>
      </c>
      <c r="M65" s="1566"/>
      <c r="N65" s="1505"/>
      <c r="P65" s="1515"/>
      <c r="Q65" s="1515"/>
      <c r="R65" s="1515"/>
      <c r="S65" s="1515"/>
      <c r="T65" s="1515"/>
      <c r="U65" s="1515"/>
      <c r="V65" s="1515"/>
      <c r="W65" s="1515">
        <v>0.25</v>
      </c>
      <c r="X65" s="1515">
        <v>0.25</v>
      </c>
      <c r="Y65" s="1515">
        <v>0.25</v>
      </c>
      <c r="Z65" s="1515">
        <v>0.25</v>
      </c>
      <c r="AA65" s="1515"/>
      <c r="AB65" s="1515"/>
      <c r="AC65" s="1515"/>
      <c r="AD65" s="1515"/>
      <c r="AE65" s="1515"/>
      <c r="AF65" s="1515"/>
      <c r="AG65" s="1515">
        <f t="shared" si="8"/>
        <v>1</v>
      </c>
    </row>
    <row r="66" spans="1:33" s="1556" customFormat="1" ht="10.5" outlineLevel="1" x14ac:dyDescent="0.25">
      <c r="A66" s="1683" t="s">
        <v>113</v>
      </c>
      <c r="B66" s="1516">
        <v>4.04</v>
      </c>
      <c r="C66" s="1574" t="s">
        <v>1013</v>
      </c>
      <c r="D66" s="1529" t="s">
        <v>109</v>
      </c>
      <c r="E66" s="1530">
        <v>195</v>
      </c>
      <c r="F66" s="1578"/>
      <c r="G66" s="1578"/>
      <c r="H66" s="1578"/>
      <c r="I66" s="1578"/>
      <c r="J66" s="1578"/>
      <c r="K66" s="1531">
        <v>15092</v>
      </c>
      <c r="L66" s="1519">
        <f t="shared" si="7"/>
        <v>2942940</v>
      </c>
      <c r="M66" s="1566"/>
      <c r="N66" s="1505"/>
      <c r="P66" s="1515"/>
      <c r="Q66" s="1515"/>
      <c r="R66" s="1515"/>
      <c r="S66" s="1515"/>
      <c r="T66" s="1515"/>
      <c r="U66" s="1515"/>
      <c r="V66" s="1515"/>
      <c r="W66" s="1515">
        <v>0.25</v>
      </c>
      <c r="X66" s="1515">
        <v>0.25</v>
      </c>
      <c r="Y66" s="1515">
        <v>0.25</v>
      </c>
      <c r="Z66" s="1515">
        <v>0.25</v>
      </c>
      <c r="AA66" s="1515"/>
      <c r="AB66" s="1515"/>
      <c r="AC66" s="1515"/>
      <c r="AD66" s="1515"/>
      <c r="AE66" s="1515"/>
      <c r="AF66" s="1515"/>
      <c r="AG66" s="1515">
        <f t="shared" si="8"/>
        <v>1</v>
      </c>
    </row>
    <row r="67" spans="1:33" s="1556" customFormat="1" ht="10.5" outlineLevel="1" x14ac:dyDescent="0.25">
      <c r="A67" s="1683" t="s">
        <v>113</v>
      </c>
      <c r="B67" s="1516">
        <v>4.05</v>
      </c>
      <c r="C67" s="1574" t="s">
        <v>305</v>
      </c>
      <c r="D67" s="1529" t="s">
        <v>109</v>
      </c>
      <c r="E67" s="1530">
        <v>30.053999999999998</v>
      </c>
      <c r="F67" s="1578"/>
      <c r="G67" s="1578"/>
      <c r="H67" s="1578"/>
      <c r="I67" s="1578"/>
      <c r="J67" s="1578"/>
      <c r="K67" s="1531">
        <v>67420</v>
      </c>
      <c r="L67" s="1519">
        <f t="shared" si="7"/>
        <v>2026240.68</v>
      </c>
      <c r="M67" s="1566"/>
      <c r="N67" s="1505"/>
      <c r="P67" s="1515"/>
      <c r="Q67" s="1515"/>
      <c r="R67" s="1515"/>
      <c r="S67" s="1515"/>
      <c r="T67" s="1515"/>
      <c r="U67" s="1515"/>
      <c r="V67" s="1515"/>
      <c r="W67" s="1515">
        <v>0.25</v>
      </c>
      <c r="X67" s="1515">
        <v>0.25</v>
      </c>
      <c r="Y67" s="1515">
        <v>0.25</v>
      </c>
      <c r="Z67" s="1515">
        <v>0.25</v>
      </c>
      <c r="AA67" s="1515"/>
      <c r="AB67" s="1515"/>
      <c r="AC67" s="1515"/>
      <c r="AD67" s="1515"/>
      <c r="AE67" s="1515"/>
      <c r="AF67" s="1515"/>
      <c r="AG67" s="1515">
        <f t="shared" si="8"/>
        <v>1</v>
      </c>
    </row>
    <row r="68" spans="1:33" s="1556" customFormat="1" ht="10.5" outlineLevel="1" x14ac:dyDescent="0.25">
      <c r="A68" s="1683" t="s">
        <v>113</v>
      </c>
      <c r="B68" s="1516">
        <v>4.0599999999999996</v>
      </c>
      <c r="C68" s="1574" t="s">
        <v>306</v>
      </c>
      <c r="D68" s="1529" t="s">
        <v>109</v>
      </c>
      <c r="E68" s="1530">
        <v>24</v>
      </c>
      <c r="F68" s="1578"/>
      <c r="G68" s="1578"/>
      <c r="H68" s="1578"/>
      <c r="I68" s="1578"/>
      <c r="J68" s="1578"/>
      <c r="K68" s="1531">
        <v>54908</v>
      </c>
      <c r="L68" s="1519">
        <f t="shared" si="7"/>
        <v>1317792</v>
      </c>
      <c r="M68" s="1566"/>
      <c r="N68" s="1505"/>
      <c r="P68" s="1515"/>
      <c r="Q68" s="1515"/>
      <c r="R68" s="1515"/>
      <c r="S68" s="1515"/>
      <c r="T68" s="1515"/>
      <c r="U68" s="1515"/>
      <c r="V68" s="1515"/>
      <c r="W68" s="1515">
        <v>0.25</v>
      </c>
      <c r="X68" s="1515">
        <v>0.25</v>
      </c>
      <c r="Y68" s="1515">
        <v>0.25</v>
      </c>
      <c r="Z68" s="1515">
        <v>0.25</v>
      </c>
      <c r="AA68" s="1515"/>
      <c r="AB68" s="1515"/>
      <c r="AC68" s="1515"/>
      <c r="AD68" s="1515"/>
      <c r="AE68" s="1515"/>
      <c r="AF68" s="1515"/>
      <c r="AG68" s="1515">
        <f t="shared" si="8"/>
        <v>1</v>
      </c>
    </row>
    <row r="69" spans="1:33" s="1556" customFormat="1" ht="10.5" outlineLevel="1" x14ac:dyDescent="0.25">
      <c r="A69" s="1683" t="s">
        <v>113</v>
      </c>
      <c r="B69" s="1516">
        <v>4.07</v>
      </c>
      <c r="C69" s="1574" t="s">
        <v>307</v>
      </c>
      <c r="D69" s="1529" t="s">
        <v>124</v>
      </c>
      <c r="E69" s="1530">
        <v>81</v>
      </c>
      <c r="F69" s="1578"/>
      <c r="G69" s="1578"/>
      <c r="H69" s="1578"/>
      <c r="I69" s="1578"/>
      <c r="J69" s="1578"/>
      <c r="K69" s="1531">
        <v>30989</v>
      </c>
      <c r="L69" s="1519">
        <f t="shared" si="7"/>
        <v>2510109</v>
      </c>
      <c r="M69" s="1566"/>
      <c r="N69" s="1505"/>
      <c r="P69" s="1515"/>
      <c r="Q69" s="1515"/>
      <c r="R69" s="1515"/>
      <c r="S69" s="1515"/>
      <c r="T69" s="1515"/>
      <c r="U69" s="1515"/>
      <c r="V69" s="1515"/>
      <c r="W69" s="1515">
        <v>0.25</v>
      </c>
      <c r="X69" s="1515">
        <v>0.25</v>
      </c>
      <c r="Y69" s="1515">
        <v>0.25</v>
      </c>
      <c r="Z69" s="1515">
        <v>0.25</v>
      </c>
      <c r="AA69" s="1515"/>
      <c r="AB69" s="1515"/>
      <c r="AC69" s="1515"/>
      <c r="AD69" s="1515"/>
      <c r="AE69" s="1515"/>
      <c r="AF69" s="1515"/>
      <c r="AG69" s="1515">
        <f t="shared" si="8"/>
        <v>1</v>
      </c>
    </row>
    <row r="70" spans="1:33" s="1556" customFormat="1" ht="10.5" outlineLevel="1" x14ac:dyDescent="0.25">
      <c r="A70" s="1683" t="s">
        <v>113</v>
      </c>
      <c r="B70" s="1516">
        <v>4.08</v>
      </c>
      <c r="C70" s="1574" t="s">
        <v>308</v>
      </c>
      <c r="D70" s="1529" t="s">
        <v>107</v>
      </c>
      <c r="E70" s="1530">
        <v>1</v>
      </c>
      <c r="F70" s="1578"/>
      <c r="G70" s="1578"/>
      <c r="H70" s="1578"/>
      <c r="I70" s="1578"/>
      <c r="J70" s="1578"/>
      <c r="K70" s="1531">
        <v>1119953</v>
      </c>
      <c r="L70" s="1519">
        <f t="shared" si="7"/>
        <v>1119953</v>
      </c>
      <c r="M70" s="1566"/>
      <c r="N70" s="1505"/>
      <c r="P70" s="1515"/>
      <c r="Q70" s="1515"/>
      <c r="R70" s="1515"/>
      <c r="S70" s="1515"/>
      <c r="T70" s="1515"/>
      <c r="U70" s="1515"/>
      <c r="V70" s="1515"/>
      <c r="W70" s="1515">
        <v>0.25</v>
      </c>
      <c r="X70" s="1515">
        <v>0.25</v>
      </c>
      <c r="Y70" s="1515">
        <v>0.25</v>
      </c>
      <c r="Z70" s="1515">
        <v>0.25</v>
      </c>
      <c r="AA70" s="1515"/>
      <c r="AB70" s="1515"/>
      <c r="AC70" s="1515"/>
      <c r="AD70" s="1515"/>
      <c r="AE70" s="1515"/>
      <c r="AF70" s="1515"/>
      <c r="AG70" s="1515">
        <f t="shared" si="8"/>
        <v>1</v>
      </c>
    </row>
    <row r="71" spans="1:33" ht="10.5" x14ac:dyDescent="0.25">
      <c r="A71" s="1681"/>
      <c r="B71" s="1500">
        <v>5</v>
      </c>
      <c r="C71" s="1590" t="s">
        <v>121</v>
      </c>
      <c r="D71" s="1501"/>
      <c r="E71" s="1502"/>
      <c r="F71" s="1502"/>
      <c r="G71" s="1502"/>
      <c r="H71" s="1502"/>
      <c r="I71" s="1502"/>
      <c r="J71" s="1502"/>
      <c r="K71" s="1502"/>
      <c r="L71" s="1502"/>
      <c r="M71" s="1504">
        <f>SUM(L72:L78)</f>
        <v>35966419</v>
      </c>
      <c r="N71" s="895">
        <f>M71-'01'!W50</f>
        <v>0</v>
      </c>
      <c r="P71" s="1506"/>
      <c r="Q71" s="1506"/>
      <c r="R71" s="1506"/>
      <c r="S71" s="1506"/>
      <c r="T71" s="1506"/>
      <c r="U71" s="1507"/>
      <c r="V71" s="1507"/>
      <c r="W71" s="1507"/>
      <c r="X71" s="1507"/>
      <c r="Y71" s="1507"/>
      <c r="Z71" s="1507"/>
      <c r="AA71" s="1507"/>
      <c r="AB71" s="1507"/>
      <c r="AC71" s="1507"/>
      <c r="AD71" s="1507"/>
      <c r="AE71" s="1507"/>
      <c r="AF71" s="1507"/>
      <c r="AG71" s="1507"/>
    </row>
    <row r="72" spans="1:33" s="1556" customFormat="1" ht="10.5" outlineLevel="1" x14ac:dyDescent="0.25">
      <c r="A72" s="1683" t="s">
        <v>113</v>
      </c>
      <c r="B72" s="1516">
        <v>5.01</v>
      </c>
      <c r="C72" s="1574" t="s">
        <v>1014</v>
      </c>
      <c r="D72" s="1529" t="s">
        <v>109</v>
      </c>
      <c r="E72" s="1530">
        <v>139.05000000000001</v>
      </c>
      <c r="F72" s="1698"/>
      <c r="G72" s="1698"/>
      <c r="H72" s="1698"/>
      <c r="I72" s="1698"/>
      <c r="J72" s="1698"/>
      <c r="K72" s="1592">
        <v>21800</v>
      </c>
      <c r="L72" s="1531">
        <f t="shared" ref="L72:L78" si="9">+K72*E72</f>
        <v>3031290.0000000005</v>
      </c>
      <c r="M72" s="1566"/>
      <c r="N72" s="1505"/>
      <c r="P72" s="1515"/>
      <c r="Q72" s="1515"/>
      <c r="R72" s="1515"/>
      <c r="S72" s="1515"/>
      <c r="T72" s="1515"/>
      <c r="U72" s="1515"/>
      <c r="V72" s="1515"/>
      <c r="W72" s="1515"/>
      <c r="X72" s="1515"/>
      <c r="Y72" s="1515"/>
      <c r="Z72" s="1515">
        <v>0.5</v>
      </c>
      <c r="AA72" s="1515">
        <v>0.5</v>
      </c>
      <c r="AB72" s="1515"/>
      <c r="AC72" s="1515"/>
      <c r="AD72" s="1515"/>
      <c r="AE72" s="1515"/>
      <c r="AF72" s="1515"/>
      <c r="AG72" s="1515">
        <f t="shared" ref="AG72:AG78" si="10">SUM(Q72:AF72)</f>
        <v>1</v>
      </c>
    </row>
    <row r="73" spans="1:33" s="1556" customFormat="1" ht="10.5" outlineLevel="1" x14ac:dyDescent="0.25">
      <c r="A73" s="1683" t="s">
        <v>113</v>
      </c>
      <c r="B73" s="1516">
        <v>5.0199999999999996</v>
      </c>
      <c r="C73" s="1574" t="s">
        <v>1015</v>
      </c>
      <c r="D73" s="1529" t="s">
        <v>109</v>
      </c>
      <c r="E73" s="1530">
        <v>300</v>
      </c>
      <c r="F73" s="1698"/>
      <c r="G73" s="1698"/>
      <c r="H73" s="1698"/>
      <c r="I73" s="1698"/>
      <c r="J73" s="1698"/>
      <c r="K73" s="1592">
        <v>5376</v>
      </c>
      <c r="L73" s="1519">
        <f t="shared" si="9"/>
        <v>1612800</v>
      </c>
      <c r="M73" s="1566"/>
      <c r="N73" s="1505"/>
      <c r="P73" s="1515"/>
      <c r="Q73" s="1515"/>
      <c r="R73" s="1515"/>
      <c r="S73" s="1515"/>
      <c r="T73" s="1515"/>
      <c r="U73" s="1515"/>
      <c r="V73" s="1515"/>
      <c r="W73" s="1515"/>
      <c r="X73" s="1515"/>
      <c r="Y73" s="1515"/>
      <c r="Z73" s="1515">
        <v>0.5</v>
      </c>
      <c r="AA73" s="1515">
        <v>0.5</v>
      </c>
      <c r="AB73" s="1515"/>
      <c r="AC73" s="1515"/>
      <c r="AD73" s="1515"/>
      <c r="AE73" s="1515"/>
      <c r="AF73" s="1515"/>
      <c r="AG73" s="1515">
        <f t="shared" si="10"/>
        <v>1</v>
      </c>
    </row>
    <row r="74" spans="1:33" s="1556" customFormat="1" ht="10.5" outlineLevel="1" x14ac:dyDescent="0.25">
      <c r="A74" s="1683" t="s">
        <v>113</v>
      </c>
      <c r="B74" s="1516">
        <v>5.03</v>
      </c>
      <c r="C74" s="1574" t="s">
        <v>1016</v>
      </c>
      <c r="D74" s="1529" t="s">
        <v>109</v>
      </c>
      <c r="E74" s="1530">
        <v>48</v>
      </c>
      <c r="F74" s="1698"/>
      <c r="G74" s="1698"/>
      <c r="H74" s="1698"/>
      <c r="I74" s="1698"/>
      <c r="J74" s="1698"/>
      <c r="K74" s="1592">
        <v>5376</v>
      </c>
      <c r="L74" s="1519">
        <f t="shared" si="9"/>
        <v>258048</v>
      </c>
      <c r="M74" s="1566"/>
      <c r="N74" s="1505"/>
      <c r="P74" s="1515"/>
      <c r="Q74" s="1515"/>
      <c r="R74" s="1515"/>
      <c r="S74" s="1515"/>
      <c r="T74" s="1515"/>
      <c r="U74" s="1515"/>
      <c r="V74" s="1515"/>
      <c r="W74" s="1515"/>
      <c r="X74" s="1515"/>
      <c r="Y74" s="1515"/>
      <c r="Z74" s="1515">
        <v>0.5</v>
      </c>
      <c r="AA74" s="1515">
        <v>0.5</v>
      </c>
      <c r="AB74" s="1515"/>
      <c r="AC74" s="1515"/>
      <c r="AD74" s="1515"/>
      <c r="AE74" s="1515"/>
      <c r="AF74" s="1515"/>
      <c r="AG74" s="1515">
        <f t="shared" si="10"/>
        <v>1</v>
      </c>
    </row>
    <row r="75" spans="1:33" s="1556" customFormat="1" ht="10.5" outlineLevel="1" x14ac:dyDescent="0.25">
      <c r="A75" s="1683" t="s">
        <v>113</v>
      </c>
      <c r="B75" s="1516">
        <v>5.04</v>
      </c>
      <c r="C75" s="1574" t="s">
        <v>309</v>
      </c>
      <c r="D75" s="1529" t="s">
        <v>109</v>
      </c>
      <c r="E75" s="1530">
        <v>262</v>
      </c>
      <c r="F75" s="1698"/>
      <c r="G75" s="1698"/>
      <c r="H75" s="1698"/>
      <c r="I75" s="1698"/>
      <c r="J75" s="1698"/>
      <c r="K75" s="1592">
        <v>4403</v>
      </c>
      <c r="L75" s="1519">
        <f t="shared" si="9"/>
        <v>1153586</v>
      </c>
      <c r="M75" s="1566"/>
      <c r="N75" s="1505"/>
      <c r="P75" s="1515"/>
      <c r="Q75" s="1515"/>
      <c r="R75" s="1515"/>
      <c r="S75" s="1515"/>
      <c r="T75" s="1515"/>
      <c r="U75" s="1515"/>
      <c r="V75" s="1515"/>
      <c r="W75" s="1515"/>
      <c r="X75" s="1515"/>
      <c r="Y75" s="1515"/>
      <c r="Z75" s="1515">
        <v>0.5</v>
      </c>
      <c r="AA75" s="1515">
        <v>0.5</v>
      </c>
      <c r="AB75" s="1515"/>
      <c r="AC75" s="1515"/>
      <c r="AD75" s="1515"/>
      <c r="AE75" s="1515"/>
      <c r="AF75" s="1515"/>
      <c r="AG75" s="1515">
        <f t="shared" si="10"/>
        <v>1</v>
      </c>
    </row>
    <row r="76" spans="1:33" s="1556" customFormat="1" ht="10.5" outlineLevel="1" x14ac:dyDescent="0.25">
      <c r="A76" s="1683" t="s">
        <v>113</v>
      </c>
      <c r="B76" s="1516">
        <v>5.05</v>
      </c>
      <c r="C76" s="1574" t="s">
        <v>199</v>
      </c>
      <c r="D76" s="1529" t="s">
        <v>109</v>
      </c>
      <c r="E76" s="1530">
        <v>510</v>
      </c>
      <c r="F76" s="1698"/>
      <c r="G76" s="1698"/>
      <c r="H76" s="1698"/>
      <c r="I76" s="1698"/>
      <c r="J76" s="1698"/>
      <c r="K76" s="1592">
        <v>3578</v>
      </c>
      <c r="L76" s="1519">
        <f t="shared" si="9"/>
        <v>1824780</v>
      </c>
      <c r="M76" s="1566"/>
      <c r="N76" s="1505"/>
      <c r="P76" s="1515"/>
      <c r="Q76" s="1515"/>
      <c r="R76" s="1515"/>
      <c r="S76" s="1515"/>
      <c r="T76" s="1515"/>
      <c r="U76" s="1515"/>
      <c r="V76" s="1515"/>
      <c r="W76" s="1515"/>
      <c r="X76" s="1515"/>
      <c r="Y76" s="1515"/>
      <c r="Z76" s="1515">
        <v>0.5</v>
      </c>
      <c r="AA76" s="1515">
        <v>0.5</v>
      </c>
      <c r="AB76" s="1515"/>
      <c r="AC76" s="1515"/>
      <c r="AD76" s="1515"/>
      <c r="AE76" s="1515"/>
      <c r="AF76" s="1515"/>
      <c r="AG76" s="1515">
        <f t="shared" si="10"/>
        <v>1</v>
      </c>
    </row>
    <row r="77" spans="1:33" s="1546" customFormat="1" ht="10.5" outlineLevel="1" x14ac:dyDescent="0.25">
      <c r="A77" s="1683" t="s">
        <v>113</v>
      </c>
      <c r="B77" s="1516">
        <v>5.0599999999999996</v>
      </c>
      <c r="C77" s="1574" t="s">
        <v>1017</v>
      </c>
      <c r="D77" s="1567" t="s">
        <v>109</v>
      </c>
      <c r="E77" s="1530">
        <v>510</v>
      </c>
      <c r="F77" s="1698"/>
      <c r="G77" s="1698"/>
      <c r="H77" s="1698"/>
      <c r="I77" s="1698"/>
      <c r="J77" s="1698"/>
      <c r="K77" s="1592">
        <v>21800</v>
      </c>
      <c r="L77" s="1519">
        <f t="shared" si="9"/>
        <v>11118000</v>
      </c>
      <c r="M77" s="1558"/>
      <c r="N77" s="1505"/>
      <c r="P77" s="1515"/>
      <c r="Q77" s="1515"/>
      <c r="R77" s="1515"/>
      <c r="S77" s="1515"/>
      <c r="T77" s="1515"/>
      <c r="U77" s="1515"/>
      <c r="V77" s="1515"/>
      <c r="W77" s="1515"/>
      <c r="X77" s="1515"/>
      <c r="Y77" s="1515"/>
      <c r="Z77" s="1515">
        <v>0.5</v>
      </c>
      <c r="AA77" s="1515">
        <v>0.5</v>
      </c>
      <c r="AB77" s="1515"/>
      <c r="AC77" s="1515"/>
      <c r="AD77" s="1515"/>
      <c r="AE77" s="1515"/>
      <c r="AF77" s="1515"/>
      <c r="AG77" s="1515">
        <f t="shared" si="10"/>
        <v>1</v>
      </c>
    </row>
    <row r="78" spans="1:33" s="1546" customFormat="1" ht="10.5" outlineLevel="1" x14ac:dyDescent="0.25">
      <c r="A78" s="1683" t="s">
        <v>113</v>
      </c>
      <c r="B78" s="1516">
        <v>5.07</v>
      </c>
      <c r="C78" s="1574" t="s">
        <v>310</v>
      </c>
      <c r="D78" s="1567" t="s">
        <v>107</v>
      </c>
      <c r="E78" s="1530">
        <v>1</v>
      </c>
      <c r="F78" s="1698"/>
      <c r="G78" s="1698"/>
      <c r="H78" s="1698"/>
      <c r="I78" s="1698"/>
      <c r="J78" s="1698"/>
      <c r="K78" s="1592">
        <v>16967915</v>
      </c>
      <c r="L78" s="1519">
        <f t="shared" si="9"/>
        <v>16967915</v>
      </c>
      <c r="M78" s="1562"/>
      <c r="N78" s="1505"/>
      <c r="P78" s="1515"/>
      <c r="Q78" s="1515"/>
      <c r="R78" s="1515"/>
      <c r="S78" s="1515"/>
      <c r="T78" s="1515"/>
      <c r="U78" s="1515"/>
      <c r="V78" s="1515"/>
      <c r="W78" s="1515">
        <v>1</v>
      </c>
      <c r="X78" s="1515"/>
      <c r="Y78" s="1515"/>
      <c r="Z78" s="1515"/>
      <c r="AA78" s="1515"/>
      <c r="AB78" s="1515"/>
      <c r="AC78" s="1515"/>
      <c r="AD78" s="1515"/>
      <c r="AE78" s="1515"/>
      <c r="AF78" s="1515"/>
      <c r="AG78" s="1515">
        <f t="shared" si="10"/>
        <v>1</v>
      </c>
    </row>
    <row r="79" spans="1:33" ht="10.5" x14ac:dyDescent="0.25">
      <c r="A79" s="1681"/>
      <c r="B79" s="1500">
        <v>6</v>
      </c>
      <c r="C79" s="1590" t="s">
        <v>200</v>
      </c>
      <c r="D79" s="1501"/>
      <c r="E79" s="1502"/>
      <c r="F79" s="1502"/>
      <c r="G79" s="1502"/>
      <c r="H79" s="1502"/>
      <c r="I79" s="1502"/>
      <c r="J79" s="1502"/>
      <c r="K79" s="1502"/>
      <c r="L79" s="1502"/>
      <c r="M79" s="1504">
        <f>SUM(L80:L80)</f>
        <v>2433900</v>
      </c>
      <c r="N79" s="895">
        <f>M79-'01'!W58</f>
        <v>0</v>
      </c>
      <c r="P79" s="1506"/>
      <c r="Q79" s="1506"/>
      <c r="R79" s="1506"/>
      <c r="S79" s="1506"/>
      <c r="T79" s="1506"/>
      <c r="U79" s="1507"/>
      <c r="V79" s="1507"/>
      <c r="W79" s="1507"/>
      <c r="X79" s="1507"/>
      <c r="Y79" s="1507"/>
      <c r="Z79" s="1507"/>
      <c r="AA79" s="1507"/>
      <c r="AB79" s="1507"/>
      <c r="AC79" s="1507"/>
      <c r="AD79" s="1507"/>
      <c r="AE79" s="1507"/>
      <c r="AF79" s="1507"/>
      <c r="AG79" s="1507"/>
    </row>
    <row r="80" spans="1:33" s="1546" customFormat="1" ht="10.5" outlineLevel="1" x14ac:dyDescent="0.25">
      <c r="A80" s="1683" t="s">
        <v>113</v>
      </c>
      <c r="B80" s="1568">
        <v>6.02</v>
      </c>
      <c r="C80" s="1659" t="s">
        <v>201</v>
      </c>
      <c r="D80" s="1569" t="s">
        <v>124</v>
      </c>
      <c r="E80" s="1524">
        <v>60</v>
      </c>
      <c r="F80" s="1550"/>
      <c r="G80" s="1550"/>
      <c r="H80" s="1550"/>
      <c r="I80" s="1550"/>
      <c r="J80" s="1550"/>
      <c r="K80" s="1519">
        <v>40565</v>
      </c>
      <c r="L80" s="1519">
        <f>+K80*E80</f>
        <v>2433900</v>
      </c>
      <c r="M80" s="1558"/>
      <c r="N80" s="1505"/>
      <c r="P80" s="1515"/>
      <c r="Q80" s="1515"/>
      <c r="R80" s="1515"/>
      <c r="S80" s="1515"/>
      <c r="T80" s="1515"/>
      <c r="U80" s="1515"/>
      <c r="V80" s="1515"/>
      <c r="W80" s="1515"/>
      <c r="X80" s="1515"/>
      <c r="Y80" s="1515"/>
      <c r="Z80" s="1515"/>
      <c r="AA80" s="1515"/>
      <c r="AB80" s="1515"/>
      <c r="AC80" s="1515">
        <v>1</v>
      </c>
      <c r="AD80" s="1515"/>
      <c r="AE80" s="1515"/>
      <c r="AF80" s="1515"/>
      <c r="AG80" s="1515">
        <f t="shared" ref="AG80" si="11">SUM(Q80:AF80)</f>
        <v>1</v>
      </c>
    </row>
    <row r="81" spans="1:33" ht="10.5" x14ac:dyDescent="0.25">
      <c r="A81" s="1681"/>
      <c r="B81" s="1500">
        <v>7</v>
      </c>
      <c r="C81" s="1590" t="s">
        <v>122</v>
      </c>
      <c r="D81" s="1501"/>
      <c r="E81" s="1502"/>
      <c r="F81" s="1502"/>
      <c r="G81" s="1502"/>
      <c r="H81" s="1502"/>
      <c r="I81" s="1502"/>
      <c r="J81" s="1502"/>
      <c r="K81" s="1502"/>
      <c r="L81" s="1502"/>
      <c r="M81" s="1504">
        <f>SUM(L82:L89)</f>
        <v>136390555.29860002</v>
      </c>
      <c r="N81" s="895">
        <f>M81-'01'!W60</f>
        <v>0</v>
      </c>
      <c r="P81" s="1506"/>
      <c r="Q81" s="1506"/>
      <c r="R81" s="1506"/>
      <c r="S81" s="1506"/>
      <c r="T81" s="1506"/>
      <c r="U81" s="1507"/>
      <c r="V81" s="1507"/>
      <c r="W81" s="1507"/>
      <c r="X81" s="1507"/>
      <c r="Y81" s="1507"/>
      <c r="Z81" s="1507"/>
      <c r="AA81" s="1507"/>
      <c r="AB81" s="1507"/>
      <c r="AC81" s="1507"/>
      <c r="AD81" s="1507"/>
      <c r="AE81" s="1507"/>
      <c r="AF81" s="1507"/>
      <c r="AG81" s="1507"/>
    </row>
    <row r="82" spans="1:33" s="1556" customFormat="1" ht="10.5" outlineLevel="1" x14ac:dyDescent="0.25">
      <c r="A82" s="1683" t="s">
        <v>113</v>
      </c>
      <c r="B82" s="1510">
        <v>7.01</v>
      </c>
      <c r="C82" s="1664" t="s">
        <v>311</v>
      </c>
      <c r="D82" s="1553" t="s">
        <v>109</v>
      </c>
      <c r="E82" s="1554">
        <v>678.25199999999995</v>
      </c>
      <c r="F82" s="1554"/>
      <c r="G82" s="1554"/>
      <c r="H82" s="1554"/>
      <c r="I82" s="1554"/>
      <c r="J82" s="1554"/>
      <c r="K82" s="1513">
        <v>16571</v>
      </c>
      <c r="L82" s="1513">
        <f t="shared" ref="L82:L89" si="12">+K82*E82</f>
        <v>11239313.891999999</v>
      </c>
      <c r="M82" s="1555"/>
      <c r="N82" s="1505"/>
      <c r="P82" s="1515"/>
      <c r="Q82" s="1515"/>
      <c r="R82" s="1515"/>
      <c r="S82" s="1515"/>
      <c r="T82" s="1515"/>
      <c r="U82" s="1515"/>
      <c r="V82" s="1515"/>
      <c r="W82" s="1515"/>
      <c r="X82" s="1515"/>
      <c r="Y82" s="1515"/>
      <c r="Z82" s="1515"/>
      <c r="AA82" s="1515">
        <v>0.25</v>
      </c>
      <c r="AB82" s="1515">
        <v>0.5</v>
      </c>
      <c r="AC82" s="1515">
        <v>0.25</v>
      </c>
      <c r="AD82" s="1515"/>
      <c r="AE82" s="1515"/>
      <c r="AF82" s="1515"/>
      <c r="AG82" s="1515">
        <f t="shared" ref="AG82:AG89" si="13">SUM(Q82:AF82)</f>
        <v>1</v>
      </c>
    </row>
    <row r="83" spans="1:33" s="1556" customFormat="1" ht="10.5" outlineLevel="1" x14ac:dyDescent="0.25">
      <c r="A83" s="1683" t="s">
        <v>113</v>
      </c>
      <c r="B83" s="1516">
        <v>7.02</v>
      </c>
      <c r="C83" s="1571" t="s">
        <v>1018</v>
      </c>
      <c r="D83" s="1529" t="s">
        <v>109</v>
      </c>
      <c r="E83" s="1530">
        <v>876.08119999999985</v>
      </c>
      <c r="F83" s="1530"/>
      <c r="G83" s="1530"/>
      <c r="H83" s="1530"/>
      <c r="I83" s="1530"/>
      <c r="J83" s="1530"/>
      <c r="K83" s="1519">
        <v>22183</v>
      </c>
      <c r="L83" s="1519">
        <f t="shared" si="12"/>
        <v>19434109.259599999</v>
      </c>
      <c r="M83" s="1558"/>
      <c r="N83" s="1505"/>
      <c r="P83" s="1515"/>
      <c r="Q83" s="1515"/>
      <c r="R83" s="1515"/>
      <c r="S83" s="1515"/>
      <c r="T83" s="1515"/>
      <c r="U83" s="1515"/>
      <c r="V83" s="1515"/>
      <c r="W83" s="1515"/>
      <c r="X83" s="1515"/>
      <c r="Y83" s="1515"/>
      <c r="Z83" s="1515"/>
      <c r="AA83" s="1515">
        <v>0.25</v>
      </c>
      <c r="AB83" s="1515">
        <v>0.5</v>
      </c>
      <c r="AC83" s="1515">
        <v>0.25</v>
      </c>
      <c r="AD83" s="1515"/>
      <c r="AE83" s="1515"/>
      <c r="AF83" s="1515"/>
      <c r="AG83" s="1515">
        <f t="shared" si="13"/>
        <v>1</v>
      </c>
    </row>
    <row r="84" spans="1:33" s="1556" customFormat="1" ht="10.5" outlineLevel="1" x14ac:dyDescent="0.25">
      <c r="A84" s="1683" t="s">
        <v>113</v>
      </c>
      <c r="B84" s="1572">
        <v>7.03</v>
      </c>
      <c r="C84" s="1571" t="s">
        <v>312</v>
      </c>
      <c r="D84" s="1529" t="s">
        <v>124</v>
      </c>
      <c r="E84" s="1530">
        <v>182</v>
      </c>
      <c r="F84" s="1530"/>
      <c r="G84" s="1530"/>
      <c r="H84" s="1530"/>
      <c r="I84" s="1530"/>
      <c r="J84" s="1530"/>
      <c r="K84" s="1519">
        <v>10806</v>
      </c>
      <c r="L84" s="1519">
        <f t="shared" si="12"/>
        <v>1966692</v>
      </c>
      <c r="M84" s="1558"/>
      <c r="N84" s="1505"/>
      <c r="P84" s="1515"/>
      <c r="Q84" s="1515"/>
      <c r="R84" s="1515"/>
      <c r="S84" s="1515"/>
      <c r="T84" s="1515"/>
      <c r="U84" s="1515"/>
      <c r="V84" s="1515"/>
      <c r="W84" s="1515"/>
      <c r="X84" s="1515"/>
      <c r="Y84" s="1515"/>
      <c r="Z84" s="1515"/>
      <c r="AA84" s="1515">
        <v>0.25</v>
      </c>
      <c r="AB84" s="1515">
        <v>0.5</v>
      </c>
      <c r="AC84" s="1515">
        <v>0.25</v>
      </c>
      <c r="AD84" s="1515"/>
      <c r="AE84" s="1515"/>
      <c r="AF84" s="1515"/>
      <c r="AG84" s="1515">
        <f t="shared" si="13"/>
        <v>1</v>
      </c>
    </row>
    <row r="85" spans="1:33" s="1556" customFormat="1" ht="10.5" outlineLevel="1" x14ac:dyDescent="0.25">
      <c r="A85" s="1683" t="s">
        <v>113</v>
      </c>
      <c r="B85" s="1572">
        <v>7.04</v>
      </c>
      <c r="C85" s="1574" t="s">
        <v>202</v>
      </c>
      <c r="D85" s="1529" t="s">
        <v>109</v>
      </c>
      <c r="E85" s="1530">
        <v>995.85109999999997</v>
      </c>
      <c r="F85" s="1530"/>
      <c r="G85" s="1530"/>
      <c r="H85" s="1530"/>
      <c r="I85" s="1530"/>
      <c r="J85" s="1530"/>
      <c r="K85" s="1519">
        <v>26530</v>
      </c>
      <c r="L85" s="1519">
        <f t="shared" si="12"/>
        <v>26419929.682999998</v>
      </c>
      <c r="M85" s="1558"/>
      <c r="N85" s="1505"/>
      <c r="P85" s="1515"/>
      <c r="Q85" s="1515"/>
      <c r="R85" s="1515"/>
      <c r="S85" s="1515"/>
      <c r="T85" s="1515"/>
      <c r="U85" s="1515"/>
      <c r="V85" s="1515"/>
      <c r="W85" s="1515"/>
      <c r="X85" s="1515"/>
      <c r="Y85" s="1515"/>
      <c r="Z85" s="1515"/>
      <c r="AA85" s="1515">
        <v>0.25</v>
      </c>
      <c r="AB85" s="1515">
        <v>0.5</v>
      </c>
      <c r="AC85" s="1515">
        <v>0.25</v>
      </c>
      <c r="AD85" s="1515"/>
      <c r="AE85" s="1515"/>
      <c r="AF85" s="1515"/>
      <c r="AG85" s="1515">
        <f t="shared" si="13"/>
        <v>1</v>
      </c>
    </row>
    <row r="86" spans="1:33" s="1556" customFormat="1" ht="10.5" outlineLevel="1" x14ac:dyDescent="0.25">
      <c r="A86" s="1683" t="s">
        <v>113</v>
      </c>
      <c r="B86" s="1572">
        <v>7.05</v>
      </c>
      <c r="C86" s="1574" t="s">
        <v>203</v>
      </c>
      <c r="D86" s="1529" t="s">
        <v>109</v>
      </c>
      <c r="E86" s="1530">
        <v>2514.8970000000013</v>
      </c>
      <c r="F86" s="1530"/>
      <c r="G86" s="1530"/>
      <c r="H86" s="1530"/>
      <c r="I86" s="1530"/>
      <c r="J86" s="1530"/>
      <c r="K86" s="1519">
        <v>22566</v>
      </c>
      <c r="L86" s="1519">
        <f t="shared" si="12"/>
        <v>56751165.702000029</v>
      </c>
      <c r="M86" s="1558"/>
      <c r="N86" s="1505"/>
      <c r="P86" s="1515"/>
      <c r="Q86" s="1515"/>
      <c r="R86" s="1515"/>
      <c r="S86" s="1515"/>
      <c r="T86" s="1515"/>
      <c r="U86" s="1515"/>
      <c r="V86" s="1515"/>
      <c r="W86" s="1515"/>
      <c r="X86" s="1515"/>
      <c r="Y86" s="1515"/>
      <c r="Z86" s="1515"/>
      <c r="AA86" s="1515">
        <v>0.25</v>
      </c>
      <c r="AB86" s="1515">
        <v>0.5</v>
      </c>
      <c r="AC86" s="1515">
        <v>0.25</v>
      </c>
      <c r="AD86" s="1515"/>
      <c r="AE86" s="1515"/>
      <c r="AF86" s="1515"/>
      <c r="AG86" s="1515">
        <f t="shared" si="13"/>
        <v>1</v>
      </c>
    </row>
    <row r="87" spans="1:33" s="1556" customFormat="1" ht="10.5" outlineLevel="1" x14ac:dyDescent="0.25">
      <c r="A87" s="1683" t="s">
        <v>113</v>
      </c>
      <c r="B87" s="1572">
        <v>7.06</v>
      </c>
      <c r="C87" s="1665" t="s">
        <v>313</v>
      </c>
      <c r="D87" s="1529" t="s">
        <v>124</v>
      </c>
      <c r="E87" s="1530">
        <v>509.9</v>
      </c>
      <c r="F87" s="1530"/>
      <c r="G87" s="1530"/>
      <c r="H87" s="1530"/>
      <c r="I87" s="1530"/>
      <c r="J87" s="1530"/>
      <c r="K87" s="1519">
        <v>12771</v>
      </c>
      <c r="L87" s="1519">
        <f t="shared" si="12"/>
        <v>6511932.8999999994</v>
      </c>
      <c r="M87" s="1558"/>
      <c r="N87" s="1505"/>
      <c r="P87" s="1515"/>
      <c r="Q87" s="1515"/>
      <c r="R87" s="1515"/>
      <c r="S87" s="1515"/>
      <c r="T87" s="1515"/>
      <c r="U87" s="1515"/>
      <c r="V87" s="1515"/>
      <c r="W87" s="1515"/>
      <c r="X87" s="1515"/>
      <c r="Y87" s="1515"/>
      <c r="Z87" s="1515"/>
      <c r="AA87" s="1515">
        <v>0.25</v>
      </c>
      <c r="AB87" s="1515">
        <v>0.5</v>
      </c>
      <c r="AC87" s="1515">
        <v>0.25</v>
      </c>
      <c r="AD87" s="1515"/>
      <c r="AE87" s="1515"/>
      <c r="AF87" s="1515"/>
      <c r="AG87" s="1515">
        <f t="shared" si="13"/>
        <v>1</v>
      </c>
    </row>
    <row r="88" spans="1:33" s="1556" customFormat="1" ht="10.5" outlineLevel="1" x14ac:dyDescent="0.25">
      <c r="A88" s="1683" t="s">
        <v>113</v>
      </c>
      <c r="B88" s="1572">
        <v>7.07</v>
      </c>
      <c r="C88" s="1665" t="s">
        <v>314</v>
      </c>
      <c r="D88" s="1529" t="s">
        <v>111</v>
      </c>
      <c r="E88" s="1530">
        <v>198</v>
      </c>
      <c r="F88" s="1530"/>
      <c r="G88" s="1530"/>
      <c r="H88" s="1530"/>
      <c r="I88" s="1530"/>
      <c r="J88" s="1530"/>
      <c r="K88" s="1519">
        <v>14947</v>
      </c>
      <c r="L88" s="1519">
        <f t="shared" si="12"/>
        <v>2959506</v>
      </c>
      <c r="M88" s="1558"/>
      <c r="N88" s="1505"/>
      <c r="P88" s="1515"/>
      <c r="Q88" s="1515"/>
      <c r="R88" s="1515"/>
      <c r="S88" s="1515"/>
      <c r="T88" s="1515"/>
      <c r="U88" s="1515"/>
      <c r="V88" s="1515"/>
      <c r="W88" s="1515"/>
      <c r="X88" s="1515"/>
      <c r="Y88" s="1515"/>
      <c r="Z88" s="1515"/>
      <c r="AA88" s="1515">
        <v>0.25</v>
      </c>
      <c r="AB88" s="1515">
        <v>0.5</v>
      </c>
      <c r="AC88" s="1515">
        <v>0.25</v>
      </c>
      <c r="AD88" s="1515"/>
      <c r="AE88" s="1515"/>
      <c r="AF88" s="1515"/>
      <c r="AG88" s="1515">
        <f t="shared" si="13"/>
        <v>1</v>
      </c>
    </row>
    <row r="89" spans="1:33" s="1556" customFormat="1" ht="10.5" outlineLevel="1" x14ac:dyDescent="0.25">
      <c r="A89" s="1683" t="s">
        <v>113</v>
      </c>
      <c r="B89" s="1573">
        <v>7.08</v>
      </c>
      <c r="C89" s="1659" t="s">
        <v>123</v>
      </c>
      <c r="D89" s="1557" t="s">
        <v>109</v>
      </c>
      <c r="E89" s="1537">
        <v>670.322</v>
      </c>
      <c r="F89" s="1536"/>
      <c r="G89" s="1536"/>
      <c r="H89" s="1536"/>
      <c r="I89" s="1536"/>
      <c r="J89" s="1536"/>
      <c r="K89" s="1519">
        <v>16571</v>
      </c>
      <c r="L89" s="1519">
        <f t="shared" si="12"/>
        <v>11107905.862</v>
      </c>
      <c r="M89" s="1558"/>
      <c r="N89" s="1505"/>
      <c r="P89" s="1515"/>
      <c r="Q89" s="1515"/>
      <c r="R89" s="1515"/>
      <c r="S89" s="1515"/>
      <c r="T89" s="1515"/>
      <c r="U89" s="1515"/>
      <c r="V89" s="1515"/>
      <c r="W89" s="1515"/>
      <c r="X89" s="1515"/>
      <c r="Y89" s="1515"/>
      <c r="Z89" s="1515"/>
      <c r="AA89" s="1515">
        <v>0.25</v>
      </c>
      <c r="AB89" s="1515">
        <v>0.5</v>
      </c>
      <c r="AC89" s="1515">
        <v>0.25</v>
      </c>
      <c r="AD89" s="1515"/>
      <c r="AE89" s="1515"/>
      <c r="AF89" s="1515"/>
      <c r="AG89" s="1515">
        <f t="shared" si="13"/>
        <v>1</v>
      </c>
    </row>
    <row r="90" spans="1:33" ht="10.5" x14ac:dyDescent="0.25">
      <c r="A90" s="1681"/>
      <c r="B90" s="1500">
        <v>8</v>
      </c>
      <c r="C90" s="1590" t="s">
        <v>120</v>
      </c>
      <c r="D90" s="1501"/>
      <c r="E90" s="1502"/>
      <c r="F90" s="1502"/>
      <c r="G90" s="1502"/>
      <c r="H90" s="1502"/>
      <c r="I90" s="1502"/>
      <c r="J90" s="1502"/>
      <c r="K90" s="1502"/>
      <c r="L90" s="1502"/>
      <c r="M90" s="1504">
        <f>SUM(L91:L98)</f>
        <v>44788107</v>
      </c>
      <c r="N90" s="895">
        <f>M90-'01'!W69</f>
        <v>0</v>
      </c>
      <c r="P90" s="1506"/>
      <c r="Q90" s="1506"/>
      <c r="R90" s="1506"/>
      <c r="S90" s="1506"/>
      <c r="T90" s="1506"/>
      <c r="U90" s="1507"/>
      <c r="V90" s="1507"/>
      <c r="W90" s="1507"/>
      <c r="X90" s="1507"/>
      <c r="Y90" s="1507"/>
      <c r="Z90" s="1507"/>
      <c r="AA90" s="1507"/>
      <c r="AB90" s="1507"/>
      <c r="AC90" s="1507"/>
      <c r="AD90" s="1507"/>
      <c r="AE90" s="1507"/>
      <c r="AF90" s="1507"/>
      <c r="AG90" s="1507"/>
    </row>
    <row r="91" spans="1:33" s="1556" customFormat="1" ht="10.5" outlineLevel="1" x14ac:dyDescent="0.25">
      <c r="A91" s="1683" t="s">
        <v>113</v>
      </c>
      <c r="B91" s="1510">
        <v>8.01</v>
      </c>
      <c r="C91" s="1658" t="s">
        <v>315</v>
      </c>
      <c r="D91" s="1553" t="s">
        <v>109</v>
      </c>
      <c r="E91" s="1554">
        <v>104</v>
      </c>
      <c r="F91" s="1578"/>
      <c r="G91" s="1578"/>
      <c r="H91" s="1578"/>
      <c r="I91" s="1578"/>
      <c r="J91" s="1578"/>
      <c r="K91" s="1531">
        <v>31920</v>
      </c>
      <c r="L91" s="1531">
        <f t="shared" ref="L91:L98" si="14">+K91*E91</f>
        <v>3319680</v>
      </c>
      <c r="M91" s="1566"/>
      <c r="N91" s="1505"/>
      <c r="P91" s="1515"/>
      <c r="Q91" s="1515"/>
      <c r="R91" s="1515"/>
      <c r="S91" s="1515"/>
      <c r="T91" s="1515"/>
      <c r="U91" s="1515"/>
      <c r="V91" s="1515"/>
      <c r="W91" s="1515"/>
      <c r="X91" s="1515"/>
      <c r="Y91" s="1515"/>
      <c r="Z91" s="1515">
        <v>0.5</v>
      </c>
      <c r="AA91" s="1515">
        <v>0.5</v>
      </c>
      <c r="AB91" s="1515"/>
      <c r="AC91" s="1515"/>
      <c r="AD91" s="1515"/>
      <c r="AE91" s="1515"/>
      <c r="AF91" s="1515"/>
      <c r="AG91" s="1515">
        <f t="shared" ref="AG91:AG98" si="15">SUM(Q91:AF91)</f>
        <v>1</v>
      </c>
    </row>
    <row r="92" spans="1:33" s="1556" customFormat="1" ht="10.5" outlineLevel="1" x14ac:dyDescent="0.25">
      <c r="A92" s="1683" t="s">
        <v>113</v>
      </c>
      <c r="B92" s="1516">
        <v>8.02</v>
      </c>
      <c r="C92" s="1574" t="s">
        <v>316</v>
      </c>
      <c r="D92" s="1529" t="s">
        <v>109</v>
      </c>
      <c r="E92" s="1530">
        <v>48</v>
      </c>
      <c r="F92" s="1578"/>
      <c r="G92" s="1578"/>
      <c r="H92" s="1578"/>
      <c r="I92" s="1578"/>
      <c r="J92" s="1578"/>
      <c r="K92" s="1531">
        <v>37268</v>
      </c>
      <c r="L92" s="1531">
        <f t="shared" si="14"/>
        <v>1788864</v>
      </c>
      <c r="M92" s="1566"/>
      <c r="N92" s="1505"/>
      <c r="P92" s="1515"/>
      <c r="Q92" s="1515"/>
      <c r="R92" s="1515"/>
      <c r="S92" s="1515"/>
      <c r="T92" s="1515"/>
      <c r="U92" s="1515"/>
      <c r="V92" s="1515"/>
      <c r="W92" s="1515"/>
      <c r="X92" s="1515"/>
      <c r="Y92" s="1515"/>
      <c r="Z92" s="1515">
        <v>0.5</v>
      </c>
      <c r="AA92" s="1515">
        <v>0.5</v>
      </c>
      <c r="AB92" s="1515"/>
      <c r="AC92" s="1515"/>
      <c r="AD92" s="1515"/>
      <c r="AE92" s="1515"/>
      <c r="AF92" s="1515"/>
      <c r="AG92" s="1515">
        <f t="shared" si="15"/>
        <v>1</v>
      </c>
    </row>
    <row r="93" spans="1:33" s="1556" customFormat="1" ht="10.5" outlineLevel="1" x14ac:dyDescent="0.25">
      <c r="A93" s="1683" t="s">
        <v>113</v>
      </c>
      <c r="B93" s="1516">
        <v>8.0299999999999994</v>
      </c>
      <c r="C93" s="1574" t="s">
        <v>317</v>
      </c>
      <c r="D93" s="1529" t="s">
        <v>109</v>
      </c>
      <c r="E93" s="1530">
        <v>235</v>
      </c>
      <c r="F93" s="1530"/>
      <c r="G93" s="1530"/>
      <c r="H93" s="1530"/>
      <c r="I93" s="1530"/>
      <c r="J93" s="1530"/>
      <c r="K93" s="1519">
        <v>32410</v>
      </c>
      <c r="L93" s="1519">
        <f t="shared" si="14"/>
        <v>7616350</v>
      </c>
      <c r="M93" s="1566"/>
      <c r="N93" s="1505"/>
      <c r="P93" s="1515"/>
      <c r="Q93" s="1515"/>
      <c r="R93" s="1515"/>
      <c r="S93" s="1515"/>
      <c r="T93" s="1515"/>
      <c r="U93" s="1515"/>
      <c r="V93" s="1515"/>
      <c r="W93" s="1515"/>
      <c r="X93" s="1515"/>
      <c r="Y93" s="1515"/>
      <c r="Z93" s="1515">
        <v>0.5</v>
      </c>
      <c r="AA93" s="1515">
        <v>0.5</v>
      </c>
      <c r="AB93" s="1515"/>
      <c r="AC93" s="1515"/>
      <c r="AD93" s="1515"/>
      <c r="AE93" s="1515"/>
      <c r="AF93" s="1515"/>
      <c r="AG93" s="1515">
        <f t="shared" si="15"/>
        <v>1</v>
      </c>
    </row>
    <row r="94" spans="1:33" s="1556" customFormat="1" ht="10.5" outlineLevel="1" x14ac:dyDescent="0.25">
      <c r="A94" s="1683" t="s">
        <v>113</v>
      </c>
      <c r="B94" s="1516">
        <v>8.0399999999999991</v>
      </c>
      <c r="C94" s="1574" t="s">
        <v>204</v>
      </c>
      <c r="D94" s="1529" t="s">
        <v>109</v>
      </c>
      <c r="E94" s="1530">
        <v>878</v>
      </c>
      <c r="F94" s="1530"/>
      <c r="G94" s="1530"/>
      <c r="H94" s="1530"/>
      <c r="I94" s="1530"/>
      <c r="J94" s="1530"/>
      <c r="K94" s="1519">
        <v>19006</v>
      </c>
      <c r="L94" s="1519">
        <f t="shared" si="14"/>
        <v>16687268</v>
      </c>
      <c r="M94" s="1566"/>
      <c r="N94" s="1505"/>
      <c r="P94" s="1515"/>
      <c r="Q94" s="1515"/>
      <c r="R94" s="1515"/>
      <c r="S94" s="1515"/>
      <c r="T94" s="1515"/>
      <c r="U94" s="1515"/>
      <c r="V94" s="1515"/>
      <c r="W94" s="1515"/>
      <c r="X94" s="1515"/>
      <c r="Y94" s="1515"/>
      <c r="Z94" s="1515">
        <v>0.5</v>
      </c>
      <c r="AA94" s="1515">
        <v>0.5</v>
      </c>
      <c r="AB94" s="1515"/>
      <c r="AC94" s="1515"/>
      <c r="AD94" s="1515"/>
      <c r="AE94" s="1515"/>
      <c r="AF94" s="1515"/>
      <c r="AG94" s="1515">
        <f t="shared" si="15"/>
        <v>1</v>
      </c>
    </row>
    <row r="95" spans="1:33" s="1556" customFormat="1" ht="10.5" outlineLevel="1" x14ac:dyDescent="0.25">
      <c r="A95" s="1683" t="s">
        <v>113</v>
      </c>
      <c r="B95" s="1516">
        <v>8.0500000000000007</v>
      </c>
      <c r="C95" s="1574" t="s">
        <v>318</v>
      </c>
      <c r="D95" s="1529" t="s">
        <v>109</v>
      </c>
      <c r="E95" s="1530">
        <v>564</v>
      </c>
      <c r="F95" s="1530"/>
      <c r="G95" s="1530"/>
      <c r="H95" s="1530"/>
      <c r="I95" s="1530"/>
      <c r="J95" s="1530"/>
      <c r="K95" s="1519">
        <v>12439</v>
      </c>
      <c r="L95" s="1519">
        <f t="shared" si="14"/>
        <v>7015596</v>
      </c>
      <c r="M95" s="1566"/>
      <c r="N95" s="1505"/>
      <c r="P95" s="1515"/>
      <c r="Q95" s="1515"/>
      <c r="R95" s="1515"/>
      <c r="S95" s="1515"/>
      <c r="T95" s="1515"/>
      <c r="U95" s="1515"/>
      <c r="V95" s="1515"/>
      <c r="W95" s="1515"/>
      <c r="X95" s="1515"/>
      <c r="Y95" s="1515"/>
      <c r="Z95" s="1515">
        <v>0.5</v>
      </c>
      <c r="AA95" s="1515">
        <v>0.5</v>
      </c>
      <c r="AB95" s="1515"/>
      <c r="AC95" s="1515"/>
      <c r="AD95" s="1515"/>
      <c r="AE95" s="1515"/>
      <c r="AF95" s="1515"/>
      <c r="AG95" s="1515">
        <f t="shared" si="15"/>
        <v>1</v>
      </c>
    </row>
    <row r="96" spans="1:33" s="1556" customFormat="1" ht="10.5" outlineLevel="1" x14ac:dyDescent="0.25">
      <c r="A96" s="1683" t="s">
        <v>113</v>
      </c>
      <c r="B96" s="1516">
        <v>8.06</v>
      </c>
      <c r="C96" s="1574" t="s">
        <v>319</v>
      </c>
      <c r="D96" s="1529" t="s">
        <v>109</v>
      </c>
      <c r="E96" s="1530">
        <v>438</v>
      </c>
      <c r="F96" s="1530"/>
      <c r="G96" s="1530"/>
      <c r="H96" s="1530"/>
      <c r="I96" s="1530"/>
      <c r="J96" s="1530"/>
      <c r="K96" s="1519">
        <v>12439</v>
      </c>
      <c r="L96" s="1519">
        <f t="shared" si="14"/>
        <v>5448282</v>
      </c>
      <c r="M96" s="1566"/>
      <c r="N96" s="1505"/>
      <c r="P96" s="1515"/>
      <c r="Q96" s="1515"/>
      <c r="R96" s="1515"/>
      <c r="S96" s="1515"/>
      <c r="T96" s="1515"/>
      <c r="U96" s="1515"/>
      <c r="V96" s="1515"/>
      <c r="W96" s="1515"/>
      <c r="X96" s="1515"/>
      <c r="Y96" s="1515"/>
      <c r="Z96" s="1515">
        <v>0.5</v>
      </c>
      <c r="AA96" s="1515">
        <v>0.5</v>
      </c>
      <c r="AB96" s="1515"/>
      <c r="AC96" s="1515"/>
      <c r="AD96" s="1515"/>
      <c r="AE96" s="1515"/>
      <c r="AF96" s="1515"/>
      <c r="AG96" s="1515">
        <f t="shared" si="15"/>
        <v>1</v>
      </c>
    </row>
    <row r="97" spans="1:33" s="1556" customFormat="1" ht="10.5" outlineLevel="1" x14ac:dyDescent="0.25">
      <c r="A97" s="1683" t="s">
        <v>113</v>
      </c>
      <c r="B97" s="1516">
        <v>8.07</v>
      </c>
      <c r="C97" s="1574" t="s">
        <v>320</v>
      </c>
      <c r="D97" s="1529" t="s">
        <v>107</v>
      </c>
      <c r="E97" s="1530">
        <v>1</v>
      </c>
      <c r="F97" s="1530"/>
      <c r="G97" s="1530"/>
      <c r="H97" s="1530"/>
      <c r="I97" s="1530"/>
      <c r="J97" s="1530"/>
      <c r="K97" s="1519">
        <v>2426924</v>
      </c>
      <c r="L97" s="1519">
        <f t="shared" si="14"/>
        <v>2426924</v>
      </c>
      <c r="M97" s="1566"/>
      <c r="N97" s="1505"/>
      <c r="P97" s="1515"/>
      <c r="Q97" s="1515"/>
      <c r="R97" s="1515"/>
      <c r="S97" s="1515"/>
      <c r="T97" s="1515"/>
      <c r="U97" s="1515"/>
      <c r="V97" s="1515"/>
      <c r="W97" s="1515"/>
      <c r="X97" s="1515"/>
      <c r="Y97" s="1515"/>
      <c r="Z97" s="1515">
        <v>0.5</v>
      </c>
      <c r="AA97" s="1515">
        <v>0.5</v>
      </c>
      <c r="AB97" s="1515"/>
      <c r="AC97" s="1515"/>
      <c r="AD97" s="1515"/>
      <c r="AE97" s="1515"/>
      <c r="AF97" s="1515"/>
      <c r="AG97" s="1515">
        <f t="shared" si="15"/>
        <v>1</v>
      </c>
    </row>
    <row r="98" spans="1:33" s="1556" customFormat="1" ht="10.5" outlineLevel="1" x14ac:dyDescent="0.25">
      <c r="A98" s="1683" t="s">
        <v>113</v>
      </c>
      <c r="B98" s="1516">
        <v>8.08</v>
      </c>
      <c r="C98" s="1659" t="s">
        <v>321</v>
      </c>
      <c r="D98" s="1557" t="s">
        <v>107</v>
      </c>
      <c r="E98" s="1537">
        <v>1</v>
      </c>
      <c r="F98" s="1536"/>
      <c r="G98" s="1536"/>
      <c r="H98" s="1536"/>
      <c r="I98" s="1536"/>
      <c r="J98" s="1536"/>
      <c r="K98" s="1519">
        <v>485143</v>
      </c>
      <c r="L98" s="1519">
        <f t="shared" si="14"/>
        <v>485143</v>
      </c>
      <c r="M98" s="1566"/>
      <c r="N98" s="1505"/>
      <c r="P98" s="1515"/>
      <c r="Q98" s="1515"/>
      <c r="R98" s="1515"/>
      <c r="S98" s="1515"/>
      <c r="T98" s="1515"/>
      <c r="U98" s="1515"/>
      <c r="V98" s="1515"/>
      <c r="W98" s="1515"/>
      <c r="X98" s="1515"/>
      <c r="Y98" s="1515"/>
      <c r="Z98" s="1515">
        <v>0.5</v>
      </c>
      <c r="AA98" s="1515">
        <v>0.5</v>
      </c>
      <c r="AB98" s="1515"/>
      <c r="AC98" s="1515"/>
      <c r="AD98" s="1515"/>
      <c r="AE98" s="1515"/>
      <c r="AF98" s="1515"/>
      <c r="AG98" s="1515">
        <f t="shared" si="15"/>
        <v>1</v>
      </c>
    </row>
    <row r="99" spans="1:33" ht="10.5" x14ac:dyDescent="0.25">
      <c r="A99" s="1681"/>
      <c r="B99" s="1500">
        <v>9</v>
      </c>
      <c r="C99" s="1590" t="s">
        <v>205</v>
      </c>
      <c r="D99" s="1501"/>
      <c r="E99" s="1502"/>
      <c r="F99" s="1502"/>
      <c r="G99" s="1502"/>
      <c r="H99" s="1502"/>
      <c r="I99" s="1502"/>
      <c r="J99" s="1502"/>
      <c r="K99" s="1502"/>
      <c r="L99" s="1502"/>
      <c r="M99" s="1504">
        <f>SUM(L100:L103)</f>
        <v>5769056.5999999996</v>
      </c>
      <c r="N99" s="895">
        <f>M99-'01'!W78</f>
        <v>0</v>
      </c>
      <c r="P99" s="1506"/>
      <c r="Q99" s="1506"/>
      <c r="R99" s="1506"/>
      <c r="S99" s="1506"/>
      <c r="T99" s="1506"/>
      <c r="U99" s="1507"/>
      <c r="V99" s="1507"/>
      <c r="W99" s="1507"/>
      <c r="X99" s="1507"/>
      <c r="Y99" s="1507"/>
      <c r="Z99" s="1507"/>
      <c r="AA99" s="1507"/>
      <c r="AB99" s="1507"/>
      <c r="AC99" s="1507"/>
      <c r="AD99" s="1507"/>
      <c r="AE99" s="1507"/>
      <c r="AF99" s="1507"/>
      <c r="AG99" s="1507"/>
    </row>
    <row r="100" spans="1:33" ht="10.5" outlineLevel="1" x14ac:dyDescent="0.25">
      <c r="A100" s="1683" t="s">
        <v>113</v>
      </c>
      <c r="B100" s="1510">
        <v>9.01</v>
      </c>
      <c r="C100" s="1658" t="s">
        <v>322</v>
      </c>
      <c r="D100" s="1575" t="s">
        <v>107</v>
      </c>
      <c r="E100" s="1554">
        <v>1</v>
      </c>
      <c r="F100" s="1554"/>
      <c r="G100" s="1554"/>
      <c r="H100" s="1554"/>
      <c r="I100" s="1554"/>
      <c r="J100" s="1554"/>
      <c r="K100" s="1513">
        <v>2024643</v>
      </c>
      <c r="L100" s="1513">
        <f>+K100*E100</f>
        <v>2024643</v>
      </c>
      <c r="M100" s="1558"/>
      <c r="N100" s="1576"/>
      <c r="P100" s="1515"/>
      <c r="Q100" s="1515"/>
      <c r="R100" s="1515"/>
      <c r="S100" s="1515"/>
      <c r="T100" s="1515"/>
      <c r="U100" s="1515"/>
      <c r="V100" s="1515"/>
      <c r="W100" s="1515"/>
      <c r="X100" s="1515"/>
      <c r="Y100" s="1515"/>
      <c r="Z100" s="1515"/>
      <c r="AA100" s="1515"/>
      <c r="AB100" s="1515"/>
      <c r="AC100" s="1515">
        <v>0.5</v>
      </c>
      <c r="AD100" s="1515">
        <v>0.5</v>
      </c>
      <c r="AE100" s="1515"/>
      <c r="AF100" s="1515"/>
      <c r="AG100" s="1515">
        <f t="shared" ref="AG100:AG103" si="16">SUM(Q100:AF100)</f>
        <v>1</v>
      </c>
    </row>
    <row r="101" spans="1:33" ht="10.5" outlineLevel="1" x14ac:dyDescent="0.25">
      <c r="A101" s="1683" t="s">
        <v>113</v>
      </c>
      <c r="B101" s="1539">
        <v>9.02</v>
      </c>
      <c r="C101" s="1587" t="s">
        <v>323</v>
      </c>
      <c r="D101" s="1577" t="s">
        <v>124</v>
      </c>
      <c r="E101" s="1578">
        <v>122</v>
      </c>
      <c r="F101" s="1578"/>
      <c r="G101" s="1578"/>
      <c r="H101" s="1578"/>
      <c r="I101" s="1578"/>
      <c r="J101" s="1578"/>
      <c r="K101" s="1519">
        <v>18814</v>
      </c>
      <c r="L101" s="1519">
        <f>+K101*E101</f>
        <v>2295308</v>
      </c>
      <c r="M101" s="1562"/>
      <c r="N101" s="1576"/>
      <c r="P101" s="1515"/>
      <c r="Q101" s="1515"/>
      <c r="R101" s="1515"/>
      <c r="S101" s="1515"/>
      <c r="T101" s="1515"/>
      <c r="U101" s="1515"/>
      <c r="V101" s="1515"/>
      <c r="W101" s="1515"/>
      <c r="X101" s="1515"/>
      <c r="Y101" s="1515"/>
      <c r="Z101" s="1515"/>
      <c r="AA101" s="1515"/>
      <c r="AB101" s="1515"/>
      <c r="AC101" s="1515">
        <v>0.5</v>
      </c>
      <c r="AD101" s="1515">
        <v>0.5</v>
      </c>
      <c r="AE101" s="1515"/>
      <c r="AF101" s="1515"/>
      <c r="AG101" s="1515">
        <f t="shared" si="16"/>
        <v>1</v>
      </c>
    </row>
    <row r="102" spans="1:33" ht="10.5" outlineLevel="1" x14ac:dyDescent="0.25">
      <c r="A102" s="1683" t="s">
        <v>113</v>
      </c>
      <c r="B102" s="1516">
        <v>9.0299999999999994</v>
      </c>
      <c r="C102" s="1574" t="s">
        <v>324</v>
      </c>
      <c r="D102" s="1579" t="s">
        <v>124</v>
      </c>
      <c r="E102" s="1530">
        <v>155</v>
      </c>
      <c r="F102" s="1530"/>
      <c r="G102" s="1530"/>
      <c r="H102" s="1530"/>
      <c r="I102" s="1530"/>
      <c r="J102" s="1530"/>
      <c r="K102" s="1519">
        <v>5376</v>
      </c>
      <c r="L102" s="1519">
        <f>+K102*E102</f>
        <v>833280</v>
      </c>
      <c r="M102" s="1562"/>
      <c r="N102" s="1576"/>
      <c r="P102" s="1515"/>
      <c r="Q102" s="1515"/>
      <c r="R102" s="1515"/>
      <c r="S102" s="1515"/>
      <c r="T102" s="1515"/>
      <c r="U102" s="1515"/>
      <c r="V102" s="1515"/>
      <c r="W102" s="1515"/>
      <c r="X102" s="1515"/>
      <c r="Y102" s="1515"/>
      <c r="Z102" s="1515"/>
      <c r="AA102" s="1515"/>
      <c r="AB102" s="1515"/>
      <c r="AC102" s="1515">
        <v>0.5</v>
      </c>
      <c r="AD102" s="1515">
        <v>0.5</v>
      </c>
      <c r="AE102" s="1515"/>
      <c r="AF102" s="1515"/>
      <c r="AG102" s="1515">
        <f t="shared" si="16"/>
        <v>1</v>
      </c>
    </row>
    <row r="103" spans="1:33" ht="10.5" outlineLevel="1" x14ac:dyDescent="0.25">
      <c r="A103" s="1683" t="s">
        <v>113</v>
      </c>
      <c r="B103" s="1580">
        <v>9.0399999999999991</v>
      </c>
      <c r="C103" s="1589" t="s">
        <v>325</v>
      </c>
      <c r="D103" s="1581" t="s">
        <v>124</v>
      </c>
      <c r="E103" s="1582">
        <v>31.200000000000003</v>
      </c>
      <c r="F103" s="1700"/>
      <c r="G103" s="1700"/>
      <c r="H103" s="1700"/>
      <c r="I103" s="1700"/>
      <c r="J103" s="1700"/>
      <c r="K103" s="1521">
        <v>19738</v>
      </c>
      <c r="L103" s="1521">
        <f>+K103*E103</f>
        <v>615825.60000000009</v>
      </c>
      <c r="M103" s="1562"/>
      <c r="N103" s="1576"/>
      <c r="P103" s="1515"/>
      <c r="Q103" s="1515"/>
      <c r="R103" s="1515"/>
      <c r="S103" s="1515"/>
      <c r="T103" s="1515"/>
      <c r="U103" s="1515"/>
      <c r="V103" s="1515"/>
      <c r="W103" s="1515"/>
      <c r="X103" s="1515"/>
      <c r="Y103" s="1515"/>
      <c r="Z103" s="1515"/>
      <c r="AA103" s="1515"/>
      <c r="AB103" s="1515"/>
      <c r="AC103" s="1515">
        <v>0.5</v>
      </c>
      <c r="AD103" s="1515">
        <v>0.5</v>
      </c>
      <c r="AE103" s="1515"/>
      <c r="AF103" s="1515"/>
      <c r="AG103" s="1515">
        <f t="shared" si="16"/>
        <v>1</v>
      </c>
    </row>
    <row r="104" spans="1:33" ht="10.5" x14ac:dyDescent="0.25">
      <c r="A104" s="1681"/>
      <c r="B104" s="1500">
        <v>10</v>
      </c>
      <c r="C104" s="1590" t="s">
        <v>206</v>
      </c>
      <c r="D104" s="1501"/>
      <c r="E104" s="1502"/>
      <c r="F104" s="1502"/>
      <c r="G104" s="1502"/>
      <c r="H104" s="1502"/>
      <c r="I104" s="1502"/>
      <c r="J104" s="1502"/>
      <c r="K104" s="1502"/>
      <c r="L104" s="1502"/>
      <c r="M104" s="1504">
        <f>SUM(L105:L108)</f>
        <v>4669278</v>
      </c>
      <c r="N104" s="895">
        <f>M104-'01'!W83</f>
        <v>0</v>
      </c>
      <c r="P104" s="1506"/>
      <c r="Q104" s="1506"/>
      <c r="R104" s="1506"/>
      <c r="S104" s="1506"/>
      <c r="T104" s="1506"/>
      <c r="U104" s="1507"/>
      <c r="V104" s="1507"/>
      <c r="W104" s="1507"/>
      <c r="X104" s="1507"/>
      <c r="Y104" s="1507"/>
      <c r="Z104" s="1507"/>
      <c r="AA104" s="1507"/>
      <c r="AB104" s="1507"/>
      <c r="AC104" s="1507"/>
      <c r="AD104" s="1507"/>
      <c r="AE104" s="1507"/>
      <c r="AF104" s="1507"/>
      <c r="AG104" s="1507"/>
    </row>
    <row r="105" spans="1:33" ht="10.5" outlineLevel="1" x14ac:dyDescent="0.25">
      <c r="A105" s="1682" t="s">
        <v>113</v>
      </c>
      <c r="B105" s="1510">
        <v>10.01</v>
      </c>
      <c r="C105" s="1658" t="s">
        <v>1019</v>
      </c>
      <c r="D105" s="1583" t="s">
        <v>107</v>
      </c>
      <c r="E105" s="1512">
        <v>0</v>
      </c>
      <c r="F105" s="1542"/>
      <c r="G105" s="1542"/>
      <c r="H105" s="1542"/>
      <c r="I105" s="1542"/>
      <c r="J105" s="1542"/>
      <c r="K105" s="1519">
        <v>0</v>
      </c>
      <c r="L105" s="1519">
        <f>+K105*E105</f>
        <v>0</v>
      </c>
      <c r="N105" s="1505"/>
      <c r="P105" s="1515"/>
      <c r="Q105" s="1515"/>
      <c r="R105" s="1515"/>
      <c r="S105" s="1515"/>
      <c r="T105" s="1515"/>
      <c r="U105" s="1515"/>
      <c r="V105" s="1515"/>
      <c r="W105" s="1515"/>
      <c r="X105" s="1515"/>
      <c r="Y105" s="1515"/>
      <c r="Z105" s="1515"/>
      <c r="AA105" s="1515"/>
      <c r="AB105" s="1515"/>
      <c r="AC105" s="1515"/>
      <c r="AD105" s="1515"/>
      <c r="AE105" s="1515"/>
      <c r="AF105" s="1515"/>
      <c r="AG105" s="1515">
        <f t="shared" ref="AG105:AG108" si="17">SUM(Q105:AF105)</f>
        <v>0</v>
      </c>
    </row>
    <row r="106" spans="1:33" ht="10.5" outlineLevel="1" x14ac:dyDescent="0.25">
      <c r="A106" s="1683" t="s">
        <v>113</v>
      </c>
      <c r="B106" s="1516">
        <v>10.02</v>
      </c>
      <c r="C106" s="1574" t="s">
        <v>1020</v>
      </c>
      <c r="D106" s="1584" t="s">
        <v>107</v>
      </c>
      <c r="E106" s="1518">
        <v>1</v>
      </c>
      <c r="F106" s="1518"/>
      <c r="G106" s="1518"/>
      <c r="H106" s="1518"/>
      <c r="I106" s="1518"/>
      <c r="J106" s="1518"/>
      <c r="K106" s="1519">
        <v>2199545</v>
      </c>
      <c r="L106" s="1519">
        <f>+K106*E106</f>
        <v>2199545</v>
      </c>
      <c r="M106" s="1701"/>
      <c r="N106" s="1505"/>
      <c r="P106" s="1515"/>
      <c r="Q106" s="1515"/>
      <c r="R106" s="1515"/>
      <c r="S106" s="1515"/>
      <c r="T106" s="1515"/>
      <c r="U106" s="1515"/>
      <c r="V106" s="1515"/>
      <c r="W106" s="1515"/>
      <c r="X106" s="1515"/>
      <c r="Y106" s="1515">
        <v>0.5</v>
      </c>
      <c r="Z106" s="1515">
        <v>0.5</v>
      </c>
      <c r="AA106" s="1515"/>
      <c r="AB106" s="1515"/>
      <c r="AC106" s="1515"/>
      <c r="AD106" s="1515"/>
      <c r="AE106" s="1515"/>
      <c r="AF106" s="1515"/>
      <c r="AG106" s="1515">
        <f t="shared" si="17"/>
        <v>1</v>
      </c>
    </row>
    <row r="107" spans="1:33" ht="10.5" outlineLevel="1" x14ac:dyDescent="0.25">
      <c r="A107" s="1683" t="s">
        <v>113</v>
      </c>
      <c r="B107" s="1516">
        <v>10.029999999999999</v>
      </c>
      <c r="C107" s="1574" t="s">
        <v>1021</v>
      </c>
      <c r="D107" s="1584" t="s">
        <v>104</v>
      </c>
      <c r="E107" s="1518">
        <v>0</v>
      </c>
      <c r="F107" s="1518"/>
      <c r="G107" s="1518"/>
      <c r="H107" s="1518"/>
      <c r="I107" s="1518"/>
      <c r="J107" s="1518"/>
      <c r="K107" s="1519">
        <v>0</v>
      </c>
      <c r="L107" s="1519">
        <f>+K107*E107</f>
        <v>0</v>
      </c>
      <c r="N107" s="1505"/>
      <c r="P107" s="1515"/>
      <c r="Q107" s="1515"/>
      <c r="R107" s="1515"/>
      <c r="S107" s="1515"/>
      <c r="T107" s="1515"/>
      <c r="U107" s="1515"/>
      <c r="V107" s="1515"/>
      <c r="W107" s="1515"/>
      <c r="X107" s="1515"/>
      <c r="Y107" s="1515"/>
      <c r="Z107" s="1515"/>
      <c r="AA107" s="1515"/>
      <c r="AB107" s="1515"/>
      <c r="AC107" s="1515"/>
      <c r="AD107" s="1515"/>
      <c r="AE107" s="1515"/>
      <c r="AF107" s="1515"/>
      <c r="AG107" s="1515">
        <f t="shared" si="17"/>
        <v>0</v>
      </c>
    </row>
    <row r="108" spans="1:33" s="1556" customFormat="1" ht="10.5" outlineLevel="1" x14ac:dyDescent="0.25">
      <c r="A108" s="1683" t="s">
        <v>113</v>
      </c>
      <c r="B108" s="1516">
        <v>10.039999999999999</v>
      </c>
      <c r="C108" s="1574" t="s">
        <v>326</v>
      </c>
      <c r="D108" s="1529" t="s">
        <v>111</v>
      </c>
      <c r="E108" s="1530">
        <v>7</v>
      </c>
      <c r="F108" s="1530"/>
      <c r="G108" s="1530"/>
      <c r="H108" s="1530"/>
      <c r="I108" s="1530"/>
      <c r="J108" s="1530"/>
      <c r="K108" s="1519">
        <v>352819</v>
      </c>
      <c r="L108" s="1519">
        <f>+K108*E108</f>
        <v>2469733</v>
      </c>
      <c r="M108" s="1566"/>
      <c r="N108" s="1505"/>
      <c r="P108" s="1515"/>
      <c r="Q108" s="1515"/>
      <c r="R108" s="1515"/>
      <c r="S108" s="1515"/>
      <c r="T108" s="1515"/>
      <c r="U108" s="1515"/>
      <c r="V108" s="1515"/>
      <c r="W108" s="1515"/>
      <c r="X108" s="1515"/>
      <c r="Y108" s="1515"/>
      <c r="Z108" s="1515"/>
      <c r="AA108" s="1515"/>
      <c r="AB108" s="1515"/>
      <c r="AC108" s="1515"/>
      <c r="AD108" s="1515">
        <v>1</v>
      </c>
      <c r="AE108" s="1515"/>
      <c r="AF108" s="1515"/>
      <c r="AG108" s="1515">
        <f t="shared" si="17"/>
        <v>1</v>
      </c>
    </row>
    <row r="109" spans="1:33" ht="10.5" x14ac:dyDescent="0.25">
      <c r="A109" s="1681"/>
      <c r="B109" s="1500">
        <v>11</v>
      </c>
      <c r="C109" s="1590" t="s">
        <v>207</v>
      </c>
      <c r="D109" s="1501"/>
      <c r="E109" s="1502"/>
      <c r="F109" s="1502"/>
      <c r="G109" s="1502"/>
      <c r="H109" s="1502"/>
      <c r="I109" s="1502"/>
      <c r="J109" s="1502"/>
      <c r="K109" s="1502"/>
      <c r="L109" s="1502"/>
      <c r="M109" s="1504">
        <f>SUM(L110:L116)</f>
        <v>48040802</v>
      </c>
      <c r="N109" s="895">
        <f>M109-'01'!W88</f>
        <v>0</v>
      </c>
      <c r="P109" s="1506"/>
      <c r="Q109" s="1506"/>
      <c r="R109" s="1506"/>
      <c r="S109" s="1506"/>
      <c r="T109" s="1506"/>
      <c r="U109" s="1507"/>
      <c r="V109" s="1507"/>
      <c r="W109" s="1507"/>
      <c r="X109" s="1507"/>
      <c r="Y109" s="1507"/>
      <c r="Z109" s="1507"/>
      <c r="AA109" s="1507"/>
      <c r="AB109" s="1507"/>
      <c r="AC109" s="1507"/>
      <c r="AD109" s="1507"/>
      <c r="AE109" s="1507"/>
      <c r="AF109" s="1507"/>
      <c r="AG109" s="1507"/>
    </row>
    <row r="110" spans="1:33" ht="10.5" outlineLevel="1" x14ac:dyDescent="0.25">
      <c r="A110" s="1682" t="s">
        <v>128</v>
      </c>
      <c r="B110" s="1510">
        <v>11.01</v>
      </c>
      <c r="C110" s="1658" t="s">
        <v>1022</v>
      </c>
      <c r="D110" s="1575" t="s">
        <v>109</v>
      </c>
      <c r="E110" s="1554">
        <v>30</v>
      </c>
      <c r="F110" s="1578"/>
      <c r="G110" s="1578"/>
      <c r="H110" s="1578"/>
      <c r="I110" s="1578"/>
      <c r="J110" s="1578"/>
      <c r="K110" s="1519">
        <v>21948</v>
      </c>
      <c r="L110" s="1519">
        <f t="shared" ref="L110:L116" si="18">+K110*E110</f>
        <v>658440</v>
      </c>
      <c r="M110" s="1558"/>
      <c r="N110" s="1576"/>
      <c r="P110" s="1515"/>
      <c r="Q110" s="1515"/>
      <c r="R110" s="1515"/>
      <c r="S110" s="1515"/>
      <c r="T110" s="1515"/>
      <c r="U110" s="1515"/>
      <c r="V110" s="1515"/>
      <c r="W110" s="1515"/>
      <c r="X110" s="1515"/>
      <c r="Y110" s="1515"/>
      <c r="Z110" s="1515"/>
      <c r="AA110" s="1515"/>
      <c r="AB110" s="1515"/>
      <c r="AC110" s="1515">
        <v>0.2</v>
      </c>
      <c r="AD110" s="1515">
        <v>0.4</v>
      </c>
      <c r="AE110" s="1515">
        <v>0.4</v>
      </c>
      <c r="AF110" s="1515"/>
      <c r="AG110" s="1515">
        <f t="shared" ref="AG110:AG116" si="19">SUM(Q110:AF110)</f>
        <v>1</v>
      </c>
    </row>
    <row r="111" spans="1:33" ht="10.5" outlineLevel="1" x14ac:dyDescent="0.25">
      <c r="A111" s="1683" t="s">
        <v>128</v>
      </c>
      <c r="B111" s="1516">
        <v>11.02</v>
      </c>
      <c r="C111" s="1574" t="s">
        <v>1023</v>
      </c>
      <c r="D111" s="1579" t="s">
        <v>109</v>
      </c>
      <c r="E111" s="1530">
        <v>185</v>
      </c>
      <c r="F111" s="1530"/>
      <c r="G111" s="1530"/>
      <c r="H111" s="1530"/>
      <c r="I111" s="1530"/>
      <c r="J111" s="1530"/>
      <c r="K111" s="1519">
        <v>21948</v>
      </c>
      <c r="L111" s="1519">
        <f t="shared" si="18"/>
        <v>4060380</v>
      </c>
      <c r="M111" s="1562"/>
      <c r="N111" s="1576"/>
      <c r="P111" s="1515"/>
      <c r="Q111" s="1515"/>
      <c r="R111" s="1515"/>
      <c r="S111" s="1515"/>
      <c r="T111" s="1515"/>
      <c r="U111" s="1515"/>
      <c r="V111" s="1515"/>
      <c r="W111" s="1515"/>
      <c r="X111" s="1515"/>
      <c r="Y111" s="1515"/>
      <c r="Z111" s="1515"/>
      <c r="AA111" s="1515"/>
      <c r="AB111" s="1515"/>
      <c r="AC111" s="1515">
        <v>0.2</v>
      </c>
      <c r="AD111" s="1515">
        <v>0.4</v>
      </c>
      <c r="AE111" s="1515">
        <v>0.4</v>
      </c>
      <c r="AF111" s="1515"/>
      <c r="AG111" s="1515">
        <f t="shared" si="19"/>
        <v>1</v>
      </c>
    </row>
    <row r="112" spans="1:33" ht="10.5" outlineLevel="1" x14ac:dyDescent="0.25">
      <c r="A112" s="1683" t="s">
        <v>128</v>
      </c>
      <c r="B112" s="1516">
        <v>11.03</v>
      </c>
      <c r="C112" s="1574" t="s">
        <v>1024</v>
      </c>
      <c r="D112" s="1579" t="s">
        <v>109</v>
      </c>
      <c r="E112" s="1530">
        <v>942</v>
      </c>
      <c r="F112" s="1530"/>
      <c r="G112" s="1530"/>
      <c r="H112" s="1530"/>
      <c r="I112" s="1530"/>
      <c r="J112" s="1530"/>
      <c r="K112" s="1519">
        <v>21948</v>
      </c>
      <c r="L112" s="1519">
        <f t="shared" si="18"/>
        <v>20675016</v>
      </c>
      <c r="M112" s="1562"/>
      <c r="N112" s="1576"/>
      <c r="P112" s="1515"/>
      <c r="Q112" s="1515"/>
      <c r="R112" s="1515"/>
      <c r="S112" s="1515"/>
      <c r="T112" s="1515"/>
      <c r="U112" s="1515"/>
      <c r="V112" s="1515"/>
      <c r="W112" s="1515"/>
      <c r="X112" s="1515"/>
      <c r="Y112" s="1515"/>
      <c r="Z112" s="1515"/>
      <c r="AA112" s="1515"/>
      <c r="AB112" s="1515"/>
      <c r="AC112" s="1515">
        <v>0.2</v>
      </c>
      <c r="AD112" s="1515">
        <v>0.4</v>
      </c>
      <c r="AE112" s="1515">
        <v>0.4</v>
      </c>
      <c r="AF112" s="1515"/>
      <c r="AG112" s="1515">
        <f t="shared" si="19"/>
        <v>1</v>
      </c>
    </row>
    <row r="113" spans="1:33" ht="10.5" outlineLevel="1" x14ac:dyDescent="0.25">
      <c r="A113" s="1683" t="s">
        <v>128</v>
      </c>
      <c r="B113" s="1516">
        <v>11.04</v>
      </c>
      <c r="C113" s="1574" t="s">
        <v>1025</v>
      </c>
      <c r="D113" s="1579" t="s">
        <v>109</v>
      </c>
      <c r="E113" s="1530">
        <v>110</v>
      </c>
      <c r="F113" s="1530"/>
      <c r="G113" s="1530"/>
      <c r="H113" s="1530"/>
      <c r="I113" s="1530"/>
      <c r="J113" s="1530"/>
      <c r="K113" s="1519">
        <v>25799</v>
      </c>
      <c r="L113" s="1519">
        <f t="shared" si="18"/>
        <v>2837890</v>
      </c>
      <c r="M113" s="1562"/>
      <c r="N113" s="1576"/>
      <c r="P113" s="1515"/>
      <c r="Q113" s="1515"/>
      <c r="R113" s="1515"/>
      <c r="S113" s="1515"/>
      <c r="T113" s="1515"/>
      <c r="U113" s="1515"/>
      <c r="V113" s="1515"/>
      <c r="W113" s="1515"/>
      <c r="X113" s="1515"/>
      <c r="Y113" s="1515"/>
      <c r="Z113" s="1515"/>
      <c r="AA113" s="1515"/>
      <c r="AB113" s="1515"/>
      <c r="AC113" s="1515">
        <v>0.2</v>
      </c>
      <c r="AD113" s="1515">
        <v>0.4</v>
      </c>
      <c r="AE113" s="1515">
        <v>0.4</v>
      </c>
      <c r="AF113" s="1515"/>
      <c r="AG113" s="1515">
        <f t="shared" si="19"/>
        <v>1</v>
      </c>
    </row>
    <row r="114" spans="1:33" s="1556" customFormat="1" ht="10.5" outlineLevel="1" x14ac:dyDescent="0.25">
      <c r="A114" s="1683" t="s">
        <v>128</v>
      </c>
      <c r="B114" s="1516">
        <v>11.05</v>
      </c>
      <c r="C114" s="1574" t="s">
        <v>327</v>
      </c>
      <c r="D114" s="1529" t="s">
        <v>109</v>
      </c>
      <c r="E114" s="1530">
        <v>128</v>
      </c>
      <c r="F114" s="1530"/>
      <c r="G114" s="1530"/>
      <c r="H114" s="1530"/>
      <c r="I114" s="1530"/>
      <c r="J114" s="1530"/>
      <c r="K114" s="1519">
        <v>16080</v>
      </c>
      <c r="L114" s="1519">
        <f t="shared" si="18"/>
        <v>2058240</v>
      </c>
      <c r="M114" s="1566"/>
      <c r="N114" s="1505"/>
      <c r="P114" s="1515"/>
      <c r="Q114" s="1515"/>
      <c r="R114" s="1515"/>
      <c r="S114" s="1515"/>
      <c r="T114" s="1515"/>
      <c r="U114" s="1515"/>
      <c r="V114" s="1515"/>
      <c r="W114" s="1515"/>
      <c r="X114" s="1515"/>
      <c r="Y114" s="1515"/>
      <c r="Z114" s="1515"/>
      <c r="AA114" s="1515"/>
      <c r="AB114" s="1515"/>
      <c r="AC114" s="1515">
        <v>0.2</v>
      </c>
      <c r="AD114" s="1515">
        <v>0.4</v>
      </c>
      <c r="AE114" s="1515">
        <v>0.4</v>
      </c>
      <c r="AF114" s="1515"/>
      <c r="AG114" s="1515">
        <f t="shared" si="19"/>
        <v>1</v>
      </c>
    </row>
    <row r="115" spans="1:33" ht="10.5" outlineLevel="1" x14ac:dyDescent="0.25">
      <c r="A115" s="1683" t="s">
        <v>128</v>
      </c>
      <c r="B115" s="1516">
        <v>11.06</v>
      </c>
      <c r="C115" s="1574" t="s">
        <v>1026</v>
      </c>
      <c r="D115" s="1579" t="s">
        <v>109</v>
      </c>
      <c r="E115" s="1530">
        <v>48</v>
      </c>
      <c r="F115" s="1530"/>
      <c r="G115" s="1530"/>
      <c r="H115" s="1530"/>
      <c r="I115" s="1530"/>
      <c r="J115" s="1530"/>
      <c r="K115" s="1519">
        <v>21948</v>
      </c>
      <c r="L115" s="1519">
        <f t="shared" si="18"/>
        <v>1053504</v>
      </c>
      <c r="M115" s="1558"/>
      <c r="N115" s="1576"/>
      <c r="P115" s="1515"/>
      <c r="Q115" s="1515"/>
      <c r="R115" s="1515"/>
      <c r="S115" s="1515"/>
      <c r="T115" s="1515"/>
      <c r="U115" s="1515"/>
      <c r="V115" s="1515"/>
      <c r="W115" s="1515"/>
      <c r="X115" s="1515"/>
      <c r="Y115" s="1515"/>
      <c r="Z115" s="1515"/>
      <c r="AA115" s="1515"/>
      <c r="AB115" s="1515"/>
      <c r="AC115" s="1515">
        <v>0.2</v>
      </c>
      <c r="AD115" s="1515">
        <v>0.4</v>
      </c>
      <c r="AE115" s="1515">
        <v>0.4</v>
      </c>
      <c r="AF115" s="1515"/>
      <c r="AG115" s="1515">
        <f t="shared" si="19"/>
        <v>1</v>
      </c>
    </row>
    <row r="116" spans="1:33" ht="10.5" outlineLevel="1" x14ac:dyDescent="0.25">
      <c r="A116" s="1683" t="s">
        <v>128</v>
      </c>
      <c r="B116" s="1516">
        <v>11.07</v>
      </c>
      <c r="C116" s="1659" t="s">
        <v>328</v>
      </c>
      <c r="D116" s="1586" t="s">
        <v>109</v>
      </c>
      <c r="E116" s="1537">
        <v>226</v>
      </c>
      <c r="F116" s="1536"/>
      <c r="G116" s="1536"/>
      <c r="H116" s="1536"/>
      <c r="I116" s="1536"/>
      <c r="J116" s="1536"/>
      <c r="K116" s="1519">
        <v>73882</v>
      </c>
      <c r="L116" s="1519">
        <f t="shared" si="18"/>
        <v>16697332</v>
      </c>
      <c r="M116" s="1562"/>
      <c r="N116" s="1576"/>
      <c r="P116" s="1515"/>
      <c r="Q116" s="1515"/>
      <c r="R116" s="1515"/>
      <c r="S116" s="1515"/>
      <c r="T116" s="1515"/>
      <c r="U116" s="1515"/>
      <c r="V116" s="1515"/>
      <c r="W116" s="1515"/>
      <c r="X116" s="1515"/>
      <c r="Y116" s="1515"/>
      <c r="Z116" s="1515"/>
      <c r="AA116" s="1515"/>
      <c r="AB116" s="1515"/>
      <c r="AC116" s="1515"/>
      <c r="AD116" s="1515"/>
      <c r="AE116" s="1515">
        <v>1</v>
      </c>
      <c r="AF116" s="1515"/>
      <c r="AG116" s="1515">
        <f t="shared" si="19"/>
        <v>1</v>
      </c>
    </row>
    <row r="117" spans="1:33" ht="10.5" x14ac:dyDescent="0.25">
      <c r="A117" s="1681"/>
      <c r="B117" s="1500">
        <v>12</v>
      </c>
      <c r="C117" s="1590" t="s">
        <v>329</v>
      </c>
      <c r="D117" s="1501"/>
      <c r="E117" s="1502"/>
      <c r="F117" s="1502"/>
      <c r="G117" s="1502"/>
      <c r="H117" s="1502"/>
      <c r="I117" s="1502"/>
      <c r="J117" s="1502"/>
      <c r="K117" s="1502"/>
      <c r="L117" s="1502"/>
      <c r="M117" s="1504">
        <f>SUM(L118:L122)</f>
        <v>11022518</v>
      </c>
      <c r="N117" s="895">
        <f>M117-'01'!W96</f>
        <v>0</v>
      </c>
      <c r="P117" s="1506"/>
      <c r="Q117" s="1506"/>
      <c r="R117" s="1506"/>
      <c r="S117" s="1506"/>
      <c r="T117" s="1506"/>
      <c r="U117" s="1507"/>
      <c r="V117" s="1507"/>
      <c r="W117" s="1507"/>
      <c r="X117" s="1507"/>
      <c r="Y117" s="1507"/>
      <c r="Z117" s="1507"/>
      <c r="AA117" s="1507"/>
      <c r="AB117" s="1507"/>
      <c r="AC117" s="1507"/>
      <c r="AD117" s="1507"/>
      <c r="AE117" s="1507"/>
      <c r="AF117" s="1507"/>
      <c r="AG117" s="1507"/>
    </row>
    <row r="118" spans="1:33" ht="10.5" outlineLevel="1" x14ac:dyDescent="0.25">
      <c r="A118" s="1683" t="s">
        <v>128</v>
      </c>
      <c r="B118" s="1510">
        <f>+B117+0.01</f>
        <v>12.01</v>
      </c>
      <c r="C118" s="1658" t="s">
        <v>330</v>
      </c>
      <c r="D118" s="1575" t="s">
        <v>124</v>
      </c>
      <c r="E118" s="1554">
        <v>779</v>
      </c>
      <c r="F118" s="1578"/>
      <c r="G118" s="1578"/>
      <c r="H118" s="1578"/>
      <c r="I118" s="1578"/>
      <c r="J118" s="1578"/>
      <c r="K118" s="1519">
        <v>7422</v>
      </c>
      <c r="L118" s="1519">
        <f>+K118*E118</f>
        <v>5781738</v>
      </c>
      <c r="N118" s="1505"/>
      <c r="P118" s="1515"/>
      <c r="Q118" s="1515"/>
      <c r="R118" s="1515"/>
      <c r="S118" s="1515"/>
      <c r="T118" s="1515"/>
      <c r="U118" s="1515"/>
      <c r="V118" s="1515"/>
      <c r="W118" s="1515"/>
      <c r="X118" s="1515"/>
      <c r="Y118" s="1515"/>
      <c r="Z118" s="1515"/>
      <c r="AA118" s="1515"/>
      <c r="AB118" s="1515"/>
      <c r="AC118" s="1515"/>
      <c r="AD118" s="1515">
        <v>0.5</v>
      </c>
      <c r="AE118" s="1515">
        <v>0.5</v>
      </c>
      <c r="AF118" s="1515"/>
      <c r="AG118" s="1515">
        <f t="shared" ref="AG118:AG121" si="20">SUM(Q118:AF118)</f>
        <v>1</v>
      </c>
    </row>
    <row r="119" spans="1:33" ht="10.5" outlineLevel="1" x14ac:dyDescent="0.25">
      <c r="A119" s="1683" t="s">
        <v>128</v>
      </c>
      <c r="B119" s="1539">
        <v>12.02</v>
      </c>
      <c r="C119" s="1574" t="s">
        <v>324</v>
      </c>
      <c r="D119" s="1577" t="s">
        <v>124</v>
      </c>
      <c r="E119" s="1578">
        <v>155</v>
      </c>
      <c r="F119" s="1578"/>
      <c r="G119" s="1578"/>
      <c r="H119" s="1578"/>
      <c r="I119" s="1578"/>
      <c r="J119" s="1578"/>
      <c r="K119" s="1519">
        <v>5376</v>
      </c>
      <c r="L119" s="1519">
        <f>+K119*E119</f>
        <v>833280</v>
      </c>
      <c r="N119" s="1505"/>
      <c r="P119" s="1515"/>
      <c r="Q119" s="1515"/>
      <c r="R119" s="1515"/>
      <c r="S119" s="1515"/>
      <c r="T119" s="1515"/>
      <c r="U119" s="1515"/>
      <c r="V119" s="1515"/>
      <c r="W119" s="1515"/>
      <c r="X119" s="1515"/>
      <c r="Y119" s="1515"/>
      <c r="Z119" s="1515"/>
      <c r="AA119" s="1515"/>
      <c r="AB119" s="1515"/>
      <c r="AC119" s="1515"/>
      <c r="AD119" s="1515">
        <v>0.5</v>
      </c>
      <c r="AE119" s="1515">
        <v>0.5</v>
      </c>
      <c r="AF119" s="1515"/>
      <c r="AG119" s="1515">
        <f t="shared" si="20"/>
        <v>1</v>
      </c>
    </row>
    <row r="120" spans="1:33" ht="10.5" outlineLevel="1" x14ac:dyDescent="0.25">
      <c r="A120" s="1683" t="s">
        <v>128</v>
      </c>
      <c r="B120" s="1539">
        <v>12.03</v>
      </c>
      <c r="C120" s="1587" t="s">
        <v>1027</v>
      </c>
      <c r="D120" s="1577" t="s">
        <v>124</v>
      </c>
      <c r="E120" s="1578">
        <v>37</v>
      </c>
      <c r="F120" s="1578"/>
      <c r="G120" s="1578"/>
      <c r="H120" s="1578"/>
      <c r="I120" s="1578"/>
      <c r="J120" s="1578"/>
      <c r="K120" s="1519">
        <v>7052</v>
      </c>
      <c r="L120" s="1519">
        <f>+K120*E120</f>
        <v>260924</v>
      </c>
      <c r="N120" s="1505"/>
      <c r="P120" s="1515"/>
      <c r="Q120" s="1515"/>
      <c r="R120" s="1515"/>
      <c r="S120" s="1515"/>
      <c r="T120" s="1515"/>
      <c r="U120" s="1515"/>
      <c r="V120" s="1515"/>
      <c r="W120" s="1515"/>
      <c r="X120" s="1515"/>
      <c r="Y120" s="1515"/>
      <c r="Z120" s="1515"/>
      <c r="AA120" s="1515"/>
      <c r="AB120" s="1515"/>
      <c r="AC120" s="1515"/>
      <c r="AD120" s="1515">
        <v>0.5</v>
      </c>
      <c r="AE120" s="1515">
        <v>0.5</v>
      </c>
      <c r="AF120" s="1515"/>
      <c r="AG120" s="1515">
        <f t="shared" si="20"/>
        <v>1</v>
      </c>
    </row>
    <row r="121" spans="1:33" ht="10.5" outlineLevel="1" x14ac:dyDescent="0.25">
      <c r="A121" s="1683" t="s">
        <v>128</v>
      </c>
      <c r="B121" s="1539">
        <v>12.04</v>
      </c>
      <c r="C121" s="1587" t="s">
        <v>1028</v>
      </c>
      <c r="D121" s="1577" t="s">
        <v>124</v>
      </c>
      <c r="E121" s="1578">
        <v>433</v>
      </c>
      <c r="F121" s="1578"/>
      <c r="G121" s="1578"/>
      <c r="H121" s="1578"/>
      <c r="I121" s="1578"/>
      <c r="J121" s="1578"/>
      <c r="K121" s="1519">
        <v>7052</v>
      </c>
      <c r="L121" s="1519">
        <f>+K121*E121</f>
        <v>3053516</v>
      </c>
      <c r="N121" s="1505"/>
      <c r="P121" s="1515"/>
      <c r="Q121" s="1515"/>
      <c r="R121" s="1515"/>
      <c r="S121" s="1515"/>
      <c r="T121" s="1515"/>
      <c r="U121" s="1515"/>
      <c r="V121" s="1515"/>
      <c r="W121" s="1515"/>
      <c r="X121" s="1515"/>
      <c r="Y121" s="1515"/>
      <c r="Z121" s="1515"/>
      <c r="AA121" s="1515"/>
      <c r="AB121" s="1515"/>
      <c r="AC121" s="1515"/>
      <c r="AD121" s="1515">
        <v>0.5</v>
      </c>
      <c r="AE121" s="1515">
        <v>0.5</v>
      </c>
      <c r="AF121" s="1515"/>
      <c r="AG121" s="1515">
        <f t="shared" si="20"/>
        <v>1</v>
      </c>
    </row>
    <row r="122" spans="1:33" ht="10.5" outlineLevel="1" x14ac:dyDescent="0.25">
      <c r="A122" s="1683" t="s">
        <v>128</v>
      </c>
      <c r="B122" s="1516">
        <v>12.05</v>
      </c>
      <c r="C122" s="1587" t="s">
        <v>1029</v>
      </c>
      <c r="D122" s="1579" t="s">
        <v>124</v>
      </c>
      <c r="E122" s="1530">
        <v>155</v>
      </c>
      <c r="F122" s="1530"/>
      <c r="G122" s="1530"/>
      <c r="H122" s="1530"/>
      <c r="I122" s="1530"/>
      <c r="J122" s="1530"/>
      <c r="K122" s="1519">
        <v>7052</v>
      </c>
      <c r="L122" s="1519">
        <f>+K122*E122</f>
        <v>1093060</v>
      </c>
      <c r="N122" s="1505"/>
      <c r="P122" s="1515"/>
      <c r="Q122" s="1515"/>
      <c r="R122" s="1515"/>
      <c r="S122" s="1515"/>
      <c r="T122" s="1515"/>
      <c r="U122" s="1515"/>
      <c r="V122" s="1515"/>
      <c r="W122" s="1515"/>
      <c r="X122" s="1515"/>
      <c r="Y122" s="1515"/>
      <c r="Z122" s="1515"/>
      <c r="AA122" s="1515"/>
      <c r="AB122" s="1515"/>
      <c r="AC122" s="1515"/>
      <c r="AD122" s="1515">
        <v>0.5</v>
      </c>
      <c r="AE122" s="1515">
        <v>0.5</v>
      </c>
      <c r="AF122" s="1515"/>
    </row>
    <row r="123" spans="1:33" ht="10.5" x14ac:dyDescent="0.25">
      <c r="A123" s="1681"/>
      <c r="B123" s="1500">
        <v>13</v>
      </c>
      <c r="C123" s="1590" t="s">
        <v>331</v>
      </c>
      <c r="D123" s="1501"/>
      <c r="E123" s="1502"/>
      <c r="F123" s="1502"/>
      <c r="G123" s="1502"/>
      <c r="H123" s="1502"/>
      <c r="I123" s="1502"/>
      <c r="J123" s="1502"/>
      <c r="K123" s="1502"/>
      <c r="L123" s="1502"/>
      <c r="M123" s="1504">
        <f>SUM(L124:L127)</f>
        <v>19433086.480999999</v>
      </c>
      <c r="N123" s="895">
        <f>M123-'01'!W102</f>
        <v>0</v>
      </c>
      <c r="P123" s="1506"/>
      <c r="Q123" s="1506"/>
      <c r="R123" s="1506"/>
      <c r="S123" s="1506"/>
      <c r="T123" s="1506"/>
      <c r="U123" s="1507"/>
      <c r="V123" s="1507"/>
      <c r="W123" s="1507"/>
      <c r="X123" s="1507"/>
      <c r="Y123" s="1507"/>
      <c r="Z123" s="1507"/>
      <c r="AA123" s="1507"/>
      <c r="AB123" s="1507"/>
      <c r="AC123" s="1507"/>
      <c r="AD123" s="1507"/>
      <c r="AE123" s="1507"/>
      <c r="AF123" s="1507"/>
      <c r="AG123" s="1507"/>
    </row>
    <row r="124" spans="1:33" ht="10.5" outlineLevel="1" x14ac:dyDescent="0.25">
      <c r="A124" s="1683" t="s">
        <v>128</v>
      </c>
      <c r="B124" s="1568">
        <v>13.01</v>
      </c>
      <c r="C124" s="1574" t="s">
        <v>1030</v>
      </c>
      <c r="D124" s="1584" t="s">
        <v>109</v>
      </c>
      <c r="E124" s="1518">
        <v>511</v>
      </c>
      <c r="F124" s="1518"/>
      <c r="G124" s="1518"/>
      <c r="H124" s="1518"/>
      <c r="I124" s="1518"/>
      <c r="J124" s="1518"/>
      <c r="K124" s="1519">
        <v>25799</v>
      </c>
      <c r="L124" s="1519">
        <f>+K124*E124</f>
        <v>13183289</v>
      </c>
      <c r="N124" s="1505"/>
      <c r="P124" s="1515"/>
      <c r="Q124" s="1515"/>
      <c r="R124" s="1515"/>
      <c r="S124" s="1515"/>
      <c r="T124" s="1515"/>
      <c r="U124" s="1515"/>
      <c r="V124" s="1515"/>
      <c r="W124" s="1515"/>
      <c r="X124" s="1515"/>
      <c r="Y124" s="1515"/>
      <c r="Z124" s="1515"/>
      <c r="AA124" s="1515"/>
      <c r="AB124" s="1515"/>
      <c r="AC124" s="1515">
        <v>0.2</v>
      </c>
      <c r="AD124" s="1515">
        <v>0.4</v>
      </c>
      <c r="AE124" s="1515">
        <v>0.4</v>
      </c>
      <c r="AF124" s="1515"/>
      <c r="AG124" s="1515">
        <f t="shared" ref="AG124:AG127" si="21">SUM(Q124:AF124)</f>
        <v>1</v>
      </c>
    </row>
    <row r="125" spans="1:33" ht="10.5" outlineLevel="1" x14ac:dyDescent="0.25">
      <c r="A125" s="1683" t="s">
        <v>128</v>
      </c>
      <c r="B125" s="1568">
        <v>13.02</v>
      </c>
      <c r="C125" s="1574" t="s">
        <v>1031</v>
      </c>
      <c r="D125" s="1584" t="s">
        <v>109</v>
      </c>
      <c r="E125" s="1518">
        <v>40</v>
      </c>
      <c r="F125" s="1518"/>
      <c r="G125" s="1518"/>
      <c r="H125" s="1518"/>
      <c r="I125" s="1518"/>
      <c r="J125" s="1518"/>
      <c r="K125" s="1519">
        <v>25799</v>
      </c>
      <c r="L125" s="1519">
        <f>+K125*E125</f>
        <v>1031960</v>
      </c>
      <c r="N125" s="1505"/>
      <c r="P125" s="1515"/>
      <c r="Q125" s="1515"/>
      <c r="R125" s="1515"/>
      <c r="S125" s="1515"/>
      <c r="T125" s="1515"/>
      <c r="U125" s="1515"/>
      <c r="V125" s="1515"/>
      <c r="W125" s="1515"/>
      <c r="X125" s="1515"/>
      <c r="Y125" s="1515"/>
      <c r="Z125" s="1515"/>
      <c r="AA125" s="1515"/>
      <c r="AB125" s="1515"/>
      <c r="AC125" s="1515">
        <v>0.2</v>
      </c>
      <c r="AD125" s="1515">
        <v>0.4</v>
      </c>
      <c r="AE125" s="1515">
        <v>0.4</v>
      </c>
      <c r="AF125" s="1515"/>
      <c r="AG125" s="1515">
        <f t="shared" si="21"/>
        <v>1</v>
      </c>
    </row>
    <row r="126" spans="1:33" ht="10.5" outlineLevel="1" x14ac:dyDescent="0.25">
      <c r="A126" s="1683" t="s">
        <v>128</v>
      </c>
      <c r="B126" s="1568">
        <v>13.03</v>
      </c>
      <c r="C126" s="1574" t="s">
        <v>1032</v>
      </c>
      <c r="D126" s="1579" t="s">
        <v>109</v>
      </c>
      <c r="E126" s="1530">
        <v>147.60100000000003</v>
      </c>
      <c r="F126" s="1530"/>
      <c r="G126" s="1530"/>
      <c r="H126" s="1530"/>
      <c r="I126" s="1530"/>
      <c r="J126" s="1530"/>
      <c r="K126" s="1519">
        <v>29881</v>
      </c>
      <c r="L126" s="1519">
        <f>+K126*E126</f>
        <v>4410465.4810000006</v>
      </c>
      <c r="M126" s="1562"/>
      <c r="N126" s="1576"/>
      <c r="P126" s="1515"/>
      <c r="Q126" s="1515"/>
      <c r="R126" s="1515"/>
      <c r="S126" s="1515"/>
      <c r="T126" s="1515"/>
      <c r="U126" s="1515"/>
      <c r="V126" s="1515"/>
      <c r="W126" s="1515"/>
      <c r="X126" s="1515"/>
      <c r="Y126" s="1515"/>
      <c r="Z126" s="1515"/>
      <c r="AA126" s="1515"/>
      <c r="AB126" s="1515"/>
      <c r="AC126" s="1515">
        <v>0.2</v>
      </c>
      <c r="AD126" s="1515">
        <v>0.4</v>
      </c>
      <c r="AE126" s="1515">
        <v>0.4</v>
      </c>
      <c r="AF126" s="1515"/>
      <c r="AG126" s="1515">
        <f t="shared" si="21"/>
        <v>1</v>
      </c>
    </row>
    <row r="127" spans="1:33" ht="10.5" outlineLevel="1" x14ac:dyDescent="0.25">
      <c r="A127" s="1683" t="s">
        <v>128</v>
      </c>
      <c r="B127" s="1580">
        <v>13.04</v>
      </c>
      <c r="C127" s="1659" t="s">
        <v>332</v>
      </c>
      <c r="D127" s="1588" t="s">
        <v>111</v>
      </c>
      <c r="E127" s="1524">
        <v>41</v>
      </c>
      <c r="F127" s="1524"/>
      <c r="G127" s="1524"/>
      <c r="H127" s="1524"/>
      <c r="I127" s="1524"/>
      <c r="J127" s="1524"/>
      <c r="K127" s="1697">
        <v>19692</v>
      </c>
      <c r="L127" s="1697">
        <f>+K127*E127</f>
        <v>807372</v>
      </c>
      <c r="N127" s="1505"/>
      <c r="P127" s="1515"/>
      <c r="Q127" s="1515"/>
      <c r="R127" s="1515"/>
      <c r="S127" s="1515"/>
      <c r="T127" s="1515"/>
      <c r="U127" s="1515"/>
      <c r="V127" s="1515"/>
      <c r="W127" s="1515"/>
      <c r="X127" s="1515"/>
      <c r="Y127" s="1515"/>
      <c r="Z127" s="1515"/>
      <c r="AA127" s="1515"/>
      <c r="AB127" s="1515"/>
      <c r="AC127" s="1515">
        <v>0.2</v>
      </c>
      <c r="AD127" s="1515">
        <v>0.4</v>
      </c>
      <c r="AE127" s="1515">
        <v>0.4</v>
      </c>
      <c r="AF127" s="1515"/>
      <c r="AG127" s="1515">
        <f t="shared" si="21"/>
        <v>1</v>
      </c>
    </row>
    <row r="128" spans="1:33" s="1556" customFormat="1" ht="10.5" x14ac:dyDescent="0.25">
      <c r="A128" s="1681"/>
      <c r="B128" s="1500">
        <v>14</v>
      </c>
      <c r="C128" s="1590" t="s">
        <v>126</v>
      </c>
      <c r="D128" s="1501"/>
      <c r="E128" s="1502"/>
      <c r="F128" s="1502"/>
      <c r="G128" s="1502"/>
      <c r="H128" s="1502"/>
      <c r="I128" s="1502"/>
      <c r="J128" s="1502"/>
      <c r="K128" s="1502"/>
      <c r="L128" s="1502"/>
      <c r="M128" s="1504">
        <f>SUM(L129:L135)</f>
        <v>50296168.959899999</v>
      </c>
      <c r="N128" s="895">
        <f>M128-'01'!W107</f>
        <v>0</v>
      </c>
      <c r="P128" s="1506"/>
      <c r="Q128" s="1506"/>
      <c r="R128" s="1506"/>
      <c r="S128" s="1506"/>
      <c r="T128" s="1506"/>
      <c r="U128" s="1507"/>
      <c r="V128" s="1507"/>
      <c r="W128" s="1507"/>
      <c r="X128" s="1507"/>
      <c r="Y128" s="1507"/>
      <c r="Z128" s="1507"/>
      <c r="AA128" s="1507"/>
      <c r="AB128" s="1507"/>
      <c r="AC128" s="1507"/>
      <c r="AD128" s="1507"/>
      <c r="AE128" s="1507"/>
      <c r="AF128" s="1507"/>
      <c r="AG128" s="1507"/>
    </row>
    <row r="129" spans="1:33" ht="10.5" outlineLevel="1" x14ac:dyDescent="0.25">
      <c r="A129" s="1682" t="s">
        <v>127</v>
      </c>
      <c r="B129" s="1510">
        <f>+B128+0.01</f>
        <v>14.01</v>
      </c>
      <c r="C129" s="1658" t="s">
        <v>208</v>
      </c>
      <c r="D129" s="1583" t="s">
        <v>109</v>
      </c>
      <c r="E129" s="1512">
        <v>334.91519999999997</v>
      </c>
      <c r="F129" s="1542"/>
      <c r="G129" s="1542"/>
      <c r="H129" s="1542"/>
      <c r="I129" s="1542"/>
      <c r="J129" s="1542"/>
      <c r="K129" s="1519">
        <v>29270</v>
      </c>
      <c r="L129" s="1519">
        <f t="shared" ref="L129:L135" si="22">+K129*E129</f>
        <v>9802967.9039999992</v>
      </c>
      <c r="N129" s="1505"/>
      <c r="P129" s="1515"/>
      <c r="Q129" s="1515"/>
      <c r="R129" s="1515"/>
      <c r="S129" s="1515"/>
      <c r="T129" s="1515"/>
      <c r="U129" s="1515"/>
      <c r="V129" s="1515"/>
      <c r="W129" s="1515"/>
      <c r="X129" s="1515"/>
      <c r="Y129" s="1515"/>
      <c r="Z129" s="1515"/>
      <c r="AA129" s="1515"/>
      <c r="AB129" s="1515"/>
      <c r="AC129" s="1515">
        <v>0.2</v>
      </c>
      <c r="AD129" s="1515">
        <v>0.5</v>
      </c>
      <c r="AE129" s="1515">
        <v>0.3</v>
      </c>
      <c r="AF129" s="1515"/>
      <c r="AG129" s="1515">
        <f t="shared" ref="AG129:AG135" si="23">SUM(Q129:AF129)</f>
        <v>1</v>
      </c>
    </row>
    <row r="130" spans="1:33" ht="10.5" outlineLevel="1" x14ac:dyDescent="0.25">
      <c r="A130" s="1683" t="s">
        <v>127</v>
      </c>
      <c r="B130" s="1516">
        <f t="shared" ref="B130" si="24">+B129+0.01</f>
        <v>14.02</v>
      </c>
      <c r="C130" s="1574" t="s">
        <v>333</v>
      </c>
      <c r="D130" s="1584" t="s">
        <v>109</v>
      </c>
      <c r="E130" s="1518">
        <v>280.3913</v>
      </c>
      <c r="F130" s="1518"/>
      <c r="G130" s="1518"/>
      <c r="H130" s="1518"/>
      <c r="I130" s="1518"/>
      <c r="J130" s="1518"/>
      <c r="K130" s="1519">
        <v>33967</v>
      </c>
      <c r="L130" s="1519">
        <f t="shared" si="22"/>
        <v>9524051.2871000003</v>
      </c>
      <c r="N130" s="1505"/>
      <c r="P130" s="1515"/>
      <c r="Q130" s="1515"/>
      <c r="R130" s="1515"/>
      <c r="S130" s="1515"/>
      <c r="T130" s="1515"/>
      <c r="U130" s="1515"/>
      <c r="V130" s="1515"/>
      <c r="W130" s="1515"/>
      <c r="X130" s="1515"/>
      <c r="Y130" s="1515"/>
      <c r="Z130" s="1515"/>
      <c r="AA130" s="1515"/>
      <c r="AB130" s="1515"/>
      <c r="AC130" s="1515">
        <v>0.2</v>
      </c>
      <c r="AD130" s="1515">
        <v>0.5</v>
      </c>
      <c r="AE130" s="1515">
        <v>0.3</v>
      </c>
      <c r="AF130" s="1515"/>
      <c r="AG130" s="1515">
        <f t="shared" si="23"/>
        <v>1</v>
      </c>
    </row>
    <row r="131" spans="1:33" ht="10.5" outlineLevel="1" x14ac:dyDescent="0.25">
      <c r="A131" s="1683" t="s">
        <v>127</v>
      </c>
      <c r="B131" s="1516">
        <v>14.03</v>
      </c>
      <c r="C131" s="1574" t="s">
        <v>334</v>
      </c>
      <c r="D131" s="1584" t="s">
        <v>124</v>
      </c>
      <c r="E131" s="1518">
        <v>60.8</v>
      </c>
      <c r="F131" s="1518"/>
      <c r="G131" s="1518"/>
      <c r="H131" s="1518"/>
      <c r="I131" s="1518"/>
      <c r="J131" s="1518"/>
      <c r="K131" s="1519">
        <v>29270</v>
      </c>
      <c r="L131" s="1519">
        <f t="shared" si="22"/>
        <v>1779616</v>
      </c>
      <c r="N131" s="1505"/>
      <c r="P131" s="1515"/>
      <c r="Q131" s="1515"/>
      <c r="R131" s="1515"/>
      <c r="S131" s="1515"/>
      <c r="T131" s="1515"/>
      <c r="U131" s="1515"/>
      <c r="V131" s="1515"/>
      <c r="W131" s="1515"/>
      <c r="X131" s="1515"/>
      <c r="Y131" s="1515"/>
      <c r="Z131" s="1515"/>
      <c r="AA131" s="1515"/>
      <c r="AB131" s="1515"/>
      <c r="AC131" s="1515">
        <v>0.2</v>
      </c>
      <c r="AD131" s="1515">
        <v>0.5</v>
      </c>
      <c r="AE131" s="1515">
        <v>0.3</v>
      </c>
      <c r="AF131" s="1515"/>
      <c r="AG131" s="1515">
        <f t="shared" si="23"/>
        <v>1</v>
      </c>
    </row>
    <row r="132" spans="1:33" ht="10.5" outlineLevel="1" x14ac:dyDescent="0.25">
      <c r="A132" s="1683" t="s">
        <v>127</v>
      </c>
      <c r="B132" s="1516">
        <v>14.04</v>
      </c>
      <c r="C132" s="1574" t="s">
        <v>209</v>
      </c>
      <c r="D132" s="1584" t="s">
        <v>124</v>
      </c>
      <c r="E132" s="1518">
        <v>1058.3799999999997</v>
      </c>
      <c r="F132" s="1518"/>
      <c r="G132" s="1518"/>
      <c r="H132" s="1518"/>
      <c r="I132" s="1518"/>
      <c r="J132" s="1518"/>
      <c r="K132" s="1519">
        <v>7873</v>
      </c>
      <c r="L132" s="1519">
        <f t="shared" si="22"/>
        <v>8332625.7399999974</v>
      </c>
      <c r="N132" s="1505"/>
      <c r="P132" s="1515"/>
      <c r="Q132" s="1515"/>
      <c r="R132" s="1515"/>
      <c r="S132" s="1515"/>
      <c r="T132" s="1515"/>
      <c r="U132" s="1515"/>
      <c r="V132" s="1515"/>
      <c r="W132" s="1515"/>
      <c r="X132" s="1515"/>
      <c r="Y132" s="1515"/>
      <c r="Z132" s="1515"/>
      <c r="AA132" s="1515"/>
      <c r="AB132" s="1515"/>
      <c r="AC132" s="1515">
        <v>0.2</v>
      </c>
      <c r="AD132" s="1515">
        <v>0.5</v>
      </c>
      <c r="AE132" s="1515">
        <v>0.3</v>
      </c>
      <c r="AF132" s="1515"/>
      <c r="AG132" s="1515">
        <f t="shared" si="23"/>
        <v>1</v>
      </c>
    </row>
    <row r="133" spans="1:33" s="1556" customFormat="1" ht="10.5" outlineLevel="1" x14ac:dyDescent="0.25">
      <c r="A133" s="1683" t="s">
        <v>113</v>
      </c>
      <c r="B133" s="1516">
        <v>14.05</v>
      </c>
      <c r="C133" s="1574" t="s">
        <v>335</v>
      </c>
      <c r="D133" s="1584" t="s">
        <v>109</v>
      </c>
      <c r="E133" s="1518">
        <v>504.12220000000002</v>
      </c>
      <c r="F133" s="1518"/>
      <c r="G133" s="1518"/>
      <c r="H133" s="1518"/>
      <c r="I133" s="1518"/>
      <c r="J133" s="1518"/>
      <c r="K133" s="1519">
        <v>23364</v>
      </c>
      <c r="L133" s="1519">
        <f t="shared" si="22"/>
        <v>11778311.080800001</v>
      </c>
      <c r="M133" s="1566"/>
      <c r="N133" s="1505"/>
      <c r="P133" s="1515"/>
      <c r="Q133" s="1515"/>
      <c r="R133" s="1515"/>
      <c r="S133" s="1515"/>
      <c r="T133" s="1515"/>
      <c r="U133" s="1515"/>
      <c r="V133" s="1515"/>
      <c r="W133" s="1515"/>
      <c r="X133" s="1515"/>
      <c r="Y133" s="1515"/>
      <c r="Z133" s="1515"/>
      <c r="AA133" s="1515"/>
      <c r="AB133" s="1515"/>
      <c r="AC133" s="1515">
        <v>0.2</v>
      </c>
      <c r="AD133" s="1515">
        <v>0.5</v>
      </c>
      <c r="AE133" s="1515">
        <v>0.3</v>
      </c>
      <c r="AF133" s="1515"/>
      <c r="AG133" s="1515">
        <f t="shared" si="23"/>
        <v>1</v>
      </c>
    </row>
    <row r="134" spans="1:33" s="1556" customFormat="1" ht="10.5" outlineLevel="1" x14ac:dyDescent="0.25">
      <c r="A134" s="1683" t="s">
        <v>113</v>
      </c>
      <c r="B134" s="1516">
        <v>14.06</v>
      </c>
      <c r="C134" s="1574" t="s">
        <v>336</v>
      </c>
      <c r="D134" s="1584" t="s">
        <v>124</v>
      </c>
      <c r="E134" s="1518">
        <v>555.99</v>
      </c>
      <c r="F134" s="1518"/>
      <c r="G134" s="1518"/>
      <c r="H134" s="1518"/>
      <c r="I134" s="1518"/>
      <c r="J134" s="1518"/>
      <c r="K134" s="1519">
        <v>12771</v>
      </c>
      <c r="L134" s="1519">
        <f t="shared" si="22"/>
        <v>7100548.29</v>
      </c>
      <c r="M134" s="1566"/>
      <c r="N134" s="1505"/>
      <c r="P134" s="1515"/>
      <c r="Q134" s="1515"/>
      <c r="R134" s="1515"/>
      <c r="S134" s="1515"/>
      <c r="T134" s="1515"/>
      <c r="U134" s="1515"/>
      <c r="V134" s="1515"/>
      <c r="W134" s="1515"/>
      <c r="X134" s="1515"/>
      <c r="Y134" s="1515"/>
      <c r="Z134" s="1515"/>
      <c r="AA134" s="1515"/>
      <c r="AB134" s="1515"/>
      <c r="AC134" s="1515">
        <v>0.2</v>
      </c>
      <c r="AD134" s="1515">
        <v>0.5</v>
      </c>
      <c r="AE134" s="1515">
        <v>0.3</v>
      </c>
      <c r="AF134" s="1515"/>
      <c r="AG134" s="1515">
        <f t="shared" si="23"/>
        <v>1</v>
      </c>
    </row>
    <row r="135" spans="1:33" ht="10.5" outlineLevel="1" x14ac:dyDescent="0.25">
      <c r="A135" s="1683" t="s">
        <v>113</v>
      </c>
      <c r="B135" s="1516">
        <v>14.07</v>
      </c>
      <c r="C135" s="1659" t="s">
        <v>337</v>
      </c>
      <c r="D135" s="1588" t="s">
        <v>109</v>
      </c>
      <c r="E135" s="1524">
        <v>429.07780000000002</v>
      </c>
      <c r="F135" s="1550"/>
      <c r="G135" s="1550"/>
      <c r="H135" s="1550"/>
      <c r="I135" s="1550"/>
      <c r="J135" s="1550"/>
      <c r="K135" s="1519">
        <v>4610</v>
      </c>
      <c r="L135" s="1519">
        <f t="shared" si="22"/>
        <v>1978048.6580000001</v>
      </c>
      <c r="N135" s="1505"/>
      <c r="P135" s="1515"/>
      <c r="Q135" s="1515"/>
      <c r="R135" s="1515"/>
      <c r="S135" s="1515"/>
      <c r="T135" s="1515"/>
      <c r="U135" s="1515"/>
      <c r="V135" s="1515"/>
      <c r="W135" s="1515"/>
      <c r="X135" s="1515"/>
      <c r="Y135" s="1515"/>
      <c r="Z135" s="1515"/>
      <c r="AA135" s="1515"/>
      <c r="AB135" s="1515"/>
      <c r="AC135" s="1515">
        <v>0.2</v>
      </c>
      <c r="AD135" s="1515">
        <v>0.5</v>
      </c>
      <c r="AE135" s="1515">
        <v>0.3</v>
      </c>
      <c r="AF135" s="1515"/>
      <c r="AG135" s="1515">
        <f t="shared" si="23"/>
        <v>1</v>
      </c>
    </row>
    <row r="136" spans="1:33" ht="10.5" x14ac:dyDescent="0.25">
      <c r="A136" s="1681"/>
      <c r="B136" s="1500">
        <v>15</v>
      </c>
      <c r="C136" s="1590" t="s">
        <v>133</v>
      </c>
      <c r="D136" s="1501"/>
      <c r="E136" s="1502"/>
      <c r="F136" s="1502"/>
      <c r="G136" s="1502"/>
      <c r="H136" s="1502"/>
      <c r="I136" s="1502"/>
      <c r="J136" s="1502"/>
      <c r="K136" s="1502"/>
      <c r="L136" s="1502"/>
      <c r="M136" s="1702">
        <f>SUM(L137:L145)</f>
        <v>0</v>
      </c>
      <c r="N136" s="895">
        <f>M136-'01'!W115</f>
        <v>0</v>
      </c>
      <c r="P136" s="1506"/>
      <c r="Q136" s="1506"/>
      <c r="R136" s="1506"/>
      <c r="S136" s="1506"/>
      <c r="T136" s="1506"/>
      <c r="U136" s="1507"/>
      <c r="V136" s="1507"/>
      <c r="W136" s="1507"/>
      <c r="X136" s="1507"/>
      <c r="Y136" s="1507"/>
      <c r="Z136" s="1507"/>
      <c r="AA136" s="1507"/>
      <c r="AB136" s="1507"/>
      <c r="AC136" s="1507"/>
      <c r="AD136" s="1507"/>
      <c r="AE136" s="1507"/>
      <c r="AF136" s="1507"/>
      <c r="AG136" s="1507"/>
    </row>
    <row r="137" spans="1:33" ht="10.5" outlineLevel="1" x14ac:dyDescent="0.25">
      <c r="A137" s="1683" t="s">
        <v>134</v>
      </c>
      <c r="B137" s="1516">
        <v>15.01</v>
      </c>
      <c r="C137" s="1574" t="s">
        <v>338</v>
      </c>
      <c r="D137" s="1579" t="s">
        <v>109</v>
      </c>
      <c r="E137" s="1530">
        <v>2670</v>
      </c>
      <c r="F137" s="1530"/>
      <c r="G137" s="1530"/>
      <c r="H137" s="1530"/>
      <c r="I137" s="1530"/>
      <c r="J137" s="1530"/>
      <c r="K137" s="1519">
        <v>0</v>
      </c>
      <c r="L137" s="1519">
        <f t="shared" ref="L137:L145" si="25">+K137*E137</f>
        <v>0</v>
      </c>
      <c r="N137" s="1505"/>
      <c r="P137" s="1515"/>
      <c r="Q137" s="1515"/>
      <c r="R137" s="1515"/>
      <c r="S137" s="1515"/>
      <c r="T137" s="1515"/>
      <c r="U137" s="1515"/>
      <c r="V137" s="1515"/>
      <c r="W137" s="1515"/>
      <c r="X137" s="1515"/>
      <c r="Y137" s="1515"/>
      <c r="Z137" s="1515"/>
      <c r="AA137" s="1515"/>
      <c r="AB137" s="1515"/>
      <c r="AC137" s="1515"/>
      <c r="AD137" s="1515"/>
      <c r="AE137" s="1515"/>
      <c r="AF137" s="1515"/>
      <c r="AG137" s="1515">
        <f t="shared" ref="AG137:AG147" si="26">SUM(Q137:AF137)</f>
        <v>0</v>
      </c>
    </row>
    <row r="138" spans="1:33" ht="10.5" outlineLevel="1" x14ac:dyDescent="0.25">
      <c r="A138" s="1683" t="s">
        <v>134</v>
      </c>
      <c r="B138" s="1516">
        <v>15.02</v>
      </c>
      <c r="C138" s="1574" t="s">
        <v>339</v>
      </c>
      <c r="D138" s="1579" t="s">
        <v>109</v>
      </c>
      <c r="E138" s="1530">
        <v>961</v>
      </c>
      <c r="F138" s="1530"/>
      <c r="G138" s="1530"/>
      <c r="H138" s="1530"/>
      <c r="I138" s="1530"/>
      <c r="J138" s="1530"/>
      <c r="K138" s="1519">
        <v>0</v>
      </c>
      <c r="L138" s="1519">
        <f t="shared" si="25"/>
        <v>0</v>
      </c>
      <c r="N138" s="1505"/>
      <c r="P138" s="1515"/>
      <c r="Q138" s="1515"/>
      <c r="R138" s="1515"/>
      <c r="S138" s="1515"/>
      <c r="T138" s="1515"/>
      <c r="U138" s="1515"/>
      <c r="V138" s="1515"/>
      <c r="W138" s="1515"/>
      <c r="X138" s="1515"/>
      <c r="Y138" s="1515"/>
      <c r="Z138" s="1515"/>
      <c r="AA138" s="1515"/>
      <c r="AB138" s="1515"/>
      <c r="AC138" s="1515"/>
      <c r="AD138" s="1515"/>
      <c r="AE138" s="1515"/>
      <c r="AF138" s="1515"/>
      <c r="AG138" s="1515">
        <f t="shared" si="26"/>
        <v>0</v>
      </c>
    </row>
    <row r="139" spans="1:33" ht="10.5" outlineLevel="1" x14ac:dyDescent="0.25">
      <c r="A139" s="1683" t="s">
        <v>134</v>
      </c>
      <c r="B139" s="1516">
        <v>15.03</v>
      </c>
      <c r="C139" s="1574" t="s">
        <v>340</v>
      </c>
      <c r="D139" s="1579" t="s">
        <v>109</v>
      </c>
      <c r="E139" s="1530">
        <v>518</v>
      </c>
      <c r="F139" s="1530"/>
      <c r="G139" s="1530"/>
      <c r="H139" s="1530"/>
      <c r="I139" s="1530"/>
      <c r="J139" s="1530"/>
      <c r="K139" s="1519">
        <v>0</v>
      </c>
      <c r="L139" s="1519">
        <f t="shared" si="25"/>
        <v>0</v>
      </c>
      <c r="N139" s="1505"/>
      <c r="P139" s="1515"/>
      <c r="Q139" s="1515"/>
      <c r="R139" s="1515"/>
      <c r="S139" s="1515"/>
      <c r="T139" s="1515"/>
      <c r="U139" s="1515"/>
      <c r="V139" s="1515"/>
      <c r="W139" s="1515"/>
      <c r="X139" s="1515"/>
      <c r="Y139" s="1515"/>
      <c r="Z139" s="1515"/>
      <c r="AA139" s="1515"/>
      <c r="AB139" s="1515"/>
      <c r="AC139" s="1515"/>
      <c r="AD139" s="1515"/>
      <c r="AE139" s="1515"/>
      <c r="AF139" s="1515"/>
      <c r="AG139" s="1515">
        <f t="shared" si="26"/>
        <v>0</v>
      </c>
    </row>
    <row r="140" spans="1:33" ht="10.5" outlineLevel="1" x14ac:dyDescent="0.25">
      <c r="A140" s="1683" t="s">
        <v>134</v>
      </c>
      <c r="B140" s="1516">
        <v>15.04</v>
      </c>
      <c r="C140" s="1574" t="s">
        <v>341</v>
      </c>
      <c r="D140" s="1579" t="s">
        <v>109</v>
      </c>
      <c r="E140" s="1530">
        <v>612</v>
      </c>
      <c r="F140" s="1530"/>
      <c r="G140" s="1530"/>
      <c r="H140" s="1530"/>
      <c r="I140" s="1530"/>
      <c r="J140" s="1530"/>
      <c r="K140" s="1519">
        <v>0</v>
      </c>
      <c r="L140" s="1519">
        <f t="shared" si="25"/>
        <v>0</v>
      </c>
      <c r="N140" s="1505"/>
      <c r="P140" s="1515"/>
      <c r="Q140" s="1515"/>
      <c r="R140" s="1515"/>
      <c r="S140" s="1515"/>
      <c r="T140" s="1515"/>
      <c r="U140" s="1515"/>
      <c r="V140" s="1515"/>
      <c r="W140" s="1515"/>
      <c r="X140" s="1515"/>
      <c r="Y140" s="1515"/>
      <c r="Z140" s="1515"/>
      <c r="AA140" s="1515"/>
      <c r="AB140" s="1515"/>
      <c r="AC140" s="1515"/>
      <c r="AD140" s="1515"/>
      <c r="AE140" s="1515"/>
      <c r="AF140" s="1515"/>
      <c r="AG140" s="1515">
        <f t="shared" si="26"/>
        <v>0</v>
      </c>
    </row>
    <row r="141" spans="1:33" ht="10.5" outlineLevel="1" x14ac:dyDescent="0.25">
      <c r="A141" s="1683" t="s">
        <v>134</v>
      </c>
      <c r="B141" s="1516">
        <v>15.05</v>
      </c>
      <c r="C141" s="1574" t="s">
        <v>342</v>
      </c>
      <c r="D141" s="1579" t="s">
        <v>109</v>
      </c>
      <c r="E141" s="1530">
        <v>422</v>
      </c>
      <c r="F141" s="1530"/>
      <c r="G141" s="1530"/>
      <c r="H141" s="1530"/>
      <c r="I141" s="1530"/>
      <c r="J141" s="1530"/>
      <c r="K141" s="1519">
        <v>0</v>
      </c>
      <c r="L141" s="1519">
        <f t="shared" si="25"/>
        <v>0</v>
      </c>
      <c r="N141" s="1505"/>
      <c r="P141" s="1515"/>
      <c r="Q141" s="1515"/>
      <c r="R141" s="1515"/>
      <c r="S141" s="1515"/>
      <c r="T141" s="1515"/>
      <c r="U141" s="1515"/>
      <c r="V141" s="1515"/>
      <c r="W141" s="1515"/>
      <c r="X141" s="1515"/>
      <c r="Y141" s="1515"/>
      <c r="Z141" s="1515"/>
      <c r="AA141" s="1515"/>
      <c r="AB141" s="1515"/>
      <c r="AC141" s="1515"/>
      <c r="AD141" s="1515"/>
      <c r="AE141" s="1515"/>
      <c r="AF141" s="1515"/>
      <c r="AG141" s="1515">
        <f t="shared" si="26"/>
        <v>0</v>
      </c>
    </row>
    <row r="142" spans="1:33" ht="10.5" outlineLevel="1" x14ac:dyDescent="0.25">
      <c r="A142" s="1683" t="s">
        <v>134</v>
      </c>
      <c r="B142" s="1516">
        <v>15.07</v>
      </c>
      <c r="C142" s="1574" t="s">
        <v>343</v>
      </c>
      <c r="D142" s="1579" t="s">
        <v>109</v>
      </c>
      <c r="E142" s="1530">
        <v>678.25199999999995</v>
      </c>
      <c r="F142" s="1530"/>
      <c r="G142" s="1530"/>
      <c r="H142" s="1530"/>
      <c r="I142" s="1530"/>
      <c r="J142" s="1530"/>
      <c r="K142" s="1519">
        <v>0</v>
      </c>
      <c r="L142" s="1519">
        <f t="shared" si="25"/>
        <v>0</v>
      </c>
      <c r="N142" s="1505"/>
      <c r="P142" s="1515"/>
      <c r="Q142" s="1515"/>
      <c r="R142" s="1515"/>
      <c r="S142" s="1515"/>
      <c r="T142" s="1515"/>
      <c r="U142" s="1515"/>
      <c r="V142" s="1515"/>
      <c r="W142" s="1515"/>
      <c r="X142" s="1515"/>
      <c r="Y142" s="1515"/>
      <c r="Z142" s="1515"/>
      <c r="AA142" s="1515"/>
      <c r="AB142" s="1515"/>
      <c r="AC142" s="1515"/>
      <c r="AD142" s="1515"/>
      <c r="AE142" s="1515"/>
      <c r="AF142" s="1515"/>
      <c r="AG142" s="1515">
        <f t="shared" si="26"/>
        <v>0</v>
      </c>
    </row>
    <row r="143" spans="1:33" ht="10.5" outlineLevel="1" x14ac:dyDescent="0.25">
      <c r="A143" s="1683" t="s">
        <v>134</v>
      </c>
      <c r="B143" s="1516">
        <v>15.08</v>
      </c>
      <c r="C143" s="1574" t="s">
        <v>344</v>
      </c>
      <c r="D143" s="1579" t="s">
        <v>109</v>
      </c>
      <c r="E143" s="1530">
        <v>728.48019999999985</v>
      </c>
      <c r="F143" s="1530"/>
      <c r="G143" s="1530"/>
      <c r="H143" s="1530"/>
      <c r="I143" s="1530"/>
      <c r="J143" s="1530"/>
      <c r="K143" s="1519">
        <v>0</v>
      </c>
      <c r="L143" s="1519">
        <f t="shared" si="25"/>
        <v>0</v>
      </c>
      <c r="N143" s="1505"/>
      <c r="P143" s="1515"/>
      <c r="Q143" s="1515"/>
      <c r="R143" s="1515"/>
      <c r="S143" s="1515"/>
      <c r="T143" s="1515"/>
      <c r="U143" s="1515"/>
      <c r="V143" s="1515"/>
      <c r="W143" s="1515"/>
      <c r="X143" s="1515"/>
      <c r="Y143" s="1515"/>
      <c r="Z143" s="1515"/>
      <c r="AA143" s="1515"/>
      <c r="AB143" s="1515"/>
      <c r="AC143" s="1515"/>
      <c r="AD143" s="1515"/>
      <c r="AE143" s="1515"/>
      <c r="AF143" s="1515"/>
      <c r="AG143" s="1515">
        <f t="shared" si="26"/>
        <v>0</v>
      </c>
    </row>
    <row r="144" spans="1:33" ht="10.5" outlineLevel="1" x14ac:dyDescent="0.25">
      <c r="A144" s="1683" t="s">
        <v>134</v>
      </c>
      <c r="B144" s="1516">
        <v>15.09</v>
      </c>
      <c r="C144" s="1574" t="s">
        <v>345</v>
      </c>
      <c r="D144" s="1579" t="s">
        <v>104</v>
      </c>
      <c r="E144" s="1530">
        <v>76</v>
      </c>
      <c r="F144" s="1530"/>
      <c r="G144" s="1530"/>
      <c r="H144" s="1530"/>
      <c r="I144" s="1530"/>
      <c r="J144" s="1530"/>
      <c r="K144" s="1519">
        <v>0</v>
      </c>
      <c r="L144" s="1519">
        <f t="shared" si="25"/>
        <v>0</v>
      </c>
      <c r="N144" s="1505"/>
      <c r="P144" s="1515"/>
      <c r="Q144" s="1515"/>
      <c r="R144" s="1515"/>
      <c r="S144" s="1515"/>
      <c r="T144" s="1515"/>
      <c r="U144" s="1515"/>
      <c r="V144" s="1515"/>
      <c r="W144" s="1515"/>
      <c r="X144" s="1515"/>
      <c r="Y144" s="1515"/>
      <c r="Z144" s="1515"/>
      <c r="AA144" s="1515"/>
      <c r="AB144" s="1515"/>
      <c r="AC144" s="1515"/>
      <c r="AD144" s="1515"/>
      <c r="AE144" s="1515"/>
      <c r="AF144" s="1515"/>
      <c r="AG144" s="1515">
        <f t="shared" si="26"/>
        <v>0</v>
      </c>
    </row>
    <row r="145" spans="1:33" ht="10.5" outlineLevel="1" x14ac:dyDescent="0.25">
      <c r="A145" s="1683" t="s">
        <v>134</v>
      </c>
      <c r="B145" s="1516">
        <v>15.1</v>
      </c>
      <c r="C145" s="1589" t="s">
        <v>1033</v>
      </c>
      <c r="D145" s="1586" t="s">
        <v>107</v>
      </c>
      <c r="E145" s="1537">
        <v>1</v>
      </c>
      <c r="F145" s="1536"/>
      <c r="G145" s="1536"/>
      <c r="H145" s="1536"/>
      <c r="I145" s="1536"/>
      <c r="J145" s="1536"/>
      <c r="K145" s="1519">
        <v>0</v>
      </c>
      <c r="L145" s="1519">
        <f t="shared" si="25"/>
        <v>0</v>
      </c>
      <c r="N145" s="1505"/>
      <c r="P145" s="1515"/>
      <c r="Q145" s="1515"/>
      <c r="R145" s="1515"/>
      <c r="S145" s="1515"/>
      <c r="T145" s="1515"/>
      <c r="U145" s="1515"/>
      <c r="V145" s="1515"/>
      <c r="W145" s="1515"/>
      <c r="X145" s="1515"/>
      <c r="Y145" s="1515"/>
      <c r="Z145" s="1515"/>
      <c r="AA145" s="1515"/>
      <c r="AB145" s="1515"/>
      <c r="AC145" s="1515"/>
      <c r="AD145" s="1515"/>
      <c r="AE145" s="1515"/>
      <c r="AF145" s="1515"/>
      <c r="AG145" s="1515">
        <f t="shared" si="26"/>
        <v>0</v>
      </c>
    </row>
    <row r="146" spans="1:33" ht="10.5" x14ac:dyDescent="0.25">
      <c r="A146" s="1681"/>
      <c r="B146" s="1500">
        <v>16</v>
      </c>
      <c r="C146" s="1590" t="s">
        <v>346</v>
      </c>
      <c r="D146" s="1501"/>
      <c r="E146" s="1502"/>
      <c r="F146" s="1502"/>
      <c r="G146" s="1502"/>
      <c r="H146" s="1502"/>
      <c r="I146" s="1502"/>
      <c r="J146" s="1502"/>
      <c r="K146" s="1502"/>
      <c r="L146" s="1502"/>
      <c r="M146" s="1504">
        <f>SUM(L147:L147)</f>
        <v>0</v>
      </c>
      <c r="N146" s="895">
        <f>M146-'01'!W125</f>
        <v>0</v>
      </c>
      <c r="P146" s="1506"/>
      <c r="Q146" s="1506"/>
      <c r="R146" s="1506"/>
      <c r="S146" s="1506"/>
      <c r="T146" s="1506"/>
      <c r="U146" s="1507"/>
      <c r="V146" s="1507"/>
      <c r="W146" s="1507"/>
      <c r="X146" s="1507"/>
      <c r="Y146" s="1507"/>
      <c r="Z146" s="1507"/>
      <c r="AA146" s="1507"/>
      <c r="AB146" s="1507"/>
      <c r="AC146" s="1507"/>
      <c r="AD146" s="1507"/>
      <c r="AE146" s="1507"/>
      <c r="AF146" s="1507"/>
      <c r="AG146" s="1507"/>
    </row>
    <row r="147" spans="1:33" s="1556" customFormat="1" ht="10.5" outlineLevel="1" x14ac:dyDescent="0.25">
      <c r="A147" s="1682"/>
      <c r="B147" s="1510"/>
      <c r="C147" s="1658"/>
      <c r="D147" s="1553"/>
      <c r="E147" s="1554"/>
      <c r="F147" s="1698"/>
      <c r="G147" s="1698"/>
      <c r="H147" s="1698"/>
      <c r="I147" s="1698"/>
      <c r="J147" s="1698"/>
      <c r="K147" s="1592">
        <v>0</v>
      </c>
      <c r="L147" s="1531">
        <f>+K147*E147</f>
        <v>0</v>
      </c>
      <c r="M147" s="1558"/>
      <c r="N147" s="1576"/>
      <c r="P147" s="1515"/>
      <c r="Q147" s="1515"/>
      <c r="R147" s="1515"/>
      <c r="S147" s="1515"/>
      <c r="T147" s="1515"/>
      <c r="U147" s="1515"/>
      <c r="V147" s="1515"/>
      <c r="W147" s="1515"/>
      <c r="X147" s="1515"/>
      <c r="Y147" s="1515"/>
      <c r="Z147" s="1515"/>
      <c r="AA147" s="1515"/>
      <c r="AB147" s="1515"/>
      <c r="AC147" s="1515"/>
      <c r="AD147" s="1515"/>
      <c r="AE147" s="1515"/>
      <c r="AF147" s="1515"/>
      <c r="AG147" s="1515">
        <f t="shared" si="26"/>
        <v>0</v>
      </c>
    </row>
    <row r="148" spans="1:33" s="1556" customFormat="1" ht="10.5" x14ac:dyDescent="0.25">
      <c r="A148" s="1681"/>
      <c r="B148" s="1500">
        <v>17</v>
      </c>
      <c r="C148" s="1590" t="s">
        <v>347</v>
      </c>
      <c r="D148" s="1501"/>
      <c r="E148" s="1502"/>
      <c r="F148" s="1502"/>
      <c r="G148" s="1502"/>
      <c r="H148" s="1502"/>
      <c r="I148" s="1502"/>
      <c r="J148" s="1502"/>
      <c r="K148" s="1502"/>
      <c r="L148" s="1502"/>
      <c r="M148" s="1504">
        <f>SUM(L149:L152)</f>
        <v>7258243</v>
      </c>
      <c r="N148" s="895">
        <f>M148-'01'!W127</f>
        <v>0</v>
      </c>
      <c r="P148" s="1506"/>
      <c r="Q148" s="1506"/>
      <c r="R148" s="1506"/>
      <c r="S148" s="1506"/>
      <c r="T148" s="1506"/>
      <c r="U148" s="1507"/>
      <c r="V148" s="1507"/>
      <c r="W148" s="1507"/>
      <c r="X148" s="1507"/>
      <c r="Y148" s="1507"/>
      <c r="Z148" s="1507"/>
      <c r="AA148" s="1507"/>
      <c r="AB148" s="1507"/>
      <c r="AC148" s="1507"/>
      <c r="AD148" s="1507"/>
      <c r="AE148" s="1507"/>
      <c r="AF148" s="1507"/>
      <c r="AG148" s="1507"/>
    </row>
    <row r="149" spans="1:33" s="1556" customFormat="1" ht="10.5" outlineLevel="1" x14ac:dyDescent="0.25">
      <c r="A149" s="1682" t="s">
        <v>113</v>
      </c>
      <c r="B149" s="1510">
        <f>+B148+0.01</f>
        <v>17.010000000000002</v>
      </c>
      <c r="C149" s="1666" t="s">
        <v>1034</v>
      </c>
      <c r="D149" s="1594" t="s">
        <v>111</v>
      </c>
      <c r="E149" s="1554">
        <v>47</v>
      </c>
      <c r="F149" s="1554"/>
      <c r="G149" s="1554"/>
      <c r="H149" s="1554"/>
      <c r="I149" s="1554"/>
      <c r="J149" s="1554"/>
      <c r="K149" s="1513">
        <v>64232</v>
      </c>
      <c r="L149" s="1513">
        <f>+K149*E149</f>
        <v>3018904</v>
      </c>
      <c r="M149" s="1566"/>
      <c r="N149" s="1505"/>
      <c r="P149" s="1515"/>
      <c r="Q149" s="1515"/>
      <c r="R149" s="1515"/>
      <c r="S149" s="1515"/>
      <c r="T149" s="1515"/>
      <c r="U149" s="1515"/>
      <c r="V149" s="1515"/>
      <c r="W149" s="1515"/>
      <c r="X149" s="1515"/>
      <c r="Y149" s="1515"/>
      <c r="Z149" s="1515"/>
      <c r="AA149" s="1515"/>
      <c r="AB149" s="1515">
        <v>0.5</v>
      </c>
      <c r="AC149" s="1515">
        <v>0.5</v>
      </c>
      <c r="AD149" s="1515"/>
      <c r="AE149" s="1515"/>
      <c r="AF149" s="1515"/>
      <c r="AG149" s="1515">
        <f t="shared" ref="AG149:AG152" si="27">SUM(Q149:AF149)</f>
        <v>1</v>
      </c>
    </row>
    <row r="150" spans="1:33" s="1556" customFormat="1" ht="10.5" outlineLevel="1" x14ac:dyDescent="0.25">
      <c r="A150" s="1683" t="s">
        <v>113</v>
      </c>
      <c r="B150" s="1516">
        <v>17.02</v>
      </c>
      <c r="C150" s="1667" t="s">
        <v>1035</v>
      </c>
      <c r="D150" s="1595" t="s">
        <v>111</v>
      </c>
      <c r="E150" s="1530">
        <v>23</v>
      </c>
      <c r="F150" s="1530"/>
      <c r="G150" s="1530"/>
      <c r="H150" s="1530"/>
      <c r="I150" s="1530"/>
      <c r="J150" s="1530"/>
      <c r="K150" s="1519">
        <v>64232</v>
      </c>
      <c r="L150" s="1519">
        <f>+K150*E150</f>
        <v>1477336</v>
      </c>
      <c r="M150" s="1566"/>
      <c r="N150" s="1505"/>
      <c r="P150" s="1515"/>
      <c r="Q150" s="1515"/>
      <c r="R150" s="1515"/>
      <c r="S150" s="1515"/>
      <c r="T150" s="1515"/>
      <c r="U150" s="1515"/>
      <c r="V150" s="1515"/>
      <c r="W150" s="1515"/>
      <c r="X150" s="1515"/>
      <c r="Y150" s="1515"/>
      <c r="Z150" s="1515"/>
      <c r="AA150" s="1515"/>
      <c r="AB150" s="1515">
        <v>0.5</v>
      </c>
      <c r="AC150" s="1515">
        <v>0.5</v>
      </c>
      <c r="AD150" s="1515"/>
      <c r="AE150" s="1515"/>
      <c r="AF150" s="1515"/>
      <c r="AG150" s="1515">
        <f t="shared" si="27"/>
        <v>1</v>
      </c>
    </row>
    <row r="151" spans="1:33" s="1556" customFormat="1" ht="10.5" outlineLevel="1" x14ac:dyDescent="0.25">
      <c r="A151" s="1683" t="s">
        <v>113</v>
      </c>
      <c r="B151" s="1516">
        <v>17.03</v>
      </c>
      <c r="C151" s="1667" t="s">
        <v>1036</v>
      </c>
      <c r="D151" s="1595" t="s">
        <v>111</v>
      </c>
      <c r="E151" s="1530">
        <v>51</v>
      </c>
      <c r="F151" s="1530"/>
      <c r="G151" s="1530"/>
      <c r="H151" s="1530"/>
      <c r="I151" s="1530"/>
      <c r="J151" s="1530"/>
      <c r="K151" s="1519">
        <v>41296</v>
      </c>
      <c r="L151" s="1519">
        <f>+K151*E151</f>
        <v>2106096</v>
      </c>
      <c r="M151" s="1566"/>
      <c r="N151" s="1505"/>
      <c r="P151" s="1515"/>
      <c r="Q151" s="1515"/>
      <c r="R151" s="1515"/>
      <c r="S151" s="1515"/>
      <c r="T151" s="1515"/>
      <c r="U151" s="1515"/>
      <c r="V151" s="1515"/>
      <c r="W151" s="1515"/>
      <c r="X151" s="1515"/>
      <c r="Y151" s="1515"/>
      <c r="Z151" s="1515"/>
      <c r="AA151" s="1515"/>
      <c r="AB151" s="1515">
        <v>0.5</v>
      </c>
      <c r="AC151" s="1515">
        <v>0.5</v>
      </c>
      <c r="AD151" s="1515"/>
      <c r="AE151" s="1515"/>
      <c r="AF151" s="1515"/>
      <c r="AG151" s="1515">
        <f t="shared" si="27"/>
        <v>1</v>
      </c>
    </row>
    <row r="152" spans="1:33" s="1556" customFormat="1" ht="31.5" outlineLevel="1" x14ac:dyDescent="0.25">
      <c r="A152" s="1687" t="s">
        <v>113</v>
      </c>
      <c r="B152" s="1573">
        <v>17.04</v>
      </c>
      <c r="C152" s="1659" t="s">
        <v>1037</v>
      </c>
      <c r="D152" s="1557" t="s">
        <v>111</v>
      </c>
      <c r="E152" s="1537">
        <v>7</v>
      </c>
      <c r="F152" s="1537"/>
      <c r="G152" s="1537"/>
      <c r="H152" s="1537"/>
      <c r="I152" s="1537"/>
      <c r="J152" s="1537"/>
      <c r="K152" s="1697">
        <v>93701</v>
      </c>
      <c r="L152" s="1697">
        <f>+K152*E152</f>
        <v>655907</v>
      </c>
      <c r="M152" s="1566"/>
      <c r="N152" s="1505"/>
      <c r="P152" s="1515"/>
      <c r="Q152" s="1515"/>
      <c r="R152" s="1515"/>
      <c r="S152" s="1515"/>
      <c r="T152" s="1515"/>
      <c r="U152" s="1515"/>
      <c r="V152" s="1515"/>
      <c r="W152" s="1515"/>
      <c r="X152" s="1515"/>
      <c r="Y152" s="1515"/>
      <c r="Z152" s="1515"/>
      <c r="AA152" s="1515"/>
      <c r="AB152" s="1515">
        <v>0.5</v>
      </c>
      <c r="AC152" s="1515">
        <v>0.5</v>
      </c>
      <c r="AD152" s="1515"/>
      <c r="AE152" s="1515"/>
      <c r="AF152" s="1515"/>
      <c r="AG152" s="1515">
        <f t="shared" si="27"/>
        <v>1</v>
      </c>
    </row>
    <row r="153" spans="1:33" ht="10.5" x14ac:dyDescent="0.25">
      <c r="A153" s="1681"/>
      <c r="B153" s="1500">
        <v>18</v>
      </c>
      <c r="C153" s="1590" t="s">
        <v>129</v>
      </c>
      <c r="D153" s="1501"/>
      <c r="E153" s="1502"/>
      <c r="F153" s="1502"/>
      <c r="G153" s="1502"/>
      <c r="H153" s="1502"/>
      <c r="I153" s="1502"/>
      <c r="J153" s="1502"/>
      <c r="K153" s="1502"/>
      <c r="L153" s="1502"/>
      <c r="M153" s="1504">
        <f>SUM(L154:L183)</f>
        <v>99277732</v>
      </c>
      <c r="N153" s="895">
        <f>M153-'01'!W132</f>
        <v>0</v>
      </c>
      <c r="P153" s="1506"/>
      <c r="Q153" s="1506"/>
      <c r="R153" s="1506"/>
      <c r="S153" s="1506"/>
      <c r="T153" s="1506"/>
      <c r="U153" s="1507"/>
      <c r="V153" s="1507"/>
      <c r="W153" s="1507"/>
      <c r="X153" s="1507"/>
      <c r="Y153" s="1507"/>
      <c r="Z153" s="1507"/>
      <c r="AA153" s="1507"/>
      <c r="AB153" s="1507"/>
      <c r="AC153" s="1507"/>
      <c r="AD153" s="1507"/>
      <c r="AE153" s="1507"/>
      <c r="AF153" s="1507"/>
      <c r="AG153" s="1507"/>
    </row>
    <row r="154" spans="1:33" ht="10.5" outlineLevel="1" x14ac:dyDescent="0.25">
      <c r="A154" s="1682" t="s">
        <v>130</v>
      </c>
      <c r="B154" s="1597">
        <f>+B153+0.01</f>
        <v>18.010000000000002</v>
      </c>
      <c r="C154" s="1668" t="s">
        <v>348</v>
      </c>
      <c r="D154" s="1598" t="s">
        <v>111</v>
      </c>
      <c r="E154" s="1599">
        <v>392</v>
      </c>
      <c r="F154" s="1599"/>
      <c r="G154" s="1599"/>
      <c r="H154" s="1599"/>
      <c r="I154" s="1599"/>
      <c r="J154" s="1599"/>
      <c r="K154" s="1513">
        <v>59948</v>
      </c>
      <c r="L154" s="1513">
        <f t="shared" ref="L154:L183" si="28">+K154*E154</f>
        <v>23499616</v>
      </c>
      <c r="N154" s="1505"/>
      <c r="P154" s="1515"/>
      <c r="Q154" s="1515"/>
      <c r="R154" s="1515"/>
      <c r="S154" s="1515"/>
      <c r="T154" s="1515"/>
      <c r="U154" s="1515">
        <v>0.04</v>
      </c>
      <c r="V154" s="1515">
        <v>0.06</v>
      </c>
      <c r="W154" s="1515">
        <v>0.06</v>
      </c>
      <c r="X154" s="1515">
        <v>0.12</v>
      </c>
      <c r="Y154" s="1515">
        <v>0.12</v>
      </c>
      <c r="Z154" s="1515">
        <v>0.12</v>
      </c>
      <c r="AA154" s="1515">
        <v>0.12</v>
      </c>
      <c r="AB154" s="1515">
        <v>0.12</v>
      </c>
      <c r="AC154" s="1515">
        <v>0.12</v>
      </c>
      <c r="AD154" s="1515">
        <v>0.12</v>
      </c>
      <c r="AE154" s="1515"/>
      <c r="AF154" s="1515"/>
      <c r="AG154" s="1515">
        <f t="shared" ref="AG154:AG183" si="29">SUM(Q154:AF154)</f>
        <v>1</v>
      </c>
    </row>
    <row r="155" spans="1:33" ht="10.5" outlineLevel="1" x14ac:dyDescent="0.25">
      <c r="A155" s="1683" t="s">
        <v>130</v>
      </c>
      <c r="B155" s="1600">
        <v>18.02</v>
      </c>
      <c r="C155" s="1543" t="s">
        <v>349</v>
      </c>
      <c r="D155" s="1601" t="s">
        <v>111</v>
      </c>
      <c r="E155" s="1602">
        <v>19</v>
      </c>
      <c r="F155" s="1602"/>
      <c r="G155" s="1602"/>
      <c r="H155" s="1602"/>
      <c r="I155" s="1602"/>
      <c r="J155" s="1602"/>
      <c r="K155" s="1519">
        <v>59948</v>
      </c>
      <c r="L155" s="1519">
        <f t="shared" si="28"/>
        <v>1139012</v>
      </c>
      <c r="N155" s="1505"/>
      <c r="P155" s="1515"/>
      <c r="Q155" s="1515"/>
      <c r="R155" s="1515"/>
      <c r="S155" s="1515"/>
      <c r="T155" s="1515"/>
      <c r="U155" s="1515">
        <v>0.04</v>
      </c>
      <c r="V155" s="1515">
        <v>0.06</v>
      </c>
      <c r="W155" s="1515">
        <v>0.06</v>
      </c>
      <c r="X155" s="1515">
        <v>0.12</v>
      </c>
      <c r="Y155" s="1515">
        <v>0.12</v>
      </c>
      <c r="Z155" s="1515">
        <v>0.12</v>
      </c>
      <c r="AA155" s="1515">
        <v>0.12</v>
      </c>
      <c r="AB155" s="1515">
        <v>0.12</v>
      </c>
      <c r="AC155" s="1515">
        <v>0.12</v>
      </c>
      <c r="AD155" s="1515">
        <v>0.12</v>
      </c>
      <c r="AE155" s="1515"/>
      <c r="AF155" s="1515"/>
      <c r="AG155" s="1515">
        <f t="shared" si="29"/>
        <v>1</v>
      </c>
    </row>
    <row r="156" spans="1:33" ht="10.5" outlineLevel="1" x14ac:dyDescent="0.25">
      <c r="A156" s="1683" t="s">
        <v>130</v>
      </c>
      <c r="B156" s="1600">
        <v>18.03</v>
      </c>
      <c r="C156" s="1543" t="s">
        <v>350</v>
      </c>
      <c r="D156" s="1601" t="s">
        <v>111</v>
      </c>
      <c r="E156" s="1602">
        <v>349</v>
      </c>
      <c r="F156" s="1602"/>
      <c r="G156" s="1602"/>
      <c r="H156" s="1602"/>
      <c r="I156" s="1602"/>
      <c r="J156" s="1602"/>
      <c r="K156" s="1519">
        <v>57445</v>
      </c>
      <c r="L156" s="1519">
        <f t="shared" si="28"/>
        <v>20048305</v>
      </c>
      <c r="N156" s="1505"/>
      <c r="P156" s="1515"/>
      <c r="Q156" s="1515"/>
      <c r="R156" s="1515"/>
      <c r="S156" s="1515"/>
      <c r="T156" s="1515"/>
      <c r="U156" s="1515">
        <v>0.04</v>
      </c>
      <c r="V156" s="1515">
        <v>0.06</v>
      </c>
      <c r="W156" s="1515">
        <v>0.06</v>
      </c>
      <c r="X156" s="1515">
        <v>0.12</v>
      </c>
      <c r="Y156" s="1515">
        <v>0.12</v>
      </c>
      <c r="Z156" s="1515">
        <v>0.12</v>
      </c>
      <c r="AA156" s="1515">
        <v>0.12</v>
      </c>
      <c r="AB156" s="1515">
        <v>0.12</v>
      </c>
      <c r="AC156" s="1515">
        <v>0.12</v>
      </c>
      <c r="AD156" s="1515">
        <v>0.12</v>
      </c>
      <c r="AE156" s="1515"/>
      <c r="AF156" s="1515"/>
      <c r="AG156" s="1515">
        <f t="shared" si="29"/>
        <v>1</v>
      </c>
    </row>
    <row r="157" spans="1:33" ht="10.5" outlineLevel="1" x14ac:dyDescent="0.25">
      <c r="A157" s="1688" t="s">
        <v>130</v>
      </c>
      <c r="B157" s="1603">
        <v>18.04</v>
      </c>
      <c r="C157" s="1543" t="s">
        <v>351</v>
      </c>
      <c r="D157" s="1601" t="s">
        <v>111</v>
      </c>
      <c r="E157" s="1602">
        <v>35</v>
      </c>
      <c r="F157" s="1602"/>
      <c r="G157" s="1602"/>
      <c r="H157" s="1602"/>
      <c r="I157" s="1602"/>
      <c r="J157" s="1602"/>
      <c r="K157" s="1519">
        <v>64480</v>
      </c>
      <c r="L157" s="1519">
        <f t="shared" si="28"/>
        <v>2256800</v>
      </c>
      <c r="N157" s="1505"/>
      <c r="P157" s="1515"/>
      <c r="Q157" s="1515"/>
      <c r="R157" s="1515"/>
      <c r="S157" s="1515"/>
      <c r="T157" s="1515"/>
      <c r="U157" s="1515">
        <v>0.04</v>
      </c>
      <c r="V157" s="1515">
        <v>0.06</v>
      </c>
      <c r="W157" s="1515">
        <v>0.06</v>
      </c>
      <c r="X157" s="1515">
        <v>0.12</v>
      </c>
      <c r="Y157" s="1515">
        <v>0.12</v>
      </c>
      <c r="Z157" s="1515">
        <v>0.12</v>
      </c>
      <c r="AA157" s="1515">
        <v>0.12</v>
      </c>
      <c r="AB157" s="1515">
        <v>0.12</v>
      </c>
      <c r="AC157" s="1515">
        <v>0.12</v>
      </c>
      <c r="AD157" s="1515">
        <v>0.12</v>
      </c>
      <c r="AE157" s="1515"/>
      <c r="AF157" s="1515"/>
      <c r="AG157" s="1515">
        <f t="shared" si="29"/>
        <v>1</v>
      </c>
    </row>
    <row r="158" spans="1:33" ht="10.5" outlineLevel="1" x14ac:dyDescent="0.25">
      <c r="A158" s="1683" t="s">
        <v>130</v>
      </c>
      <c r="B158" s="1600">
        <v>18.05</v>
      </c>
      <c r="C158" s="1543" t="s">
        <v>352</v>
      </c>
      <c r="D158" s="1601" t="s">
        <v>111</v>
      </c>
      <c r="E158" s="1602">
        <v>16</v>
      </c>
      <c r="F158" s="1602"/>
      <c r="G158" s="1602"/>
      <c r="H158" s="1602"/>
      <c r="I158" s="1602"/>
      <c r="J158" s="1602"/>
      <c r="K158" s="1519">
        <v>57445</v>
      </c>
      <c r="L158" s="1519">
        <f t="shared" si="28"/>
        <v>919120</v>
      </c>
      <c r="N158" s="1505"/>
      <c r="P158" s="1515"/>
      <c r="Q158" s="1515"/>
      <c r="R158" s="1515"/>
      <c r="S158" s="1515"/>
      <c r="T158" s="1515"/>
      <c r="U158" s="1515">
        <v>0.04</v>
      </c>
      <c r="V158" s="1515">
        <v>0.06</v>
      </c>
      <c r="W158" s="1515">
        <v>0.06</v>
      </c>
      <c r="X158" s="1515">
        <v>0.12</v>
      </c>
      <c r="Y158" s="1515">
        <v>0.12</v>
      </c>
      <c r="Z158" s="1515">
        <v>0.12</v>
      </c>
      <c r="AA158" s="1515">
        <v>0.12</v>
      </c>
      <c r="AB158" s="1515">
        <v>0.12</v>
      </c>
      <c r="AC158" s="1515">
        <v>0.12</v>
      </c>
      <c r="AD158" s="1515">
        <v>0.12</v>
      </c>
      <c r="AE158" s="1515"/>
      <c r="AF158" s="1515"/>
      <c r="AG158" s="1515">
        <f t="shared" si="29"/>
        <v>1</v>
      </c>
    </row>
    <row r="159" spans="1:33" ht="10.5" outlineLevel="1" x14ac:dyDescent="0.25">
      <c r="A159" s="1688" t="s">
        <v>130</v>
      </c>
      <c r="B159" s="1603">
        <v>18.059999999999999</v>
      </c>
      <c r="C159" s="1543" t="s">
        <v>1038</v>
      </c>
      <c r="D159" s="1601" t="s">
        <v>111</v>
      </c>
      <c r="E159" s="1602">
        <v>16</v>
      </c>
      <c r="F159" s="1602"/>
      <c r="G159" s="1602"/>
      <c r="H159" s="1602"/>
      <c r="I159" s="1602"/>
      <c r="J159" s="1602"/>
      <c r="K159" s="1519">
        <v>57445</v>
      </c>
      <c r="L159" s="1519">
        <f t="shared" si="28"/>
        <v>919120</v>
      </c>
      <c r="N159" s="1505"/>
      <c r="P159" s="1515"/>
      <c r="Q159" s="1515"/>
      <c r="R159" s="1515"/>
      <c r="S159" s="1515"/>
      <c r="T159" s="1515"/>
      <c r="U159" s="1515">
        <v>0.04</v>
      </c>
      <c r="V159" s="1515">
        <v>0.06</v>
      </c>
      <c r="W159" s="1515">
        <v>0.06</v>
      </c>
      <c r="X159" s="1515">
        <v>0.12</v>
      </c>
      <c r="Y159" s="1515">
        <v>0.12</v>
      </c>
      <c r="Z159" s="1515">
        <v>0.12</v>
      </c>
      <c r="AA159" s="1515">
        <v>0.12</v>
      </c>
      <c r="AB159" s="1515">
        <v>0.12</v>
      </c>
      <c r="AC159" s="1515">
        <v>0.12</v>
      </c>
      <c r="AD159" s="1515">
        <v>0.12</v>
      </c>
      <c r="AE159" s="1515"/>
      <c r="AF159" s="1515"/>
      <c r="AG159" s="1515">
        <f t="shared" si="29"/>
        <v>1</v>
      </c>
    </row>
    <row r="160" spans="1:33" ht="10.5" outlineLevel="1" x14ac:dyDescent="0.25">
      <c r="A160" s="1683" t="s">
        <v>130</v>
      </c>
      <c r="B160" s="1600">
        <v>18.07</v>
      </c>
      <c r="C160" s="1543" t="s">
        <v>353</v>
      </c>
      <c r="D160" s="1601" t="s">
        <v>111</v>
      </c>
      <c r="E160" s="1602">
        <v>46</v>
      </c>
      <c r="F160" s="1602"/>
      <c r="G160" s="1602"/>
      <c r="H160" s="1602"/>
      <c r="I160" s="1602"/>
      <c r="J160" s="1602"/>
      <c r="K160" s="1519">
        <v>43213</v>
      </c>
      <c r="L160" s="1519">
        <f t="shared" si="28"/>
        <v>1987798</v>
      </c>
      <c r="N160" s="1505"/>
      <c r="P160" s="1515"/>
      <c r="Q160" s="1515"/>
      <c r="R160" s="1515"/>
      <c r="S160" s="1515"/>
      <c r="T160" s="1515"/>
      <c r="U160" s="1515">
        <v>0.04</v>
      </c>
      <c r="V160" s="1515">
        <v>0.06</v>
      </c>
      <c r="W160" s="1515">
        <v>0.06</v>
      </c>
      <c r="X160" s="1515">
        <v>0.12</v>
      </c>
      <c r="Y160" s="1515">
        <v>0.12</v>
      </c>
      <c r="Z160" s="1515">
        <v>0.12</v>
      </c>
      <c r="AA160" s="1515">
        <v>0.12</v>
      </c>
      <c r="AB160" s="1515">
        <v>0.12</v>
      </c>
      <c r="AC160" s="1515">
        <v>0.12</v>
      </c>
      <c r="AD160" s="1515">
        <v>0.12</v>
      </c>
      <c r="AE160" s="1515"/>
      <c r="AF160" s="1515"/>
      <c r="AG160" s="1515">
        <f t="shared" si="29"/>
        <v>1</v>
      </c>
    </row>
    <row r="161" spans="1:33" ht="10.5" outlineLevel="1" x14ac:dyDescent="0.25">
      <c r="A161" s="1688" t="s">
        <v>130</v>
      </c>
      <c r="B161" s="1603">
        <v>18.079999999999998</v>
      </c>
      <c r="C161" s="1543" t="s">
        <v>354</v>
      </c>
      <c r="D161" s="1601" t="s">
        <v>111</v>
      </c>
      <c r="E161" s="1602">
        <v>17</v>
      </c>
      <c r="F161" s="1602"/>
      <c r="G161" s="1602"/>
      <c r="H161" s="1602"/>
      <c r="I161" s="1602"/>
      <c r="J161" s="1602"/>
      <c r="K161" s="1519">
        <v>43213</v>
      </c>
      <c r="L161" s="1519">
        <f t="shared" si="28"/>
        <v>734621</v>
      </c>
      <c r="N161" s="1505"/>
      <c r="P161" s="1515"/>
      <c r="Q161" s="1515"/>
      <c r="R161" s="1515"/>
      <c r="S161" s="1515"/>
      <c r="T161" s="1515"/>
      <c r="U161" s="1515">
        <v>0.04</v>
      </c>
      <c r="V161" s="1515">
        <v>0.06</v>
      </c>
      <c r="W161" s="1515">
        <v>0.06</v>
      </c>
      <c r="X161" s="1515">
        <v>0.12</v>
      </c>
      <c r="Y161" s="1515">
        <v>0.12</v>
      </c>
      <c r="Z161" s="1515">
        <v>0.12</v>
      </c>
      <c r="AA161" s="1515">
        <v>0.12</v>
      </c>
      <c r="AB161" s="1515">
        <v>0.12</v>
      </c>
      <c r="AC161" s="1515">
        <v>0.12</v>
      </c>
      <c r="AD161" s="1515">
        <v>0.12</v>
      </c>
      <c r="AE161" s="1515"/>
      <c r="AF161" s="1515"/>
      <c r="AG161" s="1515">
        <f t="shared" si="29"/>
        <v>1</v>
      </c>
    </row>
    <row r="162" spans="1:33" ht="10.5" outlineLevel="1" x14ac:dyDescent="0.25">
      <c r="A162" s="1683" t="s">
        <v>130</v>
      </c>
      <c r="B162" s="1600">
        <v>18.09</v>
      </c>
      <c r="C162" s="1543" t="s">
        <v>355</v>
      </c>
      <c r="D162" s="1601" t="s">
        <v>111</v>
      </c>
      <c r="E162" s="1602">
        <v>11</v>
      </c>
      <c r="F162" s="1602"/>
      <c r="G162" s="1602"/>
      <c r="H162" s="1602"/>
      <c r="I162" s="1602"/>
      <c r="J162" s="1602"/>
      <c r="K162" s="1519">
        <v>43213</v>
      </c>
      <c r="L162" s="1519">
        <f t="shared" si="28"/>
        <v>475343</v>
      </c>
      <c r="N162" s="1505"/>
      <c r="P162" s="1515"/>
      <c r="Q162" s="1515"/>
      <c r="R162" s="1515"/>
      <c r="S162" s="1515"/>
      <c r="T162" s="1515"/>
      <c r="U162" s="1515">
        <v>0.04</v>
      </c>
      <c r="V162" s="1515">
        <v>0.06</v>
      </c>
      <c r="W162" s="1515">
        <v>0.06</v>
      </c>
      <c r="X162" s="1515">
        <v>0.12</v>
      </c>
      <c r="Y162" s="1515">
        <v>0.12</v>
      </c>
      <c r="Z162" s="1515">
        <v>0.12</v>
      </c>
      <c r="AA162" s="1515">
        <v>0.12</v>
      </c>
      <c r="AB162" s="1515">
        <v>0.12</v>
      </c>
      <c r="AC162" s="1515">
        <v>0.12</v>
      </c>
      <c r="AD162" s="1515">
        <v>0.12</v>
      </c>
      <c r="AE162" s="1515"/>
      <c r="AF162" s="1515"/>
      <c r="AG162" s="1515">
        <f t="shared" si="29"/>
        <v>1</v>
      </c>
    </row>
    <row r="163" spans="1:33" ht="10.5" outlineLevel="1" x14ac:dyDescent="0.25">
      <c r="A163" s="1688" t="s">
        <v>130</v>
      </c>
      <c r="B163" s="1603">
        <v>18.100000000000001</v>
      </c>
      <c r="C163" s="1543" t="s">
        <v>356</v>
      </c>
      <c r="D163" s="1601" t="s">
        <v>111</v>
      </c>
      <c r="E163" s="1602">
        <v>1</v>
      </c>
      <c r="F163" s="1602"/>
      <c r="G163" s="1602"/>
      <c r="H163" s="1602"/>
      <c r="I163" s="1602"/>
      <c r="J163" s="1602"/>
      <c r="K163" s="1519">
        <v>2365100</v>
      </c>
      <c r="L163" s="1519">
        <f t="shared" si="28"/>
        <v>2365100</v>
      </c>
      <c r="N163" s="1505"/>
      <c r="P163" s="1515"/>
      <c r="Q163" s="1515"/>
      <c r="R163" s="1515"/>
      <c r="S163" s="1515"/>
      <c r="T163" s="1515"/>
      <c r="U163" s="1515"/>
      <c r="V163" s="1515"/>
      <c r="W163" s="1515"/>
      <c r="X163" s="1515"/>
      <c r="Y163" s="1515"/>
      <c r="Z163" s="1515"/>
      <c r="AA163" s="1515"/>
      <c r="AB163" s="1515">
        <v>0.5</v>
      </c>
      <c r="AC163" s="1515">
        <v>0.5</v>
      </c>
      <c r="AD163" s="1515"/>
      <c r="AE163" s="1515"/>
      <c r="AF163" s="1515"/>
      <c r="AG163" s="1515">
        <f t="shared" si="29"/>
        <v>1</v>
      </c>
    </row>
    <row r="164" spans="1:33" ht="10.5" outlineLevel="1" x14ac:dyDescent="0.25">
      <c r="A164" s="1683" t="s">
        <v>130</v>
      </c>
      <c r="B164" s="1600">
        <v>18.11</v>
      </c>
      <c r="C164" s="1543" t="s">
        <v>357</v>
      </c>
      <c r="D164" s="1601" t="s">
        <v>111</v>
      </c>
      <c r="E164" s="1602">
        <v>1</v>
      </c>
      <c r="F164" s="1602"/>
      <c r="G164" s="1602"/>
      <c r="H164" s="1602"/>
      <c r="I164" s="1602"/>
      <c r="J164" s="1602"/>
      <c r="K164" s="1519">
        <v>1112140</v>
      </c>
      <c r="L164" s="1519">
        <f t="shared" si="28"/>
        <v>1112140</v>
      </c>
      <c r="N164" s="1505"/>
      <c r="P164" s="1515"/>
      <c r="Q164" s="1515"/>
      <c r="R164" s="1515"/>
      <c r="S164" s="1515"/>
      <c r="T164" s="1515"/>
      <c r="U164" s="1515"/>
      <c r="V164" s="1515"/>
      <c r="W164" s="1515"/>
      <c r="X164" s="1515"/>
      <c r="Y164" s="1515"/>
      <c r="Z164" s="1515"/>
      <c r="AA164" s="1515"/>
      <c r="AB164" s="1515">
        <v>0.5</v>
      </c>
      <c r="AC164" s="1515">
        <v>0.5</v>
      </c>
      <c r="AD164" s="1515"/>
      <c r="AE164" s="1515"/>
      <c r="AF164" s="1515"/>
      <c r="AG164" s="1515">
        <f t="shared" si="29"/>
        <v>1</v>
      </c>
    </row>
    <row r="165" spans="1:33" ht="10.5" outlineLevel="1" x14ac:dyDescent="0.25">
      <c r="A165" s="1688" t="s">
        <v>130</v>
      </c>
      <c r="B165" s="1603">
        <v>18.12</v>
      </c>
      <c r="C165" s="1543" t="s">
        <v>358</v>
      </c>
      <c r="D165" s="1601" t="s">
        <v>111</v>
      </c>
      <c r="E165" s="1602">
        <v>1</v>
      </c>
      <c r="F165" s="1602"/>
      <c r="G165" s="1602"/>
      <c r="H165" s="1602"/>
      <c r="I165" s="1602"/>
      <c r="J165" s="1602"/>
      <c r="K165" s="1519">
        <v>669004</v>
      </c>
      <c r="L165" s="1519">
        <f t="shared" si="28"/>
        <v>669004</v>
      </c>
      <c r="N165" s="1505"/>
      <c r="P165" s="1515"/>
      <c r="Q165" s="1515"/>
      <c r="R165" s="1515"/>
      <c r="S165" s="1515"/>
      <c r="T165" s="1515"/>
      <c r="U165" s="1515"/>
      <c r="V165" s="1515"/>
      <c r="W165" s="1515"/>
      <c r="X165" s="1515"/>
      <c r="Y165" s="1515"/>
      <c r="Z165" s="1515"/>
      <c r="AA165" s="1515"/>
      <c r="AB165" s="1515">
        <v>0.5</v>
      </c>
      <c r="AC165" s="1515">
        <v>0.5</v>
      </c>
      <c r="AD165" s="1515"/>
      <c r="AE165" s="1515"/>
      <c r="AF165" s="1515"/>
      <c r="AG165" s="1515">
        <f t="shared" si="29"/>
        <v>1</v>
      </c>
    </row>
    <row r="166" spans="1:33" s="1604" customFormat="1" ht="10.5" outlineLevel="1" x14ac:dyDescent="0.25">
      <c r="A166" s="1683" t="s">
        <v>130</v>
      </c>
      <c r="B166" s="1600">
        <v>18.13</v>
      </c>
      <c r="C166" s="1543" t="s">
        <v>359</v>
      </c>
      <c r="D166" s="1601" t="s">
        <v>111</v>
      </c>
      <c r="E166" s="1602">
        <v>1</v>
      </c>
      <c r="F166" s="1602"/>
      <c r="G166" s="1602"/>
      <c r="H166" s="1602"/>
      <c r="I166" s="1602"/>
      <c r="J166" s="1602"/>
      <c r="K166" s="1519">
        <v>970259</v>
      </c>
      <c r="L166" s="1519">
        <f t="shared" si="28"/>
        <v>970259</v>
      </c>
      <c r="M166" s="1477"/>
      <c r="N166" s="1505"/>
      <c r="O166" s="1471"/>
      <c r="P166" s="1515"/>
      <c r="Q166" s="1515"/>
      <c r="R166" s="1515"/>
      <c r="S166" s="1515"/>
      <c r="T166" s="1515"/>
      <c r="U166" s="1515"/>
      <c r="V166" s="1515"/>
      <c r="W166" s="1515"/>
      <c r="X166" s="1515"/>
      <c r="Y166" s="1515"/>
      <c r="Z166" s="1515"/>
      <c r="AA166" s="1515"/>
      <c r="AB166" s="1515">
        <v>0.5</v>
      </c>
      <c r="AC166" s="1515">
        <v>0.5</v>
      </c>
      <c r="AD166" s="1515"/>
      <c r="AE166" s="1515"/>
      <c r="AF166" s="1515"/>
      <c r="AG166" s="1515">
        <f t="shared" si="29"/>
        <v>1</v>
      </c>
    </row>
    <row r="167" spans="1:33" s="1604" customFormat="1" ht="10.5" outlineLevel="1" x14ac:dyDescent="0.25">
      <c r="A167" s="1688" t="s">
        <v>130</v>
      </c>
      <c r="B167" s="1603">
        <v>18.14</v>
      </c>
      <c r="C167" s="1543" t="s">
        <v>360</v>
      </c>
      <c r="D167" s="1601" t="s">
        <v>111</v>
      </c>
      <c r="E167" s="1602">
        <v>1</v>
      </c>
      <c r="F167" s="1602"/>
      <c r="G167" s="1602"/>
      <c r="H167" s="1602"/>
      <c r="I167" s="1602"/>
      <c r="J167" s="1602"/>
      <c r="K167" s="1519">
        <v>507898</v>
      </c>
      <c r="L167" s="1519">
        <f t="shared" si="28"/>
        <v>507898</v>
      </c>
      <c r="M167" s="1477"/>
      <c r="N167" s="1505"/>
      <c r="O167" s="1471"/>
      <c r="P167" s="1515"/>
      <c r="Q167" s="1515"/>
      <c r="R167" s="1515"/>
      <c r="S167" s="1515"/>
      <c r="T167" s="1515"/>
      <c r="U167" s="1515"/>
      <c r="V167" s="1515"/>
      <c r="W167" s="1515"/>
      <c r="X167" s="1515"/>
      <c r="Y167" s="1515"/>
      <c r="Z167" s="1515"/>
      <c r="AA167" s="1515"/>
      <c r="AB167" s="1515">
        <v>0.5</v>
      </c>
      <c r="AC167" s="1515">
        <v>0.5</v>
      </c>
      <c r="AD167" s="1515"/>
      <c r="AE167" s="1515"/>
      <c r="AF167" s="1515"/>
      <c r="AG167" s="1515">
        <f t="shared" si="29"/>
        <v>1</v>
      </c>
    </row>
    <row r="168" spans="1:33" s="1604" customFormat="1" ht="10.5" outlineLevel="1" x14ac:dyDescent="0.25">
      <c r="A168" s="1683" t="s">
        <v>130</v>
      </c>
      <c r="B168" s="1600">
        <v>18.149999999999999</v>
      </c>
      <c r="C168" s="1543" t="s">
        <v>361</v>
      </c>
      <c r="D168" s="1601" t="s">
        <v>111</v>
      </c>
      <c r="E168" s="1602">
        <v>7</v>
      </c>
      <c r="F168" s="1602"/>
      <c r="G168" s="1602"/>
      <c r="H168" s="1602"/>
      <c r="I168" s="1602"/>
      <c r="J168" s="1602"/>
      <c r="K168" s="1519">
        <v>507898</v>
      </c>
      <c r="L168" s="1519">
        <f t="shared" si="28"/>
        <v>3555286</v>
      </c>
      <c r="M168" s="1477"/>
      <c r="N168" s="1505"/>
      <c r="O168" s="1471"/>
      <c r="P168" s="1515"/>
      <c r="Q168" s="1515"/>
      <c r="R168" s="1515"/>
      <c r="S168" s="1515"/>
      <c r="T168" s="1515"/>
      <c r="U168" s="1515"/>
      <c r="V168" s="1515"/>
      <c r="W168" s="1515"/>
      <c r="X168" s="1515"/>
      <c r="Y168" s="1515"/>
      <c r="Z168" s="1515"/>
      <c r="AA168" s="1515"/>
      <c r="AB168" s="1515">
        <v>0.5</v>
      </c>
      <c r="AC168" s="1515">
        <v>0.5</v>
      </c>
      <c r="AD168" s="1515"/>
      <c r="AE168" s="1515"/>
      <c r="AF168" s="1515"/>
      <c r="AG168" s="1515">
        <f t="shared" si="29"/>
        <v>1</v>
      </c>
    </row>
    <row r="169" spans="1:33" s="1604" customFormat="1" ht="10.5" outlineLevel="1" x14ac:dyDescent="0.25">
      <c r="A169" s="1688" t="s">
        <v>130</v>
      </c>
      <c r="B169" s="1603">
        <v>18.16</v>
      </c>
      <c r="C169" s="1543" t="s">
        <v>362</v>
      </c>
      <c r="D169" s="1601" t="s">
        <v>111</v>
      </c>
      <c r="E169" s="1602">
        <v>9</v>
      </c>
      <c r="F169" s="1602"/>
      <c r="G169" s="1602"/>
      <c r="H169" s="1602"/>
      <c r="I169" s="1602"/>
      <c r="J169" s="1602"/>
      <c r="K169" s="1519">
        <v>595498</v>
      </c>
      <c r="L169" s="1519">
        <f t="shared" si="28"/>
        <v>5359482</v>
      </c>
      <c r="M169" s="1477"/>
      <c r="N169" s="1505"/>
      <c r="O169" s="1471"/>
      <c r="P169" s="1515"/>
      <c r="Q169" s="1515"/>
      <c r="R169" s="1515"/>
      <c r="S169" s="1515"/>
      <c r="T169" s="1515"/>
      <c r="U169" s="1515"/>
      <c r="V169" s="1515"/>
      <c r="W169" s="1515"/>
      <c r="X169" s="1515"/>
      <c r="Y169" s="1515"/>
      <c r="Z169" s="1515"/>
      <c r="AA169" s="1515"/>
      <c r="AB169" s="1515">
        <v>0.5</v>
      </c>
      <c r="AC169" s="1515">
        <v>0.5</v>
      </c>
      <c r="AD169" s="1515"/>
      <c r="AE169" s="1515"/>
      <c r="AF169" s="1515"/>
      <c r="AG169" s="1515">
        <f t="shared" si="29"/>
        <v>1</v>
      </c>
    </row>
    <row r="170" spans="1:33" s="1604" customFormat="1" ht="10.5" outlineLevel="1" x14ac:dyDescent="0.25">
      <c r="A170" s="1683" t="s">
        <v>130</v>
      </c>
      <c r="B170" s="1600">
        <v>18.170000000000002</v>
      </c>
      <c r="C170" s="1543" t="s">
        <v>363</v>
      </c>
      <c r="D170" s="1601" t="s">
        <v>107</v>
      </c>
      <c r="E170" s="1602">
        <v>1</v>
      </c>
      <c r="F170" s="1602"/>
      <c r="G170" s="1602"/>
      <c r="H170" s="1602"/>
      <c r="I170" s="1602"/>
      <c r="J170" s="1602"/>
      <c r="K170" s="1519">
        <v>9502264</v>
      </c>
      <c r="L170" s="1519">
        <f t="shared" si="28"/>
        <v>9502264</v>
      </c>
      <c r="M170" s="1477"/>
      <c r="N170" s="1505"/>
      <c r="O170" s="1471"/>
      <c r="P170" s="1515"/>
      <c r="Q170" s="1515"/>
      <c r="R170" s="1515"/>
      <c r="S170" s="1515"/>
      <c r="T170" s="1515"/>
      <c r="U170" s="1515"/>
      <c r="V170" s="1515"/>
      <c r="W170" s="1515"/>
      <c r="X170" s="1515"/>
      <c r="Y170" s="1515"/>
      <c r="Z170" s="1515">
        <v>0.3</v>
      </c>
      <c r="AA170" s="1515">
        <v>0.3</v>
      </c>
      <c r="AB170" s="1515">
        <v>0.4</v>
      </c>
      <c r="AC170" s="1515"/>
      <c r="AD170" s="1515"/>
      <c r="AE170" s="1515"/>
      <c r="AF170" s="1515"/>
      <c r="AG170" s="1515">
        <f t="shared" si="29"/>
        <v>1</v>
      </c>
    </row>
    <row r="171" spans="1:33" s="1604" customFormat="1" ht="10.5" outlineLevel="1" x14ac:dyDescent="0.25">
      <c r="A171" s="1688" t="s">
        <v>130</v>
      </c>
      <c r="B171" s="1603">
        <v>18.18</v>
      </c>
      <c r="C171" s="1543" t="s">
        <v>364</v>
      </c>
      <c r="D171" s="1601" t="s">
        <v>107</v>
      </c>
      <c r="E171" s="1602">
        <v>1</v>
      </c>
      <c r="F171" s="1602"/>
      <c r="G171" s="1602"/>
      <c r="H171" s="1602"/>
      <c r="I171" s="1602"/>
      <c r="J171" s="1602"/>
      <c r="K171" s="1519">
        <v>1878534</v>
      </c>
      <c r="L171" s="1519">
        <f t="shared" si="28"/>
        <v>1878534</v>
      </c>
      <c r="M171" s="1477"/>
      <c r="N171" s="1505"/>
      <c r="O171" s="1471"/>
      <c r="P171" s="1515"/>
      <c r="Q171" s="1515"/>
      <c r="R171" s="1515"/>
      <c r="S171" s="1515"/>
      <c r="T171" s="1515"/>
      <c r="U171" s="1515"/>
      <c r="V171" s="1515"/>
      <c r="W171" s="1515"/>
      <c r="X171" s="1515"/>
      <c r="Y171" s="1515"/>
      <c r="Z171" s="1515">
        <v>0.3</v>
      </c>
      <c r="AA171" s="1515">
        <v>0.3</v>
      </c>
      <c r="AB171" s="1515">
        <v>0.4</v>
      </c>
      <c r="AC171" s="1515"/>
      <c r="AD171" s="1515"/>
      <c r="AE171" s="1515"/>
      <c r="AF171" s="1515"/>
      <c r="AG171" s="1515">
        <f t="shared" si="29"/>
        <v>1</v>
      </c>
    </row>
    <row r="172" spans="1:33" s="1604" customFormat="1" ht="10.5" outlineLevel="1" x14ac:dyDescent="0.25">
      <c r="A172" s="1683" t="s">
        <v>130</v>
      </c>
      <c r="B172" s="1600">
        <v>18.190000000000001</v>
      </c>
      <c r="C172" s="1543" t="s">
        <v>365</v>
      </c>
      <c r="D172" s="1601" t="s">
        <v>107</v>
      </c>
      <c r="E172" s="1602">
        <v>1</v>
      </c>
      <c r="F172" s="1602"/>
      <c r="G172" s="1602"/>
      <c r="H172" s="1602"/>
      <c r="I172" s="1602"/>
      <c r="J172" s="1602"/>
      <c r="K172" s="1519">
        <v>1878534</v>
      </c>
      <c r="L172" s="1519">
        <f t="shared" si="28"/>
        <v>1878534</v>
      </c>
      <c r="M172" s="1477"/>
      <c r="N172" s="1505"/>
      <c r="O172" s="1471"/>
      <c r="P172" s="1515"/>
      <c r="Q172" s="1515"/>
      <c r="R172" s="1515"/>
      <c r="S172" s="1515"/>
      <c r="T172" s="1515"/>
      <c r="U172" s="1515"/>
      <c r="V172" s="1515"/>
      <c r="W172" s="1515"/>
      <c r="X172" s="1515"/>
      <c r="Y172" s="1515"/>
      <c r="Z172" s="1515">
        <v>0.3</v>
      </c>
      <c r="AA172" s="1515">
        <v>0.3</v>
      </c>
      <c r="AB172" s="1515">
        <v>0.4</v>
      </c>
      <c r="AC172" s="1515"/>
      <c r="AD172" s="1515"/>
      <c r="AE172" s="1515"/>
      <c r="AF172" s="1515"/>
      <c r="AG172" s="1515">
        <f t="shared" si="29"/>
        <v>1</v>
      </c>
    </row>
    <row r="173" spans="1:33" s="1604" customFormat="1" ht="10.5" outlineLevel="1" x14ac:dyDescent="0.25">
      <c r="A173" s="1688" t="s">
        <v>130</v>
      </c>
      <c r="B173" s="1603">
        <v>18.2</v>
      </c>
      <c r="C173" s="1543" t="s">
        <v>1039</v>
      </c>
      <c r="D173" s="1601" t="s">
        <v>111</v>
      </c>
      <c r="E173" s="1602">
        <v>33</v>
      </c>
      <c r="F173" s="1602"/>
      <c r="G173" s="1602"/>
      <c r="H173" s="1602"/>
      <c r="I173" s="1602"/>
      <c r="J173" s="1602"/>
      <c r="K173" s="1519">
        <v>14235</v>
      </c>
      <c r="L173" s="1519">
        <f t="shared" si="28"/>
        <v>469755</v>
      </c>
      <c r="M173" s="1477"/>
      <c r="N173" s="1505"/>
      <c r="O173" s="1471"/>
      <c r="P173" s="1515"/>
      <c r="Q173" s="1515"/>
      <c r="R173" s="1515"/>
      <c r="S173" s="1515"/>
      <c r="T173" s="1515"/>
      <c r="U173" s="1515"/>
      <c r="V173" s="1515"/>
      <c r="W173" s="1515"/>
      <c r="X173" s="1515"/>
      <c r="Y173" s="1515"/>
      <c r="Z173" s="1515"/>
      <c r="AA173" s="1515"/>
      <c r="AB173" s="1515"/>
      <c r="AC173" s="1515"/>
      <c r="AD173" s="1515">
        <v>0.5</v>
      </c>
      <c r="AE173" s="1515">
        <v>0.5</v>
      </c>
      <c r="AF173" s="1515"/>
      <c r="AG173" s="1515">
        <f t="shared" si="29"/>
        <v>1</v>
      </c>
    </row>
    <row r="174" spans="1:33" s="1604" customFormat="1" ht="10.5" outlineLevel="1" x14ac:dyDescent="0.25">
      <c r="A174" s="1683" t="s">
        <v>130</v>
      </c>
      <c r="B174" s="1600">
        <v>18.21</v>
      </c>
      <c r="C174" s="1543" t="s">
        <v>1040</v>
      </c>
      <c r="D174" s="1601" t="s">
        <v>111</v>
      </c>
      <c r="E174" s="1602">
        <v>150</v>
      </c>
      <c r="F174" s="1602"/>
      <c r="G174" s="1602"/>
      <c r="H174" s="1602"/>
      <c r="I174" s="1602"/>
      <c r="J174" s="1602"/>
      <c r="K174" s="1519">
        <v>9276</v>
      </c>
      <c r="L174" s="1519">
        <f t="shared" si="28"/>
        <v>1391400</v>
      </c>
      <c r="M174" s="1477"/>
      <c r="N174" s="1505"/>
      <c r="O174" s="1471"/>
      <c r="P174" s="1515"/>
      <c r="Q174" s="1515"/>
      <c r="R174" s="1515"/>
      <c r="S174" s="1515"/>
      <c r="T174" s="1515"/>
      <c r="U174" s="1515"/>
      <c r="V174" s="1515"/>
      <c r="W174" s="1515"/>
      <c r="X174" s="1515"/>
      <c r="Y174" s="1515"/>
      <c r="Z174" s="1515"/>
      <c r="AA174" s="1515"/>
      <c r="AB174" s="1515"/>
      <c r="AC174" s="1515"/>
      <c r="AD174" s="1515">
        <v>0.5</v>
      </c>
      <c r="AE174" s="1515">
        <v>0.5</v>
      </c>
      <c r="AF174" s="1515"/>
      <c r="AG174" s="1515">
        <f t="shared" si="29"/>
        <v>1</v>
      </c>
    </row>
    <row r="175" spans="1:33" s="1604" customFormat="1" ht="10.5" outlineLevel="1" x14ac:dyDescent="0.25">
      <c r="A175" s="1688" t="s">
        <v>130</v>
      </c>
      <c r="B175" s="1603">
        <v>18.22</v>
      </c>
      <c r="C175" s="1543" t="s">
        <v>1041</v>
      </c>
      <c r="D175" s="1601" t="s">
        <v>111</v>
      </c>
      <c r="E175" s="1602">
        <v>16</v>
      </c>
      <c r="F175" s="1602"/>
      <c r="G175" s="1602"/>
      <c r="H175" s="1602"/>
      <c r="I175" s="1602"/>
      <c r="J175" s="1602"/>
      <c r="K175" s="1519">
        <v>9276</v>
      </c>
      <c r="L175" s="1519">
        <f t="shared" si="28"/>
        <v>148416</v>
      </c>
      <c r="M175" s="1477"/>
      <c r="N175" s="1505"/>
      <c r="O175" s="1471"/>
      <c r="P175" s="1515"/>
      <c r="Q175" s="1515"/>
      <c r="R175" s="1515"/>
      <c r="S175" s="1515"/>
      <c r="T175" s="1515"/>
      <c r="U175" s="1515"/>
      <c r="V175" s="1515"/>
      <c r="W175" s="1515"/>
      <c r="X175" s="1515"/>
      <c r="Y175" s="1515"/>
      <c r="Z175" s="1515"/>
      <c r="AA175" s="1515"/>
      <c r="AB175" s="1515"/>
      <c r="AC175" s="1515"/>
      <c r="AD175" s="1515">
        <v>0.5</v>
      </c>
      <c r="AE175" s="1515">
        <v>0.5</v>
      </c>
      <c r="AF175" s="1515"/>
      <c r="AG175" s="1515">
        <f t="shared" si="29"/>
        <v>1</v>
      </c>
    </row>
    <row r="176" spans="1:33" s="1604" customFormat="1" ht="10.5" outlineLevel="1" x14ac:dyDescent="0.25">
      <c r="A176" s="1683" t="s">
        <v>130</v>
      </c>
      <c r="B176" s="1600">
        <v>18.23</v>
      </c>
      <c r="C176" s="1543" t="s">
        <v>1042</v>
      </c>
      <c r="D176" s="1601" t="s">
        <v>111</v>
      </c>
      <c r="E176" s="1602">
        <v>349</v>
      </c>
      <c r="F176" s="1602"/>
      <c r="G176" s="1602"/>
      <c r="H176" s="1602"/>
      <c r="I176" s="1602"/>
      <c r="J176" s="1602"/>
      <c r="K176" s="1519">
        <v>9276</v>
      </c>
      <c r="L176" s="1519">
        <f t="shared" si="28"/>
        <v>3237324</v>
      </c>
      <c r="M176" s="1477"/>
      <c r="N176" s="1505"/>
      <c r="O176" s="1471"/>
      <c r="P176" s="1515"/>
      <c r="Q176" s="1515"/>
      <c r="R176" s="1515"/>
      <c r="S176" s="1515"/>
      <c r="T176" s="1515"/>
      <c r="U176" s="1515"/>
      <c r="V176" s="1515"/>
      <c r="W176" s="1515"/>
      <c r="X176" s="1515"/>
      <c r="Y176" s="1515"/>
      <c r="Z176" s="1515"/>
      <c r="AA176" s="1515"/>
      <c r="AB176" s="1515"/>
      <c r="AC176" s="1515"/>
      <c r="AD176" s="1515">
        <v>0.5</v>
      </c>
      <c r="AE176" s="1515">
        <v>0.5</v>
      </c>
      <c r="AF176" s="1515"/>
      <c r="AG176" s="1515">
        <f t="shared" si="29"/>
        <v>1</v>
      </c>
    </row>
    <row r="177" spans="1:33" s="1604" customFormat="1" ht="10.5" outlineLevel="1" x14ac:dyDescent="0.25">
      <c r="A177" s="1688" t="s">
        <v>130</v>
      </c>
      <c r="B177" s="1603">
        <v>18.239999999999998</v>
      </c>
      <c r="C177" s="1543" t="s">
        <v>1043</v>
      </c>
      <c r="D177" s="1601" t="s">
        <v>111</v>
      </c>
      <c r="E177" s="1602">
        <v>27</v>
      </c>
      <c r="F177" s="1602"/>
      <c r="G177" s="1602"/>
      <c r="H177" s="1602"/>
      <c r="I177" s="1602"/>
      <c r="J177" s="1602"/>
      <c r="K177" s="1519">
        <v>22326</v>
      </c>
      <c r="L177" s="1519">
        <f t="shared" si="28"/>
        <v>602802</v>
      </c>
      <c r="M177" s="1477"/>
      <c r="N177" s="1505"/>
      <c r="O177" s="1471"/>
      <c r="P177" s="1515"/>
      <c r="Q177" s="1515"/>
      <c r="R177" s="1515"/>
      <c r="S177" s="1515"/>
      <c r="T177" s="1515"/>
      <c r="U177" s="1515"/>
      <c r="V177" s="1515"/>
      <c r="W177" s="1515"/>
      <c r="X177" s="1515"/>
      <c r="Y177" s="1515"/>
      <c r="Z177" s="1515"/>
      <c r="AA177" s="1515"/>
      <c r="AB177" s="1515"/>
      <c r="AC177" s="1515"/>
      <c r="AD177" s="1515">
        <v>0.5</v>
      </c>
      <c r="AE177" s="1515">
        <v>0.5</v>
      </c>
      <c r="AF177" s="1515"/>
      <c r="AG177" s="1515">
        <f t="shared" si="29"/>
        <v>1</v>
      </c>
    </row>
    <row r="178" spans="1:33" s="1604" customFormat="1" ht="10.5" outlineLevel="1" x14ac:dyDescent="0.25">
      <c r="A178" s="1683" t="s">
        <v>130</v>
      </c>
      <c r="B178" s="1600">
        <v>18.25</v>
      </c>
      <c r="C178" s="1543" t="s">
        <v>1044</v>
      </c>
      <c r="D178" s="1601" t="s">
        <v>111</v>
      </c>
      <c r="E178" s="1602">
        <v>16</v>
      </c>
      <c r="F178" s="1602"/>
      <c r="G178" s="1602"/>
      <c r="H178" s="1602"/>
      <c r="I178" s="1602"/>
      <c r="J178" s="1602"/>
      <c r="K178" s="1519">
        <v>14235</v>
      </c>
      <c r="L178" s="1519">
        <f t="shared" si="28"/>
        <v>227760</v>
      </c>
      <c r="M178" s="1477"/>
      <c r="N178" s="1505"/>
      <c r="O178" s="1471"/>
      <c r="P178" s="1515"/>
      <c r="Q178" s="1515"/>
      <c r="R178" s="1515"/>
      <c r="S178" s="1515"/>
      <c r="T178" s="1515"/>
      <c r="U178" s="1515"/>
      <c r="V178" s="1515"/>
      <c r="W178" s="1515"/>
      <c r="X178" s="1515"/>
      <c r="Y178" s="1515"/>
      <c r="Z178" s="1515"/>
      <c r="AA178" s="1515"/>
      <c r="AB178" s="1515"/>
      <c r="AC178" s="1515"/>
      <c r="AD178" s="1515">
        <v>0.5</v>
      </c>
      <c r="AE178" s="1515">
        <v>0.5</v>
      </c>
      <c r="AF178" s="1515"/>
      <c r="AG178" s="1515">
        <f t="shared" si="29"/>
        <v>1</v>
      </c>
    </row>
    <row r="179" spans="1:33" s="1604" customFormat="1" ht="10.5" outlineLevel="1" x14ac:dyDescent="0.25">
      <c r="A179" s="1688" t="s">
        <v>130</v>
      </c>
      <c r="B179" s="1603">
        <v>18.260000000000002</v>
      </c>
      <c r="C179" s="1543" t="s">
        <v>1045</v>
      </c>
      <c r="D179" s="1601" t="s">
        <v>111</v>
      </c>
      <c r="E179" s="1602">
        <v>137</v>
      </c>
      <c r="F179" s="1602"/>
      <c r="G179" s="1602"/>
      <c r="H179" s="1602"/>
      <c r="I179" s="1602"/>
      <c r="J179" s="1602"/>
      <c r="K179" s="1519">
        <v>14235</v>
      </c>
      <c r="L179" s="1519">
        <f t="shared" si="28"/>
        <v>1950195</v>
      </c>
      <c r="M179" s="1477"/>
      <c r="N179" s="1505"/>
      <c r="O179" s="1471"/>
      <c r="P179" s="1605"/>
      <c r="Q179" s="1605"/>
      <c r="R179" s="1605"/>
      <c r="S179" s="1605"/>
      <c r="T179" s="1605"/>
      <c r="U179" s="1605"/>
      <c r="V179" s="1605"/>
      <c r="W179" s="1605"/>
      <c r="X179" s="1605"/>
      <c r="Y179" s="1605"/>
      <c r="Z179" s="1605"/>
      <c r="AA179" s="1605"/>
      <c r="AB179" s="1515"/>
      <c r="AC179" s="1515"/>
      <c r="AD179" s="1515">
        <v>0.5</v>
      </c>
      <c r="AE179" s="1515">
        <v>0.5</v>
      </c>
      <c r="AF179" s="1605"/>
      <c r="AG179" s="1605">
        <f t="shared" si="29"/>
        <v>1</v>
      </c>
    </row>
    <row r="180" spans="1:33" s="1604" customFormat="1" ht="10.5" outlineLevel="1" x14ac:dyDescent="0.25">
      <c r="A180" s="1683" t="s">
        <v>130</v>
      </c>
      <c r="B180" s="1600">
        <v>18.27</v>
      </c>
      <c r="C180" s="1543" t="s">
        <v>1046</v>
      </c>
      <c r="D180" s="1601" t="s">
        <v>111</v>
      </c>
      <c r="E180" s="1602">
        <v>1</v>
      </c>
      <c r="F180" s="1602"/>
      <c r="G180" s="1602"/>
      <c r="H180" s="1602"/>
      <c r="I180" s="1602"/>
      <c r="J180" s="1602"/>
      <c r="K180" s="1519">
        <v>14235</v>
      </c>
      <c r="L180" s="1519">
        <f t="shared" si="28"/>
        <v>14235</v>
      </c>
      <c r="M180" s="1477"/>
      <c r="N180" s="1505"/>
      <c r="O180" s="1471"/>
      <c r="P180" s="1515"/>
      <c r="Q180" s="1515"/>
      <c r="R180" s="1515"/>
      <c r="S180" s="1515"/>
      <c r="T180" s="1515"/>
      <c r="U180" s="1515"/>
      <c r="V180" s="1515"/>
      <c r="W180" s="1515"/>
      <c r="X180" s="1515"/>
      <c r="Y180" s="1515"/>
      <c r="Z180" s="1515"/>
      <c r="AA180" s="1515"/>
      <c r="AB180" s="1515"/>
      <c r="AC180" s="1515"/>
      <c r="AD180" s="1515">
        <v>0.5</v>
      </c>
      <c r="AE180" s="1515">
        <v>0.5</v>
      </c>
      <c r="AF180" s="1515"/>
      <c r="AG180" s="1515">
        <f t="shared" si="29"/>
        <v>1</v>
      </c>
    </row>
    <row r="181" spans="1:33" s="1604" customFormat="1" ht="10.5" outlineLevel="1" x14ac:dyDescent="0.25">
      <c r="A181" s="1688" t="s">
        <v>130</v>
      </c>
      <c r="B181" s="1603">
        <v>18.28</v>
      </c>
      <c r="C181" s="1543" t="s">
        <v>366</v>
      </c>
      <c r="D181" s="1601" t="s">
        <v>107</v>
      </c>
      <c r="E181" s="1602">
        <v>1</v>
      </c>
      <c r="F181" s="1602"/>
      <c r="G181" s="1602"/>
      <c r="H181" s="1602"/>
      <c r="I181" s="1602"/>
      <c r="J181" s="1602"/>
      <c r="K181" s="1519">
        <v>9332982</v>
      </c>
      <c r="L181" s="1519">
        <f t="shared" si="28"/>
        <v>9332982</v>
      </c>
      <c r="M181" s="1477"/>
      <c r="N181" s="1505"/>
      <c r="O181" s="1471"/>
      <c r="P181" s="1515"/>
      <c r="Q181" s="1515"/>
      <c r="R181" s="1515"/>
      <c r="S181" s="1515"/>
      <c r="T181" s="1515"/>
      <c r="U181" s="1515"/>
      <c r="V181" s="1515"/>
      <c r="W181" s="1515"/>
      <c r="X181" s="1515"/>
      <c r="Y181" s="1515"/>
      <c r="Z181" s="1515"/>
      <c r="AA181" s="1515"/>
      <c r="AB181" s="1515"/>
      <c r="AC181" s="1515"/>
      <c r="AD181" s="1515">
        <v>0.5</v>
      </c>
      <c r="AE181" s="1515">
        <v>0.5</v>
      </c>
      <c r="AF181" s="1515"/>
      <c r="AG181" s="1515">
        <f t="shared" si="29"/>
        <v>1</v>
      </c>
    </row>
    <row r="182" spans="1:33" ht="10.5" outlineLevel="1" x14ac:dyDescent="0.25">
      <c r="A182" s="1683" t="s">
        <v>130</v>
      </c>
      <c r="B182" s="1600">
        <v>18.29</v>
      </c>
      <c r="C182" s="1543" t="s">
        <v>367</v>
      </c>
      <c r="D182" s="1601" t="s">
        <v>107</v>
      </c>
      <c r="E182" s="1602">
        <v>1</v>
      </c>
      <c r="F182" s="1602"/>
      <c r="G182" s="1602"/>
      <c r="H182" s="1602"/>
      <c r="I182" s="1602"/>
      <c r="J182" s="1602"/>
      <c r="K182" s="1519">
        <v>1998778</v>
      </c>
      <c r="L182" s="1519">
        <f t="shared" si="28"/>
        <v>1998778</v>
      </c>
      <c r="N182" s="1505"/>
      <c r="P182" s="1515"/>
      <c r="Q182" s="1515"/>
      <c r="R182" s="1515"/>
      <c r="S182" s="1515"/>
      <c r="T182" s="1515"/>
      <c r="U182" s="1515"/>
      <c r="V182" s="1515"/>
      <c r="W182" s="1515"/>
      <c r="X182" s="1515"/>
      <c r="Y182" s="1515"/>
      <c r="Z182" s="1515"/>
      <c r="AA182" s="1515"/>
      <c r="AB182" s="1515"/>
      <c r="AC182" s="1515"/>
      <c r="AD182" s="1515">
        <v>0.5</v>
      </c>
      <c r="AE182" s="1515">
        <v>0.5</v>
      </c>
      <c r="AF182" s="1515"/>
      <c r="AG182" s="1515">
        <f t="shared" si="29"/>
        <v>1</v>
      </c>
    </row>
    <row r="183" spans="1:33" ht="10.5" outlineLevel="1" x14ac:dyDescent="0.25">
      <c r="A183" s="1683" t="s">
        <v>130</v>
      </c>
      <c r="B183" s="1600">
        <v>18.3</v>
      </c>
      <c r="C183" s="1669" t="s">
        <v>368</v>
      </c>
      <c r="D183" s="1606" t="s">
        <v>107</v>
      </c>
      <c r="E183" s="1607">
        <v>1</v>
      </c>
      <c r="F183" s="1703"/>
      <c r="G183" s="1703"/>
      <c r="H183" s="1703"/>
      <c r="I183" s="1703"/>
      <c r="J183" s="1703"/>
      <c r="K183" s="1519">
        <v>125849</v>
      </c>
      <c r="L183" s="1519">
        <f t="shared" si="28"/>
        <v>125849</v>
      </c>
      <c r="N183" s="1505"/>
      <c r="P183" s="1515"/>
      <c r="Q183" s="1515"/>
      <c r="R183" s="1515"/>
      <c r="S183" s="1515"/>
      <c r="T183" s="1515"/>
      <c r="U183" s="1515"/>
      <c r="V183" s="1515"/>
      <c r="W183" s="1515"/>
      <c r="X183" s="1515"/>
      <c r="Y183" s="1515"/>
      <c r="Z183" s="1515"/>
      <c r="AA183" s="1515"/>
      <c r="AB183" s="1515">
        <v>0.5</v>
      </c>
      <c r="AC183" s="1515"/>
      <c r="AD183" s="1515">
        <v>0.5</v>
      </c>
      <c r="AE183" s="1515"/>
      <c r="AF183" s="1515"/>
      <c r="AG183" s="1515">
        <f t="shared" si="29"/>
        <v>1</v>
      </c>
    </row>
    <row r="184" spans="1:33" ht="10.5" x14ac:dyDescent="0.25">
      <c r="A184" s="1681"/>
      <c r="B184" s="1500">
        <v>19</v>
      </c>
      <c r="C184" s="1590" t="s">
        <v>210</v>
      </c>
      <c r="D184" s="1501"/>
      <c r="E184" s="1502"/>
      <c r="F184" s="1502"/>
      <c r="G184" s="1502"/>
      <c r="H184" s="1502"/>
      <c r="I184" s="1502"/>
      <c r="J184" s="1502"/>
      <c r="K184" s="1608"/>
      <c r="L184" s="1608"/>
      <c r="M184" s="1610"/>
      <c r="P184" s="1506"/>
      <c r="Q184" s="1506"/>
      <c r="R184" s="1506"/>
      <c r="S184" s="1506"/>
      <c r="T184" s="1506"/>
      <c r="U184" s="1507"/>
      <c r="V184" s="1507"/>
      <c r="W184" s="1507"/>
      <c r="X184" s="1507"/>
      <c r="Y184" s="1507"/>
      <c r="Z184" s="1507"/>
      <c r="AA184" s="1507"/>
      <c r="AB184" s="1507"/>
      <c r="AC184" s="1507"/>
      <c r="AD184" s="1507"/>
      <c r="AE184" s="1507"/>
      <c r="AF184" s="1507"/>
      <c r="AG184" s="1507"/>
    </row>
    <row r="185" spans="1:33" ht="10.5" outlineLevel="1" x14ac:dyDescent="0.25">
      <c r="A185" s="1681"/>
      <c r="B185" s="1500"/>
      <c r="C185" s="1590" t="s">
        <v>369</v>
      </c>
      <c r="D185" s="1501"/>
      <c r="E185" s="1502"/>
      <c r="F185" s="1502"/>
      <c r="G185" s="1502"/>
      <c r="H185" s="1502"/>
      <c r="I185" s="1502"/>
      <c r="J185" s="1502"/>
      <c r="K185" s="1502"/>
      <c r="L185" s="1502"/>
      <c r="M185" s="1504">
        <f>SUM(L186:L189)</f>
        <v>21161055</v>
      </c>
      <c r="N185" s="895">
        <f>M185-'01'!W164</f>
        <v>0</v>
      </c>
      <c r="P185" s="1506"/>
      <c r="Q185" s="1506"/>
      <c r="R185" s="1506"/>
      <c r="S185" s="1506"/>
      <c r="T185" s="1506"/>
      <c r="U185" s="1507"/>
      <c r="V185" s="1507"/>
      <c r="W185" s="1507"/>
      <c r="X185" s="1507"/>
      <c r="Y185" s="1507"/>
      <c r="Z185" s="1507"/>
      <c r="AA185" s="1507"/>
      <c r="AB185" s="1507"/>
      <c r="AC185" s="1507"/>
      <c r="AD185" s="1507"/>
      <c r="AE185" s="1507"/>
      <c r="AF185" s="1507"/>
      <c r="AG185" s="1507"/>
    </row>
    <row r="186" spans="1:33" ht="10.5" outlineLevel="1" x14ac:dyDescent="0.25">
      <c r="A186" s="1682" t="s">
        <v>131</v>
      </c>
      <c r="B186" s="1510">
        <v>19.010000000000002</v>
      </c>
      <c r="C186" s="1670" t="s">
        <v>370</v>
      </c>
      <c r="D186" s="1611" t="s">
        <v>107</v>
      </c>
      <c r="E186" s="1612">
        <v>1</v>
      </c>
      <c r="F186" s="1704"/>
      <c r="G186" s="1704"/>
      <c r="H186" s="1704"/>
      <c r="I186" s="1704"/>
      <c r="J186" s="1704"/>
      <c r="K186" s="1531">
        <v>7236758</v>
      </c>
      <c r="L186" s="1531">
        <f>+K186*E186</f>
        <v>7236758</v>
      </c>
      <c r="N186" s="1505"/>
      <c r="P186" s="1515"/>
      <c r="Q186" s="1515"/>
      <c r="R186" s="1515"/>
      <c r="S186" s="1515"/>
      <c r="T186" s="1515"/>
      <c r="U186" s="1515"/>
      <c r="V186" s="1515"/>
      <c r="W186" s="1515"/>
      <c r="X186" s="1515">
        <v>0.25</v>
      </c>
      <c r="Y186" s="1515">
        <v>0.25</v>
      </c>
      <c r="Z186" s="1515">
        <v>0.25</v>
      </c>
      <c r="AA186" s="1515">
        <v>0.25</v>
      </c>
      <c r="AB186" s="1515"/>
      <c r="AC186" s="1515"/>
      <c r="AD186" s="1515"/>
      <c r="AE186" s="1515"/>
      <c r="AF186" s="1515"/>
      <c r="AG186" s="1515">
        <f t="shared" ref="AG186:AG189" si="30">SUM(Q186:AF186)</f>
        <v>1</v>
      </c>
    </row>
    <row r="187" spans="1:33" ht="10.5" outlineLevel="1" x14ac:dyDescent="0.25">
      <c r="A187" s="1683" t="s">
        <v>131</v>
      </c>
      <c r="B187" s="1516">
        <v>19.02</v>
      </c>
      <c r="C187" s="1661" t="s">
        <v>371</v>
      </c>
      <c r="D187" s="1520" t="s">
        <v>107</v>
      </c>
      <c r="E187" s="1521">
        <v>1</v>
      </c>
      <c r="F187" s="1704"/>
      <c r="G187" s="1704"/>
      <c r="H187" s="1704"/>
      <c r="I187" s="1704"/>
      <c r="J187" s="1704"/>
      <c r="K187" s="1531">
        <v>1001516</v>
      </c>
      <c r="L187" s="1531">
        <f>+K187*E187</f>
        <v>1001516</v>
      </c>
      <c r="N187" s="1505"/>
      <c r="P187" s="1515"/>
      <c r="Q187" s="1515"/>
      <c r="R187" s="1515"/>
      <c r="S187" s="1515"/>
      <c r="T187" s="1515"/>
      <c r="U187" s="1515"/>
      <c r="V187" s="1515"/>
      <c r="W187" s="1515"/>
      <c r="X187" s="1515">
        <v>0.25</v>
      </c>
      <c r="Y187" s="1515">
        <v>0.25</v>
      </c>
      <c r="Z187" s="1515">
        <v>0.25</v>
      </c>
      <c r="AA187" s="1515">
        <v>0.25</v>
      </c>
      <c r="AB187" s="1515"/>
      <c r="AC187" s="1515"/>
      <c r="AD187" s="1515"/>
      <c r="AE187" s="1515"/>
      <c r="AF187" s="1515"/>
      <c r="AG187" s="1515">
        <f t="shared" si="30"/>
        <v>1</v>
      </c>
    </row>
    <row r="188" spans="1:33" ht="10.5" outlineLevel="1" x14ac:dyDescent="0.25">
      <c r="A188" s="1683" t="s">
        <v>131</v>
      </c>
      <c r="B188" s="1516">
        <v>19.03</v>
      </c>
      <c r="C188" s="1661" t="s">
        <v>372</v>
      </c>
      <c r="D188" s="1520" t="s">
        <v>107</v>
      </c>
      <c r="E188" s="1521">
        <v>1</v>
      </c>
      <c r="F188" s="1521"/>
      <c r="G188" s="1521"/>
      <c r="H188" s="1521"/>
      <c r="I188" s="1521"/>
      <c r="J188" s="1521"/>
      <c r="K188" s="1519">
        <v>8787491</v>
      </c>
      <c r="L188" s="1519">
        <f>+K188*E188</f>
        <v>8787491</v>
      </c>
      <c r="N188" s="1505"/>
      <c r="P188" s="1515"/>
      <c r="Q188" s="1515"/>
      <c r="R188" s="1515"/>
      <c r="S188" s="1515"/>
      <c r="T188" s="1515"/>
      <c r="U188" s="1515"/>
      <c r="V188" s="1515"/>
      <c r="W188" s="1515"/>
      <c r="X188" s="1515">
        <v>0.25</v>
      </c>
      <c r="Y188" s="1515">
        <v>0.25</v>
      </c>
      <c r="Z188" s="1515">
        <v>0.25</v>
      </c>
      <c r="AA188" s="1515">
        <v>0.25</v>
      </c>
      <c r="AB188" s="1515"/>
      <c r="AC188" s="1515"/>
      <c r="AD188" s="1515"/>
      <c r="AE188" s="1515"/>
      <c r="AF188" s="1515"/>
      <c r="AG188" s="1515">
        <f t="shared" si="30"/>
        <v>1</v>
      </c>
    </row>
    <row r="189" spans="1:33" ht="10.5" outlineLevel="1" x14ac:dyDescent="0.25">
      <c r="A189" s="1684" t="s">
        <v>131</v>
      </c>
      <c r="B189" s="1522">
        <v>19.04</v>
      </c>
      <c r="C189" s="1671" t="s">
        <v>373</v>
      </c>
      <c r="D189" s="1581" t="s">
        <v>107</v>
      </c>
      <c r="E189" s="1582">
        <v>1</v>
      </c>
      <c r="F189" s="1700"/>
      <c r="G189" s="1700"/>
      <c r="H189" s="1700"/>
      <c r="I189" s="1700"/>
      <c r="J189" s="1700"/>
      <c r="K189" s="1519">
        <v>4135290</v>
      </c>
      <c r="L189" s="1519">
        <f>+K189*E189</f>
        <v>4135290</v>
      </c>
      <c r="N189" s="1505"/>
      <c r="P189" s="1515"/>
      <c r="Q189" s="1515"/>
      <c r="R189" s="1515"/>
      <c r="S189" s="1515"/>
      <c r="T189" s="1515"/>
      <c r="U189" s="1515"/>
      <c r="V189" s="1515"/>
      <c r="W189" s="1515"/>
      <c r="X189" s="1515">
        <v>0.25</v>
      </c>
      <c r="Y189" s="1515">
        <v>0.25</v>
      </c>
      <c r="Z189" s="1515">
        <v>0.25</v>
      </c>
      <c r="AA189" s="1515">
        <v>0.25</v>
      </c>
      <c r="AB189" s="1515"/>
      <c r="AC189" s="1515"/>
      <c r="AD189" s="1515"/>
      <c r="AE189" s="1515"/>
      <c r="AF189" s="1515"/>
      <c r="AG189" s="1515">
        <f t="shared" si="30"/>
        <v>1</v>
      </c>
    </row>
    <row r="190" spans="1:33" ht="10.5" outlineLevel="1" x14ac:dyDescent="0.25">
      <c r="A190" s="1689"/>
      <c r="B190" s="1613"/>
      <c r="C190" s="1672" t="s">
        <v>374</v>
      </c>
      <c r="D190" s="1488"/>
      <c r="E190" s="1489"/>
      <c r="F190" s="1489"/>
      <c r="G190" s="1489"/>
      <c r="H190" s="1489"/>
      <c r="I190" s="1489"/>
      <c r="J190" s="1489"/>
      <c r="K190" s="1502"/>
      <c r="L190" s="1502"/>
      <c r="M190" s="1504">
        <f>SUM(L191:L193)</f>
        <v>6551951</v>
      </c>
      <c r="N190" s="895">
        <f>M190-'01'!W169</f>
        <v>0</v>
      </c>
      <c r="P190" s="1506"/>
      <c r="Q190" s="1506"/>
      <c r="R190" s="1506"/>
      <c r="S190" s="1506"/>
      <c r="T190" s="1506"/>
      <c r="U190" s="1507"/>
      <c r="V190" s="1507"/>
      <c r="W190" s="1507"/>
      <c r="X190" s="1507"/>
      <c r="Y190" s="1507"/>
      <c r="Z190" s="1507"/>
      <c r="AA190" s="1507"/>
      <c r="AB190" s="1507"/>
      <c r="AC190" s="1507"/>
      <c r="AD190" s="1507"/>
      <c r="AE190" s="1507"/>
      <c r="AF190" s="1507"/>
      <c r="AG190" s="1507"/>
    </row>
    <row r="191" spans="1:33" ht="10.5" outlineLevel="1" x14ac:dyDescent="0.25">
      <c r="A191" s="1682" t="s">
        <v>131</v>
      </c>
      <c r="B191" s="1510">
        <v>19.05</v>
      </c>
      <c r="C191" s="1670" t="s">
        <v>375</v>
      </c>
      <c r="D191" s="1611" t="s">
        <v>107</v>
      </c>
      <c r="E191" s="1612">
        <v>1</v>
      </c>
      <c r="F191" s="1704"/>
      <c r="G191" s="1704"/>
      <c r="H191" s="1704"/>
      <c r="I191" s="1704"/>
      <c r="J191" s="1704"/>
      <c r="K191" s="1519">
        <v>2675380</v>
      </c>
      <c r="L191" s="1519">
        <f>+K191*E191</f>
        <v>2675380</v>
      </c>
      <c r="N191" s="1505"/>
      <c r="P191" s="1515"/>
      <c r="Q191" s="1515"/>
      <c r="R191" s="1515"/>
      <c r="S191" s="1515"/>
      <c r="T191" s="1515"/>
      <c r="U191" s="1515"/>
      <c r="V191" s="1515"/>
      <c r="W191" s="1515"/>
      <c r="X191" s="1515">
        <v>0.25</v>
      </c>
      <c r="Y191" s="1515">
        <v>0.25</v>
      </c>
      <c r="Z191" s="1515">
        <v>0.25</v>
      </c>
      <c r="AA191" s="1515">
        <v>0.25</v>
      </c>
      <c r="AB191" s="1515"/>
      <c r="AC191" s="1515"/>
      <c r="AD191" s="1515"/>
      <c r="AE191" s="1515"/>
      <c r="AF191" s="1515"/>
      <c r="AG191" s="1515">
        <f t="shared" ref="AG191:AG206" si="31">SUM(Q191:AF191)</f>
        <v>1</v>
      </c>
    </row>
    <row r="192" spans="1:33" ht="10.5" outlineLevel="1" x14ac:dyDescent="0.25">
      <c r="A192" s="1683" t="s">
        <v>131</v>
      </c>
      <c r="B192" s="1516">
        <v>19.059999999999999</v>
      </c>
      <c r="C192" s="1661" t="s">
        <v>376</v>
      </c>
      <c r="D192" s="1520" t="s">
        <v>107</v>
      </c>
      <c r="E192" s="1521">
        <v>1</v>
      </c>
      <c r="F192" s="1521"/>
      <c r="G192" s="1521"/>
      <c r="H192" s="1521"/>
      <c r="I192" s="1521"/>
      <c r="J192" s="1521"/>
      <c r="K192" s="1519">
        <v>3057577</v>
      </c>
      <c r="L192" s="1519">
        <f>+K192*E192</f>
        <v>3057577</v>
      </c>
      <c r="N192" s="1505"/>
      <c r="P192" s="1515"/>
      <c r="Q192" s="1515"/>
      <c r="R192" s="1515"/>
      <c r="S192" s="1515"/>
      <c r="T192" s="1515"/>
      <c r="U192" s="1515"/>
      <c r="V192" s="1515"/>
      <c r="W192" s="1515"/>
      <c r="X192" s="1515">
        <v>0.25</v>
      </c>
      <c r="Y192" s="1515">
        <v>0.25</v>
      </c>
      <c r="Z192" s="1515">
        <v>0.25</v>
      </c>
      <c r="AA192" s="1515">
        <v>0.25</v>
      </c>
      <c r="AB192" s="1515"/>
      <c r="AC192" s="1515"/>
      <c r="AD192" s="1515"/>
      <c r="AE192" s="1515"/>
      <c r="AF192" s="1515"/>
      <c r="AG192" s="1515">
        <f t="shared" si="31"/>
        <v>1</v>
      </c>
    </row>
    <row r="193" spans="1:33" ht="10.5" outlineLevel="1" x14ac:dyDescent="0.25">
      <c r="A193" s="1684" t="s">
        <v>131</v>
      </c>
      <c r="B193" s="1522">
        <v>19.07</v>
      </c>
      <c r="C193" s="1671" t="s">
        <v>377</v>
      </c>
      <c r="D193" s="1581" t="s">
        <v>107</v>
      </c>
      <c r="E193" s="1582">
        <v>1</v>
      </c>
      <c r="F193" s="1700"/>
      <c r="G193" s="1700"/>
      <c r="H193" s="1700"/>
      <c r="I193" s="1700"/>
      <c r="J193" s="1700"/>
      <c r="K193" s="1519">
        <v>818994</v>
      </c>
      <c r="L193" s="1519">
        <f>+K193*E193</f>
        <v>818994</v>
      </c>
      <c r="N193" s="1505"/>
      <c r="P193" s="1515"/>
      <c r="Q193" s="1515"/>
      <c r="R193" s="1515"/>
      <c r="S193" s="1515"/>
      <c r="T193" s="1515"/>
      <c r="U193" s="1515"/>
      <c r="V193" s="1515"/>
      <c r="W193" s="1515"/>
      <c r="X193" s="1515">
        <v>0.25</v>
      </c>
      <c r="Y193" s="1515">
        <v>0.25</v>
      </c>
      <c r="Z193" s="1515">
        <v>0.25</v>
      </c>
      <c r="AA193" s="1515">
        <v>0.25</v>
      </c>
      <c r="AB193" s="1515"/>
      <c r="AC193" s="1515"/>
      <c r="AD193" s="1515"/>
      <c r="AE193" s="1515"/>
      <c r="AF193" s="1515"/>
      <c r="AG193" s="1515">
        <f t="shared" si="31"/>
        <v>1</v>
      </c>
    </row>
    <row r="194" spans="1:33" ht="10.5" outlineLevel="1" x14ac:dyDescent="0.25">
      <c r="A194" s="1681"/>
      <c r="B194" s="1500"/>
      <c r="C194" s="1590" t="s">
        <v>378</v>
      </c>
      <c r="D194" s="1501"/>
      <c r="E194" s="1502"/>
      <c r="F194" s="1502"/>
      <c r="G194" s="1502"/>
      <c r="H194" s="1502"/>
      <c r="I194" s="1502"/>
      <c r="J194" s="1502"/>
      <c r="K194" s="1502"/>
      <c r="L194" s="1502"/>
      <c r="M194" s="1504">
        <f>SUM(L195:L199)</f>
        <v>37004103</v>
      </c>
      <c r="N194" s="895">
        <f>M194-'01'!W173</f>
        <v>0</v>
      </c>
      <c r="P194" s="1506"/>
      <c r="Q194" s="1506"/>
      <c r="R194" s="1506"/>
      <c r="S194" s="1506"/>
      <c r="T194" s="1506"/>
      <c r="U194" s="1507"/>
      <c r="V194" s="1507"/>
      <c r="W194" s="1507"/>
      <c r="X194" s="1507"/>
      <c r="Y194" s="1507"/>
      <c r="Z194" s="1507"/>
      <c r="AA194" s="1507"/>
      <c r="AB194" s="1507"/>
      <c r="AC194" s="1507"/>
      <c r="AD194" s="1507"/>
      <c r="AE194" s="1507"/>
      <c r="AF194" s="1507"/>
      <c r="AG194" s="1507"/>
    </row>
    <row r="195" spans="1:33" ht="21" outlineLevel="1" x14ac:dyDescent="0.25">
      <c r="A195" s="1690" t="s">
        <v>131</v>
      </c>
      <c r="B195" s="1614">
        <v>19.079999999999998</v>
      </c>
      <c r="C195" s="1673" t="s">
        <v>379</v>
      </c>
      <c r="D195" s="1611" t="s">
        <v>107</v>
      </c>
      <c r="E195" s="1612">
        <v>1</v>
      </c>
      <c r="F195" s="1612"/>
      <c r="G195" s="1612"/>
      <c r="H195" s="1612"/>
      <c r="I195" s="1612"/>
      <c r="J195" s="1612"/>
      <c r="K195" s="1513">
        <v>3750416</v>
      </c>
      <c r="L195" s="1513">
        <f>+K195*E195</f>
        <v>3750416</v>
      </c>
      <c r="N195" s="1505"/>
      <c r="P195" s="1515"/>
      <c r="Q195" s="1515"/>
      <c r="R195" s="1515"/>
      <c r="S195" s="1515"/>
      <c r="T195" s="1515"/>
      <c r="U195" s="1515"/>
      <c r="V195" s="1515"/>
      <c r="W195" s="1515"/>
      <c r="X195" s="1515"/>
      <c r="Y195" s="1515"/>
      <c r="Z195" s="1515">
        <v>0.3</v>
      </c>
      <c r="AA195" s="1515">
        <v>0.3</v>
      </c>
      <c r="AB195" s="1515">
        <v>0.4</v>
      </c>
      <c r="AC195" s="1515"/>
      <c r="AD195" s="1515"/>
      <c r="AE195" s="1515"/>
      <c r="AF195" s="1515"/>
      <c r="AG195" s="1515">
        <f t="shared" si="31"/>
        <v>1</v>
      </c>
    </row>
    <row r="196" spans="1:33" ht="21" outlineLevel="1" x14ac:dyDescent="0.25">
      <c r="A196" s="1688" t="s">
        <v>131</v>
      </c>
      <c r="B196" s="1572">
        <v>19.09</v>
      </c>
      <c r="C196" s="1615" t="s">
        <v>380</v>
      </c>
      <c r="D196" s="1520" t="s">
        <v>107</v>
      </c>
      <c r="E196" s="1521">
        <v>1</v>
      </c>
      <c r="F196" s="1521"/>
      <c r="G196" s="1521"/>
      <c r="H196" s="1521"/>
      <c r="I196" s="1521"/>
      <c r="J196" s="1521"/>
      <c r="K196" s="1519">
        <v>7500832</v>
      </c>
      <c r="L196" s="1519">
        <f>+K196*E196</f>
        <v>7500832</v>
      </c>
      <c r="N196" s="1505"/>
      <c r="P196" s="1515"/>
      <c r="Q196" s="1515"/>
      <c r="R196" s="1515"/>
      <c r="S196" s="1515"/>
      <c r="T196" s="1515"/>
      <c r="U196" s="1515"/>
      <c r="V196" s="1515"/>
      <c r="W196" s="1515"/>
      <c r="X196" s="1515"/>
      <c r="Y196" s="1515"/>
      <c r="Z196" s="1515">
        <v>0.3</v>
      </c>
      <c r="AA196" s="1515">
        <v>0.3</v>
      </c>
      <c r="AB196" s="1515">
        <v>0.4</v>
      </c>
      <c r="AC196" s="1515"/>
      <c r="AD196" s="1515"/>
      <c r="AE196" s="1515"/>
      <c r="AF196" s="1515"/>
      <c r="AG196" s="1515">
        <f t="shared" si="31"/>
        <v>1</v>
      </c>
    </row>
    <row r="197" spans="1:33" ht="21" outlineLevel="1" x14ac:dyDescent="0.25">
      <c r="A197" s="1688" t="s">
        <v>131</v>
      </c>
      <c r="B197" s="1572">
        <v>19.100000000000001</v>
      </c>
      <c r="C197" s="1615" t="s">
        <v>381</v>
      </c>
      <c r="D197" s="1520" t="s">
        <v>107</v>
      </c>
      <c r="E197" s="1521">
        <v>1</v>
      </c>
      <c r="F197" s="1521"/>
      <c r="G197" s="1521"/>
      <c r="H197" s="1521"/>
      <c r="I197" s="1521"/>
      <c r="J197" s="1521"/>
      <c r="K197" s="1519">
        <v>1750194</v>
      </c>
      <c r="L197" s="1519">
        <f>+K197*E197</f>
        <v>1750194</v>
      </c>
      <c r="N197" s="1505"/>
      <c r="P197" s="1515"/>
      <c r="Q197" s="1515"/>
      <c r="R197" s="1515"/>
      <c r="S197" s="1515"/>
      <c r="T197" s="1515"/>
      <c r="U197" s="1515"/>
      <c r="V197" s="1515"/>
      <c r="W197" s="1515"/>
      <c r="X197" s="1515"/>
      <c r="Y197" s="1515"/>
      <c r="Z197" s="1515">
        <v>0.3</v>
      </c>
      <c r="AA197" s="1515">
        <v>0.3</v>
      </c>
      <c r="AB197" s="1515">
        <v>0.4</v>
      </c>
      <c r="AC197" s="1515"/>
      <c r="AD197" s="1515"/>
      <c r="AE197" s="1515"/>
      <c r="AF197" s="1515"/>
      <c r="AG197" s="1515">
        <f t="shared" si="31"/>
        <v>1</v>
      </c>
    </row>
    <row r="198" spans="1:33" ht="21" outlineLevel="1" x14ac:dyDescent="0.25">
      <c r="A198" s="1688" t="s">
        <v>131</v>
      </c>
      <c r="B198" s="1572">
        <v>19.11</v>
      </c>
      <c r="C198" s="1615" t="s">
        <v>382</v>
      </c>
      <c r="D198" s="1520" t="s">
        <v>107</v>
      </c>
      <c r="E198" s="1521">
        <v>1</v>
      </c>
      <c r="F198" s="1521"/>
      <c r="G198" s="1521"/>
      <c r="H198" s="1521"/>
      <c r="I198" s="1521"/>
      <c r="J198" s="1521"/>
      <c r="K198" s="1519">
        <v>14001552</v>
      </c>
      <c r="L198" s="1519">
        <f>+K198*E198</f>
        <v>14001552</v>
      </c>
      <c r="N198" s="1505"/>
      <c r="P198" s="1515"/>
      <c r="Q198" s="1515"/>
      <c r="R198" s="1515"/>
      <c r="S198" s="1515"/>
      <c r="T198" s="1515"/>
      <c r="U198" s="1515"/>
      <c r="V198" s="1515"/>
      <c r="W198" s="1515"/>
      <c r="X198" s="1515"/>
      <c r="Y198" s="1515">
        <v>0.25</v>
      </c>
      <c r="Z198" s="1515">
        <v>0.25</v>
      </c>
      <c r="AA198" s="1515">
        <v>0.25</v>
      </c>
      <c r="AB198" s="1515">
        <v>0.25</v>
      </c>
      <c r="AC198" s="1515"/>
      <c r="AD198" s="1515"/>
      <c r="AE198" s="1515"/>
      <c r="AF198" s="1515"/>
      <c r="AG198" s="1515">
        <f t="shared" si="31"/>
        <v>1</v>
      </c>
    </row>
    <row r="199" spans="1:33" ht="21" outlineLevel="1" x14ac:dyDescent="0.25">
      <c r="A199" s="1688" t="s">
        <v>131</v>
      </c>
      <c r="B199" s="1572">
        <v>19.12</v>
      </c>
      <c r="C199" s="1674" t="s">
        <v>1047</v>
      </c>
      <c r="D199" s="1581" t="s">
        <v>107</v>
      </c>
      <c r="E199" s="1582">
        <v>1</v>
      </c>
      <c r="F199" s="1582"/>
      <c r="G199" s="1582"/>
      <c r="H199" s="1582"/>
      <c r="I199" s="1582"/>
      <c r="J199" s="1582"/>
      <c r="K199" s="1697">
        <v>10001109</v>
      </c>
      <c r="L199" s="1697">
        <f>+K199*E199</f>
        <v>10001109</v>
      </c>
      <c r="N199" s="1505"/>
      <c r="P199" s="1515"/>
      <c r="Q199" s="1515"/>
      <c r="R199" s="1515"/>
      <c r="S199" s="1515"/>
      <c r="T199" s="1515"/>
      <c r="U199" s="1515"/>
      <c r="V199" s="1515"/>
      <c r="W199" s="1515"/>
      <c r="X199" s="1515"/>
      <c r="Y199" s="1515"/>
      <c r="Z199" s="1515"/>
      <c r="AA199" s="1515"/>
      <c r="AB199" s="1515"/>
      <c r="AC199" s="1515"/>
      <c r="AD199" s="1515">
        <v>0.5</v>
      </c>
      <c r="AE199" s="1515">
        <v>0.5</v>
      </c>
      <c r="AF199" s="1515"/>
      <c r="AG199" s="1515">
        <f t="shared" si="31"/>
        <v>1</v>
      </c>
    </row>
    <row r="200" spans="1:33" ht="10.5" outlineLevel="1" x14ac:dyDescent="0.25">
      <c r="A200" s="1681"/>
      <c r="B200" s="1500"/>
      <c r="C200" s="1590" t="s">
        <v>383</v>
      </c>
      <c r="D200" s="1501"/>
      <c r="E200" s="1502"/>
      <c r="F200" s="1502"/>
      <c r="G200" s="1502"/>
      <c r="H200" s="1502"/>
      <c r="I200" s="1502"/>
      <c r="J200" s="1502"/>
      <c r="K200" s="1502"/>
      <c r="L200" s="1502"/>
      <c r="M200" s="1504">
        <f>SUM(L201)</f>
        <v>2047485</v>
      </c>
      <c r="N200" s="895">
        <f>M200-'01'!W179</f>
        <v>0</v>
      </c>
      <c r="P200" s="1506"/>
      <c r="Q200" s="1506"/>
      <c r="R200" s="1506"/>
      <c r="S200" s="1506"/>
      <c r="T200" s="1506"/>
      <c r="U200" s="1507"/>
      <c r="V200" s="1507"/>
      <c r="W200" s="1507"/>
      <c r="X200" s="1507"/>
      <c r="Y200" s="1507"/>
      <c r="Z200" s="1507"/>
      <c r="AA200" s="1507"/>
      <c r="AB200" s="1507"/>
      <c r="AC200" s="1507"/>
      <c r="AD200" s="1507"/>
      <c r="AE200" s="1507"/>
      <c r="AF200" s="1507"/>
      <c r="AG200" s="1507"/>
    </row>
    <row r="201" spans="1:33" ht="21" outlineLevel="1" x14ac:dyDescent="0.25">
      <c r="A201" s="1688" t="s">
        <v>131</v>
      </c>
      <c r="B201" s="1516">
        <v>19.13</v>
      </c>
      <c r="C201" s="1661" t="s">
        <v>1048</v>
      </c>
      <c r="D201" s="1520" t="s">
        <v>107</v>
      </c>
      <c r="E201" s="1521">
        <v>1</v>
      </c>
      <c r="F201" s="1521"/>
      <c r="G201" s="1521"/>
      <c r="H201" s="1521"/>
      <c r="I201" s="1521"/>
      <c r="J201" s="1521"/>
      <c r="K201" s="1519">
        <v>2047485</v>
      </c>
      <c r="L201" s="1519">
        <f>+K201*E201</f>
        <v>2047485</v>
      </c>
      <c r="N201" s="1505"/>
      <c r="P201" s="1515"/>
      <c r="Q201" s="1515"/>
      <c r="R201" s="1515"/>
      <c r="S201" s="1515"/>
      <c r="T201" s="1515"/>
      <c r="U201" s="1515"/>
      <c r="V201" s="1515"/>
      <c r="W201" s="1515"/>
      <c r="X201" s="1515"/>
      <c r="Y201" s="1515">
        <v>0.5</v>
      </c>
      <c r="Z201" s="1515">
        <v>0.5</v>
      </c>
      <c r="AA201" s="1515"/>
      <c r="AB201" s="1515"/>
      <c r="AC201" s="1515"/>
      <c r="AD201" s="1515"/>
      <c r="AE201" s="1515"/>
      <c r="AF201" s="1515"/>
      <c r="AG201" s="1515">
        <f t="shared" si="31"/>
        <v>1</v>
      </c>
    </row>
    <row r="202" spans="1:33" ht="10.5" outlineLevel="1" x14ac:dyDescent="0.25">
      <c r="A202" s="1681"/>
      <c r="B202" s="1500"/>
      <c r="C202" s="1590" t="s">
        <v>384</v>
      </c>
      <c r="D202" s="1501"/>
      <c r="E202" s="1502"/>
      <c r="F202" s="1502"/>
      <c r="G202" s="1502"/>
      <c r="H202" s="1502"/>
      <c r="I202" s="1502"/>
      <c r="J202" s="1502"/>
      <c r="K202" s="1502"/>
      <c r="L202" s="1502"/>
      <c r="M202" s="1504">
        <f>SUM(L203:L206)</f>
        <v>32512648</v>
      </c>
      <c r="N202" s="895">
        <f>M202-'01'!W181</f>
        <v>5481335</v>
      </c>
      <c r="P202" s="1506"/>
      <c r="Q202" s="1506"/>
      <c r="R202" s="1506"/>
      <c r="S202" s="1506"/>
      <c r="T202" s="1506"/>
      <c r="U202" s="1507"/>
      <c r="V202" s="1507"/>
      <c r="W202" s="1507"/>
      <c r="X202" s="1507"/>
      <c r="Y202" s="1507"/>
      <c r="Z202" s="1507"/>
      <c r="AA202" s="1507"/>
      <c r="AB202" s="1507"/>
      <c r="AC202" s="1507"/>
      <c r="AD202" s="1507"/>
      <c r="AE202" s="1507"/>
      <c r="AF202" s="1507"/>
      <c r="AG202" s="1507"/>
    </row>
    <row r="203" spans="1:33" ht="21" outlineLevel="1" x14ac:dyDescent="0.25">
      <c r="A203" s="1688" t="s">
        <v>131</v>
      </c>
      <c r="B203" s="1510">
        <v>19.14</v>
      </c>
      <c r="C203" s="1670" t="s">
        <v>385</v>
      </c>
      <c r="D203" s="1611" t="s">
        <v>107</v>
      </c>
      <c r="E203" s="1612">
        <v>1</v>
      </c>
      <c r="F203" s="1704"/>
      <c r="G203" s="1704"/>
      <c r="H203" s="1704"/>
      <c r="I203" s="1704"/>
      <c r="J203" s="1704"/>
      <c r="K203" s="1519">
        <v>15888634</v>
      </c>
      <c r="L203" s="1519">
        <f>+K203*E203</f>
        <v>15888634</v>
      </c>
      <c r="N203" s="1505"/>
      <c r="P203" s="1515"/>
      <c r="Q203" s="1515"/>
      <c r="R203" s="1515"/>
      <c r="S203" s="1515"/>
      <c r="T203" s="1515"/>
      <c r="U203" s="1515"/>
      <c r="V203" s="1515"/>
      <c r="W203" s="1515"/>
      <c r="X203" s="1515"/>
      <c r="Y203" s="1515">
        <v>0.25</v>
      </c>
      <c r="Z203" s="1515">
        <v>0.25</v>
      </c>
      <c r="AA203" s="1515">
        <v>0.25</v>
      </c>
      <c r="AB203" s="1515">
        <v>0.25</v>
      </c>
      <c r="AC203" s="1515"/>
      <c r="AD203" s="1515"/>
      <c r="AE203" s="1515"/>
      <c r="AF203" s="1515"/>
      <c r="AG203" s="1515">
        <f t="shared" si="31"/>
        <v>1</v>
      </c>
    </row>
    <row r="204" spans="1:33" ht="21" outlineLevel="1" x14ac:dyDescent="0.25">
      <c r="A204" s="1688" t="s">
        <v>131</v>
      </c>
      <c r="B204" s="1516">
        <v>19.149999999999999</v>
      </c>
      <c r="C204" s="1661" t="s">
        <v>1049</v>
      </c>
      <c r="D204" s="1520" t="s">
        <v>107</v>
      </c>
      <c r="E204" s="1521">
        <v>1</v>
      </c>
      <c r="F204" s="1521"/>
      <c r="G204" s="1521"/>
      <c r="H204" s="1521"/>
      <c r="I204" s="1521"/>
      <c r="J204" s="1521"/>
      <c r="K204" s="1519">
        <v>6190377</v>
      </c>
      <c r="L204" s="1519">
        <f>+K204*E204</f>
        <v>6190377</v>
      </c>
      <c r="N204" s="1505"/>
      <c r="P204" s="1515"/>
      <c r="Q204" s="1515"/>
      <c r="R204" s="1515"/>
      <c r="S204" s="1515"/>
      <c r="T204" s="1515"/>
      <c r="U204" s="1515"/>
      <c r="V204" s="1515"/>
      <c r="W204" s="1515"/>
      <c r="X204" s="1515"/>
      <c r="Y204" s="1515"/>
      <c r="Z204" s="1515"/>
      <c r="AA204" s="1515"/>
      <c r="AB204" s="1515"/>
      <c r="AC204" s="1515">
        <v>0.5</v>
      </c>
      <c r="AD204" s="1515">
        <v>0.5</v>
      </c>
      <c r="AE204" s="1515"/>
      <c r="AF204" s="1515"/>
      <c r="AG204" s="1515">
        <f t="shared" si="31"/>
        <v>1</v>
      </c>
    </row>
    <row r="205" spans="1:33" ht="21" outlineLevel="1" x14ac:dyDescent="0.25">
      <c r="A205" s="1688" t="s">
        <v>131</v>
      </c>
      <c r="B205" s="1572">
        <v>19.16</v>
      </c>
      <c r="C205" s="1615" t="s">
        <v>1050</v>
      </c>
      <c r="D205" s="1520" t="s">
        <v>107</v>
      </c>
      <c r="E205" s="1521">
        <v>1</v>
      </c>
      <c r="F205" s="1521"/>
      <c r="G205" s="1521"/>
      <c r="H205" s="1521"/>
      <c r="I205" s="1521"/>
      <c r="J205" s="1521"/>
      <c r="K205" s="1519">
        <v>4952302</v>
      </c>
      <c r="L205" s="1519">
        <f>+K205*E205</f>
        <v>4952302</v>
      </c>
      <c r="N205" s="1505"/>
      <c r="P205" s="1515"/>
      <c r="Q205" s="1515"/>
      <c r="R205" s="1515"/>
      <c r="S205" s="1515"/>
      <c r="T205" s="1515"/>
      <c r="U205" s="1515"/>
      <c r="V205" s="1515"/>
      <c r="W205" s="1515"/>
      <c r="X205" s="1515"/>
      <c r="Y205" s="1515"/>
      <c r="Z205" s="1515"/>
      <c r="AA205" s="1515"/>
      <c r="AB205" s="1515"/>
      <c r="AC205" s="1515"/>
      <c r="AD205" s="1515">
        <v>1</v>
      </c>
      <c r="AE205" s="1515"/>
      <c r="AF205" s="1515"/>
      <c r="AG205" s="1515">
        <f t="shared" si="31"/>
        <v>1</v>
      </c>
    </row>
    <row r="206" spans="1:33" ht="21" outlineLevel="1" x14ac:dyDescent="0.25">
      <c r="A206" s="1688" t="s">
        <v>131</v>
      </c>
      <c r="B206" s="1572">
        <v>19.170000000000002</v>
      </c>
      <c r="C206" s="1674" t="s">
        <v>1051</v>
      </c>
      <c r="D206" s="1581" t="s">
        <v>107</v>
      </c>
      <c r="E206" s="1582">
        <v>1</v>
      </c>
      <c r="F206" s="1582"/>
      <c r="G206" s="1582"/>
      <c r="H206" s="1582"/>
      <c r="I206" s="1582"/>
      <c r="J206" s="1582"/>
      <c r="K206" s="1697">
        <v>5481335</v>
      </c>
      <c r="L206" s="1697">
        <f>+K206*E206</f>
        <v>5481335</v>
      </c>
      <c r="N206" s="1505"/>
      <c r="P206" s="1617"/>
      <c r="Q206" s="1617"/>
      <c r="R206" s="1617"/>
      <c r="S206" s="1617"/>
      <c r="T206" s="1617"/>
      <c r="U206" s="1617"/>
      <c r="V206" s="1617"/>
      <c r="W206" s="1617"/>
      <c r="X206" s="1617"/>
      <c r="Y206" s="1617"/>
      <c r="Z206" s="1617"/>
      <c r="AA206" s="1617"/>
      <c r="AB206" s="1617"/>
      <c r="AC206" s="1617">
        <v>0.5</v>
      </c>
      <c r="AD206" s="1617">
        <v>0.5</v>
      </c>
      <c r="AE206" s="1617"/>
      <c r="AF206" s="1617"/>
      <c r="AG206" s="1515">
        <f t="shared" si="31"/>
        <v>1</v>
      </c>
    </row>
    <row r="207" spans="1:33" ht="10.5" outlineLevel="1" x14ac:dyDescent="0.25">
      <c r="A207" s="1681"/>
      <c r="B207" s="1500"/>
      <c r="C207" s="1590" t="s">
        <v>386</v>
      </c>
      <c r="D207" s="1501"/>
      <c r="E207" s="1502"/>
      <c r="F207" s="1502"/>
      <c r="G207" s="1502"/>
      <c r="H207" s="1502"/>
      <c r="I207" s="1502"/>
      <c r="J207" s="1502"/>
      <c r="K207" s="1502"/>
      <c r="L207" s="1502"/>
      <c r="M207" s="1504">
        <f>SUM(L208)</f>
        <v>5206701</v>
      </c>
      <c r="N207" s="895">
        <f>M207-'01'!W185</f>
        <v>0</v>
      </c>
      <c r="P207" s="1506"/>
      <c r="Q207" s="1506"/>
      <c r="R207" s="1506"/>
      <c r="S207" s="1506"/>
      <c r="T207" s="1506"/>
      <c r="U207" s="1507"/>
      <c r="V207" s="1507"/>
      <c r="W207" s="1507"/>
      <c r="X207" s="1507"/>
      <c r="Y207" s="1507"/>
      <c r="Z207" s="1507"/>
      <c r="AA207" s="1507"/>
      <c r="AB207" s="1507"/>
      <c r="AC207" s="1507"/>
      <c r="AD207" s="1507"/>
      <c r="AE207" s="1507"/>
      <c r="AF207" s="1507"/>
      <c r="AG207" s="1507"/>
    </row>
    <row r="208" spans="1:33" ht="10.5" outlineLevel="1" x14ac:dyDescent="0.25">
      <c r="A208" s="1683" t="s">
        <v>131</v>
      </c>
      <c r="B208" s="1516">
        <v>19.170000000000002</v>
      </c>
      <c r="C208" s="1543" t="s">
        <v>1052</v>
      </c>
      <c r="D208" s="1520" t="s">
        <v>107</v>
      </c>
      <c r="E208" s="1521">
        <v>1</v>
      </c>
      <c r="F208" s="1521"/>
      <c r="G208" s="1521"/>
      <c r="H208" s="1521"/>
      <c r="I208" s="1521"/>
      <c r="J208" s="1521"/>
      <c r="K208" s="1519">
        <v>5206701</v>
      </c>
      <c r="L208" s="1519">
        <f>+K208*E208</f>
        <v>5206701</v>
      </c>
      <c r="N208" s="1505"/>
      <c r="P208" s="1515"/>
      <c r="Q208" s="1515"/>
      <c r="R208" s="1515"/>
      <c r="S208" s="1515"/>
      <c r="T208" s="1515"/>
      <c r="U208" s="1515"/>
      <c r="V208" s="1515"/>
      <c r="W208" s="1515"/>
      <c r="X208" s="1515"/>
      <c r="Y208" s="1515"/>
      <c r="Z208" s="1515">
        <v>0.2</v>
      </c>
      <c r="AA208" s="1515">
        <v>0.2</v>
      </c>
      <c r="AB208" s="1515">
        <v>0.2</v>
      </c>
      <c r="AC208" s="1515">
        <v>0.2</v>
      </c>
      <c r="AD208" s="1515">
        <v>0.2</v>
      </c>
      <c r="AE208" s="1515"/>
      <c r="AF208" s="1515"/>
      <c r="AG208" s="1515">
        <f>SUM(Q208:AF208)</f>
        <v>1</v>
      </c>
    </row>
    <row r="209" spans="1:33" ht="10.5" outlineLevel="1" x14ac:dyDescent="0.25">
      <c r="A209" s="1681"/>
      <c r="B209" s="1500"/>
      <c r="C209" s="1590" t="s">
        <v>387</v>
      </c>
      <c r="D209" s="1501"/>
      <c r="E209" s="1502"/>
      <c r="F209" s="1502"/>
      <c r="G209" s="1502"/>
      <c r="H209" s="1502"/>
      <c r="I209" s="1502"/>
      <c r="J209" s="1502"/>
      <c r="K209" s="1502"/>
      <c r="L209" s="1502"/>
      <c r="M209" s="1504">
        <f>SUM(L210:L211)</f>
        <v>20260948</v>
      </c>
      <c r="N209" s="895">
        <f>M209-'01'!W187</f>
        <v>0</v>
      </c>
      <c r="P209" s="1506"/>
      <c r="Q209" s="1506"/>
      <c r="R209" s="1506"/>
      <c r="S209" s="1506"/>
      <c r="T209" s="1506"/>
      <c r="U209" s="1507"/>
      <c r="V209" s="1507"/>
      <c r="W209" s="1507"/>
      <c r="X209" s="1507"/>
      <c r="Y209" s="1507"/>
      <c r="Z209" s="1507"/>
      <c r="AA209" s="1507"/>
      <c r="AB209" s="1507"/>
      <c r="AC209" s="1507"/>
      <c r="AD209" s="1507"/>
      <c r="AE209" s="1507"/>
      <c r="AF209" s="1507"/>
      <c r="AG209" s="1507"/>
    </row>
    <row r="210" spans="1:33" ht="10.5" outlineLevel="1" x14ac:dyDescent="0.25">
      <c r="A210" s="1691" t="s">
        <v>131</v>
      </c>
      <c r="B210" s="1618">
        <v>19.18</v>
      </c>
      <c r="C210" s="1615" t="s">
        <v>388</v>
      </c>
      <c r="D210" s="1520" t="s">
        <v>107</v>
      </c>
      <c r="E210" s="1521">
        <v>1</v>
      </c>
      <c r="F210" s="1521"/>
      <c r="G210" s="1521"/>
      <c r="H210" s="1521"/>
      <c r="I210" s="1521"/>
      <c r="J210" s="1521"/>
      <c r="K210" s="1519">
        <v>16584566</v>
      </c>
      <c r="L210" s="1519">
        <f>+K210*E210</f>
        <v>16584566</v>
      </c>
      <c r="N210" s="1505"/>
      <c r="P210" s="1515"/>
      <c r="Q210" s="1515"/>
      <c r="R210" s="1515"/>
      <c r="S210" s="1515"/>
      <c r="T210" s="1515"/>
      <c r="U210" s="1515"/>
      <c r="V210" s="1515"/>
      <c r="W210" s="1515"/>
      <c r="X210" s="1515"/>
      <c r="Y210" s="1515"/>
      <c r="Z210" s="1515">
        <v>0.2</v>
      </c>
      <c r="AA210" s="1515">
        <v>0.2</v>
      </c>
      <c r="AB210" s="1515">
        <v>0.2</v>
      </c>
      <c r="AC210" s="1515">
        <v>0.2</v>
      </c>
      <c r="AD210" s="1515">
        <v>0.2</v>
      </c>
      <c r="AE210" s="1515"/>
      <c r="AF210" s="1515"/>
      <c r="AG210" s="1515">
        <f>SUM(Q210:AF210)</f>
        <v>1</v>
      </c>
    </row>
    <row r="211" spans="1:33" ht="10.5" outlineLevel="1" x14ac:dyDescent="0.25">
      <c r="A211" s="1692" t="s">
        <v>131</v>
      </c>
      <c r="B211" s="1619">
        <v>19.190000000000001</v>
      </c>
      <c r="C211" s="1674" t="s">
        <v>389</v>
      </c>
      <c r="D211" s="1581" t="s">
        <v>107</v>
      </c>
      <c r="E211" s="1582">
        <v>1</v>
      </c>
      <c r="F211" s="1700"/>
      <c r="G211" s="1700"/>
      <c r="H211" s="1700"/>
      <c r="I211" s="1700"/>
      <c r="J211" s="1700"/>
      <c r="K211" s="1519">
        <v>3676382</v>
      </c>
      <c r="L211" s="1519">
        <f>+K211*E211</f>
        <v>3676382</v>
      </c>
      <c r="N211" s="1505"/>
      <c r="P211" s="1515"/>
      <c r="Q211" s="1515"/>
      <c r="R211" s="1515"/>
      <c r="S211" s="1515"/>
      <c r="T211" s="1515"/>
      <c r="U211" s="1515"/>
      <c r="V211" s="1515"/>
      <c r="W211" s="1515"/>
      <c r="X211" s="1515"/>
      <c r="Y211" s="1515"/>
      <c r="Z211" s="1515">
        <v>0.2</v>
      </c>
      <c r="AA211" s="1515">
        <v>0.2</v>
      </c>
      <c r="AB211" s="1515">
        <v>0.2</v>
      </c>
      <c r="AC211" s="1515">
        <v>0.2</v>
      </c>
      <c r="AD211" s="1515">
        <v>0.2</v>
      </c>
      <c r="AE211" s="1515"/>
      <c r="AF211" s="1515"/>
      <c r="AG211" s="1515">
        <f>SUM(Q211:AF211)</f>
        <v>1</v>
      </c>
    </row>
    <row r="212" spans="1:33" ht="10.5" x14ac:dyDescent="0.25">
      <c r="A212" s="1681"/>
      <c r="B212" s="1500">
        <v>20</v>
      </c>
      <c r="C212" s="1590" t="s">
        <v>390</v>
      </c>
      <c r="D212" s="1501"/>
      <c r="E212" s="1502"/>
      <c r="F212" s="1502"/>
      <c r="G212" s="1502"/>
      <c r="H212" s="1502"/>
      <c r="I212" s="1502"/>
      <c r="J212" s="1502"/>
      <c r="K212" s="1502"/>
      <c r="L212" s="1502"/>
      <c r="M212" s="1504">
        <f>SUM(L213:L214)</f>
        <v>35197776</v>
      </c>
      <c r="N212" s="895">
        <f>M212-'01'!W190</f>
        <v>0</v>
      </c>
      <c r="P212" s="1506"/>
      <c r="Q212" s="1506"/>
      <c r="R212" s="1506"/>
      <c r="S212" s="1506"/>
      <c r="T212" s="1506"/>
      <c r="U212" s="1507"/>
      <c r="V212" s="1507"/>
      <c r="W212" s="1507"/>
      <c r="X212" s="1507"/>
      <c r="Y212" s="1507"/>
      <c r="Z212" s="1507"/>
      <c r="AA212" s="1507"/>
      <c r="AB212" s="1507"/>
      <c r="AC212" s="1507"/>
      <c r="AD212" s="1507"/>
      <c r="AE212" s="1507"/>
      <c r="AF212" s="1507"/>
      <c r="AG212" s="1507"/>
    </row>
    <row r="213" spans="1:33" ht="10.5" outlineLevel="1" x14ac:dyDescent="0.25">
      <c r="A213" s="1685" t="s">
        <v>132</v>
      </c>
      <c r="B213" s="1539">
        <v>20.010000000000002</v>
      </c>
      <c r="C213" s="1587" t="s">
        <v>391</v>
      </c>
      <c r="D213" s="1620" t="s">
        <v>111</v>
      </c>
      <c r="E213" s="1542">
        <v>36</v>
      </c>
      <c r="F213" s="1542"/>
      <c r="G213" s="1542"/>
      <c r="H213" s="1542"/>
      <c r="I213" s="1542"/>
      <c r="J213" s="1542"/>
      <c r="K213" s="1531">
        <v>740165</v>
      </c>
      <c r="L213" s="1531">
        <f>+K213*E213</f>
        <v>26645940</v>
      </c>
      <c r="N213" s="1505"/>
      <c r="P213" s="1515"/>
      <c r="Q213" s="1515"/>
      <c r="R213" s="1515"/>
      <c r="S213" s="1515"/>
      <c r="T213" s="1515"/>
      <c r="U213" s="1515"/>
      <c r="V213" s="1515"/>
      <c r="W213" s="1515"/>
      <c r="X213" s="1515"/>
      <c r="Y213" s="1515">
        <v>0.5</v>
      </c>
      <c r="Z213" s="1515">
        <v>0.5</v>
      </c>
      <c r="AA213" s="1515"/>
      <c r="AB213" s="1515"/>
      <c r="AC213" s="1515"/>
      <c r="AD213" s="1515"/>
      <c r="AE213" s="1515"/>
      <c r="AF213" s="1515"/>
      <c r="AG213" s="1515">
        <f>SUM(Q213:AF213)</f>
        <v>1</v>
      </c>
    </row>
    <row r="214" spans="1:33" ht="10.5" outlineLevel="1" x14ac:dyDescent="0.25">
      <c r="A214" s="1683" t="s">
        <v>132</v>
      </c>
      <c r="B214" s="1516">
        <v>20.02</v>
      </c>
      <c r="C214" s="1574" t="s">
        <v>1053</v>
      </c>
      <c r="D214" s="1584" t="s">
        <v>111</v>
      </c>
      <c r="E214" s="1518">
        <v>36</v>
      </c>
      <c r="F214" s="1518"/>
      <c r="G214" s="1518"/>
      <c r="H214" s="1518"/>
      <c r="I214" s="1518"/>
      <c r="J214" s="1518"/>
      <c r="K214" s="1519">
        <v>237551</v>
      </c>
      <c r="L214" s="1519">
        <f>+K214*E214</f>
        <v>8551836</v>
      </c>
      <c r="N214" s="1505"/>
      <c r="P214" s="1515"/>
      <c r="Q214" s="1515"/>
      <c r="R214" s="1515"/>
      <c r="S214" s="1515"/>
      <c r="T214" s="1515"/>
      <c r="U214" s="1515"/>
      <c r="V214" s="1515"/>
      <c r="W214" s="1515"/>
      <c r="X214" s="1515"/>
      <c r="Y214" s="1515"/>
      <c r="Z214" s="1515"/>
      <c r="AA214" s="1515"/>
      <c r="AB214" s="1515"/>
      <c r="AC214" s="1515"/>
      <c r="AD214" s="1515">
        <v>0.5</v>
      </c>
      <c r="AE214" s="1515">
        <v>0.5</v>
      </c>
      <c r="AF214" s="1515"/>
      <c r="AG214" s="1515">
        <f>SUM(Q214:AF214)</f>
        <v>1</v>
      </c>
    </row>
    <row r="215" spans="1:33" ht="10.5" x14ac:dyDescent="0.25">
      <c r="A215" s="1681"/>
      <c r="B215" s="1500">
        <v>21</v>
      </c>
      <c r="C215" s="1590" t="s">
        <v>392</v>
      </c>
      <c r="D215" s="1501"/>
      <c r="E215" s="1502"/>
      <c r="F215" s="1502"/>
      <c r="G215" s="1502"/>
      <c r="H215" s="1502"/>
      <c r="I215" s="1502"/>
      <c r="J215" s="1502"/>
      <c r="K215" s="1502"/>
      <c r="L215" s="1502"/>
      <c r="M215" s="1504">
        <f>SUM(L216)</f>
        <v>0</v>
      </c>
      <c r="N215" s="895">
        <f>M215-'01'!W193</f>
        <v>0</v>
      </c>
      <c r="P215" s="1506"/>
      <c r="Q215" s="1506"/>
      <c r="R215" s="1506"/>
      <c r="S215" s="1506"/>
      <c r="T215" s="1506"/>
      <c r="U215" s="1507"/>
      <c r="V215" s="1507"/>
      <c r="W215" s="1507"/>
      <c r="X215" s="1507"/>
      <c r="Y215" s="1507"/>
      <c r="Z215" s="1507"/>
      <c r="AA215" s="1507"/>
      <c r="AB215" s="1507"/>
      <c r="AC215" s="1507"/>
      <c r="AD215" s="1507"/>
      <c r="AE215" s="1507"/>
      <c r="AF215" s="1507"/>
      <c r="AG215" s="1507"/>
    </row>
    <row r="216" spans="1:33" s="1556" customFormat="1" ht="10.5" outlineLevel="1" x14ac:dyDescent="0.25">
      <c r="A216" s="1693" t="s">
        <v>113</v>
      </c>
      <c r="B216" s="1621">
        <v>21.01</v>
      </c>
      <c r="C216" s="1675" t="s">
        <v>1054</v>
      </c>
      <c r="D216" s="1622" t="s">
        <v>107</v>
      </c>
      <c r="E216" s="1623">
        <v>0</v>
      </c>
      <c r="F216" s="1699"/>
      <c r="G216" s="1699"/>
      <c r="H216" s="1699"/>
      <c r="I216" s="1699"/>
      <c r="J216" s="1699"/>
      <c r="K216" s="1592">
        <v>0</v>
      </c>
      <c r="L216" s="1519">
        <f>+K216*E216</f>
        <v>0</v>
      </c>
      <c r="M216" s="1566"/>
      <c r="N216" s="1505"/>
      <c r="P216" s="1515"/>
      <c r="Q216" s="1515"/>
      <c r="R216" s="1515"/>
      <c r="S216" s="1515"/>
      <c r="T216" s="1515"/>
      <c r="U216" s="1515"/>
      <c r="V216" s="1515"/>
      <c r="W216" s="1515"/>
      <c r="X216" s="1515"/>
      <c r="Y216" s="1515"/>
      <c r="Z216" s="1515"/>
      <c r="AA216" s="1515"/>
      <c r="AB216" s="1515"/>
      <c r="AC216" s="1515"/>
      <c r="AD216" s="1515"/>
      <c r="AE216" s="1515"/>
      <c r="AF216" s="1515"/>
      <c r="AG216" s="1515">
        <f>SUM(Q216:AF216)</f>
        <v>0</v>
      </c>
    </row>
    <row r="217" spans="1:33" s="1556" customFormat="1" ht="10.5" x14ac:dyDescent="0.25">
      <c r="A217" s="1681"/>
      <c r="B217" s="1500">
        <v>22</v>
      </c>
      <c r="C217" s="1590" t="s">
        <v>393</v>
      </c>
      <c r="D217" s="1501"/>
      <c r="E217" s="1502"/>
      <c r="F217" s="1502"/>
      <c r="G217" s="1502"/>
      <c r="H217" s="1502"/>
      <c r="I217" s="1502"/>
      <c r="J217" s="1502"/>
      <c r="K217" s="1502"/>
      <c r="L217" s="1502"/>
      <c r="M217" s="1504">
        <f>SUM(L218:L219)</f>
        <v>2671152</v>
      </c>
      <c r="N217" s="895">
        <f>M217-'01'!W195</f>
        <v>0</v>
      </c>
      <c r="P217" s="1506"/>
      <c r="Q217" s="1506"/>
      <c r="R217" s="1506"/>
      <c r="S217" s="1506"/>
      <c r="T217" s="1506"/>
      <c r="U217" s="1507"/>
      <c r="V217" s="1507"/>
      <c r="W217" s="1507"/>
      <c r="X217" s="1507"/>
      <c r="Y217" s="1507"/>
      <c r="Z217" s="1507"/>
      <c r="AA217" s="1507"/>
      <c r="AB217" s="1507"/>
      <c r="AC217" s="1507"/>
      <c r="AD217" s="1507"/>
      <c r="AE217" s="1507"/>
      <c r="AF217" s="1507"/>
      <c r="AG217" s="1507"/>
    </row>
    <row r="218" spans="1:33" ht="10.5" outlineLevel="1" x14ac:dyDescent="0.25">
      <c r="A218" s="1682" t="s">
        <v>130</v>
      </c>
      <c r="B218" s="1596">
        <v>22.01</v>
      </c>
      <c r="C218" s="1668" t="s">
        <v>1055</v>
      </c>
      <c r="D218" s="1598" t="s">
        <v>111</v>
      </c>
      <c r="E218" s="1521">
        <v>16</v>
      </c>
      <c r="F218" s="1705"/>
      <c r="G218" s="1705"/>
      <c r="H218" s="1705"/>
      <c r="I218" s="1705"/>
      <c r="J218" s="1705"/>
      <c r="K218" s="1592">
        <v>80944</v>
      </c>
      <c r="L218" s="1531">
        <f>+K218*E218</f>
        <v>1295104</v>
      </c>
      <c r="N218" s="1505"/>
      <c r="P218" s="1515"/>
      <c r="Q218" s="1515"/>
      <c r="R218" s="1515"/>
      <c r="S218" s="1515"/>
      <c r="T218" s="1515"/>
      <c r="U218" s="1515"/>
      <c r="V218" s="1515"/>
      <c r="W218" s="1515"/>
      <c r="X218" s="1515"/>
      <c r="Y218" s="1515"/>
      <c r="Z218" s="1515"/>
      <c r="AA218" s="1515"/>
      <c r="AB218" s="1515"/>
      <c r="AC218" s="1515"/>
      <c r="AD218" s="1515"/>
      <c r="AE218" s="1515">
        <v>1</v>
      </c>
      <c r="AF218" s="1515"/>
      <c r="AG218" s="1515">
        <f>SUM(Q218:AF218)</f>
        <v>1</v>
      </c>
    </row>
    <row r="219" spans="1:33" ht="10.5" outlineLevel="1" x14ac:dyDescent="0.25">
      <c r="A219" s="1683" t="s">
        <v>130</v>
      </c>
      <c r="B219" s="1568">
        <v>22.02</v>
      </c>
      <c r="C219" s="1543" t="s">
        <v>1056</v>
      </c>
      <c r="D219" s="1601" t="s">
        <v>111</v>
      </c>
      <c r="E219" s="1530">
        <v>17</v>
      </c>
      <c r="F219" s="1698"/>
      <c r="G219" s="1698"/>
      <c r="H219" s="1698"/>
      <c r="I219" s="1698"/>
      <c r="J219" s="1698"/>
      <c r="K219" s="1592">
        <v>80944</v>
      </c>
      <c r="L219" s="1531">
        <f>+K219*E219</f>
        <v>1376048</v>
      </c>
      <c r="N219" s="1505"/>
      <c r="P219" s="1515"/>
      <c r="Q219" s="1515"/>
      <c r="R219" s="1515"/>
      <c r="S219" s="1515"/>
      <c r="T219" s="1515"/>
      <c r="U219" s="1515"/>
      <c r="V219" s="1515"/>
      <c r="W219" s="1515"/>
      <c r="X219" s="1515"/>
      <c r="Y219" s="1515"/>
      <c r="Z219" s="1515"/>
      <c r="AA219" s="1515"/>
      <c r="AB219" s="1515"/>
      <c r="AC219" s="1515"/>
      <c r="AD219" s="1515"/>
      <c r="AE219" s="1515">
        <v>1</v>
      </c>
      <c r="AF219" s="1515"/>
      <c r="AG219" s="1515">
        <f>SUM(Q219:AF219)</f>
        <v>1</v>
      </c>
    </row>
    <row r="220" spans="1:33" ht="10.5" x14ac:dyDescent="0.25">
      <c r="A220" s="1681"/>
      <c r="B220" s="1500">
        <v>23</v>
      </c>
      <c r="C220" s="1590" t="s">
        <v>211</v>
      </c>
      <c r="D220" s="1501"/>
      <c r="E220" s="1502"/>
      <c r="F220" s="1502"/>
      <c r="G220" s="1502"/>
      <c r="H220" s="1502"/>
      <c r="I220" s="1502"/>
      <c r="J220" s="1502"/>
      <c r="K220" s="1502"/>
      <c r="L220" s="1502"/>
      <c r="M220" s="1504">
        <f>SUM(L221:L223)</f>
        <v>4668180</v>
      </c>
      <c r="N220" s="895">
        <f>M220-'01'!W198</f>
        <v>0</v>
      </c>
      <c r="P220" s="1506"/>
      <c r="Q220" s="1506"/>
      <c r="R220" s="1506"/>
      <c r="S220" s="1506"/>
      <c r="T220" s="1506"/>
      <c r="U220" s="1507"/>
      <c r="V220" s="1507"/>
      <c r="W220" s="1507"/>
      <c r="X220" s="1507"/>
      <c r="Y220" s="1507"/>
      <c r="Z220" s="1507"/>
      <c r="AA220" s="1507"/>
      <c r="AB220" s="1507"/>
      <c r="AC220" s="1507"/>
      <c r="AD220" s="1507"/>
      <c r="AE220" s="1507"/>
      <c r="AF220" s="1507"/>
      <c r="AG220" s="1507"/>
    </row>
    <row r="221" spans="1:33" s="1556" customFormat="1" ht="31.5" outlineLevel="1" x14ac:dyDescent="0.25">
      <c r="A221" s="1690" t="s">
        <v>113</v>
      </c>
      <c r="B221" s="1614">
        <v>23.01</v>
      </c>
      <c r="C221" s="1658" t="s">
        <v>394</v>
      </c>
      <c r="D221" s="1553" t="s">
        <v>107</v>
      </c>
      <c r="E221" s="1554">
        <v>7</v>
      </c>
      <c r="F221" s="1554"/>
      <c r="G221" s="1554"/>
      <c r="H221" s="1554"/>
      <c r="I221" s="1554"/>
      <c r="J221" s="1554"/>
      <c r="K221" s="1513">
        <v>446402</v>
      </c>
      <c r="L221" s="1513">
        <f>+K221*E221</f>
        <v>3124814</v>
      </c>
      <c r="M221" s="1566"/>
      <c r="N221" s="1505"/>
      <c r="P221" s="1515"/>
      <c r="Q221" s="1515"/>
      <c r="R221" s="1515"/>
      <c r="S221" s="1515"/>
      <c r="T221" s="1515"/>
      <c r="U221" s="1515"/>
      <c r="V221" s="1515"/>
      <c r="W221" s="1515"/>
      <c r="X221" s="1515"/>
      <c r="Y221" s="1515"/>
      <c r="Z221" s="1515"/>
      <c r="AA221" s="1515"/>
      <c r="AB221" s="1515">
        <v>0.5</v>
      </c>
      <c r="AC221" s="1515">
        <v>0.5</v>
      </c>
      <c r="AD221" s="1515"/>
      <c r="AE221" s="1515"/>
      <c r="AF221" s="1515"/>
      <c r="AG221" s="1515">
        <f>SUM(Q221:AF221)</f>
        <v>1</v>
      </c>
    </row>
    <row r="222" spans="1:33" s="1556" customFormat="1" ht="31.5" outlineLevel="1" x14ac:dyDescent="0.25">
      <c r="A222" s="1688" t="s">
        <v>113</v>
      </c>
      <c r="B222" s="1572">
        <v>23.02</v>
      </c>
      <c r="C222" s="1574" t="s">
        <v>1057</v>
      </c>
      <c r="D222" s="1529" t="s">
        <v>107</v>
      </c>
      <c r="E222" s="1530">
        <v>1</v>
      </c>
      <c r="F222" s="1530"/>
      <c r="G222" s="1530"/>
      <c r="H222" s="1530"/>
      <c r="I222" s="1530"/>
      <c r="J222" s="1530"/>
      <c r="K222" s="1519">
        <v>672060</v>
      </c>
      <c r="L222" s="1519">
        <f>+K222*E222</f>
        <v>672060</v>
      </c>
      <c r="M222" s="1566"/>
      <c r="N222" s="1505"/>
      <c r="P222" s="1515"/>
      <c r="Q222" s="1515"/>
      <c r="R222" s="1515"/>
      <c r="S222" s="1515"/>
      <c r="T222" s="1515"/>
      <c r="U222" s="1515"/>
      <c r="V222" s="1515"/>
      <c r="W222" s="1515"/>
      <c r="X222" s="1515"/>
      <c r="Y222" s="1515"/>
      <c r="Z222" s="1515"/>
      <c r="AA222" s="1515"/>
      <c r="AB222" s="1515"/>
      <c r="AC222" s="1515"/>
      <c r="AD222" s="1515">
        <v>0.5</v>
      </c>
      <c r="AE222" s="1515">
        <v>0.5</v>
      </c>
      <c r="AF222" s="1515"/>
      <c r="AG222" s="1515">
        <f>SUM(Q222:AF222)</f>
        <v>1</v>
      </c>
    </row>
    <row r="223" spans="1:33" ht="31.5" outlineLevel="1" x14ac:dyDescent="0.25">
      <c r="A223" s="1687" t="s">
        <v>113</v>
      </c>
      <c r="B223" s="1573">
        <v>23.03</v>
      </c>
      <c r="C223" s="1659" t="s">
        <v>395</v>
      </c>
      <c r="D223" s="1557" t="s">
        <v>107</v>
      </c>
      <c r="E223" s="1537">
        <v>1</v>
      </c>
      <c r="F223" s="1537"/>
      <c r="G223" s="1537"/>
      <c r="H223" s="1537"/>
      <c r="I223" s="1537"/>
      <c r="J223" s="1537"/>
      <c r="K223" s="1697">
        <v>871306</v>
      </c>
      <c r="L223" s="1697">
        <f>+K223*E223</f>
        <v>871306</v>
      </c>
      <c r="N223" s="1505"/>
      <c r="P223" s="1515"/>
      <c r="Q223" s="1515"/>
      <c r="R223" s="1515"/>
      <c r="S223" s="1515"/>
      <c r="T223" s="1515"/>
      <c r="U223" s="1515"/>
      <c r="V223" s="1515"/>
      <c r="W223" s="1515"/>
      <c r="X223" s="1515"/>
      <c r="Y223" s="1515"/>
      <c r="Z223" s="1515"/>
      <c r="AA223" s="1515"/>
      <c r="AB223" s="1515"/>
      <c r="AC223" s="1515"/>
      <c r="AD223" s="1515">
        <v>0.5</v>
      </c>
      <c r="AE223" s="1515">
        <v>0.5</v>
      </c>
      <c r="AF223" s="1515"/>
      <c r="AG223" s="1515">
        <f>SUM(Q223:AF223)</f>
        <v>1</v>
      </c>
    </row>
    <row r="224" spans="1:33" ht="10.5" x14ac:dyDescent="0.25">
      <c r="A224" s="1681"/>
      <c r="B224" s="1500">
        <v>24</v>
      </c>
      <c r="C224" s="1590" t="s">
        <v>212</v>
      </c>
      <c r="D224" s="1501"/>
      <c r="E224" s="1502"/>
      <c r="F224" s="1502"/>
      <c r="G224" s="1502"/>
      <c r="H224" s="1502"/>
      <c r="I224" s="1502"/>
      <c r="J224" s="1502"/>
      <c r="K224" s="1502"/>
      <c r="L224" s="1502"/>
      <c r="M224" s="1504">
        <f>SUM(L225:L235)</f>
        <v>17511090</v>
      </c>
      <c r="N224" s="895">
        <f>M224+M42-'01'!W202</f>
        <v>1200000</v>
      </c>
      <c r="P224" s="1506"/>
      <c r="Q224" s="1506"/>
      <c r="R224" s="1506"/>
      <c r="S224" s="1506"/>
      <c r="T224" s="1506"/>
      <c r="U224" s="1507"/>
      <c r="V224" s="1507"/>
      <c r="W224" s="1507"/>
      <c r="X224" s="1507"/>
      <c r="Y224" s="1507"/>
      <c r="Z224" s="1507"/>
      <c r="AA224" s="1507"/>
      <c r="AB224" s="1507"/>
      <c r="AC224" s="1507"/>
      <c r="AD224" s="1507"/>
      <c r="AE224" s="1507"/>
      <c r="AF224" s="1507"/>
      <c r="AG224" s="1507"/>
    </row>
    <row r="225" spans="1:37" ht="10.5" outlineLevel="1" x14ac:dyDescent="0.25">
      <c r="A225" s="1682" t="s">
        <v>113</v>
      </c>
      <c r="B225" s="1510">
        <v>24.01</v>
      </c>
      <c r="C225" s="1538" t="s">
        <v>135</v>
      </c>
      <c r="D225" s="1511" t="s">
        <v>101</v>
      </c>
      <c r="E225" s="1512">
        <v>6</v>
      </c>
      <c r="F225" s="1542"/>
      <c r="G225" s="1542"/>
      <c r="H225" s="1542"/>
      <c r="I225" s="1542"/>
      <c r="J225" s="1542"/>
      <c r="K225" s="1519">
        <v>753138</v>
      </c>
      <c r="L225" s="1519">
        <f t="shared" ref="L225:L234" si="32">+K225*E225</f>
        <v>4518828</v>
      </c>
      <c r="P225" s="1515"/>
      <c r="Q225" s="1515"/>
      <c r="R225" s="1515"/>
      <c r="S225" s="1515"/>
      <c r="T225" s="1515"/>
      <c r="U225" s="1515"/>
      <c r="V225" s="1515"/>
      <c r="W225" s="1515"/>
      <c r="X225" s="1515"/>
      <c r="Y225" s="1515">
        <v>0.15</v>
      </c>
      <c r="Z225" s="1515">
        <v>0.15</v>
      </c>
      <c r="AA225" s="1515">
        <v>0.15</v>
      </c>
      <c r="AB225" s="1515">
        <v>0.15</v>
      </c>
      <c r="AC225" s="1515">
        <v>0.15</v>
      </c>
      <c r="AD225" s="1515">
        <v>0.15</v>
      </c>
      <c r="AE225" s="1515">
        <v>0.1</v>
      </c>
      <c r="AF225" s="1515"/>
      <c r="AG225" s="1515">
        <f t="shared" ref="AG225:AG234" si="33">SUM(Q225:AF225)</f>
        <v>1</v>
      </c>
    </row>
    <row r="226" spans="1:37" ht="10.5" outlineLevel="1" x14ac:dyDescent="0.25">
      <c r="A226" s="1685" t="s">
        <v>221</v>
      </c>
      <c r="B226" s="1539">
        <v>24.02</v>
      </c>
      <c r="C226" s="1540" t="s">
        <v>295</v>
      </c>
      <c r="D226" s="1541" t="s">
        <v>101</v>
      </c>
      <c r="E226" s="1542"/>
      <c r="F226" s="1542"/>
      <c r="G226" s="1542"/>
      <c r="H226" s="1542"/>
      <c r="I226" s="1542"/>
      <c r="J226" s="1542"/>
      <c r="K226" s="1519">
        <v>1944871</v>
      </c>
      <c r="L226" s="1519">
        <f t="shared" si="32"/>
        <v>0</v>
      </c>
      <c r="P226" s="1515"/>
      <c r="Q226" s="1515"/>
      <c r="R226" s="1515"/>
      <c r="S226" s="1515"/>
      <c r="T226" s="1515"/>
      <c r="U226" s="1515"/>
      <c r="V226" s="1515"/>
      <c r="W226" s="1515"/>
      <c r="X226" s="1515"/>
      <c r="Y226" s="1515"/>
      <c r="Z226" s="1515"/>
      <c r="AA226" s="1515"/>
      <c r="AB226" s="1515"/>
      <c r="AC226" s="1515"/>
      <c r="AD226" s="1515"/>
      <c r="AE226" s="1515"/>
      <c r="AF226" s="1515"/>
      <c r="AG226" s="1515">
        <f t="shared" si="33"/>
        <v>0</v>
      </c>
    </row>
    <row r="227" spans="1:37" ht="10.5" outlineLevel="1" x14ac:dyDescent="0.25">
      <c r="A227" s="1683" t="s">
        <v>221</v>
      </c>
      <c r="B227" s="1516">
        <v>24.03</v>
      </c>
      <c r="C227" s="1543" t="s">
        <v>213</v>
      </c>
      <c r="D227" s="1517" t="s">
        <v>101</v>
      </c>
      <c r="E227" s="1518">
        <v>6</v>
      </c>
      <c r="F227" s="1518"/>
      <c r="G227" s="1518"/>
      <c r="H227" s="1518"/>
      <c r="I227" s="1518"/>
      <c r="J227" s="1518"/>
      <c r="K227" s="1519">
        <v>188533</v>
      </c>
      <c r="L227" s="1519">
        <f t="shared" si="32"/>
        <v>1131198</v>
      </c>
      <c r="P227" s="1515"/>
      <c r="Q227" s="1515"/>
      <c r="R227" s="1515"/>
      <c r="S227" s="1515"/>
      <c r="T227" s="1515"/>
      <c r="U227" s="1515"/>
      <c r="V227" s="1515"/>
      <c r="W227" s="1515"/>
      <c r="X227" s="1515"/>
      <c r="Y227" s="1515">
        <v>0.15</v>
      </c>
      <c r="Z227" s="1515">
        <v>0.15</v>
      </c>
      <c r="AA227" s="1515">
        <v>0.15</v>
      </c>
      <c r="AB227" s="1515">
        <v>0.15</v>
      </c>
      <c r="AC227" s="1515">
        <v>0.15</v>
      </c>
      <c r="AD227" s="1515">
        <v>0.15</v>
      </c>
      <c r="AE227" s="1515">
        <v>0.1</v>
      </c>
      <c r="AF227" s="1515"/>
      <c r="AG227" s="1515">
        <f t="shared" si="33"/>
        <v>1</v>
      </c>
    </row>
    <row r="228" spans="1:37" ht="10.5" outlineLevel="1" x14ac:dyDescent="0.25">
      <c r="A228" s="1685" t="s">
        <v>113</v>
      </c>
      <c r="B228" s="1539">
        <v>24.04</v>
      </c>
      <c r="C228" s="1543" t="s">
        <v>214</v>
      </c>
      <c r="D228" s="1517" t="s">
        <v>107</v>
      </c>
      <c r="E228" s="1518"/>
      <c r="F228" s="1518"/>
      <c r="G228" s="1518"/>
      <c r="H228" s="1518"/>
      <c r="I228" s="1518"/>
      <c r="J228" s="1518"/>
      <c r="K228" s="1519">
        <v>4606562</v>
      </c>
      <c r="L228" s="1519">
        <f t="shared" si="32"/>
        <v>0</v>
      </c>
      <c r="P228" s="1515"/>
      <c r="Q228" s="1515"/>
      <c r="R228" s="1515"/>
      <c r="S228" s="1515"/>
      <c r="T228" s="1515"/>
      <c r="U228" s="1515"/>
      <c r="V228" s="1515"/>
      <c r="W228" s="1515"/>
      <c r="X228" s="1515"/>
      <c r="Y228" s="1515"/>
      <c r="Z228" s="1515"/>
      <c r="AA228" s="1515"/>
      <c r="AB228" s="1515"/>
      <c r="AC228" s="1515"/>
      <c r="AD228" s="1515"/>
      <c r="AE228" s="1515"/>
      <c r="AF228" s="1515"/>
      <c r="AG228" s="1515">
        <f t="shared" si="33"/>
        <v>0</v>
      </c>
    </row>
    <row r="229" spans="1:37" s="1546" customFormat="1" ht="10.5" outlineLevel="1" x14ac:dyDescent="0.25">
      <c r="A229" s="1683" t="s">
        <v>113</v>
      </c>
      <c r="B229" s="1516">
        <v>24.05</v>
      </c>
      <c r="C229" s="1543" t="s">
        <v>296</v>
      </c>
      <c r="D229" s="1544" t="s">
        <v>101</v>
      </c>
      <c r="E229" s="1518">
        <v>6</v>
      </c>
      <c r="F229" s="1518"/>
      <c r="G229" s="1518"/>
      <c r="H229" s="1518"/>
      <c r="I229" s="1518"/>
      <c r="J229" s="1518"/>
      <c r="K229" s="1519">
        <v>696152</v>
      </c>
      <c r="L229" s="1519">
        <f t="shared" si="32"/>
        <v>4176912</v>
      </c>
      <c r="M229" s="1545"/>
      <c r="N229" s="1505"/>
      <c r="P229" s="1515"/>
      <c r="Q229" s="1515"/>
      <c r="R229" s="1515"/>
      <c r="S229" s="1515"/>
      <c r="T229" s="1515"/>
      <c r="U229" s="1515"/>
      <c r="V229" s="1515"/>
      <c r="W229" s="1515"/>
      <c r="X229" s="1515"/>
      <c r="Y229" s="1515">
        <v>0.15</v>
      </c>
      <c r="Z229" s="1515">
        <v>0.15</v>
      </c>
      <c r="AA229" s="1515">
        <v>0.15</v>
      </c>
      <c r="AB229" s="1515">
        <v>0.15</v>
      </c>
      <c r="AC229" s="1515">
        <v>0.15</v>
      </c>
      <c r="AD229" s="1515">
        <v>0.15</v>
      </c>
      <c r="AE229" s="1515">
        <v>0.1</v>
      </c>
      <c r="AF229" s="1515"/>
      <c r="AG229" s="1515">
        <f t="shared" si="33"/>
        <v>1</v>
      </c>
    </row>
    <row r="230" spans="1:37" s="1546" customFormat="1" ht="10.5" outlineLevel="1" x14ac:dyDescent="0.25">
      <c r="A230" s="1685" t="s">
        <v>113</v>
      </c>
      <c r="B230" s="1539">
        <v>24.06</v>
      </c>
      <c r="C230" s="1543" t="s">
        <v>114</v>
      </c>
      <c r="D230" s="1544" t="s">
        <v>101</v>
      </c>
      <c r="E230" s="1518">
        <v>6</v>
      </c>
      <c r="F230" s="1518"/>
      <c r="G230" s="1518"/>
      <c r="H230" s="1518"/>
      <c r="I230" s="1518"/>
      <c r="J230" s="1518"/>
      <c r="K230" s="1519">
        <v>452333</v>
      </c>
      <c r="L230" s="1519">
        <f t="shared" si="32"/>
        <v>2713998</v>
      </c>
      <c r="M230" s="1545"/>
      <c r="N230" s="1505"/>
      <c r="P230" s="1515"/>
      <c r="Q230" s="1515"/>
      <c r="R230" s="1515"/>
      <c r="S230" s="1515"/>
      <c r="T230" s="1515"/>
      <c r="U230" s="1515"/>
      <c r="V230" s="1515"/>
      <c r="W230" s="1515"/>
      <c r="X230" s="1515"/>
      <c r="Y230" s="1515">
        <v>0.15</v>
      </c>
      <c r="Z230" s="1515">
        <v>0.15</v>
      </c>
      <c r="AA230" s="1515">
        <v>0.15</v>
      </c>
      <c r="AB230" s="1515">
        <v>0.15</v>
      </c>
      <c r="AC230" s="1515">
        <v>0.15</v>
      </c>
      <c r="AD230" s="1515">
        <v>0.15</v>
      </c>
      <c r="AE230" s="1515">
        <v>0.1</v>
      </c>
      <c r="AF230" s="1515"/>
      <c r="AG230" s="1515">
        <f t="shared" si="33"/>
        <v>1</v>
      </c>
    </row>
    <row r="231" spans="1:37" s="1546" customFormat="1" ht="10.5" outlineLevel="1" x14ac:dyDescent="0.25">
      <c r="A231" s="1683" t="s">
        <v>113</v>
      </c>
      <c r="B231" s="1516">
        <v>24.07</v>
      </c>
      <c r="C231" s="1543" t="s">
        <v>297</v>
      </c>
      <c r="D231" s="1544" t="s">
        <v>107</v>
      </c>
      <c r="E231" s="1518">
        <v>0</v>
      </c>
      <c r="F231" s="1518"/>
      <c r="G231" s="1518"/>
      <c r="H231" s="1518"/>
      <c r="I231" s="1518"/>
      <c r="J231" s="1518"/>
      <c r="K231" s="1519">
        <v>0</v>
      </c>
      <c r="L231" s="1519">
        <f t="shared" si="32"/>
        <v>0</v>
      </c>
      <c r="M231" s="1545"/>
      <c r="N231" s="1505"/>
      <c r="P231" s="1515"/>
      <c r="Q231" s="1515"/>
      <c r="R231" s="1515"/>
      <c r="S231" s="1515"/>
      <c r="T231" s="1515"/>
      <c r="U231" s="1515"/>
      <c r="V231" s="1515"/>
      <c r="W231" s="1515"/>
      <c r="X231" s="1515"/>
      <c r="Y231" s="1515"/>
      <c r="Z231" s="1515"/>
      <c r="AA231" s="1515"/>
      <c r="AB231" s="1515"/>
      <c r="AC231" s="1515"/>
      <c r="AD231" s="1515"/>
      <c r="AE231" s="1515"/>
      <c r="AF231" s="1515"/>
      <c r="AG231" s="1515">
        <f t="shared" si="33"/>
        <v>0</v>
      </c>
    </row>
    <row r="232" spans="1:37" s="1546" customFormat="1" ht="10.5" outlineLevel="1" x14ac:dyDescent="0.25">
      <c r="A232" s="1685" t="s">
        <v>218</v>
      </c>
      <c r="B232" s="1539">
        <v>24.08</v>
      </c>
      <c r="C232" s="1543" t="s">
        <v>115</v>
      </c>
      <c r="D232" s="1544" t="s">
        <v>101</v>
      </c>
      <c r="E232" s="1518">
        <v>6</v>
      </c>
      <c r="F232" s="1518"/>
      <c r="G232" s="1518"/>
      <c r="H232" s="1518"/>
      <c r="I232" s="1518"/>
      <c r="J232" s="1518"/>
      <c r="K232" s="1519">
        <v>314221</v>
      </c>
      <c r="L232" s="1519">
        <f t="shared" si="32"/>
        <v>1885326</v>
      </c>
      <c r="M232" s="1545"/>
      <c r="N232" s="1505"/>
      <c r="P232" s="1515"/>
      <c r="Q232" s="1515"/>
      <c r="R232" s="1515"/>
      <c r="S232" s="1515"/>
      <c r="T232" s="1515"/>
      <c r="U232" s="1515"/>
      <c r="V232" s="1515"/>
      <c r="W232" s="1515"/>
      <c r="X232" s="1515"/>
      <c r="Y232" s="1515">
        <v>0.15</v>
      </c>
      <c r="Z232" s="1515">
        <v>0.15</v>
      </c>
      <c r="AA232" s="1515">
        <v>0.15</v>
      </c>
      <c r="AB232" s="1515">
        <v>0.15</v>
      </c>
      <c r="AC232" s="1515">
        <v>0.15</v>
      </c>
      <c r="AD232" s="1515">
        <v>0.15</v>
      </c>
      <c r="AE232" s="1515">
        <v>0.1</v>
      </c>
      <c r="AF232" s="1515"/>
      <c r="AG232" s="1515">
        <f t="shared" si="33"/>
        <v>1</v>
      </c>
    </row>
    <row r="233" spans="1:37" s="1547" customFormat="1" ht="10.5" outlineLevel="1" x14ac:dyDescent="0.25">
      <c r="A233" s="1683" t="s">
        <v>177</v>
      </c>
      <c r="B233" s="1516">
        <v>24.09</v>
      </c>
      <c r="C233" s="1543" t="s">
        <v>298</v>
      </c>
      <c r="D233" s="1544" t="s">
        <v>101</v>
      </c>
      <c r="E233" s="1518">
        <v>4</v>
      </c>
      <c r="F233" s="1518"/>
      <c r="G233" s="1518"/>
      <c r="H233" s="1518"/>
      <c r="I233" s="1518"/>
      <c r="J233" s="1518"/>
      <c r="K233" s="1518">
        <v>0</v>
      </c>
      <c r="L233" s="1518">
        <f t="shared" si="32"/>
        <v>0</v>
      </c>
      <c r="M233" s="1545"/>
      <c r="N233" s="1505"/>
      <c r="P233" s="1515"/>
      <c r="Q233" s="1515"/>
      <c r="R233" s="1515"/>
      <c r="S233" s="1515"/>
      <c r="T233" s="1515"/>
      <c r="U233" s="1515"/>
      <c r="V233" s="1515"/>
      <c r="W233" s="1515"/>
      <c r="X233" s="1515"/>
      <c r="Y233" s="1515"/>
      <c r="Z233" s="1515"/>
      <c r="AA233" s="1515"/>
      <c r="AB233" s="1515"/>
      <c r="AC233" s="1515"/>
      <c r="AD233" s="1515"/>
      <c r="AE233" s="1515"/>
      <c r="AF233" s="1515"/>
      <c r="AG233" s="1515">
        <f t="shared" si="33"/>
        <v>0</v>
      </c>
    </row>
    <row r="234" spans="1:37" s="1547" customFormat="1" ht="10.5" outlineLevel="1" x14ac:dyDescent="0.25">
      <c r="A234" s="1685" t="s">
        <v>113</v>
      </c>
      <c r="B234" s="1539">
        <v>24.1</v>
      </c>
      <c r="C234" s="1543" t="s">
        <v>116</v>
      </c>
      <c r="D234" s="1544" t="s">
        <v>101</v>
      </c>
      <c r="E234" s="1518">
        <v>6</v>
      </c>
      <c r="F234" s="1518"/>
      <c r="G234" s="1518"/>
      <c r="H234" s="1518"/>
      <c r="I234" s="1518"/>
      <c r="J234" s="1518"/>
      <c r="K234" s="1518">
        <v>314138</v>
      </c>
      <c r="L234" s="1518">
        <f t="shared" si="32"/>
        <v>1884828</v>
      </c>
      <c r="M234" s="1545"/>
      <c r="N234" s="1505"/>
      <c r="P234" s="1515"/>
      <c r="Q234" s="1515"/>
      <c r="R234" s="1515"/>
      <c r="S234" s="1515"/>
      <c r="T234" s="1515"/>
      <c r="U234" s="1515"/>
      <c r="V234" s="1515"/>
      <c r="W234" s="1515"/>
      <c r="X234" s="1515"/>
      <c r="Y234" s="1515">
        <v>0.15</v>
      </c>
      <c r="Z234" s="1515">
        <v>0.15</v>
      </c>
      <c r="AA234" s="1515">
        <v>0.15</v>
      </c>
      <c r="AB234" s="1515">
        <v>0.15</v>
      </c>
      <c r="AC234" s="1515">
        <v>0.15</v>
      </c>
      <c r="AD234" s="1515">
        <v>0.15</v>
      </c>
      <c r="AE234" s="1515">
        <v>0.1</v>
      </c>
      <c r="AF234" s="1515"/>
      <c r="AG234" s="1515">
        <f t="shared" si="33"/>
        <v>1</v>
      </c>
    </row>
    <row r="235" spans="1:37" s="1547" customFormat="1" ht="10.5" outlineLevel="1" x14ac:dyDescent="0.25">
      <c r="A235" s="1685" t="s">
        <v>103</v>
      </c>
      <c r="B235" s="1539">
        <v>24.1</v>
      </c>
      <c r="C235" s="1543" t="s">
        <v>116</v>
      </c>
      <c r="D235" s="1544" t="s">
        <v>101</v>
      </c>
      <c r="E235" s="1518">
        <v>6</v>
      </c>
      <c r="F235" s="1518"/>
      <c r="G235" s="1518"/>
      <c r="H235" s="1518"/>
      <c r="I235" s="1518"/>
      <c r="J235" s="1518"/>
      <c r="K235" s="1518">
        <f>VLOOKUP($C235,'01'!$C$7:$M$216,MATCH("P. Unit. MAT",'01'!$C$7:$M$7,0),0)</f>
        <v>200000</v>
      </c>
      <c r="L235" s="1518">
        <f t="shared" ref="L235" si="34">K235*$E235</f>
        <v>1200000</v>
      </c>
      <c r="M235" s="1545"/>
      <c r="N235" s="1505"/>
      <c r="P235" s="1515"/>
      <c r="Q235" s="1515"/>
      <c r="R235" s="1515"/>
      <c r="S235" s="1515"/>
      <c r="T235" s="1515"/>
      <c r="U235" s="1515"/>
      <c r="V235" s="1515"/>
      <c r="W235" s="1515"/>
      <c r="X235" s="1515"/>
      <c r="Y235" s="1515"/>
      <c r="Z235" s="1515"/>
      <c r="AA235" s="1515"/>
      <c r="AB235" s="1515"/>
      <c r="AC235" s="1515"/>
      <c r="AD235" s="1515"/>
      <c r="AE235" s="1515"/>
      <c r="AF235" s="1515"/>
      <c r="AG235" s="1515"/>
    </row>
    <row r="236" spans="1:37" ht="10.5" x14ac:dyDescent="0.25">
      <c r="A236" s="1685"/>
      <c r="B236" s="1500">
        <v>25</v>
      </c>
      <c r="C236" s="1590" t="s">
        <v>215</v>
      </c>
      <c r="D236" s="1501"/>
      <c r="E236" s="1502"/>
      <c r="F236" s="1502"/>
      <c r="G236" s="1502"/>
      <c r="H236" s="1502"/>
      <c r="I236" s="1502"/>
      <c r="J236" s="1502"/>
      <c r="K236" s="1502"/>
      <c r="L236" s="1502"/>
      <c r="M236" s="1504">
        <f>SUM(L237:L238)</f>
        <v>32415288</v>
      </c>
      <c r="N236" s="895">
        <f>M236+M53-'01'!W213</f>
        <v>0</v>
      </c>
      <c r="P236" s="1506"/>
      <c r="Q236" s="1506"/>
      <c r="R236" s="1506"/>
      <c r="S236" s="1506"/>
      <c r="T236" s="1506"/>
      <c r="U236" s="1507"/>
      <c r="V236" s="1507"/>
      <c r="W236" s="1507"/>
      <c r="X236" s="1507"/>
      <c r="Y236" s="1507"/>
      <c r="Z236" s="1507"/>
      <c r="AA236" s="1507"/>
      <c r="AB236" s="1507"/>
      <c r="AC236" s="1507"/>
      <c r="AD236" s="1507"/>
      <c r="AE236" s="1507"/>
      <c r="AF236" s="1507"/>
      <c r="AG236" s="1507"/>
    </row>
    <row r="237" spans="1:37" s="1556" customFormat="1" ht="10.5" outlineLevel="1" x14ac:dyDescent="0.25">
      <c r="A237" s="1682" t="s">
        <v>100</v>
      </c>
      <c r="B237" s="1510">
        <v>25.01</v>
      </c>
      <c r="C237" s="1658" t="s">
        <v>299</v>
      </c>
      <c r="D237" s="1553" t="s">
        <v>101</v>
      </c>
      <c r="E237" s="1554">
        <v>6</v>
      </c>
      <c r="F237" s="1698"/>
      <c r="G237" s="1698"/>
      <c r="H237" s="1698"/>
      <c r="I237" s="1698"/>
      <c r="J237" s="1698"/>
      <c r="K237" s="1592">
        <v>4774106</v>
      </c>
      <c r="L237" s="1531">
        <f>+K237*E237</f>
        <v>28644636</v>
      </c>
      <c r="M237" s="1555"/>
      <c r="P237" s="1515"/>
      <c r="Q237" s="1515"/>
      <c r="R237" s="1515"/>
      <c r="S237" s="1515"/>
      <c r="T237" s="1515"/>
      <c r="U237" s="1515"/>
      <c r="V237" s="1515"/>
      <c r="W237" s="1515"/>
      <c r="X237" s="1515"/>
      <c r="Y237" s="1515">
        <v>0.15</v>
      </c>
      <c r="Z237" s="1515">
        <v>0.15</v>
      </c>
      <c r="AA237" s="1515">
        <v>0.15</v>
      </c>
      <c r="AB237" s="1515">
        <v>0.15</v>
      </c>
      <c r="AC237" s="1515">
        <v>0.15</v>
      </c>
      <c r="AD237" s="1515">
        <v>0.15</v>
      </c>
      <c r="AE237" s="1515">
        <v>0.1</v>
      </c>
      <c r="AF237" s="1515"/>
      <c r="AG237" s="1515">
        <f>SUM(Q237:AF237)</f>
        <v>1</v>
      </c>
    </row>
    <row r="238" spans="1:37" s="1556" customFormat="1" ht="10.5" outlineLevel="1" x14ac:dyDescent="0.25">
      <c r="A238" s="1684" t="s">
        <v>218</v>
      </c>
      <c r="B238" s="1522">
        <v>25.02</v>
      </c>
      <c r="C238" s="1659" t="s">
        <v>102</v>
      </c>
      <c r="D238" s="1557" t="s">
        <v>101</v>
      </c>
      <c r="E238" s="1537">
        <v>6</v>
      </c>
      <c r="F238" s="1699"/>
      <c r="G238" s="1699"/>
      <c r="H238" s="1699"/>
      <c r="I238" s="1699"/>
      <c r="J238" s="1699"/>
      <c r="K238" s="1592">
        <v>628442</v>
      </c>
      <c r="L238" s="1519">
        <f>+K238*E238</f>
        <v>3770652</v>
      </c>
      <c r="M238" s="1558"/>
      <c r="P238" s="1515"/>
      <c r="Q238" s="1515"/>
      <c r="R238" s="1515"/>
      <c r="S238" s="1515"/>
      <c r="T238" s="1515"/>
      <c r="U238" s="1515"/>
      <c r="V238" s="1515"/>
      <c r="W238" s="1515"/>
      <c r="X238" s="1515"/>
      <c r="Y238" s="1515">
        <v>0.15</v>
      </c>
      <c r="Z238" s="1515">
        <v>0.15</v>
      </c>
      <c r="AA238" s="1515">
        <v>0.15</v>
      </c>
      <c r="AB238" s="1515">
        <v>0.15</v>
      </c>
      <c r="AC238" s="1515">
        <v>0.15</v>
      </c>
      <c r="AD238" s="1515">
        <v>0.15</v>
      </c>
      <c r="AE238" s="1515">
        <v>0.1</v>
      </c>
      <c r="AF238" s="1515"/>
      <c r="AG238" s="1515">
        <f>SUM(Q238:AF238)</f>
        <v>1</v>
      </c>
    </row>
    <row r="239" spans="1:37" s="1546" customFormat="1" ht="10.5" x14ac:dyDescent="0.25">
      <c r="A239" s="1706"/>
      <c r="B239" s="1500"/>
      <c r="C239" s="1590" t="s">
        <v>396</v>
      </c>
      <c r="D239" s="1501"/>
      <c r="E239" s="1502"/>
      <c r="F239" s="1502"/>
      <c r="G239" s="1502"/>
      <c r="H239" s="1502"/>
      <c r="I239" s="1502"/>
      <c r="J239" s="1502"/>
      <c r="K239" s="1502"/>
      <c r="L239" s="1502">
        <f>SUM(L62:L238)</f>
        <v>736857133.01950002</v>
      </c>
      <c r="M239" s="1502">
        <f>SUM(M62:M238)</f>
        <v>736857133.01950002</v>
      </c>
      <c r="N239" s="1505"/>
      <c r="P239" s="1626">
        <v>0.4</v>
      </c>
      <c r="Q239" s="1626">
        <f t="shared" ref="Q239:AF239" si="35">+SUMPRODUCT(Q$63:Q$238,$L$63:$L$238)</f>
        <v>0</v>
      </c>
      <c r="R239" s="1626">
        <f t="shared" si="35"/>
        <v>0</v>
      </c>
      <c r="S239" s="1626">
        <f t="shared" si="35"/>
        <v>0</v>
      </c>
      <c r="T239" s="1626">
        <f t="shared" si="35"/>
        <v>0</v>
      </c>
      <c r="U239" s="1626">
        <f t="shared" si="35"/>
        <v>2079189.4000000001</v>
      </c>
      <c r="V239" s="1626">
        <f t="shared" si="35"/>
        <v>3118784.1</v>
      </c>
      <c r="W239" s="1626">
        <f t="shared" si="35"/>
        <v>33662421.519999996</v>
      </c>
      <c r="X239" s="1626">
        <f t="shared" si="35"/>
        <v>26741542.119999997</v>
      </c>
      <c r="Y239" s="1626">
        <f t="shared" si="35"/>
        <v>56969530.320000008</v>
      </c>
      <c r="Z239" s="1626">
        <f t="shared" si="35"/>
        <v>101834597.82000004</v>
      </c>
      <c r="AA239" s="1626">
        <f t="shared" si="35"/>
        <v>106910029.22465004</v>
      </c>
      <c r="AB239" s="1626">
        <f t="shared" si="35"/>
        <v>117336225.94930002</v>
      </c>
      <c r="AC239" s="1626">
        <f t="shared" si="35"/>
        <v>96567635.91283004</v>
      </c>
      <c r="AD239" s="1626">
        <f t="shared" si="35"/>
        <v>105550343.57235003</v>
      </c>
      <c r="AE239" s="1626">
        <f t="shared" si="35"/>
        <v>84886833.080369979</v>
      </c>
      <c r="AF239" s="1626">
        <f t="shared" si="35"/>
        <v>0</v>
      </c>
      <c r="AG239" s="1561"/>
    </row>
    <row r="240" spans="1:37" s="1546" customFormat="1" ht="10.5" x14ac:dyDescent="0.25">
      <c r="A240" s="1708"/>
      <c r="B240" s="1627"/>
      <c r="C240" s="1676"/>
      <c r="D240" s="1628"/>
      <c r="E240" s="1629"/>
      <c r="F240" s="1629"/>
      <c r="G240" s="1629"/>
      <c r="H240" s="1629"/>
      <c r="I240" s="1629"/>
      <c r="J240" s="1629"/>
      <c r="K240" s="1630"/>
      <c r="L240" s="1630"/>
      <c r="M240" s="1630"/>
      <c r="N240" s="1505"/>
      <c r="AK240" s="1471"/>
    </row>
    <row r="241" spans="1:40" ht="12.75" customHeight="1" x14ac:dyDescent="0.25">
      <c r="A241" s="1708"/>
      <c r="B241" s="1631"/>
      <c r="C241" s="1677"/>
      <c r="P241" s="1491" t="s">
        <v>397</v>
      </c>
      <c r="Q241" s="1491"/>
      <c r="R241" s="1491"/>
      <c r="S241" s="1491"/>
      <c r="T241" s="1491"/>
      <c r="U241" s="1491"/>
      <c r="V241" s="1491"/>
      <c r="W241" s="1491"/>
      <c r="X241" s="1491"/>
      <c r="Y241" s="1491"/>
      <c r="Z241" s="1491"/>
      <c r="AA241" s="1491"/>
      <c r="AB241" s="1491"/>
      <c r="AC241" s="1491"/>
      <c r="AD241" s="1491"/>
      <c r="AE241" s="1491"/>
      <c r="AF241" s="1491"/>
      <c r="AG241" s="1491"/>
      <c r="AH241" s="1491"/>
      <c r="AI241" s="1632" t="s">
        <v>398</v>
      </c>
      <c r="AJ241" s="1633" t="s">
        <v>399</v>
      </c>
      <c r="AL241" s="1546" t="s">
        <v>398</v>
      </c>
      <c r="AM241" s="1546" t="s">
        <v>399</v>
      </c>
    </row>
    <row r="242" spans="1:40" s="1636" customFormat="1" ht="10.5" x14ac:dyDescent="0.25">
      <c r="A242" s="1708"/>
      <c r="B242" s="1492"/>
      <c r="C242" s="1643" t="str">
        <f>C8</f>
        <v>PRESUPUESTO 01 - PRELIMINARES + MOV SUELO + HORMIGON</v>
      </c>
      <c r="D242" s="1501"/>
      <c r="E242" s="1634"/>
      <c r="F242" s="1634"/>
      <c r="G242" s="1634"/>
      <c r="H242" s="1634"/>
      <c r="I242" s="1634"/>
      <c r="J242" s="1634"/>
      <c r="K242" s="1634"/>
      <c r="L242" s="1634"/>
      <c r="M242" s="1635">
        <f>M56</f>
        <v>421306052</v>
      </c>
      <c r="N242" s="902">
        <f>M242/M244</f>
        <v>0.36377088949939851</v>
      </c>
      <c r="P242" s="1637">
        <f>+M242*AI242</f>
        <v>84261210.400000006</v>
      </c>
      <c r="Q242" s="1638">
        <f t="shared" ref="Q242:AF242" si="36">+Q56*$AJ$242</f>
        <v>38863265.030098692</v>
      </c>
      <c r="R242" s="1638">
        <f t="shared" si="36"/>
        <v>42699767.455246724</v>
      </c>
      <c r="S242" s="1638">
        <f t="shared" si="36"/>
        <v>52675556.481806934</v>
      </c>
      <c r="T242" s="1638">
        <f t="shared" si="36"/>
        <v>52475701.814853072</v>
      </c>
      <c r="U242" s="1638">
        <f t="shared" si="36"/>
        <v>41725159.383412115</v>
      </c>
      <c r="V242" s="1638">
        <f t="shared" si="36"/>
        <v>36296519.758194171</v>
      </c>
      <c r="W242" s="1638">
        <f t="shared" si="36"/>
        <v>35199941.518194161</v>
      </c>
      <c r="X242" s="1638">
        <f t="shared" si="36"/>
        <v>37108930.158194162</v>
      </c>
      <c r="Y242" s="1638">
        <f t="shared" si="36"/>
        <v>0</v>
      </c>
      <c r="Z242" s="1638">
        <f t="shared" si="36"/>
        <v>0</v>
      </c>
      <c r="AA242" s="1638">
        <f t="shared" si="36"/>
        <v>0</v>
      </c>
      <c r="AB242" s="1638">
        <f t="shared" si="36"/>
        <v>0</v>
      </c>
      <c r="AC242" s="1638">
        <f t="shared" si="36"/>
        <v>0</v>
      </c>
      <c r="AD242" s="1638">
        <f t="shared" si="36"/>
        <v>0</v>
      </c>
      <c r="AE242" s="1638">
        <f t="shared" si="36"/>
        <v>0</v>
      </c>
      <c r="AF242" s="1638">
        <f t="shared" si="36"/>
        <v>0</v>
      </c>
      <c r="AG242" s="1639"/>
      <c r="AH242" s="1638">
        <f>SUM(P242:AG242)</f>
        <v>421306052</v>
      </c>
      <c r="AI242" s="1640">
        <v>0.2</v>
      </c>
      <c r="AJ242" s="1640">
        <f t="shared" ref="AJ242" si="37">1-AI242</f>
        <v>0.8</v>
      </c>
      <c r="AK242" s="1471">
        <v>1</v>
      </c>
      <c r="AL242" s="1641">
        <f>+AH242*AI242</f>
        <v>84261210.400000006</v>
      </c>
      <c r="AM242" s="1641">
        <f>+AJ242*AH242</f>
        <v>337044841.60000002</v>
      </c>
      <c r="AN242" s="1642">
        <f>SUM(AL242:AM242)</f>
        <v>421306052</v>
      </c>
    </row>
    <row r="243" spans="1:40" s="1636" customFormat="1" ht="10.5" x14ac:dyDescent="0.25">
      <c r="A243" s="1708"/>
      <c r="B243" s="1492"/>
      <c r="C243" s="1643" t="str">
        <f>C61</f>
        <v>PRESUPUESTO 02 - ALBANILERIA + INSTALACIONES + TERMINACIONES</v>
      </c>
      <c r="D243" s="1501"/>
      <c r="E243" s="1634"/>
      <c r="F243" s="1634"/>
      <c r="G243" s="1634"/>
      <c r="H243" s="1634"/>
      <c r="I243" s="1634"/>
      <c r="J243" s="1634"/>
      <c r="K243" s="1634"/>
      <c r="L243" s="1634"/>
      <c r="M243" s="1635">
        <f>M239</f>
        <v>736857133.01950002</v>
      </c>
      <c r="N243" s="902">
        <f>M243/M244</f>
        <v>0.63622911050060149</v>
      </c>
      <c r="P243" s="1638"/>
      <c r="Q243" s="1638"/>
      <c r="R243" s="1638"/>
      <c r="S243" s="1638"/>
      <c r="T243" s="1637">
        <f>+M243*AI243</f>
        <v>294742853.20780003</v>
      </c>
      <c r="U243" s="1638">
        <f>+U239*$AJ$243</f>
        <v>1247513.6400000001</v>
      </c>
      <c r="V243" s="1638">
        <f>+V239*$AJ$243</f>
        <v>1871270.46</v>
      </c>
      <c r="W243" s="1638">
        <f t="shared" ref="W243:AF243" si="38">+W239*$AJ$243</f>
        <v>20197452.911999997</v>
      </c>
      <c r="X243" s="1638">
        <f t="shared" si="38"/>
        <v>16044925.271999998</v>
      </c>
      <c r="Y243" s="1638">
        <f t="shared" si="38"/>
        <v>34181718.192000002</v>
      </c>
      <c r="Z243" s="1638">
        <f t="shared" si="38"/>
        <v>61100758.692000017</v>
      </c>
      <c r="AA243" s="1638">
        <f t="shared" si="38"/>
        <v>64146017.534790024</v>
      </c>
      <c r="AB243" s="1638">
        <f t="shared" si="38"/>
        <v>70401735.569580004</v>
      </c>
      <c r="AC243" s="1638">
        <f t="shared" si="38"/>
        <v>57940581.547698021</v>
      </c>
      <c r="AD243" s="1638">
        <f t="shared" si="38"/>
        <v>63330206.143410012</v>
      </c>
      <c r="AE243" s="1638">
        <f t="shared" si="38"/>
        <v>50932099.848221987</v>
      </c>
      <c r="AF243" s="1638">
        <f t="shared" si="38"/>
        <v>0</v>
      </c>
      <c r="AG243" s="1639"/>
      <c r="AH243" s="1638">
        <f>SUM(P243:AG243)</f>
        <v>736137133.01950002</v>
      </c>
      <c r="AI243" s="1640">
        <v>0.4</v>
      </c>
      <c r="AJ243" s="1640">
        <f>1-AI243</f>
        <v>0.6</v>
      </c>
      <c r="AK243" s="1471">
        <v>2</v>
      </c>
      <c r="AL243" s="1641">
        <f>+AH243*AI243</f>
        <v>294454853.20780003</v>
      </c>
      <c r="AM243" s="1641">
        <f>+AJ243*AH243</f>
        <v>441682279.81169999</v>
      </c>
      <c r="AN243" s="1642">
        <f>SUM(AL243:AM243)</f>
        <v>736137133.01950002</v>
      </c>
    </row>
    <row r="244" spans="1:40" s="1649" customFormat="1" ht="10.5" x14ac:dyDescent="0.25">
      <c r="A244" s="1709"/>
      <c r="B244" s="1492"/>
      <c r="C244" s="1643" t="s">
        <v>400</v>
      </c>
      <c r="D244" s="1644"/>
      <c r="E244" s="1645"/>
      <c r="F244" s="1645"/>
      <c r="G244" s="1645"/>
      <c r="H244" s="1645"/>
      <c r="I244" s="1645"/>
      <c r="J244" s="1645"/>
      <c r="K244" s="1646"/>
      <c r="L244" s="1647"/>
      <c r="M244" s="1648">
        <f>SUM(M242:M243)</f>
        <v>1158163185.0195</v>
      </c>
      <c r="N244" s="1471"/>
      <c r="P244" s="1638">
        <f t="shared" ref="P244:AF244" si="39">SUM(P242:P243)</f>
        <v>84261210.400000006</v>
      </c>
      <c r="Q244" s="1638">
        <f t="shared" si="39"/>
        <v>38863265.030098692</v>
      </c>
      <c r="R244" s="1638">
        <f t="shared" si="39"/>
        <v>42699767.455246724</v>
      </c>
      <c r="S244" s="1638">
        <f t="shared" si="39"/>
        <v>52675556.481806934</v>
      </c>
      <c r="T244" s="1638">
        <f t="shared" si="39"/>
        <v>347218555.0226531</v>
      </c>
      <c r="U244" s="1638">
        <f t="shared" si="39"/>
        <v>42972673.023412116</v>
      </c>
      <c r="V244" s="1638">
        <f t="shared" si="39"/>
        <v>38167790.218194172</v>
      </c>
      <c r="W244" s="1638">
        <f t="shared" si="39"/>
        <v>55397394.430194154</v>
      </c>
      <c r="X244" s="1638">
        <f t="shared" si="39"/>
        <v>53153855.430194162</v>
      </c>
      <c r="Y244" s="1638">
        <f t="shared" si="39"/>
        <v>34181718.192000002</v>
      </c>
      <c r="Z244" s="1638">
        <f t="shared" si="39"/>
        <v>61100758.692000017</v>
      </c>
      <c r="AA244" s="1638">
        <f t="shared" si="39"/>
        <v>64146017.534790024</v>
      </c>
      <c r="AB244" s="1638">
        <f t="shared" si="39"/>
        <v>70401735.569580004</v>
      </c>
      <c r="AC244" s="1638">
        <f t="shared" si="39"/>
        <v>57940581.547698021</v>
      </c>
      <c r="AD244" s="1638">
        <f t="shared" si="39"/>
        <v>63330206.143410012</v>
      </c>
      <c r="AE244" s="1638">
        <f t="shared" si="39"/>
        <v>50932099.848221987</v>
      </c>
      <c r="AF244" s="1638">
        <f t="shared" si="39"/>
        <v>0</v>
      </c>
      <c r="AG244" s="1639"/>
      <c r="AH244" s="1650">
        <f>SUM(P244:AG244)</f>
        <v>1157443185.0195</v>
      </c>
      <c r="AI244" s="1640"/>
      <c r="AJ244" s="1640"/>
      <c r="AK244" s="1651"/>
      <c r="AL244" s="1641"/>
      <c r="AM244" s="1641"/>
      <c r="AN244" s="1641">
        <f>SUM(AN242:AN243)</f>
        <v>1157443185.0195</v>
      </c>
    </row>
    <row r="245" spans="1:40" ht="12.75" customHeight="1" x14ac:dyDescent="0.25">
      <c r="C245" s="1676" t="s">
        <v>401</v>
      </c>
      <c r="P245" s="1638">
        <f>+P244</f>
        <v>84261210.400000006</v>
      </c>
      <c r="Q245" s="1638">
        <f>+Q244+P245</f>
        <v>123124475.4300987</v>
      </c>
      <c r="R245" s="1638">
        <f>+R244+Q245</f>
        <v>165824242.88534543</v>
      </c>
      <c r="S245" s="1638">
        <f t="shared" ref="S245:AF245" si="40">+S244+R245</f>
        <v>218499799.36715236</v>
      </c>
      <c r="T245" s="1638">
        <f t="shared" si="40"/>
        <v>565718354.38980544</v>
      </c>
      <c r="U245" s="1638">
        <f t="shared" si="40"/>
        <v>608691027.41321754</v>
      </c>
      <c r="V245" s="1638">
        <f t="shared" si="40"/>
        <v>646858817.63141167</v>
      </c>
      <c r="W245" s="1638">
        <f t="shared" si="40"/>
        <v>702256212.06160581</v>
      </c>
      <c r="X245" s="1638">
        <f t="shared" si="40"/>
        <v>755410067.49179995</v>
      </c>
      <c r="Y245" s="1638">
        <f t="shared" si="40"/>
        <v>789591785.68379998</v>
      </c>
      <c r="Z245" s="1638">
        <f t="shared" si="40"/>
        <v>850692544.37580001</v>
      </c>
      <c r="AA245" s="1638">
        <f t="shared" si="40"/>
        <v>914838561.91059005</v>
      </c>
      <c r="AB245" s="1638">
        <f t="shared" si="40"/>
        <v>985240297.48017001</v>
      </c>
      <c r="AC245" s="1638">
        <f t="shared" si="40"/>
        <v>1043180879.027868</v>
      </c>
      <c r="AD245" s="1638">
        <f t="shared" si="40"/>
        <v>1106511085.171278</v>
      </c>
      <c r="AE245" s="1638">
        <f t="shared" si="40"/>
        <v>1157443185.0195</v>
      </c>
      <c r="AF245" s="1638">
        <f t="shared" si="40"/>
        <v>1157443185.0195</v>
      </c>
      <c r="AG245" s="1639"/>
      <c r="AH245" s="1638"/>
      <c r="AI245" s="1640"/>
      <c r="AJ245" s="1640"/>
      <c r="AK245" s="1604"/>
      <c r="AL245" s="1652"/>
      <c r="AM245" s="1652"/>
      <c r="AN245" s="1604"/>
    </row>
    <row r="246" spans="1:40" ht="12.75" customHeight="1" x14ac:dyDescent="0.25">
      <c r="P246" s="1617">
        <f>+P244/$M$244</f>
        <v>7.2754177899879716E-2</v>
      </c>
      <c r="Q246" s="1617">
        <f t="shared" ref="Q246:AF246" si="41">+Q244/$M$244</f>
        <v>3.355594922441292E-2</v>
      </c>
      <c r="R246" s="1617">
        <f t="shared" si="41"/>
        <v>3.6868524235233562E-2</v>
      </c>
      <c r="S246" s="1617">
        <f t="shared" si="41"/>
        <v>4.5481981436769667E-2</v>
      </c>
      <c r="T246" s="1617">
        <f t="shared" si="41"/>
        <v>0.29980106388618022</v>
      </c>
      <c r="U246" s="1617">
        <f t="shared" si="41"/>
        <v>3.7104160777385257E-2</v>
      </c>
      <c r="V246" s="1617">
        <f t="shared" si="41"/>
        <v>3.2955451107307937E-2</v>
      </c>
      <c r="W246" s="1617">
        <f t="shared" si="41"/>
        <v>4.7832114806223465E-2</v>
      </c>
      <c r="X246" s="1617">
        <f t="shared" si="41"/>
        <v>4.5894962055195367E-2</v>
      </c>
      <c r="Y246" s="1617">
        <f t="shared" si="41"/>
        <v>2.9513732291036762E-2</v>
      </c>
      <c r="Z246" s="1617">
        <f t="shared" si="41"/>
        <v>5.2756605875856143E-2</v>
      </c>
      <c r="AA246" s="1617">
        <f t="shared" si="41"/>
        <v>5.5385992547941333E-2</v>
      </c>
      <c r="AB246" s="1617">
        <f t="shared" si="41"/>
        <v>6.0787405851097438E-2</v>
      </c>
      <c r="AC246" s="1617">
        <f t="shared" si="41"/>
        <v>5.0027994584133213E-2</v>
      </c>
      <c r="AD246" s="1617">
        <f t="shared" si="41"/>
        <v>5.4681591473954266E-2</v>
      </c>
      <c r="AE246" s="1617">
        <f t="shared" si="41"/>
        <v>4.3976617895486327E-2</v>
      </c>
      <c r="AF246" s="1617">
        <f t="shared" si="41"/>
        <v>0</v>
      </c>
      <c r="AG246" s="1639"/>
      <c r="AL246" s="1546"/>
      <c r="AM246" s="1546"/>
    </row>
    <row r="247" spans="1:40" ht="12.75" customHeight="1" x14ac:dyDescent="0.25">
      <c r="P247" s="1617">
        <f>+P246</f>
        <v>7.2754177899879716E-2</v>
      </c>
      <c r="Q247" s="1617">
        <f>+Q246+P247</f>
        <v>0.10631012712429264</v>
      </c>
      <c r="R247" s="1617">
        <f t="shared" ref="R247:AF247" si="42">+R246+Q247</f>
        <v>0.1431786513595262</v>
      </c>
      <c r="S247" s="1617">
        <f t="shared" si="42"/>
        <v>0.18866063279629586</v>
      </c>
      <c r="T247" s="1617">
        <f t="shared" si="42"/>
        <v>0.48846169668247608</v>
      </c>
      <c r="U247" s="1617">
        <f t="shared" si="42"/>
        <v>0.52556585745986129</v>
      </c>
      <c r="V247" s="1617">
        <f t="shared" si="42"/>
        <v>0.55852130856716919</v>
      </c>
      <c r="W247" s="1617">
        <f t="shared" si="42"/>
        <v>0.60635342337339271</v>
      </c>
      <c r="X247" s="1617">
        <f t="shared" si="42"/>
        <v>0.6522483854285881</v>
      </c>
      <c r="Y247" s="1617">
        <f t="shared" si="42"/>
        <v>0.68176211771962481</v>
      </c>
      <c r="Z247" s="1617">
        <f t="shared" si="42"/>
        <v>0.73451872359548098</v>
      </c>
      <c r="AA247" s="1617">
        <f t="shared" si="42"/>
        <v>0.78990471614342228</v>
      </c>
      <c r="AB247" s="1617">
        <f t="shared" si="42"/>
        <v>0.85069212199451971</v>
      </c>
      <c r="AC247" s="1617">
        <f t="shared" si="42"/>
        <v>0.90072011657865292</v>
      </c>
      <c r="AD247" s="1617">
        <f t="shared" si="42"/>
        <v>0.95540170805260716</v>
      </c>
      <c r="AE247" s="1617">
        <f t="shared" si="42"/>
        <v>0.9993783259480935</v>
      </c>
      <c r="AF247" s="1617">
        <f t="shared" si="42"/>
        <v>0.9993783259480935</v>
      </c>
      <c r="AG247" s="1639"/>
      <c r="AL247" s="1546"/>
      <c r="AM247" s="1546"/>
    </row>
    <row r="248" spans="1:40" ht="12.75" customHeight="1" x14ac:dyDescent="0.25">
      <c r="AG248" s="1639"/>
      <c r="AH248" s="1638"/>
      <c r="AI248" s="1649"/>
      <c r="AJ248" s="1649"/>
    </row>
    <row r="249" spans="1:40" ht="12.75" customHeight="1" x14ac:dyDescent="0.25">
      <c r="AG249" s="1639"/>
      <c r="AH249" s="1636"/>
      <c r="AI249" s="1636"/>
      <c r="AJ249" s="1636"/>
      <c r="AL249" s="1654"/>
    </row>
    <row r="250" spans="1:40" ht="12.75" customHeight="1" x14ac:dyDescent="0.25">
      <c r="AG250" s="1639"/>
      <c r="AH250" s="1636"/>
      <c r="AI250" s="1636"/>
      <c r="AJ250" s="1636"/>
    </row>
  </sheetData>
  <conditionalFormatting sqref="D3:D12 D20:D29 D77:D88 D99:D105 D109:D113 D117:D123 D126 D184:D215 D217 D224:D236">
    <cfRule type="cellIs" dxfId="114" priority="8" operator="equal">
      <formula>"x"</formula>
    </cfRule>
  </conditionalFormatting>
  <conditionalFormatting sqref="D42:D53">
    <cfRule type="cellIs" dxfId="113" priority="7" operator="equal">
      <formula>"x"</formula>
    </cfRule>
  </conditionalFormatting>
  <conditionalFormatting sqref="D56">
    <cfRule type="cellIs" dxfId="112" priority="4" operator="equal">
      <formula>"x"</formula>
    </cfRule>
  </conditionalFormatting>
  <conditionalFormatting sqref="D61:D62">
    <cfRule type="cellIs" dxfId="111" priority="6" operator="equal">
      <formula>"x"</formula>
    </cfRule>
  </conditionalFormatting>
  <conditionalFormatting sqref="D71">
    <cfRule type="cellIs" dxfId="110" priority="9" operator="equal">
      <formula>"x"</formula>
    </cfRule>
  </conditionalFormatting>
  <conditionalFormatting sqref="D90:D91">
    <cfRule type="cellIs" dxfId="109" priority="10" operator="equal">
      <formula>"x"</formula>
    </cfRule>
  </conditionalFormatting>
  <conditionalFormatting sqref="D128">
    <cfRule type="cellIs" dxfId="108" priority="11" operator="equal">
      <formula>"x"</formula>
    </cfRule>
  </conditionalFormatting>
  <conditionalFormatting sqref="D136">
    <cfRule type="cellIs" dxfId="107" priority="12" operator="equal">
      <formula>"x"</formula>
    </cfRule>
  </conditionalFormatting>
  <conditionalFormatting sqref="D146">
    <cfRule type="cellIs" dxfId="106" priority="13" operator="equal">
      <formula>"x"</formula>
    </cfRule>
  </conditionalFormatting>
  <conditionalFormatting sqref="D148">
    <cfRule type="cellIs" dxfId="105" priority="14" operator="equal">
      <formula>"x"</formula>
    </cfRule>
  </conditionalFormatting>
  <conditionalFormatting sqref="D153">
    <cfRule type="cellIs" dxfId="104" priority="15" operator="equal">
      <formula>"x"</formula>
    </cfRule>
  </conditionalFormatting>
  <conditionalFormatting sqref="D220">
    <cfRule type="cellIs" dxfId="103" priority="16" operator="equal">
      <formula>"x"</formula>
    </cfRule>
  </conditionalFormatting>
  <conditionalFormatting sqref="D239:D240">
    <cfRule type="cellIs" dxfId="102" priority="3" operator="equal">
      <formula>"x"</formula>
    </cfRule>
  </conditionalFormatting>
  <conditionalFormatting sqref="D242:D243">
    <cfRule type="cellIs" dxfId="101" priority="5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61" min="1" max="23" man="1"/>
    <brk id="152" min="1" max="2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58A0-EEA9-48A2-9C22-D057EB311261}">
  <dimension ref="A1:AP252"/>
  <sheetViews>
    <sheetView topLeftCell="A5" workbookViewId="0">
      <pane ySplit="4" topLeftCell="A51" activePane="bottomLeft" state="frozen"/>
      <selection activeCell="A5" sqref="A5"/>
      <selection pane="bottomLeft" activeCell="A7" sqref="A7:XFD7"/>
    </sheetView>
  </sheetViews>
  <sheetFormatPr defaultColWidth="11.54296875" defaultRowHeight="12.75" customHeight="1" outlineLevelRow="1" outlineLevelCol="1" x14ac:dyDescent="0.25"/>
  <cols>
    <col min="1" max="1" width="6.6328125" style="1678" customWidth="1"/>
    <col min="2" max="2" width="6.6328125" style="1472" bestFit="1" customWidth="1"/>
    <col min="3" max="3" width="24" style="1655" customWidth="1"/>
    <col min="4" max="4" width="4.453125" style="1473" bestFit="1" customWidth="1"/>
    <col min="5" max="5" width="5.453125" style="1474" bestFit="1" customWidth="1"/>
    <col min="6" max="6" width="8.26953125" style="1475" bestFit="1" customWidth="1" outlineLevel="1"/>
    <col min="7" max="7" width="9.6328125" style="1475" bestFit="1" customWidth="1" outlineLevel="1"/>
    <col min="8" max="8" width="9.08984375" style="1475" bestFit="1" customWidth="1" outlineLevel="1"/>
    <col min="9" max="9" width="9.90625" style="1475" bestFit="1" customWidth="1" outlineLevel="1"/>
    <col min="10" max="10" width="8.7265625" style="1475" bestFit="1" customWidth="1" outlineLevel="1"/>
    <col min="11" max="11" width="8.81640625" style="1475" bestFit="1" customWidth="1" outlineLevel="1"/>
    <col min="12" max="12" width="9.6328125" style="1475" customWidth="1" outlineLevel="1"/>
    <col min="13" max="13" width="9.90625" style="1477" bestFit="1" customWidth="1"/>
    <col min="14" max="14" width="3.453125" style="1471" bestFit="1" customWidth="1"/>
    <col min="15" max="15" width="9.90625" style="1471" bestFit="1" customWidth="1"/>
    <col min="16" max="16" width="9.08984375" style="1471" bestFit="1" customWidth="1"/>
    <col min="17" max="17" width="9.90625" style="1471" bestFit="1" customWidth="1"/>
    <col min="18" max="18" width="16.81640625" style="1471" bestFit="1" customWidth="1"/>
    <col min="19" max="21" width="8.08984375" style="1471" bestFit="1" customWidth="1"/>
    <col min="22" max="34" width="8.81640625" style="1471" bestFit="1" customWidth="1"/>
    <col min="35" max="35" width="2.36328125" style="1471" bestFit="1" customWidth="1"/>
    <col min="36" max="36" width="8.81640625" style="1471" bestFit="1" customWidth="1"/>
    <col min="37" max="37" width="5.90625" style="1471" bestFit="1" customWidth="1"/>
    <col min="38" max="38" width="4.08984375" style="1471" bestFit="1" customWidth="1"/>
    <col min="39" max="39" width="1.36328125" style="1471" bestFit="1" customWidth="1"/>
    <col min="40" max="40" width="8.08984375" style="1471" bestFit="1" customWidth="1"/>
    <col min="41" max="42" width="8.81640625" style="1471" bestFit="1" customWidth="1"/>
    <col min="43" max="16384" width="11.54296875" style="1471"/>
  </cols>
  <sheetData>
    <row r="1" spans="1:35" ht="12.75" customHeight="1" x14ac:dyDescent="0.25">
      <c r="H1" s="1476" t="s">
        <v>77</v>
      </c>
      <c r="I1" s="1476"/>
      <c r="J1" s="1476" t="s">
        <v>78</v>
      </c>
    </row>
    <row r="2" spans="1:35" ht="10.5" x14ac:dyDescent="0.25">
      <c r="F2" s="1478" t="s">
        <v>244</v>
      </c>
      <c r="G2" s="1478"/>
      <c r="H2" s="1479">
        <v>1005</v>
      </c>
      <c r="I2" s="1479"/>
      <c r="J2" s="1479">
        <v>1170</v>
      </c>
    </row>
    <row r="3" spans="1:35" s="1480" customFormat="1" ht="10.5" x14ac:dyDescent="0.35">
      <c r="A3" s="1679"/>
      <c r="B3" s="1481"/>
      <c r="C3" s="1656"/>
      <c r="D3" s="1482"/>
      <c r="E3" s="1483"/>
      <c r="F3" s="1483"/>
      <c r="G3" s="1483"/>
      <c r="H3" s="1483"/>
      <c r="I3" s="1483"/>
      <c r="J3" s="1483"/>
      <c r="K3" s="1483"/>
      <c r="L3" s="1483"/>
      <c r="M3" s="1484"/>
    </row>
    <row r="4" spans="1:35" s="1480" customFormat="1" ht="10.5" x14ac:dyDescent="0.35">
      <c r="A4" s="1679"/>
      <c r="B4" s="1481"/>
      <c r="C4" s="1656"/>
      <c r="D4" s="1482"/>
      <c r="E4" s="1483"/>
      <c r="F4" s="1483"/>
      <c r="G4" s="1483"/>
      <c r="H4" s="1483"/>
      <c r="I4" s="1483"/>
      <c r="J4" s="1483"/>
      <c r="K4" s="1485">
        <v>45628</v>
      </c>
      <c r="L4" s="1485"/>
      <c r="M4" s="1484"/>
    </row>
    <row r="5" spans="1:35" s="1480" customFormat="1" ht="10.5" x14ac:dyDescent="0.35">
      <c r="A5" s="1679"/>
      <c r="B5" s="1481"/>
      <c r="C5" s="1486" t="s">
        <v>245</v>
      </c>
      <c r="D5" s="1482"/>
      <c r="E5" s="1483"/>
      <c r="F5" s="1487"/>
      <c r="G5" s="1487"/>
      <c r="H5" s="1487"/>
      <c r="I5" s="1487"/>
      <c r="J5" s="1487"/>
      <c r="K5" s="1487"/>
      <c r="L5" s="1487"/>
      <c r="M5" s="1484"/>
    </row>
    <row r="6" spans="1:35" s="1480" customFormat="1" ht="10.5" x14ac:dyDescent="0.35">
      <c r="A6" s="1679"/>
      <c r="B6" s="1481"/>
      <c r="C6" s="1486" t="s">
        <v>87</v>
      </c>
      <c r="D6" s="1488"/>
      <c r="E6" s="1489"/>
      <c r="F6" s="1490"/>
      <c r="G6" s="1490"/>
      <c r="H6" s="1490"/>
      <c r="I6" s="1490"/>
      <c r="J6" s="1490"/>
      <c r="K6" s="1490"/>
      <c r="L6" s="1490"/>
      <c r="M6" s="1484"/>
      <c r="R6" s="1491" t="s">
        <v>246</v>
      </c>
    </row>
    <row r="7" spans="1:35" ht="15" customHeight="1" x14ac:dyDescent="0.25">
      <c r="A7" s="1680" t="s">
        <v>22</v>
      </c>
      <c r="B7" s="1492" t="s">
        <v>88</v>
      </c>
      <c r="C7" s="1657" t="s">
        <v>90</v>
      </c>
      <c r="D7" s="1493" t="s">
        <v>91</v>
      </c>
      <c r="E7" s="1494" t="s">
        <v>92</v>
      </c>
      <c r="F7" s="1495" t="s">
        <v>99</v>
      </c>
      <c r="G7" s="1495" t="s">
        <v>98</v>
      </c>
      <c r="H7" s="1496" t="s">
        <v>99</v>
      </c>
      <c r="I7" s="1496" t="s">
        <v>98</v>
      </c>
      <c r="J7" s="1497" t="s">
        <v>485</v>
      </c>
      <c r="K7" s="1497" t="s">
        <v>98</v>
      </c>
      <c r="L7" s="1498" t="s">
        <v>98</v>
      </c>
      <c r="R7" s="1499" t="s">
        <v>247</v>
      </c>
      <c r="S7" s="1499" t="s">
        <v>248</v>
      </c>
      <c r="T7" s="1499" t="s">
        <v>249</v>
      </c>
      <c r="U7" s="1499" t="s">
        <v>250</v>
      </c>
      <c r="V7" s="1499" t="s">
        <v>251</v>
      </c>
      <c r="W7" s="1499" t="s">
        <v>252</v>
      </c>
      <c r="X7" s="1499" t="s">
        <v>253</v>
      </c>
      <c r="Y7" s="1499" t="s">
        <v>254</v>
      </c>
      <c r="Z7" s="1499" t="s">
        <v>255</v>
      </c>
      <c r="AA7" s="1499" t="s">
        <v>256</v>
      </c>
      <c r="AB7" s="1499" t="s">
        <v>257</v>
      </c>
      <c r="AC7" s="1499" t="s">
        <v>258</v>
      </c>
      <c r="AD7" s="1499" t="s">
        <v>259</v>
      </c>
      <c r="AE7" s="1499" t="s">
        <v>260</v>
      </c>
      <c r="AF7" s="1499" t="s">
        <v>261</v>
      </c>
      <c r="AG7" s="1499" t="s">
        <v>262</v>
      </c>
      <c r="AH7" s="1499" t="s">
        <v>263</v>
      </c>
      <c r="AI7" s="1499" t="s">
        <v>264</v>
      </c>
    </row>
    <row r="8" spans="1:35" ht="12.75" customHeight="1" x14ac:dyDescent="0.25">
      <c r="A8" s="1681"/>
      <c r="B8" s="1500"/>
      <c r="C8" s="1590" t="s">
        <v>265</v>
      </c>
      <c r="D8" s="1501"/>
      <c r="E8" s="1502"/>
      <c r="F8" s="1897" t="s">
        <v>195</v>
      </c>
      <c r="G8" s="1898"/>
      <c r="H8" s="1899" t="s">
        <v>482</v>
      </c>
      <c r="I8" s="1900"/>
      <c r="J8" s="1901" t="s">
        <v>177</v>
      </c>
      <c r="K8" s="1902"/>
      <c r="L8" s="1503" t="s">
        <v>547</v>
      </c>
      <c r="M8" s="1504"/>
      <c r="N8" s="1505"/>
      <c r="R8" s="1506"/>
      <c r="S8" s="1506"/>
      <c r="T8" s="1506"/>
      <c r="U8" s="1506"/>
      <c r="V8" s="1506"/>
      <c r="W8" s="1507"/>
      <c r="X8" s="1507"/>
      <c r="Y8" s="1507"/>
      <c r="Z8" s="1507"/>
      <c r="AA8" s="1507"/>
      <c r="AB8" s="1507"/>
      <c r="AC8" s="1507"/>
      <c r="AD8" s="1507"/>
      <c r="AE8" s="1507"/>
      <c r="AF8" s="1507"/>
      <c r="AG8" s="1507"/>
      <c r="AH8" s="1507"/>
      <c r="AI8" s="1507"/>
    </row>
    <row r="9" spans="1:35" ht="10.5" x14ac:dyDescent="0.25">
      <c r="A9" s="1681"/>
      <c r="B9" s="1500">
        <v>1</v>
      </c>
      <c r="C9" s="1590" t="s">
        <v>105</v>
      </c>
      <c r="D9" s="1501"/>
      <c r="E9" s="1502"/>
      <c r="F9" s="1502"/>
      <c r="G9" s="1495">
        <f>SUM(G10:G19)</f>
        <v>4929340.2196694212</v>
      </c>
      <c r="H9" s="1502"/>
      <c r="I9" s="1496">
        <f>SUM(I10:I19)</f>
        <v>14632110.493099064</v>
      </c>
      <c r="J9" s="1502"/>
      <c r="K9" s="1508">
        <f>SUM(K10:K19)</f>
        <v>157296.24151571037</v>
      </c>
      <c r="L9" s="1509">
        <f>SUM(L10:L19)</f>
        <v>19561450.712768484</v>
      </c>
      <c r="M9" s="1504">
        <f>SUM(D9:K9)</f>
        <v>19718746.954284195</v>
      </c>
      <c r="N9" s="895">
        <f>M9-'01'!T8</f>
        <v>0</v>
      </c>
      <c r="R9" s="1506"/>
      <c r="S9" s="1506"/>
      <c r="T9" s="1506"/>
      <c r="U9" s="1506"/>
      <c r="V9" s="1506"/>
      <c r="W9" s="1507"/>
      <c r="X9" s="1507"/>
      <c r="Y9" s="1507"/>
      <c r="Z9" s="1507"/>
      <c r="AA9" s="1507"/>
      <c r="AB9" s="1507"/>
      <c r="AC9" s="1507"/>
      <c r="AD9" s="1507"/>
      <c r="AE9" s="1507"/>
      <c r="AF9" s="1507"/>
      <c r="AG9" s="1507"/>
      <c r="AH9" s="1507"/>
      <c r="AI9" s="1507"/>
    </row>
    <row r="10" spans="1:35" ht="10.5" outlineLevel="1" x14ac:dyDescent="0.25">
      <c r="A10" s="1682" t="s">
        <v>106</v>
      </c>
      <c r="B10" s="1510">
        <v>1.01</v>
      </c>
      <c r="C10" s="1658" t="s">
        <v>1007</v>
      </c>
      <c r="D10" s="1511" t="s">
        <v>107</v>
      </c>
      <c r="E10" s="1512">
        <v>0</v>
      </c>
      <c r="F10" s="1513">
        <f>VLOOKUP($C10,'01'!$C$7:$M$216,MATCH("P. Unit. MAT",'01'!$C$7:$M$7,0),0)</f>
        <v>0</v>
      </c>
      <c r="G10" s="1513">
        <f>F10*$E10</f>
        <v>0</v>
      </c>
      <c r="H10" s="1513">
        <f>VLOOKUP($C10,'01'!$C$7:$M$216,MATCH("P. Unit. MO",'01'!$C$7:$M$7,0),0)</f>
        <v>0</v>
      </c>
      <c r="I10" s="1513">
        <f>H10*$E10</f>
        <v>0</v>
      </c>
      <c r="J10" s="1513">
        <f>VLOOKUP($C10,'01'!$C$7:$M$216,MATCH("P. Unit. EQ",'01'!$C$7:$M$7,0),0)</f>
        <v>0</v>
      </c>
      <c r="K10" s="1513">
        <f>J10*$E10</f>
        <v>0</v>
      </c>
      <c r="L10" s="1513">
        <f>SUM(G10,I10,K10)</f>
        <v>0</v>
      </c>
      <c r="N10" s="1505"/>
      <c r="O10" s="1514">
        <f>+K10+I10+G10</f>
        <v>0</v>
      </c>
      <c r="P10" s="1514">
        <f>+'01'!V9</f>
        <v>0</v>
      </c>
      <c r="Q10" s="1471" t="e">
        <f>+P10/O10</f>
        <v>#DIV/0!</v>
      </c>
      <c r="R10" s="1515"/>
      <c r="S10" s="1515"/>
      <c r="T10" s="1515"/>
      <c r="U10" s="1515"/>
      <c r="V10" s="1515"/>
      <c r="W10" s="1515"/>
      <c r="X10" s="1515"/>
      <c r="Y10" s="1515"/>
      <c r="Z10" s="1515"/>
      <c r="AA10" s="1515"/>
      <c r="AB10" s="1515"/>
      <c r="AC10" s="1515"/>
      <c r="AD10" s="1515"/>
      <c r="AE10" s="1515"/>
      <c r="AF10" s="1515"/>
      <c r="AG10" s="1515"/>
      <c r="AH10" s="1515"/>
      <c r="AI10" s="1515">
        <f t="shared" ref="AI10:AI19" si="0">SUM(S10:AH10)</f>
        <v>0</v>
      </c>
    </row>
    <row r="11" spans="1:35" ht="10.5" outlineLevel="1" x14ac:dyDescent="0.25">
      <c r="A11" s="1683" t="s">
        <v>216</v>
      </c>
      <c r="B11" s="1516">
        <v>1.02</v>
      </c>
      <c r="C11" s="1574" t="s">
        <v>267</v>
      </c>
      <c r="D11" s="1517" t="s">
        <v>104</v>
      </c>
      <c r="E11" s="1518">
        <v>3</v>
      </c>
      <c r="F11" s="1519">
        <f>VLOOKUP($C11,'01'!$C$7:$M$216,MATCH("P. Unit. MAT",'01'!$C$7:$M$7,0),0)</f>
        <v>41666.666666666664</v>
      </c>
      <c r="G11" s="1519">
        <f t="shared" ref="G11:G19" si="1">F11*$E11</f>
        <v>125000</v>
      </c>
      <c r="H11" s="1519">
        <f>VLOOKUP($C11,'01'!$C$7:$M$216,MATCH("P. Unit. MO",'01'!$C$7:$M$7,0),0)</f>
        <v>255876.93698368053</v>
      </c>
      <c r="I11" s="1519">
        <f t="shared" ref="I11:K19" si="2">H11*$E11</f>
        <v>767630.81095104152</v>
      </c>
      <c r="J11" s="1519">
        <f>VLOOKUP($C11,'01'!$C$7:$M$216,MATCH("P. Unit. EQ",'01'!$C$7:$M$7,0),0)</f>
        <v>4463.1540547552077</v>
      </c>
      <c r="K11" s="1519">
        <f t="shared" si="2"/>
        <v>13389.462164265624</v>
      </c>
      <c r="L11" s="1519">
        <f>SUM(G11,I11)</f>
        <v>892630.81095104152</v>
      </c>
      <c r="N11" s="1505"/>
      <c r="O11" s="1514">
        <f t="shared" ref="O11:O57" si="3">+K11+I11+G11</f>
        <v>906020.27311530709</v>
      </c>
      <c r="P11" s="1514">
        <f>+'01'!V10</f>
        <v>1138764</v>
      </c>
      <c r="Q11" s="1471">
        <f t="shared" ref="Q11:Q57" si="4">+P11/O11</f>
        <v>1.2568857825713047</v>
      </c>
      <c r="R11" s="1515"/>
      <c r="S11" s="1515"/>
      <c r="T11" s="1515"/>
      <c r="U11" s="1515"/>
      <c r="V11" s="1515"/>
      <c r="W11" s="1515"/>
      <c r="X11" s="1515"/>
      <c r="Y11" s="1515"/>
      <c r="Z11" s="1515"/>
      <c r="AA11" s="1515"/>
      <c r="AB11" s="1515"/>
      <c r="AC11" s="1515"/>
      <c r="AD11" s="1515"/>
      <c r="AE11" s="1515"/>
      <c r="AF11" s="1515"/>
      <c r="AG11" s="1515"/>
      <c r="AH11" s="1515"/>
      <c r="AI11" s="1515">
        <f t="shared" si="0"/>
        <v>0</v>
      </c>
    </row>
    <row r="12" spans="1:35" ht="10.5" outlineLevel="1" x14ac:dyDescent="0.25">
      <c r="A12" s="1683" t="s">
        <v>106</v>
      </c>
      <c r="B12" s="1516">
        <v>1.03</v>
      </c>
      <c r="C12" s="1574" t="s">
        <v>1008</v>
      </c>
      <c r="D12" s="1520" t="s">
        <v>107</v>
      </c>
      <c r="E12" s="1521">
        <v>0</v>
      </c>
      <c r="F12" s="1519">
        <f>VLOOKUP($C12,'01'!$C$7:$M$216,MATCH("P. Unit. MAT",'01'!$C$7:$M$7,0),0)</f>
        <v>0</v>
      </c>
      <c r="G12" s="1519">
        <f t="shared" si="1"/>
        <v>0</v>
      </c>
      <c r="H12" s="1519">
        <f>VLOOKUP($C12,'01'!$C$7:$M$216,MATCH("P. Unit. MO",'01'!$C$7:$M$7,0),0)</f>
        <v>0</v>
      </c>
      <c r="I12" s="1519">
        <f t="shared" si="2"/>
        <v>0</v>
      </c>
      <c r="J12" s="1519">
        <f>VLOOKUP($C12,'01'!$C$7:$M$216,MATCH("P. Unit. EQ",'01'!$C$7:$M$7,0),0)</f>
        <v>0</v>
      </c>
      <c r="K12" s="1519">
        <f t="shared" si="2"/>
        <v>0</v>
      </c>
      <c r="L12" s="1519">
        <f t="shared" ref="L12:L57" si="5">SUM(G12,I12,K12)</f>
        <v>0</v>
      </c>
      <c r="N12" s="1505"/>
      <c r="O12" s="1514">
        <f t="shared" si="3"/>
        <v>0</v>
      </c>
      <c r="P12" s="1514">
        <f>+'01'!V11</f>
        <v>0</v>
      </c>
      <c r="Q12" s="1471" t="e">
        <f t="shared" si="4"/>
        <v>#DIV/0!</v>
      </c>
      <c r="R12" s="1515"/>
      <c r="S12" s="1515"/>
      <c r="T12" s="1515"/>
      <c r="U12" s="1515"/>
      <c r="V12" s="1515"/>
      <c r="W12" s="1515"/>
      <c r="X12" s="1515"/>
      <c r="Y12" s="1515"/>
      <c r="Z12" s="1515"/>
      <c r="AA12" s="1515"/>
      <c r="AB12" s="1515"/>
      <c r="AC12" s="1515"/>
      <c r="AD12" s="1515"/>
      <c r="AE12" s="1515"/>
      <c r="AF12" s="1515"/>
      <c r="AG12" s="1515"/>
      <c r="AH12" s="1515"/>
      <c r="AI12" s="1515">
        <f t="shared" si="0"/>
        <v>0</v>
      </c>
    </row>
    <row r="13" spans="1:35" ht="10.5" outlineLevel="1" x14ac:dyDescent="0.25">
      <c r="A13" s="1683" t="s">
        <v>106</v>
      </c>
      <c r="B13" s="1516">
        <v>1.04</v>
      </c>
      <c r="C13" s="1574" t="s">
        <v>1009</v>
      </c>
      <c r="D13" s="1517" t="s">
        <v>124</v>
      </c>
      <c r="E13" s="1518">
        <v>11</v>
      </c>
      <c r="F13" s="1519">
        <f>VLOOKUP($C13,'01'!$C$7:$M$216,MATCH("P. Unit. MAT",'01'!$C$7:$M$7,0),0)</f>
        <v>79773.18271975957</v>
      </c>
      <c r="G13" s="1519">
        <f t="shared" si="1"/>
        <v>877505.00991735526</v>
      </c>
      <c r="H13" s="1519">
        <f>VLOOKUP($C13,'01'!$C$7:$M$216,MATCH("P. Unit. MO",'01'!$C$7:$M$7,0),0)</f>
        <v>30923.374054493801</v>
      </c>
      <c r="I13" s="1519">
        <f t="shared" si="2"/>
        <v>340157.11459943181</v>
      </c>
      <c r="J13" s="1519">
        <f>VLOOKUP($C13,'01'!$C$7:$M$216,MATCH("P. Unit. EQ",'01'!$C$7:$M$7,0),0)</f>
        <v>1660.4483516138005</v>
      </c>
      <c r="K13" s="1519">
        <f t="shared" si="2"/>
        <v>18264.931867751806</v>
      </c>
      <c r="L13" s="1519">
        <f>SUM(G13,I13)</f>
        <v>1217662.124516787</v>
      </c>
      <c r="N13" s="1505"/>
      <c r="O13" s="1514">
        <f t="shared" si="3"/>
        <v>1235927.0563845388</v>
      </c>
      <c r="P13" s="1514">
        <f>+'01'!V12</f>
        <v>1553420</v>
      </c>
      <c r="Q13" s="1471">
        <f t="shared" si="4"/>
        <v>1.2568864739835248</v>
      </c>
      <c r="R13" s="1515"/>
      <c r="S13" s="1515"/>
      <c r="T13" s="1515"/>
      <c r="U13" s="1515"/>
      <c r="V13" s="1515"/>
      <c r="W13" s="1515"/>
      <c r="X13" s="1515"/>
      <c r="Y13" s="1515"/>
      <c r="Z13" s="1515"/>
      <c r="AA13" s="1515"/>
      <c r="AB13" s="1515"/>
      <c r="AC13" s="1515"/>
      <c r="AD13" s="1515"/>
      <c r="AE13" s="1515"/>
      <c r="AF13" s="1515"/>
      <c r="AG13" s="1515"/>
      <c r="AH13" s="1515"/>
      <c r="AI13" s="1515">
        <f t="shared" si="0"/>
        <v>0</v>
      </c>
    </row>
    <row r="14" spans="1:35" ht="10.5" outlineLevel="1" x14ac:dyDescent="0.25">
      <c r="A14" s="1683" t="s">
        <v>106</v>
      </c>
      <c r="B14" s="1516">
        <v>1.05</v>
      </c>
      <c r="C14" s="1574" t="s">
        <v>270</v>
      </c>
      <c r="D14" s="1517" t="s">
        <v>107</v>
      </c>
      <c r="E14" s="1518">
        <v>1</v>
      </c>
      <c r="F14" s="1519">
        <f>VLOOKUP($C14,'01'!$C$7:$M$216,MATCH("P. Unit. MAT",'01'!$C$7:$M$7,0),0)</f>
        <v>2400856.6973553719</v>
      </c>
      <c r="G14" s="1519">
        <f t="shared" si="1"/>
        <v>2400856.6973553719</v>
      </c>
      <c r="H14" s="1519">
        <f>VLOOKUP($C14,'01'!$C$7:$M$216,MATCH("P. Unit. MO",'01'!$C$7:$M$7,0),0)</f>
        <v>3516332.5020954548</v>
      </c>
      <c r="I14" s="1519">
        <f t="shared" si="2"/>
        <v>3516332.5020954548</v>
      </c>
      <c r="J14" s="1519">
        <f>VLOOKUP($C14,'01'!$C$7:$M$216,MATCH("P. Unit. EQ",'01'!$C$7:$M$7,0),0)</f>
        <v>88757.837991762397</v>
      </c>
      <c r="K14" s="1519">
        <f t="shared" si="2"/>
        <v>88757.837991762397</v>
      </c>
      <c r="L14" s="1519">
        <f>SUM(G14,I14)</f>
        <v>5917189.1994508263</v>
      </c>
      <c r="N14" s="1505"/>
      <c r="O14" s="1514">
        <f t="shared" si="3"/>
        <v>6005947.0374425892</v>
      </c>
      <c r="P14" s="1514">
        <f>+'01'!V13</f>
        <v>7548771</v>
      </c>
      <c r="Q14" s="1471">
        <f t="shared" si="4"/>
        <v>1.2568827119085562</v>
      </c>
      <c r="R14" s="1515"/>
      <c r="S14" s="1515"/>
      <c r="T14" s="1515"/>
      <c r="U14" s="1515"/>
      <c r="V14" s="1515"/>
      <c r="W14" s="1515"/>
      <c r="X14" s="1515"/>
      <c r="Y14" s="1515"/>
      <c r="Z14" s="1515"/>
      <c r="AA14" s="1515"/>
      <c r="AB14" s="1515"/>
      <c r="AC14" s="1515"/>
      <c r="AD14" s="1515"/>
      <c r="AE14" s="1515"/>
      <c r="AF14" s="1515"/>
      <c r="AG14" s="1515"/>
      <c r="AH14" s="1515"/>
      <c r="AI14" s="1515">
        <f t="shared" si="0"/>
        <v>0</v>
      </c>
    </row>
    <row r="15" spans="1:35" ht="10.5" outlineLevel="1" x14ac:dyDescent="0.25">
      <c r="A15" s="1683" t="s">
        <v>103</v>
      </c>
      <c r="B15" s="1516">
        <v>1.06</v>
      </c>
      <c r="C15" s="1574" t="s">
        <v>271</v>
      </c>
      <c r="D15" s="1517" t="s">
        <v>101</v>
      </c>
      <c r="E15" s="1518">
        <v>3</v>
      </c>
      <c r="F15" s="1519">
        <f>VLOOKUP($C15,'01'!$C$7:$M$216,MATCH("P. Unit. MAT",'01'!$C$7:$M$7,0),0)</f>
        <v>0</v>
      </c>
      <c r="G15" s="1519">
        <f t="shared" si="1"/>
        <v>0</v>
      </c>
      <c r="H15" s="1519">
        <f>VLOOKUP($C15,'01'!$C$7:$M$216,MATCH("P. Unit. MO",'01'!$C$7:$M$7,0),0)</f>
        <v>311904.59051046934</v>
      </c>
      <c r="I15" s="1519">
        <f t="shared" si="2"/>
        <v>935713.77153140795</v>
      </c>
      <c r="J15" s="1519">
        <f>VLOOKUP($C15,'01'!$C$7:$M$216,MATCH("P. Unit. EQ",'01'!$C$7:$M$7,0),0)</f>
        <v>0</v>
      </c>
      <c r="K15" s="1519">
        <f t="shared" si="2"/>
        <v>0</v>
      </c>
      <c r="L15" s="1519">
        <f t="shared" si="5"/>
        <v>935713.77153140795</v>
      </c>
      <c r="N15" s="1505"/>
      <c r="O15" s="1514">
        <f t="shared" si="3"/>
        <v>935713.77153140795</v>
      </c>
      <c r="P15" s="1514">
        <f>+'01'!V14</f>
        <v>1176084</v>
      </c>
      <c r="Q15" s="1471">
        <f t="shared" si="4"/>
        <v>1.2568843547906721</v>
      </c>
      <c r="R15" s="1515"/>
      <c r="S15" s="1515"/>
      <c r="T15" s="1515"/>
      <c r="U15" s="1515"/>
      <c r="V15" s="1515"/>
      <c r="W15" s="1515"/>
      <c r="X15" s="1515"/>
      <c r="Y15" s="1515"/>
      <c r="Z15" s="1515"/>
      <c r="AA15" s="1515"/>
      <c r="AB15" s="1515"/>
      <c r="AC15" s="1515"/>
      <c r="AD15" s="1515"/>
      <c r="AE15" s="1515"/>
      <c r="AF15" s="1515"/>
      <c r="AG15" s="1515"/>
      <c r="AH15" s="1515"/>
      <c r="AI15" s="1515">
        <f t="shared" si="0"/>
        <v>0</v>
      </c>
    </row>
    <row r="16" spans="1:35" ht="10.5" outlineLevel="1" x14ac:dyDescent="0.25">
      <c r="A16" s="1683" t="s">
        <v>106</v>
      </c>
      <c r="B16" s="1516">
        <v>1.07</v>
      </c>
      <c r="C16" s="1574" t="s">
        <v>272</v>
      </c>
      <c r="D16" s="1517" t="s">
        <v>107</v>
      </c>
      <c r="E16" s="1518">
        <v>1</v>
      </c>
      <c r="F16" s="1519">
        <f>VLOOKUP($C16,'01'!$C$7:$M$216,MATCH("P. Unit. MAT",'01'!$C$7:$M$7,0),0)</f>
        <v>845578.51239669416</v>
      </c>
      <c r="G16" s="1519">
        <f t="shared" si="1"/>
        <v>845578.51239669416</v>
      </c>
      <c r="H16" s="1519">
        <f>VLOOKUP($C16,'01'!$C$7:$M$216,MATCH("P. Unit. MO",'01'!$C$7:$M$7,0),0)</f>
        <v>511535.56413257582</v>
      </c>
      <c r="I16" s="1519">
        <f t="shared" si="2"/>
        <v>511535.56413257582</v>
      </c>
      <c r="J16" s="1519">
        <f>VLOOKUP($C16,'01'!$C$7:$M$216,MATCH("P. Unit. EQ",'01'!$C$7:$M$7,0),0)</f>
        <v>20356.711147939051</v>
      </c>
      <c r="K16" s="1519">
        <f t="shared" si="2"/>
        <v>20356.711147939051</v>
      </c>
      <c r="L16" s="1519">
        <f>SUM(G16,I16)</f>
        <v>1357114.07652927</v>
      </c>
      <c r="N16" s="1505"/>
      <c r="O16" s="1514">
        <f t="shared" si="3"/>
        <v>1377470.7876772089</v>
      </c>
      <c r="P16" s="1514">
        <f>+'01'!V15</f>
        <v>1731320</v>
      </c>
      <c r="Q16" s="1471">
        <f t="shared" si="4"/>
        <v>1.2568832787513973</v>
      </c>
      <c r="R16" s="1515"/>
      <c r="S16" s="1515"/>
      <c r="T16" s="1515"/>
      <c r="U16" s="1515"/>
      <c r="V16" s="1515"/>
      <c r="W16" s="1515"/>
      <c r="X16" s="1515"/>
      <c r="Y16" s="1515"/>
      <c r="Z16" s="1515"/>
      <c r="AA16" s="1515"/>
      <c r="AB16" s="1515"/>
      <c r="AC16" s="1515"/>
      <c r="AD16" s="1515"/>
      <c r="AE16" s="1515"/>
      <c r="AF16" s="1515"/>
      <c r="AG16" s="1515"/>
      <c r="AH16" s="1515"/>
      <c r="AI16" s="1515">
        <f t="shared" si="0"/>
        <v>0</v>
      </c>
    </row>
    <row r="17" spans="1:35" ht="10.5" outlineLevel="1" x14ac:dyDescent="0.25">
      <c r="A17" s="1683" t="s">
        <v>106</v>
      </c>
      <c r="B17" s="1516">
        <v>1.08</v>
      </c>
      <c r="C17" s="1574" t="s">
        <v>273</v>
      </c>
      <c r="D17" s="1517" t="s">
        <v>107</v>
      </c>
      <c r="E17" s="1518">
        <v>1</v>
      </c>
      <c r="F17" s="1519">
        <f>VLOOKUP($C17,'01'!$C$7:$M$216,MATCH("P. Unit. MAT",'01'!$C$7:$M$7,0),0)</f>
        <v>680400</v>
      </c>
      <c r="G17" s="1519">
        <f t="shared" si="1"/>
        <v>680400</v>
      </c>
      <c r="H17" s="1519">
        <f>VLOOKUP($C17,'01'!$C$7:$M$216,MATCH("P. Unit. MO",'01'!$C$7:$M$7,0),0)</f>
        <v>421419.88959943189</v>
      </c>
      <c r="I17" s="1519">
        <f t="shared" si="2"/>
        <v>421419.88959943189</v>
      </c>
      <c r="J17" s="1519">
        <f>VLOOKUP($C17,'01'!$C$7:$M$216,MATCH("P. Unit. EQ",'01'!$C$7:$M$7,0),0)</f>
        <v>16527.298343991475</v>
      </c>
      <c r="K17" s="1519">
        <f t="shared" si="2"/>
        <v>16527.298343991475</v>
      </c>
      <c r="L17" s="1519">
        <f>SUM(G17,I17)</f>
        <v>1101819.8895994318</v>
      </c>
      <c r="N17" s="1505"/>
      <c r="O17" s="1514">
        <f t="shared" si="3"/>
        <v>1118347.1879434234</v>
      </c>
      <c r="P17" s="1514">
        <f>+'01'!V16</f>
        <v>1405632</v>
      </c>
      <c r="Q17" s="1471">
        <f t="shared" si="4"/>
        <v>1.2568833857264639</v>
      </c>
      <c r="R17" s="1515"/>
      <c r="S17" s="1515"/>
      <c r="T17" s="1515"/>
      <c r="U17" s="1515"/>
      <c r="V17" s="1515"/>
      <c r="W17" s="1515"/>
      <c r="X17" s="1515"/>
      <c r="Y17" s="1515"/>
      <c r="Z17" s="1515"/>
      <c r="AA17" s="1515"/>
      <c r="AB17" s="1515"/>
      <c r="AC17" s="1515"/>
      <c r="AD17" s="1515"/>
      <c r="AE17" s="1515"/>
      <c r="AF17" s="1515"/>
      <c r="AG17" s="1515"/>
      <c r="AH17" s="1515"/>
      <c r="AI17" s="1515">
        <f t="shared" si="0"/>
        <v>0</v>
      </c>
    </row>
    <row r="18" spans="1:35" ht="10.5" outlineLevel="1" x14ac:dyDescent="0.25">
      <c r="A18" s="1683" t="s">
        <v>103</v>
      </c>
      <c r="B18" s="1516">
        <v>1.0900000000000001</v>
      </c>
      <c r="C18" s="1574" t="s">
        <v>274</v>
      </c>
      <c r="D18" s="1517" t="s">
        <v>107</v>
      </c>
      <c r="E18" s="1518">
        <v>1</v>
      </c>
      <c r="F18" s="1519">
        <f>VLOOKUP($C18,'01'!$C$7:$M$216,MATCH("P. Unit. MAT",'01'!$C$7:$M$7,0),0)</f>
        <v>0</v>
      </c>
      <c r="G18" s="1519">
        <f t="shared" si="1"/>
        <v>0</v>
      </c>
      <c r="H18" s="1519">
        <f>VLOOKUP($C18,'01'!$C$7:$M$216,MATCH("P. Unit. MO",'01'!$C$7:$M$7,0),0)</f>
        <v>339320.84018972021</v>
      </c>
      <c r="I18" s="1519">
        <f t="shared" si="2"/>
        <v>339320.84018972021</v>
      </c>
      <c r="J18" s="1519">
        <f>VLOOKUP($C18,'01'!$C$7:$M$216,MATCH("P. Unit. EQ",'01'!$C$7:$M$7,0),0)</f>
        <v>0</v>
      </c>
      <c r="K18" s="1519">
        <f t="shared" si="2"/>
        <v>0</v>
      </c>
      <c r="L18" s="1519">
        <f t="shared" si="5"/>
        <v>339320.84018972021</v>
      </c>
      <c r="N18" s="1505"/>
      <c r="O18" s="1514">
        <f t="shared" si="3"/>
        <v>339320.84018972021</v>
      </c>
      <c r="P18" s="1514">
        <f>+'01'!V17</f>
        <v>426487</v>
      </c>
      <c r="Q18" s="1471">
        <f t="shared" si="4"/>
        <v>1.2568841918508267</v>
      </c>
      <c r="R18" s="1515"/>
      <c r="S18" s="1515"/>
      <c r="T18" s="1515"/>
      <c r="U18" s="1515"/>
      <c r="V18" s="1515"/>
      <c r="W18" s="1515"/>
      <c r="X18" s="1515"/>
      <c r="Y18" s="1515"/>
      <c r="Z18" s="1515"/>
      <c r="AA18" s="1515"/>
      <c r="AB18" s="1515"/>
      <c r="AC18" s="1515"/>
      <c r="AD18" s="1515"/>
      <c r="AE18" s="1515"/>
      <c r="AF18" s="1515"/>
      <c r="AG18" s="1515"/>
      <c r="AH18" s="1515"/>
      <c r="AI18" s="1515">
        <f t="shared" si="0"/>
        <v>0</v>
      </c>
    </row>
    <row r="19" spans="1:35" ht="10.5" outlineLevel="1" x14ac:dyDescent="0.25">
      <c r="A19" s="1684" t="s">
        <v>574</v>
      </c>
      <c r="B19" s="1522">
        <v>1.1000000000000001</v>
      </c>
      <c r="C19" s="1659" t="s">
        <v>275</v>
      </c>
      <c r="D19" s="1523" t="s">
        <v>107</v>
      </c>
      <c r="E19" s="1524">
        <v>1</v>
      </c>
      <c r="F19" s="1519">
        <f>VLOOKUP($C19,'01'!$C$7:$M$216,MATCH("P. Unit. MAT",'01'!$C$7:$M$7,0),0)</f>
        <v>0</v>
      </c>
      <c r="G19" s="1519">
        <f t="shared" si="1"/>
        <v>0</v>
      </c>
      <c r="H19" s="1519">
        <f>VLOOKUP($C19,'01'!$C$7:$M$216,MATCH("P. Unit. MO",'01'!$C$7:$M$7,0),0)</f>
        <v>7800000</v>
      </c>
      <c r="I19" s="1519">
        <f t="shared" si="2"/>
        <v>7800000</v>
      </c>
      <c r="J19" s="1525">
        <f>VLOOKUP($C19,'01'!$C$7:$M$216,MATCH("P. Unit. EQ",'01'!$C$7:$M$7,0),0)</f>
        <v>0</v>
      </c>
      <c r="K19" s="1519">
        <f t="shared" si="2"/>
        <v>0</v>
      </c>
      <c r="L19" s="1519">
        <f t="shared" si="5"/>
        <v>7800000</v>
      </c>
      <c r="N19" s="1505"/>
      <c r="O19" s="1514">
        <f t="shared" si="3"/>
        <v>7800000</v>
      </c>
      <c r="P19" s="1514">
        <f>+'01'!V18</f>
        <v>9803685</v>
      </c>
      <c r="Q19" s="1471">
        <f t="shared" si="4"/>
        <v>1.2568826923076923</v>
      </c>
      <c r="R19" s="1515"/>
      <c r="S19" s="1515"/>
      <c r="T19" s="1515"/>
      <c r="U19" s="1515"/>
      <c r="V19" s="1515"/>
      <c r="W19" s="1515"/>
      <c r="X19" s="1515"/>
      <c r="Y19" s="1515"/>
      <c r="Z19" s="1515"/>
      <c r="AA19" s="1515"/>
      <c r="AB19" s="1515"/>
      <c r="AC19" s="1515"/>
      <c r="AD19" s="1515"/>
      <c r="AE19" s="1515"/>
      <c r="AF19" s="1515"/>
      <c r="AG19" s="1515"/>
      <c r="AH19" s="1515"/>
      <c r="AI19" s="1515">
        <f t="shared" si="0"/>
        <v>0</v>
      </c>
    </row>
    <row r="20" spans="1:35" ht="10.5" x14ac:dyDescent="0.25">
      <c r="A20" s="1681"/>
      <c r="B20" s="1500">
        <v>2</v>
      </c>
      <c r="C20" s="1590" t="s">
        <v>196</v>
      </c>
      <c r="D20" s="1501"/>
      <c r="E20" s="1502"/>
      <c r="F20" s="1502"/>
      <c r="G20" s="1526">
        <f>SUM(G21:G24)</f>
        <v>0</v>
      </c>
      <c r="H20" s="1502"/>
      <c r="I20" s="1527">
        <f>SUM(I21:I24)</f>
        <v>33281247.445314389</v>
      </c>
      <c r="J20" s="1502"/>
      <c r="K20" s="1508">
        <f>SUM(K21:K24)</f>
        <v>148304.68456291873</v>
      </c>
      <c r="L20" s="1509">
        <f>SUM(L21:L24)</f>
        <v>33281247.445314389</v>
      </c>
      <c r="M20" s="1504">
        <f>SUM(D20:K20)</f>
        <v>33429552.129877307</v>
      </c>
      <c r="N20" s="895">
        <f>M20-'01'!T19</f>
        <v>0</v>
      </c>
      <c r="O20" s="1514"/>
      <c r="P20" s="1514"/>
      <c r="R20" s="1506"/>
      <c r="S20" s="1506"/>
      <c r="T20" s="1506"/>
      <c r="U20" s="1506"/>
      <c r="V20" s="1506"/>
      <c r="W20" s="1507"/>
      <c r="X20" s="1507"/>
      <c r="Y20" s="1507"/>
      <c r="Z20" s="1507"/>
      <c r="AA20" s="1507"/>
      <c r="AB20" s="1507"/>
      <c r="AC20" s="1507"/>
      <c r="AD20" s="1507"/>
      <c r="AE20" s="1507"/>
      <c r="AF20" s="1507"/>
      <c r="AG20" s="1507"/>
      <c r="AH20" s="1507"/>
      <c r="AI20" s="1507"/>
    </row>
    <row r="21" spans="1:35" ht="10.5" outlineLevel="1" x14ac:dyDescent="0.25">
      <c r="A21" s="1683" t="s">
        <v>161</v>
      </c>
      <c r="B21" s="1516" t="s">
        <v>488</v>
      </c>
      <c r="C21" s="1528" t="s">
        <v>276</v>
      </c>
      <c r="D21" s="1529" t="s">
        <v>108</v>
      </c>
      <c r="E21" s="1530">
        <v>1266</v>
      </c>
      <c r="F21" s="1519">
        <f>VLOOKUP($C21,'01'!$C$7:$M$216,MATCH("P. Unit. MAT",'01'!$C$7:$M$7,0),0)</f>
        <v>0</v>
      </c>
      <c r="G21" s="1531">
        <f t="shared" ref="G21:G57" si="6">F21*$E21</f>
        <v>0</v>
      </c>
      <c r="H21" s="1519">
        <f>'01'!I20</f>
        <v>18399.999999999996</v>
      </c>
      <c r="I21" s="1531">
        <f t="shared" ref="I21:I57" si="7">H21*$E21</f>
        <v>23294399.999999996</v>
      </c>
      <c r="J21" s="1519">
        <f>VLOOKUP($C21,'01'!$C$7:$M$216,MATCH("P. Unit. EQ",'01'!$C$7:$M$7,0),0)</f>
        <v>117.14430060262143</v>
      </c>
      <c r="K21" s="1519">
        <f t="shared" ref="K21" si="8">J21*$E21</f>
        <v>148304.68456291873</v>
      </c>
      <c r="L21" s="1519">
        <f>SUM(G21,I21)</f>
        <v>23294399.999999996</v>
      </c>
      <c r="N21" s="1505"/>
      <c r="O21" s="1514">
        <f t="shared" si="3"/>
        <v>23442704.684562914</v>
      </c>
      <c r="P21" s="1514">
        <f>+'01'!V20</f>
        <v>41891940</v>
      </c>
      <c r="Q21" s="1471">
        <f t="shared" si="4"/>
        <v>1.7869926087319592</v>
      </c>
      <c r="R21" s="1515"/>
      <c r="S21" s="1515"/>
      <c r="T21" s="1515"/>
      <c r="U21" s="1515"/>
      <c r="V21" s="1515"/>
      <c r="W21" s="1515"/>
      <c r="X21" s="1515"/>
      <c r="Y21" s="1515"/>
      <c r="Z21" s="1515"/>
      <c r="AA21" s="1515"/>
      <c r="AB21" s="1515"/>
      <c r="AC21" s="1515"/>
      <c r="AD21" s="1515"/>
      <c r="AE21" s="1515"/>
      <c r="AF21" s="1515"/>
      <c r="AG21" s="1515"/>
      <c r="AH21" s="1515"/>
      <c r="AI21" s="1515">
        <f>SUM(S21:AH21)</f>
        <v>0</v>
      </c>
    </row>
    <row r="22" spans="1:35" ht="10.5" outlineLevel="1" x14ac:dyDescent="0.25">
      <c r="A22" s="1683" t="s">
        <v>110</v>
      </c>
      <c r="B22" s="1516" t="s">
        <v>487</v>
      </c>
      <c r="C22" s="1528" t="s">
        <v>276</v>
      </c>
      <c r="D22" s="1529" t="s">
        <v>108</v>
      </c>
      <c r="E22" s="1530">
        <v>1266</v>
      </c>
      <c r="F22" s="1519">
        <f>VLOOKUP($C22,'01'!$C$7:$M$216,MATCH("P. Unit. MAT",'01'!$C$7:$M$7,0),0)</f>
        <v>0</v>
      </c>
      <c r="G22" s="1531">
        <f t="shared" ref="G22" si="9">F22*$E22</f>
        <v>0</v>
      </c>
      <c r="H22" s="1519">
        <f>'01'!J20</f>
        <v>7809.6200401747619</v>
      </c>
      <c r="I22" s="1531">
        <f t="shared" si="7"/>
        <v>9886978.9708612487</v>
      </c>
      <c r="J22" s="1519">
        <v>0</v>
      </c>
      <c r="K22" s="1519">
        <f t="shared" ref="K22:K23" si="10">J22*$E22</f>
        <v>0</v>
      </c>
      <c r="L22" s="1519">
        <f t="shared" si="5"/>
        <v>9886978.9708612487</v>
      </c>
      <c r="N22" s="1505"/>
      <c r="O22" s="1514">
        <f t="shared" si="3"/>
        <v>9886978.9708612487</v>
      </c>
      <c r="P22" s="1514">
        <f>+'01'!V21</f>
        <v>0</v>
      </c>
      <c r="Q22" s="1471">
        <f t="shared" si="4"/>
        <v>0</v>
      </c>
      <c r="R22" s="1515"/>
      <c r="S22" s="1515"/>
      <c r="T22" s="1515"/>
      <c r="U22" s="1515"/>
      <c r="V22" s="1515"/>
      <c r="W22" s="1515"/>
      <c r="X22" s="1515"/>
      <c r="Y22" s="1515"/>
      <c r="Z22" s="1515"/>
      <c r="AA22" s="1515"/>
      <c r="AB22" s="1515"/>
      <c r="AC22" s="1515"/>
      <c r="AD22" s="1515"/>
      <c r="AE22" s="1515"/>
      <c r="AF22" s="1515"/>
      <c r="AG22" s="1515"/>
      <c r="AH22" s="1515"/>
      <c r="AI22" s="1515"/>
    </row>
    <row r="23" spans="1:35" ht="10.5" outlineLevel="1" x14ac:dyDescent="0.25">
      <c r="A23" s="1683" t="s">
        <v>161</v>
      </c>
      <c r="B23" s="1516">
        <v>2.02</v>
      </c>
      <c r="C23" s="1660" t="s">
        <v>1010</v>
      </c>
      <c r="D23" s="1517" t="s">
        <v>107</v>
      </c>
      <c r="E23" s="1530">
        <v>0</v>
      </c>
      <c r="F23" s="1519">
        <f>VLOOKUP($C23,'01'!$C$7:$M$216,MATCH("P. Unit. MAT",'01'!$C$7:$M$7,0),0)</f>
        <v>0</v>
      </c>
      <c r="G23" s="1519">
        <f t="shared" si="6"/>
        <v>0</v>
      </c>
      <c r="H23" s="1519">
        <f>VLOOKUP($C23,'01'!$C$7:$M$216,MATCH("P. Unit. MO",'01'!$C$7:$M$7,0),0)</f>
        <v>0</v>
      </c>
      <c r="I23" s="1519">
        <f t="shared" si="7"/>
        <v>0</v>
      </c>
      <c r="J23" s="1519">
        <f>VLOOKUP($C23,'01'!$C$7:$M$216,MATCH("P. Unit. EQ",'01'!$C$7:$M$7,0),0)</f>
        <v>0</v>
      </c>
      <c r="K23" s="1519">
        <f t="shared" si="10"/>
        <v>0</v>
      </c>
      <c r="L23" s="1519">
        <f t="shared" si="5"/>
        <v>0</v>
      </c>
      <c r="N23" s="1505"/>
      <c r="O23" s="1514">
        <f t="shared" si="3"/>
        <v>0</v>
      </c>
      <c r="P23" s="1514">
        <f>+'01'!V22</f>
        <v>125524</v>
      </c>
      <c r="Q23" s="1471" t="e">
        <f t="shared" si="4"/>
        <v>#DIV/0!</v>
      </c>
      <c r="R23" s="1515"/>
      <c r="S23" s="1515"/>
      <c r="T23" s="1515"/>
      <c r="U23" s="1515"/>
      <c r="V23" s="1515"/>
      <c r="W23" s="1515"/>
      <c r="X23" s="1515"/>
      <c r="Y23" s="1515"/>
      <c r="Z23" s="1515"/>
      <c r="AA23" s="1515"/>
      <c r="AB23" s="1515"/>
      <c r="AC23" s="1515"/>
      <c r="AD23" s="1515"/>
      <c r="AE23" s="1515"/>
      <c r="AF23" s="1515"/>
      <c r="AG23" s="1515"/>
      <c r="AH23" s="1515"/>
      <c r="AI23" s="1515">
        <f>SUM(S23:AH23)</f>
        <v>0</v>
      </c>
    </row>
    <row r="24" spans="1:35" ht="10.5" outlineLevel="1" x14ac:dyDescent="0.25">
      <c r="A24" s="1683" t="s">
        <v>110</v>
      </c>
      <c r="B24" s="1516">
        <v>2.0299999999999998</v>
      </c>
      <c r="C24" s="1528" t="s">
        <v>278</v>
      </c>
      <c r="D24" s="1529" t="s">
        <v>108</v>
      </c>
      <c r="E24" s="1530">
        <v>2</v>
      </c>
      <c r="F24" s="1519">
        <f>VLOOKUP($C24,'01'!$C$7:$M$216,MATCH("P. Unit. MAT",'01'!$C$7:$M$7,0),0)</f>
        <v>0</v>
      </c>
      <c r="G24" s="1519">
        <f t="shared" si="6"/>
        <v>0</v>
      </c>
      <c r="H24" s="1519">
        <f>VLOOKUP($C24,'01'!$C$7:$M$216,MATCH("P. Unit. MO",'01'!$C$7:$M$7,0),0)</f>
        <v>49934.237226571968</v>
      </c>
      <c r="I24" s="1519">
        <f t="shared" si="7"/>
        <v>99868.474453143936</v>
      </c>
      <c r="J24" s="1519">
        <f>VLOOKUP($C24,'01'!$C$7:$M$216,MATCH("P. Unit. EQ",'01'!$C$7:$M$7,0),0)</f>
        <v>0</v>
      </c>
      <c r="K24" s="1519">
        <f t="shared" ref="K24" si="11">J24*$E24</f>
        <v>0</v>
      </c>
      <c r="L24" s="1519">
        <f t="shared" si="5"/>
        <v>99868.474453143936</v>
      </c>
      <c r="N24" s="1505"/>
      <c r="O24" s="1514">
        <f t="shared" si="3"/>
        <v>99868.474453143936</v>
      </c>
      <c r="P24" s="1514">
        <f>+'01'!V23</f>
        <v>0</v>
      </c>
      <c r="Q24" s="1471">
        <f t="shared" si="4"/>
        <v>0</v>
      </c>
      <c r="R24" s="1515"/>
      <c r="S24" s="1515"/>
      <c r="T24" s="1515"/>
      <c r="U24" s="1515"/>
      <c r="V24" s="1515"/>
      <c r="W24" s="1515"/>
      <c r="X24" s="1515"/>
      <c r="Y24" s="1515"/>
      <c r="Z24" s="1515"/>
      <c r="AA24" s="1515"/>
      <c r="AB24" s="1515"/>
      <c r="AC24" s="1515"/>
      <c r="AD24" s="1515"/>
      <c r="AE24" s="1515"/>
      <c r="AF24" s="1515"/>
      <c r="AG24" s="1515"/>
      <c r="AH24" s="1515"/>
      <c r="AI24" s="1515">
        <f>SUM(S24:AH24)</f>
        <v>0</v>
      </c>
    </row>
    <row r="25" spans="1:35" ht="10.5" x14ac:dyDescent="0.25">
      <c r="A25" s="1681"/>
      <c r="B25" s="1500">
        <v>3</v>
      </c>
      <c r="C25" s="1411" t="s">
        <v>279</v>
      </c>
      <c r="D25" s="1501"/>
      <c r="E25" s="1502"/>
      <c r="F25" s="1502"/>
      <c r="G25" s="1526">
        <f>SUM(G26:G42)</f>
        <v>39767922.338113993</v>
      </c>
      <c r="H25" s="1502"/>
      <c r="I25" s="1527">
        <f>SUM(I26:I42)</f>
        <v>150028385.87163171</v>
      </c>
      <c r="J25" s="1502"/>
      <c r="K25" s="1508">
        <f>SUM(K26:K42)</f>
        <v>11551279.304964367</v>
      </c>
      <c r="L25" s="1509">
        <f>SUM(L26:L42)</f>
        <v>201347587.51471001</v>
      </c>
      <c r="M25" s="1504">
        <f>SUM(D25:K25)</f>
        <v>201347587.51471007</v>
      </c>
      <c r="N25" s="895">
        <f>M25-'01'!T23</f>
        <v>0</v>
      </c>
      <c r="O25" s="1514">
        <f t="shared" si="3"/>
        <v>201347587.51471007</v>
      </c>
      <c r="P25" s="1514">
        <f>+'01'!V24</f>
        <v>11006730</v>
      </c>
      <c r="Q25" s="1471">
        <f t="shared" si="4"/>
        <v>5.4665318496532118E-2</v>
      </c>
      <c r="R25" s="1506"/>
      <c r="S25" s="1506"/>
      <c r="T25" s="1506"/>
      <c r="U25" s="1506"/>
      <c r="V25" s="1506"/>
      <c r="W25" s="1507"/>
      <c r="X25" s="1507"/>
      <c r="Y25" s="1507"/>
      <c r="Z25" s="1507"/>
      <c r="AA25" s="1507"/>
      <c r="AB25" s="1507"/>
      <c r="AC25" s="1507"/>
      <c r="AD25" s="1507"/>
      <c r="AE25" s="1507"/>
      <c r="AF25" s="1507"/>
      <c r="AG25" s="1507"/>
      <c r="AH25" s="1507"/>
      <c r="AI25" s="1507"/>
    </row>
    <row r="26" spans="1:35" ht="10.5" outlineLevel="1" x14ac:dyDescent="0.25">
      <c r="A26" s="1683" t="s">
        <v>110</v>
      </c>
      <c r="B26" s="1516">
        <v>3.01</v>
      </c>
      <c r="C26" s="1661" t="s">
        <v>280</v>
      </c>
      <c r="D26" s="1520" t="s">
        <v>108</v>
      </c>
      <c r="E26" s="1521">
        <v>35</v>
      </c>
      <c r="F26" s="1519">
        <f>VLOOKUP($C26,'01'!$C$7:$M$216,MATCH("P. Unit. MAT",'01'!$C$7:$M$7,0),0)</f>
        <v>196572.85714285716</v>
      </c>
      <c r="G26" s="1519">
        <f t="shared" si="6"/>
        <v>6880050.0000000009</v>
      </c>
      <c r="H26" s="1519">
        <f>VLOOKUP($C26,'01'!$C$7:$M$216,MATCH("P. Unit. MO",'01'!$C$7:$M$7,0),0)</f>
        <v>49934.237226571968</v>
      </c>
      <c r="I26" s="1519">
        <f t="shared" si="7"/>
        <v>1747698.3029300189</v>
      </c>
      <c r="J26" s="1519">
        <f>VLOOKUP($C26,'01'!$C$7:$M$216,MATCH("P. Unit. EQ",'01'!$C$7:$M$7,0),0)</f>
        <v>3697.6064155414369</v>
      </c>
      <c r="K26" s="1519">
        <f t="shared" ref="K26" si="12">J26*$E26</f>
        <v>129416.22454395029</v>
      </c>
      <c r="L26" s="1519">
        <f t="shared" si="5"/>
        <v>8757164.5274739694</v>
      </c>
      <c r="N26" s="1505"/>
      <c r="O26" s="1514">
        <f t="shared" si="3"/>
        <v>8757164.5274739694</v>
      </c>
      <c r="P26" s="1514">
        <f>+'01'!V25</f>
        <v>19316360</v>
      </c>
      <c r="Q26" s="1471">
        <f t="shared" si="4"/>
        <v>2.205777902127855</v>
      </c>
      <c r="R26" s="1532"/>
      <c r="S26" s="1532"/>
      <c r="T26" s="1532"/>
      <c r="U26" s="1532"/>
      <c r="V26" s="1532"/>
      <c r="W26" s="1532"/>
      <c r="X26" s="1532"/>
      <c r="Y26" s="1532"/>
      <c r="Z26" s="1532"/>
      <c r="AA26" s="1532"/>
      <c r="AB26" s="1515"/>
      <c r="AC26" s="1515"/>
      <c r="AD26" s="1515"/>
      <c r="AE26" s="1515"/>
      <c r="AF26" s="1515"/>
      <c r="AG26" s="1515"/>
      <c r="AH26" s="1515"/>
      <c r="AI26" s="1515">
        <f t="shared" ref="AI26:AI42" si="13">SUM(S26:AH26)</f>
        <v>0</v>
      </c>
    </row>
    <row r="27" spans="1:35" ht="10.5" outlineLevel="1" x14ac:dyDescent="0.25">
      <c r="A27" s="1683" t="s">
        <v>110</v>
      </c>
      <c r="B27" s="1516">
        <v>3.02</v>
      </c>
      <c r="C27" s="1661" t="s">
        <v>281</v>
      </c>
      <c r="D27" s="1520" t="s">
        <v>108</v>
      </c>
      <c r="E27" s="1521">
        <v>40</v>
      </c>
      <c r="F27" s="1519">
        <f>VLOOKUP($C27,'01'!$C$7:$M$216,MATCH("P. Unit. MAT",'01'!$C$7:$M$7,0),0)</f>
        <v>70843.445714285714</v>
      </c>
      <c r="G27" s="1519">
        <f t="shared" si="6"/>
        <v>2833737.8285714285</v>
      </c>
      <c r="H27" s="1519">
        <f>VLOOKUP($C27,'01'!$C$7:$M$216,MATCH("P. Unit. MO",'01'!$C$7:$M$7,0),0)</f>
        <v>307690.19241546135</v>
      </c>
      <c r="I27" s="1519">
        <f t="shared" si="7"/>
        <v>12307607.696618455</v>
      </c>
      <c r="J27" s="1519">
        <f>VLOOKUP($C27,'01'!$C$7:$M$216,MATCH("P. Unit. EQ",'01'!$C$7:$M$7,0),0)</f>
        <v>5678.0045719462059</v>
      </c>
      <c r="K27" s="1519">
        <f t="shared" ref="K27" si="14">J27*$E27</f>
        <v>227120.18287784824</v>
      </c>
      <c r="L27" s="1519">
        <f t="shared" si="5"/>
        <v>15368465.708067732</v>
      </c>
      <c r="N27" s="1505"/>
      <c r="O27" s="1514">
        <f t="shared" si="3"/>
        <v>15368465.70806773</v>
      </c>
      <c r="P27" s="1514">
        <f>+'01'!V26</f>
        <v>11039924</v>
      </c>
      <c r="Q27" s="1471">
        <f t="shared" si="4"/>
        <v>0.71834913189834904</v>
      </c>
      <c r="R27" s="1532"/>
      <c r="S27" s="1532"/>
      <c r="T27" s="1532"/>
      <c r="U27" s="1532"/>
      <c r="V27" s="1532"/>
      <c r="W27" s="1532"/>
      <c r="X27" s="1532"/>
      <c r="Y27" s="1532"/>
      <c r="Z27" s="1532"/>
      <c r="AA27" s="1532"/>
      <c r="AB27" s="1515"/>
      <c r="AC27" s="1515"/>
      <c r="AD27" s="1515"/>
      <c r="AE27" s="1515"/>
      <c r="AF27" s="1515"/>
      <c r="AG27" s="1515"/>
      <c r="AH27" s="1515"/>
      <c r="AI27" s="1515">
        <f t="shared" si="13"/>
        <v>0</v>
      </c>
    </row>
    <row r="28" spans="1:35" ht="10.5" outlineLevel="1" x14ac:dyDescent="0.25">
      <c r="A28" s="1683" t="s">
        <v>110</v>
      </c>
      <c r="B28" s="1516">
        <v>3.03</v>
      </c>
      <c r="C28" s="1661" t="s">
        <v>282</v>
      </c>
      <c r="D28" s="1520" t="s">
        <v>108</v>
      </c>
      <c r="E28" s="1521">
        <v>28</v>
      </c>
      <c r="F28" s="1519">
        <f>VLOOKUP($C28,'01'!$C$7:$M$216,MATCH("P. Unit. MAT",'01'!$C$7:$M$7,0),0)</f>
        <v>55068.821745306559</v>
      </c>
      <c r="G28" s="1519">
        <f t="shared" si="6"/>
        <v>1541927.0088685837</v>
      </c>
      <c r="H28" s="1519">
        <f>VLOOKUP($C28,'01'!$C$7:$M$216,MATCH("P. Unit. MO",'01'!$C$7:$M$7,0),0)</f>
        <v>253994.14283025966</v>
      </c>
      <c r="I28" s="1519">
        <f t="shared" si="7"/>
        <v>7111835.9992472706</v>
      </c>
      <c r="J28" s="1519">
        <f>VLOOKUP($C28,'01'!$C$7:$M$216,MATCH("P. Unit. EQ",'01'!$C$7:$M$7,0),0)</f>
        <v>4635.9444686334937</v>
      </c>
      <c r="K28" s="1519">
        <f t="shared" ref="K28" si="15">J28*$E28</f>
        <v>129806.44512173782</v>
      </c>
      <c r="L28" s="1519">
        <f t="shared" si="5"/>
        <v>8783569.4532375913</v>
      </c>
      <c r="N28" s="1505"/>
      <c r="O28" s="1514">
        <f t="shared" si="3"/>
        <v>8783569.4532375932</v>
      </c>
      <c r="P28" s="1514">
        <f>+'01'!V27</f>
        <v>34582263</v>
      </c>
      <c r="Q28" s="1471">
        <f t="shared" si="4"/>
        <v>3.9371537031853374</v>
      </c>
      <c r="R28" s="1532"/>
      <c r="S28" s="1532"/>
      <c r="T28" s="1532"/>
      <c r="U28" s="1532"/>
      <c r="V28" s="1532"/>
      <c r="W28" s="1532"/>
      <c r="X28" s="1532"/>
      <c r="Y28" s="1532"/>
      <c r="Z28" s="1532"/>
      <c r="AA28" s="1532"/>
      <c r="AB28" s="1515"/>
      <c r="AC28" s="1515"/>
      <c r="AD28" s="1515"/>
      <c r="AE28" s="1515"/>
      <c r="AF28" s="1515"/>
      <c r="AG28" s="1515"/>
      <c r="AH28" s="1515"/>
      <c r="AI28" s="1515">
        <f t="shared" si="13"/>
        <v>0</v>
      </c>
    </row>
    <row r="29" spans="1:35" ht="10.5" outlineLevel="1" x14ac:dyDescent="0.25">
      <c r="A29" s="1683" t="s">
        <v>110</v>
      </c>
      <c r="B29" s="1516">
        <v>3.04</v>
      </c>
      <c r="C29" s="1661" t="s">
        <v>283</v>
      </c>
      <c r="D29" s="1520" t="s">
        <v>108</v>
      </c>
      <c r="E29" s="1521">
        <v>179</v>
      </c>
      <c r="F29" s="1519">
        <f>VLOOKUP($C29,'01'!$C$7:$M$216,MATCH("P. Unit. MAT",'01'!$C$7:$M$7,0),0)</f>
        <v>2471.4097794822628</v>
      </c>
      <c r="G29" s="1519">
        <f t="shared" si="6"/>
        <v>442382.35052732506</v>
      </c>
      <c r="H29" s="1519">
        <f>VLOOKUP($C29,'01'!$C$7:$M$216,MATCH("P. Unit. MO",'01'!$C$7:$M$7,0),0)</f>
        <v>148967.56476994729</v>
      </c>
      <c r="I29" s="1519">
        <f t="shared" si="7"/>
        <v>26665194.093820564</v>
      </c>
      <c r="J29" s="1519">
        <f>VLOOKUP($C29,'01'!$C$7:$M$216,MATCH("P. Unit. EQ",'01'!$C$7:$M$7,0),0)</f>
        <v>2271.584618241443</v>
      </c>
      <c r="K29" s="1519">
        <f t="shared" ref="K29" si="16">J29*$E29</f>
        <v>406613.64666521829</v>
      </c>
      <c r="L29" s="1519">
        <f t="shared" si="5"/>
        <v>27514190.091013107</v>
      </c>
      <c r="N29" s="1505"/>
      <c r="O29" s="1514">
        <f t="shared" si="3"/>
        <v>27514190.091013107</v>
      </c>
      <c r="P29" s="1514">
        <f>+'01'!V28</f>
        <v>4168500</v>
      </c>
      <c r="Q29" s="1471">
        <f t="shared" si="4"/>
        <v>0.15150364180123721</v>
      </c>
      <c r="R29" s="1532"/>
      <c r="S29" s="1532"/>
      <c r="T29" s="1532"/>
      <c r="U29" s="1532"/>
      <c r="V29" s="1532"/>
      <c r="W29" s="1532"/>
      <c r="X29" s="1532"/>
      <c r="Y29" s="1532"/>
      <c r="Z29" s="1532"/>
      <c r="AA29" s="1532"/>
      <c r="AB29" s="1515"/>
      <c r="AC29" s="1515"/>
      <c r="AD29" s="1515"/>
      <c r="AE29" s="1515"/>
      <c r="AF29" s="1515"/>
      <c r="AG29" s="1515"/>
      <c r="AH29" s="1515"/>
      <c r="AI29" s="1515">
        <f t="shared" si="13"/>
        <v>0</v>
      </c>
    </row>
    <row r="30" spans="1:35" ht="10.5" outlineLevel="1" x14ac:dyDescent="0.25">
      <c r="A30" s="1683" t="s">
        <v>110</v>
      </c>
      <c r="B30" s="1516">
        <v>3.05</v>
      </c>
      <c r="C30" s="1661" t="s">
        <v>284</v>
      </c>
      <c r="D30" s="1520" t="s">
        <v>108</v>
      </c>
      <c r="E30" s="1521">
        <v>10</v>
      </c>
      <c r="F30" s="1519">
        <f>VLOOKUP($C30,'01'!$C$7:$M$216,MATCH("P. Unit. MAT",'01'!$C$7:$M$7,0),0)</f>
        <v>40150.005369127517</v>
      </c>
      <c r="G30" s="1519">
        <f t="shared" si="6"/>
        <v>401500.05369127518</v>
      </c>
      <c r="H30" s="1519">
        <f>VLOOKUP($C30,'01'!$C$7:$M$216,MATCH("P. Unit. MO",'01'!$C$7:$M$7,0),0)</f>
        <v>286602.42666227242</v>
      </c>
      <c r="I30" s="1519">
        <f t="shared" si="7"/>
        <v>2866024.266622724</v>
      </c>
      <c r="J30" s="1519">
        <f>VLOOKUP($C30,'01'!$C$7:$M$216,MATCH("P. Unit. EQ",'01'!$C$7:$M$7,0),0)</f>
        <v>4901.2864804709989</v>
      </c>
      <c r="K30" s="1519">
        <f t="shared" ref="K30" si="17">J30*$E30</f>
        <v>49012.864804709985</v>
      </c>
      <c r="L30" s="1519">
        <f t="shared" si="5"/>
        <v>3316537.1851187092</v>
      </c>
      <c r="N30" s="1505"/>
      <c r="O30" s="1514">
        <f t="shared" si="3"/>
        <v>3316537.1851187088</v>
      </c>
      <c r="P30" s="1514">
        <f>+'01'!V29</f>
        <v>50590317</v>
      </c>
      <c r="Q30" s="1471">
        <f t="shared" si="4"/>
        <v>15.253957418900226</v>
      </c>
      <c r="R30" s="1532"/>
      <c r="S30" s="1532"/>
      <c r="T30" s="1532"/>
      <c r="U30" s="1532"/>
      <c r="V30" s="1532"/>
      <c r="W30" s="1532"/>
      <c r="X30" s="1532"/>
      <c r="Y30" s="1532"/>
      <c r="Z30" s="1532"/>
      <c r="AA30" s="1532"/>
      <c r="AB30" s="1515"/>
      <c r="AC30" s="1515"/>
      <c r="AD30" s="1515"/>
      <c r="AE30" s="1515"/>
      <c r="AF30" s="1515"/>
      <c r="AG30" s="1515"/>
      <c r="AH30" s="1515"/>
      <c r="AI30" s="1515">
        <f t="shared" si="13"/>
        <v>0</v>
      </c>
    </row>
    <row r="31" spans="1:35" ht="10.5" outlineLevel="1" x14ac:dyDescent="0.25">
      <c r="A31" s="1683" t="s">
        <v>110</v>
      </c>
      <c r="B31" s="1516">
        <v>3.06</v>
      </c>
      <c r="C31" s="1574" t="s">
        <v>285</v>
      </c>
      <c r="D31" s="1529" t="s">
        <v>108</v>
      </c>
      <c r="E31" s="1518">
        <v>177</v>
      </c>
      <c r="F31" s="1519">
        <f>VLOOKUP($C31,'01'!$C$7:$M$216,MATCH("P. Unit. MAT",'01'!$C$7:$M$7,0),0)</f>
        <v>32975.501438159154</v>
      </c>
      <c r="G31" s="1519">
        <f t="shared" si="6"/>
        <v>5836663.7545541702</v>
      </c>
      <c r="H31" s="1519">
        <f>VLOOKUP($C31,'01'!$C$7:$M$216,MATCH("P. Unit. MO",'01'!$C$7:$M$7,0),0)</f>
        <v>191068.28444151493</v>
      </c>
      <c r="I31" s="1519">
        <f t="shared" si="7"/>
        <v>33819086.346148141</v>
      </c>
      <c r="J31" s="1519">
        <f>VLOOKUP($C31,'01'!$C$7:$M$216,MATCH("P. Unit. EQ",'01'!$C$7:$M$7,0),0)</f>
        <v>3360.6567881951109</v>
      </c>
      <c r="K31" s="1519">
        <f t="shared" ref="K31" si="18">J31*$E31</f>
        <v>594836.25151053467</v>
      </c>
      <c r="L31" s="1519">
        <f t="shared" si="5"/>
        <v>40250586.352212846</v>
      </c>
      <c r="N31" s="1505"/>
      <c r="O31" s="1514">
        <f t="shared" si="3"/>
        <v>40250586.352212846</v>
      </c>
      <c r="P31" s="1514">
        <f>+'01'!V30</f>
        <v>46202845</v>
      </c>
      <c r="Q31" s="1471">
        <f t="shared" si="4"/>
        <v>1.1478800481489115</v>
      </c>
      <c r="R31" s="1532"/>
      <c r="S31" s="1532"/>
      <c r="T31" s="1532"/>
      <c r="U31" s="1532"/>
      <c r="V31" s="1532"/>
      <c r="W31" s="1532"/>
      <c r="X31" s="1532"/>
      <c r="Y31" s="1532"/>
      <c r="Z31" s="1532"/>
      <c r="AA31" s="1532"/>
      <c r="AB31" s="1515"/>
      <c r="AC31" s="1515"/>
      <c r="AD31" s="1515"/>
      <c r="AE31" s="1515"/>
      <c r="AF31" s="1515"/>
      <c r="AG31" s="1515"/>
      <c r="AH31" s="1515"/>
      <c r="AI31" s="1515">
        <f t="shared" si="13"/>
        <v>0</v>
      </c>
    </row>
    <row r="32" spans="1:35" ht="10.5" outlineLevel="1" x14ac:dyDescent="0.25">
      <c r="A32" s="1683" t="s">
        <v>110</v>
      </c>
      <c r="B32" s="1516">
        <v>3.07</v>
      </c>
      <c r="C32" s="1574" t="s">
        <v>286</v>
      </c>
      <c r="D32" s="1529" t="s">
        <v>108</v>
      </c>
      <c r="E32" s="1518">
        <v>65</v>
      </c>
      <c r="F32" s="1519">
        <f>VLOOKUP($C32,'01'!$C$7:$M$216,MATCH("P. Unit. MAT",'01'!$C$7:$M$7,0),0)</f>
        <v>94228.958133589011</v>
      </c>
      <c r="G32" s="1519">
        <f t="shared" si="6"/>
        <v>6124882.2786832862</v>
      </c>
      <c r="H32" s="1519">
        <f>VLOOKUP($C32,'01'!$C$7:$M$216,MATCH("P. Unit. MO",'01'!$C$7:$M$7,0),0)</f>
        <v>462949.29028534138</v>
      </c>
      <c r="I32" s="1519">
        <f t="shared" si="7"/>
        <v>30091703.86854719</v>
      </c>
      <c r="J32" s="1519">
        <f>VLOOKUP($C32,'01'!$C$7:$M$216,MATCH("P. Unit. EQ",'01'!$C$7:$M$7,0),0)</f>
        <v>8357.6737262839561</v>
      </c>
      <c r="K32" s="1519">
        <f t="shared" ref="K32" si="19">J32*$E32</f>
        <v>543248.79220845713</v>
      </c>
      <c r="L32" s="1519">
        <f t="shared" si="5"/>
        <v>36759834.939438932</v>
      </c>
      <c r="N32" s="1505"/>
      <c r="O32" s="1514">
        <f t="shared" si="3"/>
        <v>36759834.939438932</v>
      </c>
      <c r="P32" s="1514">
        <f>+'01'!V31</f>
        <v>9914184</v>
      </c>
      <c r="Q32" s="1471">
        <f t="shared" si="4"/>
        <v>0.26970153746156406</v>
      </c>
      <c r="R32" s="1532"/>
      <c r="S32" s="1532"/>
      <c r="T32" s="1532"/>
      <c r="U32" s="1532"/>
      <c r="V32" s="1532"/>
      <c r="W32" s="1532"/>
      <c r="X32" s="1532"/>
      <c r="Y32" s="1532"/>
      <c r="Z32" s="1532"/>
      <c r="AA32" s="1532"/>
      <c r="AB32" s="1515"/>
      <c r="AC32" s="1515"/>
      <c r="AD32" s="1515"/>
      <c r="AE32" s="1515"/>
      <c r="AF32" s="1515"/>
      <c r="AG32" s="1515"/>
      <c r="AH32" s="1515"/>
      <c r="AI32" s="1515">
        <f t="shared" si="13"/>
        <v>0</v>
      </c>
    </row>
    <row r="33" spans="1:35" ht="10.5" outlineLevel="1" x14ac:dyDescent="0.25">
      <c r="A33" s="1683" t="s">
        <v>110</v>
      </c>
      <c r="B33" s="1516">
        <v>3.08</v>
      </c>
      <c r="C33" s="1574" t="s">
        <v>287</v>
      </c>
      <c r="D33" s="1529" t="s">
        <v>108</v>
      </c>
      <c r="E33" s="1518">
        <v>12</v>
      </c>
      <c r="F33" s="1519">
        <f>VLOOKUP($C33,'01'!$C$7:$M$216,MATCH("P. Unit. MAT",'01'!$C$7:$M$7,0),0)</f>
        <v>92072.316554809833</v>
      </c>
      <c r="G33" s="1519">
        <f t="shared" si="6"/>
        <v>1104867.7986577181</v>
      </c>
      <c r="H33" s="1519">
        <f>VLOOKUP($C33,'01'!$C$7:$M$216,MATCH("P. Unit. MO",'01'!$C$7:$M$7,0),0)</f>
        <v>555539.14834240964</v>
      </c>
      <c r="I33" s="1519">
        <f t="shared" si="7"/>
        <v>6666469.7801089156</v>
      </c>
      <c r="J33" s="1519">
        <f>VLOOKUP($C33,'01'!$C$7:$M$216,MATCH("P. Unit. EQ",'01'!$C$7:$M$7,0),0)</f>
        <v>9714.1719734582912</v>
      </c>
      <c r="K33" s="1519">
        <f t="shared" ref="K33" si="20">J33*$E33</f>
        <v>116570.06368149949</v>
      </c>
      <c r="L33" s="1519">
        <f t="shared" si="5"/>
        <v>7887907.6424481329</v>
      </c>
      <c r="N33" s="1505"/>
      <c r="O33" s="1514">
        <f t="shared" si="3"/>
        <v>7887907.6424481329</v>
      </c>
      <c r="P33" s="1514">
        <f>+'01'!V32</f>
        <v>13521452</v>
      </c>
      <c r="Q33" s="1471">
        <f t="shared" si="4"/>
        <v>1.7142000911921695</v>
      </c>
      <c r="R33" s="1532"/>
      <c r="S33" s="1532"/>
      <c r="T33" s="1532"/>
      <c r="U33" s="1532"/>
      <c r="V33" s="1532"/>
      <c r="W33" s="1532"/>
      <c r="X33" s="1532"/>
      <c r="Y33" s="1532"/>
      <c r="Z33" s="1532"/>
      <c r="AA33" s="1532"/>
      <c r="AB33" s="1515"/>
      <c r="AC33" s="1515"/>
      <c r="AD33" s="1515"/>
      <c r="AE33" s="1515"/>
      <c r="AF33" s="1515"/>
      <c r="AG33" s="1515"/>
      <c r="AH33" s="1515"/>
      <c r="AI33" s="1515">
        <f t="shared" si="13"/>
        <v>0</v>
      </c>
    </row>
    <row r="34" spans="1:35" ht="10.5" outlineLevel="1" x14ac:dyDescent="0.25">
      <c r="A34" s="1683" t="s">
        <v>110</v>
      </c>
      <c r="B34" s="1516">
        <v>3.09</v>
      </c>
      <c r="C34" s="1574" t="s">
        <v>288</v>
      </c>
      <c r="D34" s="1529" t="s">
        <v>108</v>
      </c>
      <c r="E34" s="1518">
        <v>28</v>
      </c>
      <c r="F34" s="1519">
        <f>VLOOKUP($C34,'01'!$C$7:$M$216,MATCH("P. Unit. MAT",'01'!$C$7:$M$7,0),0)</f>
        <v>70843.445714285714</v>
      </c>
      <c r="G34" s="1519">
        <f t="shared" si="6"/>
        <v>1983616.48</v>
      </c>
      <c r="H34" s="1519">
        <f>VLOOKUP($C34,'01'!$C$7:$M$216,MATCH("P. Unit. MO",'01'!$C$7:$M$7,0),0)</f>
        <v>307690.19241546135</v>
      </c>
      <c r="I34" s="1519">
        <f t="shared" si="7"/>
        <v>8615325.3876329176</v>
      </c>
      <c r="J34" s="1519">
        <f>VLOOKUP($C34,'01'!$C$7:$M$216,MATCH("P. Unit. EQ",'01'!$C$7:$M$7,0),0)</f>
        <v>5678.0045719462059</v>
      </c>
      <c r="K34" s="1519">
        <f t="shared" ref="K34" si="21">J34*$E34</f>
        <v>158984.12801449376</v>
      </c>
      <c r="L34" s="1519">
        <f t="shared" si="5"/>
        <v>10757925.995647412</v>
      </c>
      <c r="N34" s="1505"/>
      <c r="O34" s="1514">
        <f t="shared" si="3"/>
        <v>10757925.995647412</v>
      </c>
      <c r="P34" s="1514">
        <f>+'01'!V33</f>
        <v>23051196</v>
      </c>
      <c r="Q34" s="1471">
        <f t="shared" si="4"/>
        <v>2.1427174726175258</v>
      </c>
      <c r="R34" s="1532"/>
      <c r="S34" s="1532"/>
      <c r="T34" s="1532"/>
      <c r="U34" s="1532"/>
      <c r="V34" s="1532"/>
      <c r="W34" s="1532"/>
      <c r="X34" s="1532"/>
      <c r="Y34" s="1532"/>
      <c r="Z34" s="1532"/>
      <c r="AA34" s="1532"/>
      <c r="AB34" s="1515"/>
      <c r="AC34" s="1515"/>
      <c r="AD34" s="1515"/>
      <c r="AE34" s="1515"/>
      <c r="AF34" s="1515"/>
      <c r="AG34" s="1515"/>
      <c r="AH34" s="1515"/>
      <c r="AI34" s="1515">
        <f t="shared" si="13"/>
        <v>0</v>
      </c>
    </row>
    <row r="35" spans="1:35" ht="10.5" outlineLevel="1" x14ac:dyDescent="0.25">
      <c r="A35" s="1683" t="s">
        <v>110</v>
      </c>
      <c r="B35" s="1516">
        <v>3.1</v>
      </c>
      <c r="C35" s="1574" t="s">
        <v>289</v>
      </c>
      <c r="D35" s="1529" t="s">
        <v>108</v>
      </c>
      <c r="E35" s="1518">
        <v>54</v>
      </c>
      <c r="F35" s="1519">
        <f>VLOOKUP($C35,'01'!$C$7:$M$216,MATCH("P. Unit. MAT",'01'!$C$7:$M$7,0),0)</f>
        <v>60951.378715244486</v>
      </c>
      <c r="G35" s="1519">
        <f t="shared" si="6"/>
        <v>3291374.4506232021</v>
      </c>
      <c r="H35" s="1519">
        <f>VLOOKUP($C35,'01'!$C$7:$M$216,MATCH("P. Unit. MO",'01'!$C$7:$M$7,0),0)</f>
        <v>273658.44999334484</v>
      </c>
      <c r="I35" s="1519">
        <f t="shared" si="7"/>
        <v>14777556.299640622</v>
      </c>
      <c r="J35" s="1519">
        <f>VLOOKUP($C35,'01'!$C$7:$M$216,MATCH("P. Unit. EQ",'01'!$C$7:$M$7,0),0)</f>
        <v>5019.1474306288392</v>
      </c>
      <c r="K35" s="1519">
        <f t="shared" ref="K35" si="22">J35*$E35</f>
        <v>271033.9612539573</v>
      </c>
      <c r="L35" s="1519">
        <f t="shared" si="5"/>
        <v>18339964.711517781</v>
      </c>
      <c r="N35" s="1505"/>
      <c r="O35" s="1514">
        <f t="shared" si="3"/>
        <v>18339964.711517781</v>
      </c>
      <c r="P35" s="1514">
        <f>+'01'!V34</f>
        <v>4930750</v>
      </c>
      <c r="Q35" s="1471">
        <f t="shared" si="4"/>
        <v>0.26885275285744759</v>
      </c>
      <c r="R35" s="1532"/>
      <c r="S35" s="1532"/>
      <c r="T35" s="1532"/>
      <c r="U35" s="1532"/>
      <c r="V35" s="1532"/>
      <c r="W35" s="1532"/>
      <c r="X35" s="1532"/>
      <c r="Y35" s="1532"/>
      <c r="Z35" s="1532"/>
      <c r="AA35" s="1532"/>
      <c r="AB35" s="1515"/>
      <c r="AC35" s="1515"/>
      <c r="AD35" s="1515"/>
      <c r="AE35" s="1515"/>
      <c r="AF35" s="1515"/>
      <c r="AG35" s="1515"/>
      <c r="AH35" s="1515"/>
      <c r="AI35" s="1515">
        <f t="shared" si="13"/>
        <v>0</v>
      </c>
    </row>
    <row r="36" spans="1:35" ht="10.5" outlineLevel="1" x14ac:dyDescent="0.25">
      <c r="A36" s="1683" t="s">
        <v>110</v>
      </c>
      <c r="B36" s="1516">
        <v>3.11</v>
      </c>
      <c r="C36" s="1574" t="s">
        <v>290</v>
      </c>
      <c r="D36" s="1529" t="s">
        <v>108</v>
      </c>
      <c r="E36" s="1518">
        <v>11</v>
      </c>
      <c r="F36" s="1519">
        <f>VLOOKUP($C36,'01'!$C$7:$M$216,MATCH("P. Unit. MAT",'01'!$C$7:$M$7,0),0)</f>
        <v>68185.041030872468</v>
      </c>
      <c r="G36" s="1519">
        <f t="shared" si="6"/>
        <v>750035.45133959712</v>
      </c>
      <c r="H36" s="1519">
        <f>VLOOKUP($C36,'01'!$C$7:$M$216,MATCH("P. Unit. MO",'01'!$C$7:$M$7,0),0)</f>
        <v>283180.31554461533</v>
      </c>
      <c r="I36" s="1519">
        <f t="shared" si="7"/>
        <v>3114983.4709907686</v>
      </c>
      <c r="J36" s="1519">
        <f>VLOOKUP($C36,'01'!$C$7:$M$216,MATCH("P. Unit. EQ",'01'!$C$7:$M$7,0),0)</f>
        <v>5270.4803486323162</v>
      </c>
      <c r="K36" s="1519">
        <f t="shared" ref="K36" si="23">J36*$E36</f>
        <v>57975.28383495548</v>
      </c>
      <c r="L36" s="1519">
        <f t="shared" si="5"/>
        <v>3922994.2061653212</v>
      </c>
      <c r="N36" s="1505"/>
      <c r="O36" s="1514">
        <f t="shared" si="3"/>
        <v>3922994.2061653212</v>
      </c>
      <c r="P36" s="1514">
        <f>+'01'!V35</f>
        <v>1448727</v>
      </c>
      <c r="Q36" s="1471">
        <f t="shared" si="4"/>
        <v>0.36929113933515412</v>
      </c>
      <c r="R36" s="1532"/>
      <c r="S36" s="1532"/>
      <c r="T36" s="1532"/>
      <c r="U36" s="1532"/>
      <c r="V36" s="1532"/>
      <c r="W36" s="1532"/>
      <c r="X36" s="1532"/>
      <c r="Y36" s="1532"/>
      <c r="Z36" s="1532"/>
      <c r="AA36" s="1532"/>
      <c r="AB36" s="1515"/>
      <c r="AC36" s="1515"/>
      <c r="AD36" s="1515"/>
      <c r="AE36" s="1515"/>
      <c r="AF36" s="1515"/>
      <c r="AG36" s="1515"/>
      <c r="AH36" s="1515"/>
      <c r="AI36" s="1515">
        <f t="shared" si="13"/>
        <v>0</v>
      </c>
    </row>
    <row r="37" spans="1:35" ht="10.5" outlineLevel="1" x14ac:dyDescent="0.25">
      <c r="A37" s="1683" t="s">
        <v>110</v>
      </c>
      <c r="B37" s="1516">
        <v>3.12</v>
      </c>
      <c r="C37" s="1574" t="s">
        <v>291</v>
      </c>
      <c r="D37" s="1529" t="s">
        <v>108</v>
      </c>
      <c r="E37" s="1518">
        <v>3</v>
      </c>
      <c r="F37" s="1519">
        <f>VLOOKUP($C37,'01'!$C$7:$M$216,MATCH("P. Unit. MAT",'01'!$C$7:$M$7,0),0)</f>
        <v>70843.445714285714</v>
      </c>
      <c r="G37" s="1519">
        <f t="shared" si="6"/>
        <v>212530.33714285714</v>
      </c>
      <c r="H37" s="1519">
        <f>VLOOKUP($C37,'01'!$C$7:$M$216,MATCH("P. Unit. MO",'01'!$C$7:$M$7,0),0)</f>
        <v>307690.19241546135</v>
      </c>
      <c r="I37" s="1519">
        <f t="shared" si="7"/>
        <v>923070.577246384</v>
      </c>
      <c r="J37" s="1519">
        <f>VLOOKUP($C37,'01'!$C$7:$M$216,MATCH("P. Unit. EQ",'01'!$C$7:$M$7,0),0)</f>
        <v>5678.0045719462059</v>
      </c>
      <c r="K37" s="1519">
        <f t="shared" ref="K37" si="24">J37*$E37</f>
        <v>17034.013715838617</v>
      </c>
      <c r="L37" s="1519">
        <f t="shared" si="5"/>
        <v>1152634.9281050796</v>
      </c>
      <c r="N37" s="1505"/>
      <c r="O37" s="1514">
        <f t="shared" si="3"/>
        <v>1152634.9281050798</v>
      </c>
      <c r="P37" s="1514">
        <f>+'01'!V36</f>
        <v>7472880</v>
      </c>
      <c r="Q37" s="1471">
        <f t="shared" si="4"/>
        <v>6.4833017096621735</v>
      </c>
      <c r="R37" s="1532"/>
      <c r="S37" s="1532"/>
      <c r="T37" s="1532"/>
      <c r="U37" s="1532"/>
      <c r="V37" s="1532"/>
      <c r="W37" s="1532"/>
      <c r="X37" s="1532"/>
      <c r="Y37" s="1532"/>
      <c r="Z37" s="1532"/>
      <c r="AA37" s="1532"/>
      <c r="AB37" s="1515"/>
      <c r="AC37" s="1515"/>
      <c r="AD37" s="1515"/>
      <c r="AE37" s="1515"/>
      <c r="AF37" s="1515"/>
      <c r="AG37" s="1515"/>
      <c r="AH37" s="1515"/>
      <c r="AI37" s="1515">
        <f t="shared" si="13"/>
        <v>0</v>
      </c>
    </row>
    <row r="38" spans="1:35" ht="10.5" outlineLevel="1" x14ac:dyDescent="0.25">
      <c r="A38" s="1683" t="s">
        <v>110</v>
      </c>
      <c r="B38" s="1516">
        <v>3.13</v>
      </c>
      <c r="C38" s="1574" t="s">
        <v>1011</v>
      </c>
      <c r="D38" s="1529" t="s">
        <v>124</v>
      </c>
      <c r="E38" s="1518">
        <v>240</v>
      </c>
      <c r="F38" s="1519">
        <f>VLOOKUP($C38,'01'!$C$7:$M$216,MATCH("P. Unit. MAT",'01'!$C$7:$M$7,0),0)</f>
        <v>24772.727272727276</v>
      </c>
      <c r="G38" s="1519">
        <f t="shared" si="6"/>
        <v>5945454.5454545459</v>
      </c>
      <c r="H38" s="1519">
        <f>VLOOKUP($C38,'01'!$C$7:$M$216,MATCH("P. Unit. MO",'01'!$C$7:$M$7,0),0)</f>
        <v>0</v>
      </c>
      <c r="I38" s="1519">
        <f t="shared" si="7"/>
        <v>0</v>
      </c>
      <c r="J38" s="1519">
        <f>VLOOKUP($C38,'01'!$C$7:$M$216,MATCH("P. Unit. EQ",'01'!$C$7:$M$7,0),0)</f>
        <v>0</v>
      </c>
      <c r="K38" s="1519">
        <f t="shared" ref="K38" si="25">J38*$E38</f>
        <v>0</v>
      </c>
      <c r="L38" s="1519">
        <f t="shared" si="5"/>
        <v>5945454.5454545459</v>
      </c>
      <c r="N38" s="1505"/>
      <c r="O38" s="1514">
        <f t="shared" si="3"/>
        <v>5945454.5454545459</v>
      </c>
      <c r="P38" s="1514">
        <f>+'01'!V37</f>
        <v>11089161</v>
      </c>
      <c r="Q38" s="1471">
        <f t="shared" si="4"/>
        <v>1.8651494036697247</v>
      </c>
      <c r="R38" s="1532"/>
      <c r="S38" s="1532"/>
      <c r="T38" s="1532"/>
      <c r="U38" s="1532"/>
      <c r="V38" s="1532"/>
      <c r="W38" s="1532"/>
      <c r="X38" s="1532"/>
      <c r="Y38" s="1532"/>
      <c r="Z38" s="1532"/>
      <c r="AA38" s="1532"/>
      <c r="AB38" s="1515"/>
      <c r="AC38" s="1515"/>
      <c r="AD38" s="1515"/>
      <c r="AE38" s="1515"/>
      <c r="AF38" s="1515"/>
      <c r="AG38" s="1515"/>
      <c r="AH38" s="1515"/>
      <c r="AI38" s="1515">
        <f t="shared" si="13"/>
        <v>0</v>
      </c>
    </row>
    <row r="39" spans="1:35" ht="10.5" outlineLevel="1" x14ac:dyDescent="0.25">
      <c r="A39" s="1683" t="s">
        <v>110</v>
      </c>
      <c r="B39" s="1516">
        <v>3.14</v>
      </c>
      <c r="C39" s="1533" t="s">
        <v>112</v>
      </c>
      <c r="D39" s="1529" t="s">
        <v>107</v>
      </c>
      <c r="E39" s="1530">
        <v>1</v>
      </c>
      <c r="F39" s="1519">
        <f>VLOOKUP($C39,'01'!$C$7:$M$216,MATCH("P. Unit. MAT",'01'!$C$7:$M$7,0),0)</f>
        <v>0</v>
      </c>
      <c r="G39" s="1519">
        <f t="shared" si="6"/>
        <v>0</v>
      </c>
      <c r="H39" s="1519">
        <f>VLOOKUP($C39,'01'!$C$7:$M$216,MATCH("P. Unit. MO",'01'!$C$7:$M$7,0),0)</f>
        <v>0</v>
      </c>
      <c r="I39" s="1519">
        <f t="shared" si="7"/>
        <v>0</v>
      </c>
      <c r="J39" s="1519">
        <f>VLOOKUP($C39,'01'!$C$7:$M$216,MATCH("P. Unit. EQ",'01'!$C$7:$M$7,0),0)</f>
        <v>8822750</v>
      </c>
      <c r="K39" s="1519">
        <f t="shared" ref="K39" si="26">J39*$E39</f>
        <v>8822750</v>
      </c>
      <c r="L39" s="1519">
        <f t="shared" si="5"/>
        <v>8822750</v>
      </c>
      <c r="N39" s="1505"/>
      <c r="O39" s="1514">
        <f t="shared" si="3"/>
        <v>8822750</v>
      </c>
      <c r="P39" s="1514">
        <f>+'01'!V38</f>
        <v>2173038</v>
      </c>
      <c r="Q39" s="1471">
        <f t="shared" si="4"/>
        <v>0.24629939644668614</v>
      </c>
      <c r="R39" s="1532"/>
      <c r="S39" s="1532"/>
      <c r="T39" s="1532"/>
      <c r="U39" s="1532"/>
      <c r="V39" s="1532"/>
      <c r="W39" s="1532"/>
      <c r="X39" s="1532"/>
      <c r="Y39" s="1532"/>
      <c r="Z39" s="1532"/>
      <c r="AA39" s="1532"/>
      <c r="AB39" s="1515"/>
      <c r="AC39" s="1515"/>
      <c r="AD39" s="1515"/>
      <c r="AE39" s="1515"/>
      <c r="AF39" s="1515"/>
      <c r="AG39" s="1515"/>
      <c r="AH39" s="1515"/>
      <c r="AI39" s="1515">
        <f t="shared" si="13"/>
        <v>0</v>
      </c>
    </row>
    <row r="40" spans="1:35" ht="10.5" outlineLevel="1" x14ac:dyDescent="0.25">
      <c r="A40" s="1683" t="s">
        <v>110</v>
      </c>
      <c r="B40" s="1516">
        <v>3.15</v>
      </c>
      <c r="C40" s="1533" t="s">
        <v>198</v>
      </c>
      <c r="D40" s="1529" t="s">
        <v>111</v>
      </c>
      <c r="E40" s="1530">
        <v>14</v>
      </c>
      <c r="F40" s="1519">
        <f>VLOOKUP($C40,'01'!$C$7:$M$216,MATCH("P. Unit. MAT",'01'!$C$7:$M$7,0),0)</f>
        <v>123492.85714285714</v>
      </c>
      <c r="G40" s="1519">
        <f t="shared" si="6"/>
        <v>1728900</v>
      </c>
      <c r="H40" s="1519">
        <f>VLOOKUP($C40,'01'!$C$7:$M$216,MATCH("P. Unit. MO",'01'!$C$7:$M$7,0),0)</f>
        <v>0</v>
      </c>
      <c r="I40" s="1519">
        <f t="shared" si="7"/>
        <v>0</v>
      </c>
      <c r="J40" s="1519">
        <f>VLOOKUP($C40,'01'!$C$7:$M$216,MATCH("P. Unit. EQ",'01'!$C$7:$M$7,0),0)</f>
        <v>0</v>
      </c>
      <c r="K40" s="1519">
        <f t="shared" ref="K40" si="27">J40*$E40</f>
        <v>0</v>
      </c>
      <c r="L40" s="1519">
        <f t="shared" si="5"/>
        <v>1728900</v>
      </c>
      <c r="N40" s="1505"/>
      <c r="O40" s="1514">
        <f t="shared" si="3"/>
        <v>1728900</v>
      </c>
      <c r="P40" s="1514">
        <f>+'01'!V39</f>
        <v>276516</v>
      </c>
      <c r="Q40" s="1471">
        <f t="shared" si="4"/>
        <v>0.15993753253513796</v>
      </c>
      <c r="R40" s="1532"/>
      <c r="S40" s="1532"/>
      <c r="T40" s="1532"/>
      <c r="U40" s="1532"/>
      <c r="V40" s="1532"/>
      <c r="W40" s="1532"/>
      <c r="X40" s="1532"/>
      <c r="Y40" s="1532"/>
      <c r="Z40" s="1532"/>
      <c r="AA40" s="1532"/>
      <c r="AB40" s="1515"/>
      <c r="AC40" s="1515"/>
      <c r="AD40" s="1515"/>
      <c r="AE40" s="1515"/>
      <c r="AF40" s="1515"/>
      <c r="AG40" s="1515"/>
      <c r="AH40" s="1515"/>
      <c r="AI40" s="1515">
        <f t="shared" si="13"/>
        <v>0</v>
      </c>
    </row>
    <row r="41" spans="1:35" ht="10.5" outlineLevel="1" x14ac:dyDescent="0.25">
      <c r="A41" s="1683" t="s">
        <v>110</v>
      </c>
      <c r="B41" s="1516">
        <v>3.16</v>
      </c>
      <c r="C41" s="1534" t="s">
        <v>293</v>
      </c>
      <c r="D41" s="1535" t="s">
        <v>107</v>
      </c>
      <c r="E41" s="1536">
        <v>4</v>
      </c>
      <c r="F41" s="1519">
        <f>VLOOKUP($C41,'01'!$C$7:$M$216,MATCH("P. Unit. MAT",'01'!$C$7:$M$7,0),0)</f>
        <v>55000</v>
      </c>
      <c r="G41" s="1519">
        <f t="shared" si="6"/>
        <v>220000</v>
      </c>
      <c r="H41" s="1519">
        <f>VLOOKUP($C41,'01'!$C$7:$M$216,MATCH("P. Unit. MO",'01'!$C$7:$M$7,0),0)</f>
        <v>0</v>
      </c>
      <c r="I41" s="1519">
        <f t="shared" si="7"/>
        <v>0</v>
      </c>
      <c r="J41" s="1519">
        <f>VLOOKUP($C41,'01'!$C$7:$M$216,MATCH("P. Unit. EQ",'01'!$C$7:$M$7,0),0)</f>
        <v>0</v>
      </c>
      <c r="K41" s="1519">
        <f t="shared" ref="K41" si="28">J41*$E41</f>
        <v>0</v>
      </c>
      <c r="L41" s="1519">
        <f t="shared" si="5"/>
        <v>220000</v>
      </c>
      <c r="N41" s="1505"/>
      <c r="O41" s="1514">
        <f t="shared" si="3"/>
        <v>220000</v>
      </c>
      <c r="P41" s="1514">
        <f>+'01'!V40</f>
        <v>2285940</v>
      </c>
      <c r="Q41" s="1471">
        <f t="shared" si="4"/>
        <v>10.390636363636364</v>
      </c>
      <c r="R41" s="1532"/>
      <c r="S41" s="1532"/>
      <c r="T41" s="1532"/>
      <c r="U41" s="1532"/>
      <c r="V41" s="1532"/>
      <c r="W41" s="1532"/>
      <c r="X41" s="1532"/>
      <c r="Y41" s="1532"/>
      <c r="Z41" s="1532"/>
      <c r="AA41" s="1532"/>
      <c r="AB41" s="1515"/>
      <c r="AC41" s="1515"/>
      <c r="AD41" s="1515"/>
      <c r="AE41" s="1515"/>
      <c r="AF41" s="1515"/>
      <c r="AG41" s="1515"/>
      <c r="AH41" s="1515"/>
      <c r="AI41" s="1515">
        <f t="shared" si="13"/>
        <v>0</v>
      </c>
    </row>
    <row r="42" spans="1:35" ht="10.5" outlineLevel="1" x14ac:dyDescent="0.25">
      <c r="A42" s="1683" t="s">
        <v>110</v>
      </c>
      <c r="B42" s="1516">
        <v>3.17</v>
      </c>
      <c r="C42" s="1659" t="s">
        <v>1012</v>
      </c>
      <c r="D42" s="1523" t="s">
        <v>109</v>
      </c>
      <c r="E42" s="1537">
        <v>93</v>
      </c>
      <c r="F42" s="1519">
        <f>VLOOKUP($C42,'01'!$C$7:$M$216,MATCH("P. Unit. MAT",'01'!$C$7:$M$7,0),0)</f>
        <v>5053.7634408602153</v>
      </c>
      <c r="G42" s="1519">
        <f t="shared" si="6"/>
        <v>470000</v>
      </c>
      <c r="H42" s="1519">
        <f>VLOOKUP($C42,'01'!$C$7:$M$216,MATCH("P. Unit. MO",'01'!$C$7:$M$7,0),0)</f>
        <v>14213.22346320137</v>
      </c>
      <c r="I42" s="1519">
        <f t="shared" si="7"/>
        <v>1321829.7820777274</v>
      </c>
      <c r="J42" s="1519">
        <f>VLOOKUP($C42,'01'!$C$7:$M$216,MATCH("P. Unit. EQ",'01'!$C$7:$M$7,0),0)</f>
        <v>289.00480356092379</v>
      </c>
      <c r="K42" s="1519">
        <f t="shared" ref="K42" si="29">J42*$E42</f>
        <v>26877.446731165914</v>
      </c>
      <c r="L42" s="1519">
        <f t="shared" si="5"/>
        <v>1818707.2288088934</v>
      </c>
      <c r="N42" s="1505"/>
      <c r="O42" s="1514">
        <f t="shared" si="3"/>
        <v>1818707.2288088934</v>
      </c>
      <c r="P42" s="1514">
        <f>+'01'!V41</f>
        <v>0</v>
      </c>
      <c r="Q42" s="1471">
        <f t="shared" si="4"/>
        <v>0</v>
      </c>
      <c r="R42" s="1532"/>
      <c r="S42" s="1532"/>
      <c r="T42" s="1532"/>
      <c r="U42" s="1532"/>
      <c r="V42" s="1532"/>
      <c r="W42" s="1532"/>
      <c r="X42" s="1532"/>
      <c r="Y42" s="1532"/>
      <c r="Z42" s="1532"/>
      <c r="AA42" s="1532"/>
      <c r="AB42" s="1515"/>
      <c r="AC42" s="1515"/>
      <c r="AD42" s="1515"/>
      <c r="AE42" s="1515"/>
      <c r="AF42" s="1515"/>
      <c r="AG42" s="1515"/>
      <c r="AH42" s="1515"/>
      <c r="AI42" s="1515">
        <f t="shared" si="13"/>
        <v>0</v>
      </c>
    </row>
    <row r="43" spans="1:35" ht="10.5" x14ac:dyDescent="0.25">
      <c r="A43" s="1681"/>
      <c r="B43" s="1500">
        <v>24</v>
      </c>
      <c r="C43" s="1590" t="s">
        <v>212</v>
      </c>
      <c r="D43" s="1501"/>
      <c r="E43" s="1502"/>
      <c r="F43" s="1502"/>
      <c r="G43" s="1526">
        <f>SUM(G44:G54)</f>
        <v>4588097.2693333328</v>
      </c>
      <c r="H43" s="1502"/>
      <c r="I43" s="1527">
        <f>SUM(I44:I54)</f>
        <v>22407491.217331108</v>
      </c>
      <c r="J43" s="1502"/>
      <c r="K43" s="1508">
        <f>SUM(K44:K54)</f>
        <v>162193.83627451432</v>
      </c>
      <c r="L43" s="1509">
        <f>SUM(L44:L54)</f>
        <v>27157782.322938953</v>
      </c>
      <c r="M43" s="1504">
        <f>SUM(D43:K43)</f>
        <v>27157782.322938956</v>
      </c>
      <c r="N43" s="895">
        <f>M43+M226-'01'!T202</f>
        <v>0</v>
      </c>
      <c r="O43" s="1514">
        <f t="shared" si="3"/>
        <v>27157782.322938956</v>
      </c>
      <c r="P43" s="1514">
        <f>+'01'!V42</f>
        <v>15555267</v>
      </c>
      <c r="Q43" s="1471">
        <f t="shared" si="4"/>
        <v>0.5727738301687898</v>
      </c>
      <c r="R43" s="1506"/>
      <c r="S43" s="1506"/>
      <c r="T43" s="1506"/>
      <c r="U43" s="1506"/>
      <c r="V43" s="1506"/>
      <c r="W43" s="1507"/>
      <c r="X43" s="1507"/>
      <c r="Y43" s="1507"/>
      <c r="Z43" s="1507"/>
      <c r="AA43" s="1507"/>
      <c r="AB43" s="1507"/>
      <c r="AC43" s="1507"/>
      <c r="AD43" s="1507"/>
      <c r="AE43" s="1507"/>
      <c r="AF43" s="1507"/>
      <c r="AG43" s="1507"/>
      <c r="AH43" s="1507"/>
      <c r="AI43" s="1507"/>
    </row>
    <row r="44" spans="1:35" ht="10.5" outlineLevel="1" x14ac:dyDescent="0.25">
      <c r="A44" s="1682" t="s">
        <v>113</v>
      </c>
      <c r="B44" s="1510">
        <v>24.01</v>
      </c>
      <c r="C44" s="1538" t="s">
        <v>135</v>
      </c>
      <c r="D44" s="1511" t="s">
        <v>101</v>
      </c>
      <c r="E44" s="1512">
        <v>8</v>
      </c>
      <c r="F44" s="1519">
        <f>VLOOKUP($C44,'01'!$C$7:$M$216,MATCH("P. Unit. MAT",'01'!$C$7:$M$7,0),0)</f>
        <v>0</v>
      </c>
      <c r="G44" s="1519">
        <f t="shared" si="6"/>
        <v>0</v>
      </c>
      <c r="H44" s="1519">
        <f>VLOOKUP($C44,'01'!$C$7:$M$216,MATCH("P. Unit. MO",'01'!$C$7:$M$7,0),0)</f>
        <v>599210.84671886358</v>
      </c>
      <c r="I44" s="1519">
        <f t="shared" si="7"/>
        <v>4793686.7737509087</v>
      </c>
      <c r="J44" s="1519">
        <f>VLOOKUP($C44,'01'!$C$7:$M$216,MATCH("P. Unit. EQ",'01'!$C$7:$M$7,0),0)</f>
        <v>0</v>
      </c>
      <c r="K44" s="1519">
        <f t="shared" ref="K44" si="30">J44*$E44</f>
        <v>0</v>
      </c>
      <c r="L44" s="1519">
        <f t="shared" si="5"/>
        <v>4793686.7737509087</v>
      </c>
      <c r="O44" s="1514">
        <f t="shared" si="3"/>
        <v>4793686.7737509087</v>
      </c>
      <c r="P44" s="1514">
        <f>+'01'!V43</f>
        <v>15405264</v>
      </c>
      <c r="Q44" s="1471">
        <f t="shared" si="4"/>
        <v>3.2136567796535163</v>
      </c>
      <c r="R44" s="1515"/>
      <c r="S44" s="1515"/>
      <c r="T44" s="1515"/>
      <c r="U44" s="1515"/>
      <c r="V44" s="1515"/>
      <c r="W44" s="1515"/>
      <c r="X44" s="1515"/>
      <c r="Y44" s="1515"/>
      <c r="Z44" s="1515"/>
      <c r="AA44" s="1515"/>
      <c r="AB44" s="1515"/>
      <c r="AC44" s="1515"/>
      <c r="AD44" s="1515"/>
      <c r="AE44" s="1515"/>
      <c r="AF44" s="1515"/>
      <c r="AG44" s="1515"/>
      <c r="AH44" s="1515"/>
      <c r="AI44" s="1515">
        <f t="shared" ref="AI44:AI54" si="31">SUM(S44:AH44)</f>
        <v>0</v>
      </c>
    </row>
    <row r="45" spans="1:35" ht="10.5" outlineLevel="1" x14ac:dyDescent="0.25">
      <c r="A45" s="1685" t="s">
        <v>221</v>
      </c>
      <c r="B45" s="1539">
        <v>24.02</v>
      </c>
      <c r="C45" s="1540" t="s">
        <v>295</v>
      </c>
      <c r="D45" s="1541" t="s">
        <v>101</v>
      </c>
      <c r="E45" s="1542">
        <v>4</v>
      </c>
      <c r="F45" s="1519">
        <f>VLOOKUP($C45,'01'!$C$7:$M$216,MATCH("P. Unit. MAT",'01'!$C$7:$M$7,0),0)</f>
        <v>0</v>
      </c>
      <c r="G45" s="1519">
        <f t="shared" si="6"/>
        <v>0</v>
      </c>
      <c r="H45" s="1519">
        <f>VLOOKUP($C45,'01'!$C$7:$M$216,MATCH("P. Unit. MO",'01'!$C$7:$M$7,0),0)</f>
        <v>1547376.3491999998</v>
      </c>
      <c r="I45" s="1519">
        <f t="shared" si="7"/>
        <v>6189505.3967999993</v>
      </c>
      <c r="J45" s="1519">
        <f>VLOOKUP($C45,'01'!$C$7:$M$216,MATCH("P. Unit. EQ",'01'!$C$7:$M$7,0),0)</f>
        <v>0</v>
      </c>
      <c r="K45" s="1519">
        <f t="shared" ref="K45" si="32">J45*$E45</f>
        <v>0</v>
      </c>
      <c r="L45" s="1519">
        <f t="shared" si="5"/>
        <v>6189505.3967999993</v>
      </c>
      <c r="O45" s="1514">
        <f t="shared" si="3"/>
        <v>6189505.3967999993</v>
      </c>
      <c r="P45" s="1514">
        <f>+'01'!V44</f>
        <v>13425324</v>
      </c>
      <c r="Q45" s="1471">
        <f t="shared" si="4"/>
        <v>2.1690463355829612</v>
      </c>
      <c r="R45" s="1515"/>
      <c r="S45" s="1515"/>
      <c r="T45" s="1515"/>
      <c r="U45" s="1515"/>
      <c r="V45" s="1515"/>
      <c r="W45" s="1515"/>
      <c r="X45" s="1515"/>
      <c r="Y45" s="1515"/>
      <c r="Z45" s="1515"/>
      <c r="AA45" s="1515"/>
      <c r="AB45" s="1515"/>
      <c r="AC45" s="1515"/>
      <c r="AD45" s="1515"/>
      <c r="AE45" s="1515"/>
      <c r="AF45" s="1515"/>
      <c r="AG45" s="1515"/>
      <c r="AH45" s="1515"/>
      <c r="AI45" s="1515">
        <f t="shared" si="31"/>
        <v>0</v>
      </c>
    </row>
    <row r="46" spans="1:35" ht="10.5" outlineLevel="1" x14ac:dyDescent="0.25">
      <c r="A46" s="1683" t="s">
        <v>221</v>
      </c>
      <c r="B46" s="1516">
        <v>24.03</v>
      </c>
      <c r="C46" s="1543" t="s">
        <v>213</v>
      </c>
      <c r="D46" s="1517" t="s">
        <v>101</v>
      </c>
      <c r="E46" s="1518">
        <v>8</v>
      </c>
      <c r="F46" s="1519">
        <f>VLOOKUP($C46,'01'!$C$7:$M$216,MATCH("P. Unit. MAT",'01'!$C$7:$M$7,0),0)</f>
        <v>0</v>
      </c>
      <c r="G46" s="1519">
        <f t="shared" si="6"/>
        <v>0</v>
      </c>
      <c r="H46" s="1519">
        <f>VLOOKUP($C46,'01'!$C$7:$M$216,MATCH("P. Unit. MO",'01'!$C$7:$M$7,0),0)</f>
        <v>150000</v>
      </c>
      <c r="I46" s="1519">
        <f t="shared" si="7"/>
        <v>1200000</v>
      </c>
      <c r="J46" s="1519">
        <f>VLOOKUP($C46,'01'!$C$7:$M$216,MATCH("P. Unit. EQ",'01'!$C$7:$M$7,0),0)</f>
        <v>0</v>
      </c>
      <c r="K46" s="1519">
        <f t="shared" ref="K46" si="33">J46*$E46</f>
        <v>0</v>
      </c>
      <c r="L46" s="1519">
        <f t="shared" si="5"/>
        <v>1200000</v>
      </c>
      <c r="O46" s="1514">
        <f t="shared" si="3"/>
        <v>1200000</v>
      </c>
      <c r="P46" s="1514">
        <f>+'01'!V45</f>
        <v>2942940</v>
      </c>
      <c r="Q46" s="1471">
        <f t="shared" si="4"/>
        <v>2.4524499999999998</v>
      </c>
      <c r="R46" s="1515"/>
      <c r="S46" s="1515"/>
      <c r="T46" s="1515"/>
      <c r="U46" s="1515"/>
      <c r="V46" s="1515"/>
      <c r="W46" s="1515"/>
      <c r="X46" s="1515"/>
      <c r="Y46" s="1515"/>
      <c r="Z46" s="1515"/>
      <c r="AA46" s="1515"/>
      <c r="AB46" s="1515"/>
      <c r="AC46" s="1515"/>
      <c r="AD46" s="1515"/>
      <c r="AE46" s="1515"/>
      <c r="AF46" s="1515"/>
      <c r="AG46" s="1515"/>
      <c r="AH46" s="1515"/>
      <c r="AI46" s="1515">
        <f t="shared" si="31"/>
        <v>0</v>
      </c>
    </row>
    <row r="47" spans="1:35" ht="10.5" outlineLevel="1" x14ac:dyDescent="0.25">
      <c r="A47" s="1683" t="s">
        <v>113</v>
      </c>
      <c r="B47" s="1539">
        <v>24.04</v>
      </c>
      <c r="C47" s="1543" t="s">
        <v>214</v>
      </c>
      <c r="D47" s="1517" t="s">
        <v>107</v>
      </c>
      <c r="E47" s="1518">
        <v>1</v>
      </c>
      <c r="F47" s="1519">
        <f>VLOOKUP($C47,'01'!$C$7:$M$216,MATCH("P. Unit. MAT",'01'!$C$7:$M$7,0),0)</f>
        <v>2388097.2693333332</v>
      </c>
      <c r="G47" s="1519">
        <f t="shared" si="6"/>
        <v>2388097.2693333332</v>
      </c>
      <c r="H47" s="1519">
        <f>VLOOKUP($C47,'01'!$C$7:$M$216,MATCH("P. Unit. MO",'01'!$C$7:$M$7,0),0)</f>
        <v>1222808.0771714395</v>
      </c>
      <c r="I47" s="1519">
        <f t="shared" si="7"/>
        <v>1222808.0771714395</v>
      </c>
      <c r="J47" s="1519">
        <f>VLOOKUP($C47,'01'!$C$7:$M$216,MATCH("P. Unit. EQ",'01'!$C$7:$M$7,0),0)</f>
        <v>54163.580197571595</v>
      </c>
      <c r="K47" s="1519">
        <f t="shared" ref="K47" si="34">J47*$E47</f>
        <v>54163.580197571595</v>
      </c>
      <c r="L47" s="1519">
        <f t="shared" si="5"/>
        <v>3665068.9267023448</v>
      </c>
      <c r="O47" s="1514">
        <f t="shared" si="3"/>
        <v>3665068.9267023443</v>
      </c>
      <c r="P47" s="1514">
        <f>+'01'!V46</f>
        <v>2026240.68</v>
      </c>
      <c r="Q47" s="1471">
        <f t="shared" si="4"/>
        <v>0.55285199829055209</v>
      </c>
      <c r="R47" s="1515"/>
      <c r="S47" s="1515"/>
      <c r="T47" s="1515"/>
      <c r="U47" s="1515"/>
      <c r="V47" s="1515"/>
      <c r="W47" s="1515"/>
      <c r="X47" s="1515"/>
      <c r="Y47" s="1515"/>
      <c r="Z47" s="1515"/>
      <c r="AA47" s="1515"/>
      <c r="AB47" s="1515"/>
      <c r="AC47" s="1515"/>
      <c r="AD47" s="1515"/>
      <c r="AE47" s="1515"/>
      <c r="AF47" s="1515"/>
      <c r="AG47" s="1515"/>
      <c r="AH47" s="1515"/>
      <c r="AI47" s="1515">
        <f t="shared" si="31"/>
        <v>0</v>
      </c>
    </row>
    <row r="48" spans="1:35" s="1546" customFormat="1" ht="10.5" outlineLevel="1" x14ac:dyDescent="0.25">
      <c r="A48" s="1683" t="s">
        <v>113</v>
      </c>
      <c r="B48" s="1516">
        <v>24.05</v>
      </c>
      <c r="C48" s="1438" t="s">
        <v>546</v>
      </c>
      <c r="D48" s="1544" t="s">
        <v>101</v>
      </c>
      <c r="E48" s="1518">
        <v>8</v>
      </c>
      <c r="F48" s="1519">
        <f>VLOOKUP($C48,'01'!$C$7:$M$216,MATCH("P. Unit. MAT",'01'!$C$7:$M$7,0),0)</f>
        <v>50000</v>
      </c>
      <c r="G48" s="1519">
        <f t="shared" si="6"/>
        <v>400000</v>
      </c>
      <c r="H48" s="1519">
        <f>VLOOKUP($C48,'01'!$C$7:$M$216,MATCH("P. Unit. MO",'01'!$C$7:$M$7,0),0)</f>
        <v>495686.16827914771</v>
      </c>
      <c r="I48" s="1519">
        <f t="shared" si="7"/>
        <v>3965489.3462331817</v>
      </c>
      <c r="J48" s="1519">
        <f>VLOOKUP($C48,'01'!$C$7:$M$216,MATCH("P. Unit. EQ",'01'!$C$7:$M$7,0),0)</f>
        <v>8185.2925241872153</v>
      </c>
      <c r="K48" s="1519">
        <f t="shared" ref="K48" si="35">J48*$E48</f>
        <v>65482.340193497723</v>
      </c>
      <c r="L48" s="1519">
        <f t="shared" si="5"/>
        <v>4430971.6864266796</v>
      </c>
      <c r="M48" s="1545"/>
      <c r="N48" s="1505"/>
      <c r="O48" s="1514">
        <f t="shared" si="3"/>
        <v>4430971.6864266796</v>
      </c>
      <c r="P48" s="1514">
        <f>+'01'!V47</f>
        <v>1317792</v>
      </c>
      <c r="Q48" s="1471">
        <f t="shared" si="4"/>
        <v>0.29740474398353073</v>
      </c>
      <c r="R48" s="1515"/>
      <c r="S48" s="1515"/>
      <c r="T48" s="1515"/>
      <c r="U48" s="1515"/>
      <c r="V48" s="1515"/>
      <c r="W48" s="1515"/>
      <c r="X48" s="1515"/>
      <c r="Y48" s="1515"/>
      <c r="Z48" s="1515"/>
      <c r="AA48" s="1515"/>
      <c r="AB48" s="1515"/>
      <c r="AC48" s="1515"/>
      <c r="AD48" s="1515"/>
      <c r="AE48" s="1515"/>
      <c r="AF48" s="1515"/>
      <c r="AG48" s="1515"/>
      <c r="AH48" s="1515"/>
      <c r="AI48" s="1515">
        <f t="shared" si="31"/>
        <v>0</v>
      </c>
    </row>
    <row r="49" spans="1:35" s="1546" customFormat="1" ht="10.5" outlineLevel="1" x14ac:dyDescent="0.25">
      <c r="A49" s="1683" t="s">
        <v>113</v>
      </c>
      <c r="B49" s="1539">
        <v>24.06</v>
      </c>
      <c r="C49" s="1543" t="s">
        <v>114</v>
      </c>
      <c r="D49" s="1544" t="s">
        <v>101</v>
      </c>
      <c r="E49" s="1518">
        <v>8</v>
      </c>
      <c r="F49" s="1519">
        <f>VLOOKUP($C49,'01'!$C$7:$M$216,MATCH("P. Unit. MAT",'01'!$C$7:$M$7,0),0)</f>
        <v>25000</v>
      </c>
      <c r="G49" s="1519">
        <f t="shared" si="6"/>
        <v>200000</v>
      </c>
      <c r="H49" s="1519">
        <f>VLOOKUP($C49,'01'!$C$7:$M$216,MATCH("P. Unit. MO",'01'!$C$7:$M$7,0),0)</f>
        <v>329565.96569537499</v>
      </c>
      <c r="I49" s="1519">
        <f t="shared" si="7"/>
        <v>2636527.725563</v>
      </c>
      <c r="J49" s="1519">
        <f>VLOOKUP($C49,'01'!$C$7:$M$216,MATCH("P. Unit. EQ",'01'!$C$7:$M$7,0),0)</f>
        <v>5318.4894854306249</v>
      </c>
      <c r="K49" s="1519">
        <f t="shared" ref="K49" si="36">J49*$E49</f>
        <v>42547.915883444999</v>
      </c>
      <c r="L49" s="1519">
        <f t="shared" si="5"/>
        <v>2879075.6414464451</v>
      </c>
      <c r="M49" s="1545"/>
      <c r="N49" s="1505"/>
      <c r="O49" s="1514">
        <f t="shared" si="3"/>
        <v>2879075.6414464451</v>
      </c>
      <c r="P49" s="1514">
        <f>+'01'!V48</f>
        <v>2510109</v>
      </c>
      <c r="Q49" s="1471">
        <f t="shared" si="4"/>
        <v>0.87184545062488294</v>
      </c>
      <c r="R49" s="1515"/>
      <c r="S49" s="1515"/>
      <c r="T49" s="1515"/>
      <c r="U49" s="1515"/>
      <c r="V49" s="1515"/>
      <c r="W49" s="1515"/>
      <c r="X49" s="1515"/>
      <c r="Y49" s="1515"/>
      <c r="Z49" s="1515"/>
      <c r="AA49" s="1515"/>
      <c r="AB49" s="1515"/>
      <c r="AC49" s="1515"/>
      <c r="AD49" s="1515"/>
      <c r="AE49" s="1515"/>
      <c r="AF49" s="1515"/>
      <c r="AG49" s="1515"/>
      <c r="AH49" s="1515"/>
      <c r="AI49" s="1515">
        <f t="shared" si="31"/>
        <v>0</v>
      </c>
    </row>
    <row r="50" spans="1:35" s="1546" customFormat="1" ht="10.5" outlineLevel="1" x14ac:dyDescent="0.25">
      <c r="A50" s="1683" t="s">
        <v>113</v>
      </c>
      <c r="B50" s="1516">
        <v>24.07</v>
      </c>
      <c r="C50" s="1543" t="s">
        <v>297</v>
      </c>
      <c r="D50" s="1544" t="s">
        <v>107</v>
      </c>
      <c r="E50" s="1518">
        <v>0</v>
      </c>
      <c r="F50" s="1519">
        <f>VLOOKUP($C50,'01'!$C$7:$M$216,MATCH("P. Unit. MAT",'01'!$C$7:$M$7,0),0)</f>
        <v>0</v>
      </c>
      <c r="G50" s="1519">
        <f t="shared" si="6"/>
        <v>0</v>
      </c>
      <c r="H50" s="1519">
        <f>VLOOKUP($C50,'01'!$C$7:$M$216,MATCH("P. Unit. MO",'01'!$C$7:$M$7,0),0)</f>
        <v>0</v>
      </c>
      <c r="I50" s="1519">
        <f t="shared" si="7"/>
        <v>0</v>
      </c>
      <c r="J50" s="1519">
        <f>VLOOKUP($C50,'01'!$C$7:$M$216,MATCH("P. Unit. EQ",'01'!$C$7:$M$7,0),0)</f>
        <v>0</v>
      </c>
      <c r="K50" s="1519">
        <f t="shared" ref="K50" si="37">J50*$E50</f>
        <v>0</v>
      </c>
      <c r="L50" s="1519">
        <f t="shared" si="5"/>
        <v>0</v>
      </c>
      <c r="M50" s="1545"/>
      <c r="N50" s="1505"/>
      <c r="O50" s="1514">
        <f t="shared" si="3"/>
        <v>0</v>
      </c>
      <c r="P50" s="1514">
        <f>+'01'!V49</f>
        <v>1119953</v>
      </c>
      <c r="Q50" s="1471" t="e">
        <f t="shared" si="4"/>
        <v>#DIV/0!</v>
      </c>
      <c r="R50" s="1515"/>
      <c r="S50" s="1515"/>
      <c r="T50" s="1515"/>
      <c r="U50" s="1515"/>
      <c r="V50" s="1515"/>
      <c r="W50" s="1515"/>
      <c r="X50" s="1515"/>
      <c r="Y50" s="1515"/>
      <c r="Z50" s="1515"/>
      <c r="AA50" s="1515"/>
      <c r="AB50" s="1515"/>
      <c r="AC50" s="1515"/>
      <c r="AD50" s="1515"/>
      <c r="AE50" s="1515"/>
      <c r="AF50" s="1515"/>
      <c r="AG50" s="1515"/>
      <c r="AH50" s="1515"/>
      <c r="AI50" s="1515">
        <f t="shared" si="31"/>
        <v>0</v>
      </c>
    </row>
    <row r="51" spans="1:35" s="1546" customFormat="1" ht="10.5" outlineLevel="1" x14ac:dyDescent="0.25">
      <c r="A51" s="1685" t="s">
        <v>218</v>
      </c>
      <c r="B51" s="1539">
        <v>24.08</v>
      </c>
      <c r="C51" s="1543" t="s">
        <v>115</v>
      </c>
      <c r="D51" s="1544" t="s">
        <v>101</v>
      </c>
      <c r="E51" s="1518">
        <v>8</v>
      </c>
      <c r="F51" s="1519">
        <f>VLOOKUP($C51,'01'!$C$7:$M$216,MATCH("P. Unit. MAT",'01'!$C$7:$M$7,0),0)</f>
        <v>0</v>
      </c>
      <c r="G51" s="1519">
        <f t="shared" si="6"/>
        <v>0</v>
      </c>
      <c r="H51" s="1519">
        <f>VLOOKUP($C51,'01'!$C$7:$M$216,MATCH("P. Unit. MO",'01'!$C$7:$M$7,0),0)</f>
        <v>250000</v>
      </c>
      <c r="I51" s="1519">
        <f t="shared" si="7"/>
        <v>2000000</v>
      </c>
      <c r="J51" s="1519">
        <f>VLOOKUP($C51,'01'!$C$7:$M$216,MATCH("P. Unit. EQ",'01'!$C$7:$M$7,0),0)</f>
        <v>0</v>
      </c>
      <c r="K51" s="1519">
        <f t="shared" ref="K51" si="38">J51*$E51</f>
        <v>0</v>
      </c>
      <c r="L51" s="1519">
        <f t="shared" si="5"/>
        <v>2000000</v>
      </c>
      <c r="M51" s="1545"/>
      <c r="N51" s="1505"/>
      <c r="O51" s="1514">
        <f t="shared" si="3"/>
        <v>2000000</v>
      </c>
      <c r="P51" s="1514">
        <f>+'01'!V50</f>
        <v>0</v>
      </c>
      <c r="Q51" s="1471">
        <f t="shared" si="4"/>
        <v>0</v>
      </c>
      <c r="R51" s="1515"/>
      <c r="S51" s="1515"/>
      <c r="T51" s="1515"/>
      <c r="U51" s="1515"/>
      <c r="V51" s="1515"/>
      <c r="W51" s="1515"/>
      <c r="X51" s="1515"/>
      <c r="Y51" s="1515"/>
      <c r="Z51" s="1515"/>
      <c r="AA51" s="1515"/>
      <c r="AB51" s="1515"/>
      <c r="AC51" s="1515"/>
      <c r="AD51" s="1515"/>
      <c r="AE51" s="1515"/>
      <c r="AF51" s="1515"/>
      <c r="AG51" s="1515"/>
      <c r="AH51" s="1515"/>
      <c r="AI51" s="1515">
        <f t="shared" si="31"/>
        <v>0</v>
      </c>
    </row>
    <row r="52" spans="1:35" s="1547" customFormat="1" ht="10.5" outlineLevel="1" x14ac:dyDescent="0.25">
      <c r="A52" s="1683" t="s">
        <v>177</v>
      </c>
      <c r="B52" s="1516">
        <v>24.09</v>
      </c>
      <c r="C52" s="1543" t="s">
        <v>298</v>
      </c>
      <c r="D52" s="1544" t="s">
        <v>101</v>
      </c>
      <c r="E52" s="1518">
        <v>4</v>
      </c>
      <c r="F52" s="1519">
        <f>VLOOKUP($C52,'01'!$C$7:$M$216,MATCH("P. Unit. MAT",'01'!$C$7:$M$7,0),0)</f>
        <v>0</v>
      </c>
      <c r="G52" s="1519">
        <f t="shared" si="6"/>
        <v>0</v>
      </c>
      <c r="H52" s="1519">
        <f>VLOOKUP($C52,'01'!$C$7:$M$216,MATCH("P. Unit. MO",'01'!$C$7:$M$7,0),0)</f>
        <v>0</v>
      </c>
      <c r="I52" s="1519">
        <f t="shared" si="7"/>
        <v>0</v>
      </c>
      <c r="J52" s="1519">
        <f>VLOOKUP($C52,'01'!$C$7:$M$216,MATCH("P. Unit. EQ",'01'!$C$7:$M$7,0),0)</f>
        <v>0</v>
      </c>
      <c r="K52" s="1519">
        <f t="shared" ref="K52" si="39">J52*$E52</f>
        <v>0</v>
      </c>
      <c r="L52" s="1519">
        <f t="shared" si="5"/>
        <v>0</v>
      </c>
      <c r="M52" s="1545"/>
      <c r="N52" s="1505"/>
      <c r="O52" s="1514">
        <f t="shared" si="3"/>
        <v>0</v>
      </c>
      <c r="P52" s="1514">
        <f>+'01'!V51</f>
        <v>3031290.0000000005</v>
      </c>
      <c r="Q52" s="1471" t="e">
        <f t="shared" si="4"/>
        <v>#DIV/0!</v>
      </c>
      <c r="R52" s="1515"/>
      <c r="S52" s="1515"/>
      <c r="T52" s="1515"/>
      <c r="U52" s="1515"/>
      <c r="V52" s="1515"/>
      <c r="W52" s="1515"/>
      <c r="X52" s="1515"/>
      <c r="Y52" s="1515"/>
      <c r="Z52" s="1515"/>
      <c r="AA52" s="1515"/>
      <c r="AB52" s="1515"/>
      <c r="AC52" s="1515"/>
      <c r="AD52" s="1515"/>
      <c r="AE52" s="1515"/>
      <c r="AF52" s="1515"/>
      <c r="AG52" s="1515"/>
      <c r="AH52" s="1515"/>
      <c r="AI52" s="1515">
        <f t="shared" si="31"/>
        <v>0</v>
      </c>
    </row>
    <row r="53" spans="1:35" s="1547" customFormat="1" ht="10.5" outlineLevel="1" x14ac:dyDescent="0.25">
      <c r="A53" s="1683" t="s">
        <v>113</v>
      </c>
      <c r="B53" s="1539" t="s">
        <v>489</v>
      </c>
      <c r="C53" s="1548" t="s">
        <v>116</v>
      </c>
      <c r="D53" s="1549" t="s">
        <v>101</v>
      </c>
      <c r="E53" s="1550">
        <v>8</v>
      </c>
      <c r="F53" s="1519">
        <v>0</v>
      </c>
      <c r="G53" s="1519">
        <f t="shared" si="6"/>
        <v>0</v>
      </c>
      <c r="H53" s="1519">
        <f>VLOOKUP($C54,'01'!$C$7:$M$216,MATCH("P. Unit. MO",'01'!$C$7:$M$7,0),0)</f>
        <v>49934.237226571968</v>
      </c>
      <c r="I53" s="1519">
        <f t="shared" si="7"/>
        <v>399473.89781257574</v>
      </c>
      <c r="J53" s="1519">
        <f>VLOOKUP($C53,'01'!$C$7:$M$216,MATCH("P. Unit. EQ",'01'!$C$7:$M$7,0),0)</f>
        <v>0</v>
      </c>
      <c r="K53" s="1519">
        <f t="shared" ref="K53" si="40">J53*$E53</f>
        <v>0</v>
      </c>
      <c r="L53" s="1519">
        <f t="shared" si="5"/>
        <v>399473.89781257574</v>
      </c>
      <c r="M53" s="1545"/>
      <c r="N53" s="1505"/>
      <c r="O53" s="1514">
        <f t="shared" si="3"/>
        <v>399473.89781257574</v>
      </c>
      <c r="P53" s="1514">
        <f>+'01'!V52</f>
        <v>1612800</v>
      </c>
      <c r="Q53" s="1471">
        <f t="shared" si="4"/>
        <v>4.0373100941796451</v>
      </c>
      <c r="R53" s="1515"/>
      <c r="S53" s="1515"/>
      <c r="T53" s="1515"/>
      <c r="U53" s="1515"/>
      <c r="V53" s="1515"/>
      <c r="W53" s="1515"/>
      <c r="X53" s="1515"/>
      <c r="Y53" s="1515"/>
      <c r="Z53" s="1515"/>
      <c r="AA53" s="1515"/>
      <c r="AB53" s="1515"/>
      <c r="AC53" s="1515"/>
      <c r="AD53" s="1515"/>
      <c r="AE53" s="1515"/>
      <c r="AF53" s="1515"/>
      <c r="AG53" s="1515"/>
      <c r="AH53" s="1515"/>
      <c r="AI53" s="1515"/>
    </row>
    <row r="54" spans="1:35" s="1547" customFormat="1" ht="10.5" outlineLevel="1" x14ac:dyDescent="0.25">
      <c r="A54" s="1685" t="s">
        <v>103</v>
      </c>
      <c r="B54" s="1539" t="s">
        <v>490</v>
      </c>
      <c r="C54" s="1551" t="s">
        <v>116</v>
      </c>
      <c r="D54" s="1552" t="s">
        <v>101</v>
      </c>
      <c r="E54" s="1524">
        <v>8</v>
      </c>
      <c r="F54" s="1519">
        <f>VLOOKUP($C54,'01'!$C$7:$M$216,MATCH("P. Unit. MAT",'01'!$C$7:$M$7,0),0)</f>
        <v>200000</v>
      </c>
      <c r="G54" s="1519">
        <f t="shared" si="6"/>
        <v>1600000</v>
      </c>
      <c r="H54" s="1519">
        <v>0</v>
      </c>
      <c r="I54" s="1519">
        <f t="shared" si="7"/>
        <v>0</v>
      </c>
      <c r="J54" s="1519">
        <f>VLOOKUP($C54,'01'!$C$7:$M$216,MATCH("P. Unit. EQ",'01'!$C$7:$M$7,0),0)</f>
        <v>0</v>
      </c>
      <c r="K54" s="1519">
        <f t="shared" ref="K54" si="41">J54*$E54</f>
        <v>0</v>
      </c>
      <c r="L54" s="1519">
        <f t="shared" si="5"/>
        <v>1600000</v>
      </c>
      <c r="M54" s="1545"/>
      <c r="N54" s="1505"/>
      <c r="O54" s="1514">
        <f t="shared" si="3"/>
        <v>1600000</v>
      </c>
      <c r="P54" s="1514">
        <f>+'01'!V53</f>
        <v>258048</v>
      </c>
      <c r="Q54" s="1471">
        <f t="shared" si="4"/>
        <v>0.16128000000000001</v>
      </c>
      <c r="R54" s="1515"/>
      <c r="S54" s="1515"/>
      <c r="T54" s="1515"/>
      <c r="U54" s="1515"/>
      <c r="V54" s="1515"/>
      <c r="W54" s="1515"/>
      <c r="X54" s="1515"/>
      <c r="Y54" s="1515"/>
      <c r="Z54" s="1515"/>
      <c r="AA54" s="1515"/>
      <c r="AB54" s="1515"/>
      <c r="AC54" s="1515"/>
      <c r="AD54" s="1515"/>
      <c r="AE54" s="1515"/>
      <c r="AF54" s="1515"/>
      <c r="AG54" s="1515"/>
      <c r="AH54" s="1515"/>
      <c r="AI54" s="1515">
        <f t="shared" si="31"/>
        <v>0</v>
      </c>
    </row>
    <row r="55" spans="1:35" ht="10.5" x14ac:dyDescent="0.25">
      <c r="A55" s="1681"/>
      <c r="B55" s="1500">
        <v>25</v>
      </c>
      <c r="C55" s="1590" t="s">
        <v>215</v>
      </c>
      <c r="D55" s="1501"/>
      <c r="E55" s="1502"/>
      <c r="F55" s="1502"/>
      <c r="G55" s="1526">
        <f>SUM(G56:G57)</f>
        <v>0</v>
      </c>
      <c r="H55" s="1502"/>
      <c r="I55" s="1527">
        <f>SUM(I56:I57)</f>
        <v>34386964.656000003</v>
      </c>
      <c r="J55" s="1502"/>
      <c r="K55" s="1508">
        <f>SUM(K56:K57)</f>
        <v>0</v>
      </c>
      <c r="L55" s="1509">
        <f>SUM(L56:L57)</f>
        <v>34386964.656000003</v>
      </c>
      <c r="M55" s="1504">
        <f>SUM(D55:K55)</f>
        <v>34386964.656000003</v>
      </c>
      <c r="N55" s="895">
        <f>M55+M238-'01'!T213</f>
        <v>0</v>
      </c>
      <c r="O55" s="1514">
        <f t="shared" si="3"/>
        <v>34386964.656000003</v>
      </c>
      <c r="P55" s="1514">
        <f>+'01'!V54</f>
        <v>1153586</v>
      </c>
      <c r="Q55" s="1471">
        <f t="shared" si="4"/>
        <v>3.3547188928718566E-2</v>
      </c>
      <c r="R55" s="1506"/>
      <c r="S55" s="1506"/>
      <c r="T55" s="1506"/>
      <c r="U55" s="1506"/>
      <c r="V55" s="1506"/>
      <c r="W55" s="1507"/>
      <c r="X55" s="1507"/>
      <c r="Y55" s="1507"/>
      <c r="Z55" s="1507"/>
      <c r="AA55" s="1507"/>
      <c r="AB55" s="1507"/>
      <c r="AC55" s="1507"/>
      <c r="AD55" s="1507"/>
      <c r="AE55" s="1507"/>
      <c r="AF55" s="1507"/>
      <c r="AG55" s="1507"/>
      <c r="AH55" s="1507"/>
      <c r="AI55" s="1507"/>
    </row>
    <row r="56" spans="1:35" s="1556" customFormat="1" ht="10.5" outlineLevel="1" x14ac:dyDescent="0.25">
      <c r="A56" s="1682" t="s">
        <v>100</v>
      </c>
      <c r="B56" s="1510">
        <v>25.01</v>
      </c>
      <c r="C56" s="1658" t="s">
        <v>299</v>
      </c>
      <c r="D56" s="1553" t="s">
        <v>101</v>
      </c>
      <c r="E56" s="1554">
        <v>8</v>
      </c>
      <c r="F56" s="1519">
        <f>VLOOKUP($C56,'01'!$C$7:$M$216,MATCH("P. Unit. MAT",'01'!$C$7:$M$7,0),0)</f>
        <v>0</v>
      </c>
      <c r="G56" s="1519">
        <f t="shared" si="6"/>
        <v>0</v>
      </c>
      <c r="H56" s="1519">
        <f>VLOOKUP($C56,'01'!$C$7:$M$216,MATCH("P. Unit. MO",'01'!$C$7:$M$7,0),0)</f>
        <v>3798370.5819999999</v>
      </c>
      <c r="I56" s="1519">
        <f t="shared" si="7"/>
        <v>30386964.655999999</v>
      </c>
      <c r="J56" s="1519">
        <f>VLOOKUP($C56,'01'!$C$7:$M$216,MATCH("P. Unit. EQ",'01'!$C$7:$M$7,0),0)</f>
        <v>0</v>
      </c>
      <c r="K56" s="1519">
        <f t="shared" ref="K56:K57" si="42">J56*$E56</f>
        <v>0</v>
      </c>
      <c r="L56" s="1519">
        <f t="shared" si="5"/>
        <v>30386964.655999999</v>
      </c>
      <c r="M56" s="1555"/>
      <c r="O56" s="1514">
        <f t="shared" si="3"/>
        <v>30386964.655999999</v>
      </c>
      <c r="P56" s="1514">
        <f>+'01'!V55</f>
        <v>1824780</v>
      </c>
      <c r="Q56" s="1471">
        <f t="shared" si="4"/>
        <v>6.0051407590645665E-2</v>
      </c>
      <c r="R56" s="1515"/>
      <c r="S56" s="1515"/>
      <c r="T56" s="1515"/>
      <c r="U56" s="1515"/>
      <c r="V56" s="1515"/>
      <c r="W56" s="1515"/>
      <c r="X56" s="1515"/>
      <c r="Y56" s="1515"/>
      <c r="Z56" s="1515"/>
      <c r="AA56" s="1515"/>
      <c r="AB56" s="1515"/>
      <c r="AC56" s="1515"/>
      <c r="AD56" s="1515"/>
      <c r="AE56" s="1515"/>
      <c r="AF56" s="1515"/>
      <c r="AG56" s="1515"/>
      <c r="AH56" s="1515"/>
      <c r="AI56" s="1515">
        <f>SUM(S56:AH56)</f>
        <v>0</v>
      </c>
    </row>
    <row r="57" spans="1:35" s="1556" customFormat="1" ht="10.5" outlineLevel="1" x14ac:dyDescent="0.25">
      <c r="A57" s="1684" t="s">
        <v>218</v>
      </c>
      <c r="B57" s="1522">
        <v>25.02</v>
      </c>
      <c r="C57" s="1659" t="s">
        <v>102</v>
      </c>
      <c r="D57" s="1557" t="s">
        <v>101</v>
      </c>
      <c r="E57" s="1537">
        <v>8</v>
      </c>
      <c r="F57" s="1519">
        <f>VLOOKUP($C57,'01'!$C$7:$M$216,MATCH("P. Unit. MAT",'01'!$C$7:$M$7,0),0)</f>
        <v>0</v>
      </c>
      <c r="G57" s="1519">
        <f t="shared" si="6"/>
        <v>0</v>
      </c>
      <c r="H57" s="1519">
        <f>VLOOKUP($C57,'01'!$C$7:$M$216,MATCH("P. Unit. MO",'01'!$C$7:$M$7,0),0)</f>
        <v>500000</v>
      </c>
      <c r="I57" s="1519">
        <f t="shared" si="7"/>
        <v>4000000</v>
      </c>
      <c r="J57" s="1525">
        <f>VLOOKUP($C57,'01'!$C$7:$M$216,MATCH("P. Unit. EQ",'01'!$C$7:$M$7,0),0)</f>
        <v>0</v>
      </c>
      <c r="K57" s="1525">
        <f t="shared" si="42"/>
        <v>0</v>
      </c>
      <c r="L57" s="1519">
        <f t="shared" si="5"/>
        <v>4000000</v>
      </c>
      <c r="M57" s="1558"/>
      <c r="O57" s="1514">
        <f t="shared" si="3"/>
        <v>4000000</v>
      </c>
      <c r="P57" s="1514">
        <f>+'01'!V56</f>
        <v>11118000</v>
      </c>
      <c r="Q57" s="1471">
        <f t="shared" si="4"/>
        <v>2.7795000000000001</v>
      </c>
      <c r="R57" s="1515"/>
      <c r="S57" s="1515"/>
      <c r="T57" s="1515"/>
      <c r="U57" s="1515"/>
      <c r="V57" s="1515"/>
      <c r="W57" s="1515"/>
      <c r="X57" s="1515"/>
      <c r="Y57" s="1515"/>
      <c r="Z57" s="1515"/>
      <c r="AA57" s="1515"/>
      <c r="AB57" s="1515"/>
      <c r="AC57" s="1515"/>
      <c r="AD57" s="1515"/>
      <c r="AE57" s="1515"/>
      <c r="AF57" s="1515"/>
      <c r="AG57" s="1515"/>
      <c r="AH57" s="1515"/>
      <c r="AI57" s="1515">
        <f>SUM(S57:AH57)</f>
        <v>0</v>
      </c>
    </row>
    <row r="58" spans="1:35" s="1556" customFormat="1" ht="10.5" outlineLevel="1" x14ac:dyDescent="0.25">
      <c r="A58" s="1681"/>
      <c r="B58" s="1500"/>
      <c r="C58" s="1590" t="s">
        <v>300</v>
      </c>
      <c r="D58" s="1501"/>
      <c r="E58" s="1502"/>
      <c r="F58" s="1502"/>
      <c r="G58" s="1502">
        <f>SUMIF($A$9:$A$57,"",G9:G57)</f>
        <v>49285359.82711675</v>
      </c>
      <c r="H58" s="1502"/>
      <c r="I58" s="1502">
        <f>SUMIF($A$9:$A$57,"",I9:I57)</f>
        <v>254736199.68337631</v>
      </c>
      <c r="J58" s="1559"/>
      <c r="K58" s="1502">
        <f>SUMIF($A$9:$A$57,"",K9:K57)</f>
        <v>12019074.06731751</v>
      </c>
      <c r="L58" s="1502"/>
      <c r="M58" s="1502">
        <f>SUMIF($A$9:$A$57,"",M9:M57)</f>
        <v>316040633.57781059</v>
      </c>
      <c r="N58" s="1505"/>
      <c r="R58" s="1560">
        <f t="shared" ref="R58:AH58" si="43">+SUMPRODUCT(R$10:R$57,$K$10:$K$57)</f>
        <v>0</v>
      </c>
      <c r="S58" s="1560">
        <f t="shared" si="43"/>
        <v>0</v>
      </c>
      <c r="T58" s="1560">
        <f t="shared" si="43"/>
        <v>0</v>
      </c>
      <c r="U58" s="1560">
        <f t="shared" si="43"/>
        <v>0</v>
      </c>
      <c r="V58" s="1560">
        <f t="shared" si="43"/>
        <v>0</v>
      </c>
      <c r="W58" s="1560">
        <f t="shared" si="43"/>
        <v>0</v>
      </c>
      <c r="X58" s="1560">
        <f t="shared" si="43"/>
        <v>0</v>
      </c>
      <c r="Y58" s="1560">
        <f t="shared" si="43"/>
        <v>0</v>
      </c>
      <c r="Z58" s="1560">
        <f t="shared" si="43"/>
        <v>0</v>
      </c>
      <c r="AA58" s="1560">
        <f t="shared" si="43"/>
        <v>0</v>
      </c>
      <c r="AB58" s="1560">
        <f t="shared" si="43"/>
        <v>0</v>
      </c>
      <c r="AC58" s="1560">
        <f t="shared" si="43"/>
        <v>0</v>
      </c>
      <c r="AD58" s="1560">
        <f t="shared" si="43"/>
        <v>0</v>
      </c>
      <c r="AE58" s="1560">
        <f t="shared" si="43"/>
        <v>0</v>
      </c>
      <c r="AF58" s="1560">
        <f t="shared" si="43"/>
        <v>0</v>
      </c>
      <c r="AG58" s="1560">
        <f t="shared" si="43"/>
        <v>0</v>
      </c>
      <c r="AH58" s="1560">
        <f t="shared" si="43"/>
        <v>0</v>
      </c>
      <c r="AI58" s="1561"/>
    </row>
    <row r="59" spans="1:35" s="1556" customFormat="1" ht="10.5" outlineLevel="1" x14ac:dyDescent="0.25">
      <c r="A59" s="1686"/>
      <c r="B59" s="1562"/>
      <c r="C59" s="1662"/>
      <c r="D59" s="1562"/>
      <c r="E59" s="1562"/>
      <c r="F59" s="1562"/>
      <c r="G59" s="1562"/>
      <c r="H59" s="1562"/>
      <c r="I59" s="1562"/>
      <c r="J59" s="1562"/>
      <c r="K59" s="1562"/>
      <c r="L59" s="1562"/>
      <c r="M59" s="1562"/>
    </row>
    <row r="60" spans="1:35" s="1556" customFormat="1" ht="10.5" outlineLevel="1" x14ac:dyDescent="0.25">
      <c r="A60" s="1686"/>
      <c r="B60" s="1562"/>
      <c r="C60" s="1662"/>
      <c r="D60" s="1562"/>
      <c r="E60" s="1562"/>
      <c r="F60" s="1563"/>
      <c r="G60" s="1562">
        <f>SUM(G26:G42,I26:I42,I22,I24)</f>
        <v>199783155.65506014</v>
      </c>
      <c r="H60" s="1562"/>
      <c r="I60" s="1562"/>
      <c r="J60" s="1562"/>
      <c r="K60" s="1562"/>
      <c r="L60" s="1562"/>
      <c r="M60" s="1562"/>
    </row>
    <row r="61" spans="1:35" s="1556" customFormat="1" ht="10.5" outlineLevel="1" x14ac:dyDescent="0.25">
      <c r="A61" s="1686"/>
      <c r="B61" s="1562"/>
      <c r="C61" s="1662"/>
      <c r="D61" s="1562"/>
      <c r="E61" s="1562"/>
      <c r="F61" s="1562"/>
      <c r="G61" s="1562">
        <f>SUM(G44,I44,G47:G50,I47:I50,G53,I53)</f>
        <v>16006083.089864437</v>
      </c>
      <c r="H61" s="1562"/>
      <c r="I61" s="1562"/>
      <c r="J61" s="1562"/>
      <c r="K61" s="1562"/>
      <c r="L61" s="1562"/>
      <c r="M61" s="1562"/>
    </row>
    <row r="62" spans="1:35" s="1556" customFormat="1" ht="10.5" outlineLevel="1" x14ac:dyDescent="0.25">
      <c r="A62" s="1686"/>
      <c r="B62" s="1562"/>
      <c r="C62" s="1662"/>
      <c r="D62" s="1562"/>
      <c r="E62" s="1562"/>
      <c r="F62" s="1562"/>
      <c r="G62" s="1562"/>
      <c r="H62" s="1562"/>
      <c r="I62" s="1562"/>
      <c r="J62" s="1562"/>
      <c r="K62" s="1562"/>
      <c r="L62" s="1562"/>
      <c r="M62" s="1562"/>
    </row>
    <row r="63" spans="1:35" ht="10.5" x14ac:dyDescent="0.25">
      <c r="A63" s="1681"/>
      <c r="B63" s="1500"/>
      <c r="C63" s="1590" t="s">
        <v>301</v>
      </c>
      <c r="D63" s="1501"/>
      <c r="E63" s="1502"/>
      <c r="F63" s="1502"/>
      <c r="G63" s="1502"/>
      <c r="H63" s="1502"/>
      <c r="I63" s="1502"/>
      <c r="J63" s="1502"/>
      <c r="K63" s="1502"/>
      <c r="L63" s="1502"/>
      <c r="M63" s="1504"/>
      <c r="N63" s="1505"/>
    </row>
    <row r="64" spans="1:35" ht="10.5" x14ac:dyDescent="0.25">
      <c r="A64" s="1681"/>
      <c r="B64" s="1500">
        <v>4</v>
      </c>
      <c r="C64" s="1590" t="s">
        <v>125</v>
      </c>
      <c r="D64" s="1501"/>
      <c r="E64" s="1502"/>
      <c r="F64" s="1502"/>
      <c r="G64" s="1526">
        <f>SUM(G65:G72)</f>
        <v>21811265.178081404</v>
      </c>
      <c r="H64" s="1502"/>
      <c r="I64" s="1527">
        <f>SUM(I65:I72)</f>
        <v>20806522.012814283</v>
      </c>
      <c r="J64" s="1502"/>
      <c r="K64" s="1508">
        <f>SUM(K65:K72)</f>
        <v>586184.04196301429</v>
      </c>
      <c r="L64" s="1503">
        <f>SUM(L65:L72)</f>
        <v>43203971.232858703</v>
      </c>
      <c r="M64" s="1504">
        <f>SUM(D64:K64)</f>
        <v>43203971.232858703</v>
      </c>
      <c r="N64" s="895">
        <f>M64-'01'!T41</f>
        <v>0</v>
      </c>
      <c r="R64" s="1564"/>
      <c r="S64" s="1564"/>
      <c r="T64" s="1564"/>
      <c r="U64" s="1564"/>
      <c r="V64" s="1564"/>
      <c r="W64" s="1565"/>
      <c r="X64" s="1565"/>
      <c r="Y64" s="1565"/>
      <c r="Z64" s="1565"/>
      <c r="AA64" s="1565"/>
      <c r="AB64" s="1565"/>
      <c r="AC64" s="1565"/>
      <c r="AD64" s="1565"/>
      <c r="AE64" s="1565"/>
      <c r="AF64" s="1565"/>
      <c r="AG64" s="1565"/>
      <c r="AH64" s="1565"/>
      <c r="AI64" s="1565"/>
    </row>
    <row r="65" spans="1:35" s="1556" customFormat="1" ht="10.5" outlineLevel="1" x14ac:dyDescent="0.25">
      <c r="A65" s="1682" t="s">
        <v>113</v>
      </c>
      <c r="B65" s="1510">
        <v>4.01</v>
      </c>
      <c r="C65" s="1658" t="s">
        <v>302</v>
      </c>
      <c r="D65" s="1553" t="s">
        <v>109</v>
      </c>
      <c r="E65" s="1554">
        <v>819</v>
      </c>
      <c r="F65" s="1519">
        <f>VLOOKUP($C65,'01'!$C$7:$M$216,MATCH("P. Unit. MAT",'01'!$C$7:$M$7,0),0)</f>
        <v>6545.2009385010006</v>
      </c>
      <c r="G65" s="1519">
        <f t="shared" ref="G65:G128" si="44">F65*$E65</f>
        <v>5360519.5686323196</v>
      </c>
      <c r="H65" s="1519">
        <f>VLOOKUP($C65,'01'!$C$7:$M$216,MATCH("P. Unit. MO",'01'!$C$7:$M$7,0),0)</f>
        <v>8336.4856968762633</v>
      </c>
      <c r="I65" s="1519">
        <f t="shared" ref="I65:I128" si="45">H65*$E65</f>
        <v>6827581.7857416598</v>
      </c>
      <c r="J65" s="1519">
        <f>VLOOKUP($C65,'01'!$C$7:$M$216,MATCH("P. Unit. EQ",'01'!$C$7:$M$7,0),0)</f>
        <v>229.16796425864814</v>
      </c>
      <c r="K65" s="1519">
        <f t="shared" ref="K65:K128" si="46">J65*$E65</f>
        <v>187688.56272783282</v>
      </c>
      <c r="L65" s="1519">
        <f t="shared" ref="L65:L72" si="47">SUM(G65,I65,K65)</f>
        <v>12375789.917101813</v>
      </c>
      <c r="M65" s="1566"/>
      <c r="N65" s="1505"/>
      <c r="R65" s="1515"/>
      <c r="S65" s="1515"/>
      <c r="T65" s="1515"/>
      <c r="U65" s="1515"/>
      <c r="V65" s="1515"/>
      <c r="W65" s="1515"/>
      <c r="X65" s="1515"/>
      <c r="Y65" s="1515"/>
      <c r="Z65" s="1515"/>
      <c r="AA65" s="1515"/>
      <c r="AB65" s="1515"/>
      <c r="AC65" s="1515"/>
      <c r="AD65" s="1515"/>
      <c r="AE65" s="1515"/>
      <c r="AF65" s="1515"/>
      <c r="AG65" s="1515"/>
      <c r="AH65" s="1515"/>
      <c r="AI65" s="1515">
        <f t="shared" ref="AI65:AI72" si="48">SUM(S65:AH65)</f>
        <v>0</v>
      </c>
    </row>
    <row r="66" spans="1:35" s="1556" customFormat="1" ht="10.5" outlineLevel="1" x14ac:dyDescent="0.25">
      <c r="A66" s="1683" t="s">
        <v>113</v>
      </c>
      <c r="B66" s="1516">
        <v>4.0199999999999996</v>
      </c>
      <c r="C66" s="1663" t="s">
        <v>303</v>
      </c>
      <c r="D66" s="1529" t="s">
        <v>109</v>
      </c>
      <c r="E66" s="1530">
        <v>612</v>
      </c>
      <c r="F66" s="1519">
        <f>VLOOKUP($C66,'01'!$C$7:$M$216,MATCH("P. Unit. MAT",'01'!$C$7:$M$7,0),0)</f>
        <v>11461.565498830503</v>
      </c>
      <c r="G66" s="1519">
        <f t="shared" si="44"/>
        <v>7014478.0852842676</v>
      </c>
      <c r="H66" s="1519">
        <f>VLOOKUP($C66,'01'!$C$7:$M$216,MATCH("P. Unit. MO",'01'!$C$7:$M$7,0),0)</f>
        <v>8336.4856968762633</v>
      </c>
      <c r="I66" s="1519">
        <f t="shared" si="45"/>
        <v>5101929.2464882731</v>
      </c>
      <c r="J66" s="1519">
        <f>VLOOKUP($C66,'01'!$C$7:$M$216,MATCH("P. Unit. EQ",'01'!$C$7:$M$7,0),0)</f>
        <v>229.16796425864814</v>
      </c>
      <c r="K66" s="1519">
        <f t="shared" si="46"/>
        <v>140250.79412629266</v>
      </c>
      <c r="L66" s="1519">
        <f t="shared" si="47"/>
        <v>12256658.125898832</v>
      </c>
      <c r="M66" s="1566"/>
      <c r="N66" s="1505"/>
      <c r="R66" s="1515"/>
      <c r="S66" s="1515"/>
      <c r="T66" s="1515"/>
      <c r="U66" s="1515"/>
      <c r="V66" s="1515"/>
      <c r="W66" s="1515"/>
      <c r="X66" s="1515"/>
      <c r="Y66" s="1515"/>
      <c r="Z66" s="1515"/>
      <c r="AA66" s="1515"/>
      <c r="AB66" s="1515"/>
      <c r="AC66" s="1515"/>
      <c r="AD66" s="1515"/>
      <c r="AE66" s="1515"/>
      <c r="AF66" s="1515"/>
      <c r="AG66" s="1515"/>
      <c r="AH66" s="1515"/>
      <c r="AI66" s="1515">
        <f t="shared" si="48"/>
        <v>0</v>
      </c>
    </row>
    <row r="67" spans="1:35" s="1556" customFormat="1" ht="10.5" outlineLevel="1" x14ac:dyDescent="0.25">
      <c r="A67" s="1683" t="s">
        <v>113</v>
      </c>
      <c r="B67" s="1516">
        <v>4.03</v>
      </c>
      <c r="C67" s="1574" t="s">
        <v>304</v>
      </c>
      <c r="D67" s="1529" t="s">
        <v>109</v>
      </c>
      <c r="E67" s="1530">
        <v>636</v>
      </c>
      <c r="F67" s="1519">
        <f>VLOOKUP($C67,'01'!$C$7:$M$216,MATCH("P. Unit. MAT",'01'!$C$7:$M$7,0),0)</f>
        <v>8229.0499349999991</v>
      </c>
      <c r="G67" s="1519">
        <f t="shared" si="44"/>
        <v>5233675.7586599998</v>
      </c>
      <c r="H67" s="1519">
        <f>VLOOKUP($C67,'01'!$C$7:$M$216,MATCH("P. Unit. MO",'01'!$C$7:$M$7,0),0)</f>
        <v>8336.4856968762633</v>
      </c>
      <c r="I67" s="1519">
        <f t="shared" si="45"/>
        <v>5302004.9032133035</v>
      </c>
      <c r="J67" s="1519">
        <f>VLOOKUP($C67,'01'!$C$7:$M$216,MATCH("P. Unit. EQ",'01'!$C$7:$M$7,0),0)</f>
        <v>229.16796425864814</v>
      </c>
      <c r="K67" s="1519">
        <f t="shared" si="46"/>
        <v>145750.82526850022</v>
      </c>
      <c r="L67" s="1519">
        <f t="shared" si="47"/>
        <v>10681431.487141803</v>
      </c>
      <c r="M67" s="1566"/>
      <c r="N67" s="1505"/>
      <c r="R67" s="1515"/>
      <c r="S67" s="1515"/>
      <c r="T67" s="1515"/>
      <c r="U67" s="1515"/>
      <c r="V67" s="1515"/>
      <c r="W67" s="1515"/>
      <c r="X67" s="1515"/>
      <c r="Y67" s="1515"/>
      <c r="Z67" s="1515"/>
      <c r="AA67" s="1515"/>
      <c r="AB67" s="1515"/>
      <c r="AC67" s="1515"/>
      <c r="AD67" s="1515"/>
      <c r="AE67" s="1515"/>
      <c r="AF67" s="1515"/>
      <c r="AG67" s="1515"/>
      <c r="AH67" s="1515"/>
      <c r="AI67" s="1515">
        <f t="shared" si="48"/>
        <v>0</v>
      </c>
    </row>
    <row r="68" spans="1:35" s="1556" customFormat="1" ht="10.5" outlineLevel="1" x14ac:dyDescent="0.25">
      <c r="A68" s="1683" t="s">
        <v>113</v>
      </c>
      <c r="B68" s="1516">
        <v>4.04</v>
      </c>
      <c r="C68" s="1574" t="s">
        <v>1013</v>
      </c>
      <c r="D68" s="1529" t="s">
        <v>109</v>
      </c>
      <c r="E68" s="1530">
        <v>195</v>
      </c>
      <c r="F68" s="1519">
        <f>VLOOKUP($C68,'01'!$C$7:$M$216,MATCH("P. Unit. MAT",'01'!$C$7:$M$7,0),0)</f>
        <v>5807.1589693347496</v>
      </c>
      <c r="G68" s="1519">
        <f t="shared" si="44"/>
        <v>1132395.9990202761</v>
      </c>
      <c r="H68" s="1519">
        <f>VLOOKUP($C68,'01'!$C$7:$M$216,MATCH("P. Unit. MO",'01'!$C$7:$M$7,0),0)</f>
        <v>5954.6326406259022</v>
      </c>
      <c r="I68" s="1519">
        <f t="shared" si="45"/>
        <v>1161153.3649220509</v>
      </c>
      <c r="J68" s="1519">
        <f>VLOOKUP($C68,'01'!$C$7:$M$216,MATCH("P. Unit. EQ",'01'!$C$7:$M$7,0),0)</f>
        <v>245.5371045628373</v>
      </c>
      <c r="K68" s="1519">
        <f t="shared" si="46"/>
        <v>47879.735389753274</v>
      </c>
      <c r="L68" s="1519">
        <f t="shared" si="47"/>
        <v>2341429.0993320802</v>
      </c>
      <c r="M68" s="1566"/>
      <c r="N68" s="1505"/>
      <c r="R68" s="1515"/>
      <c r="S68" s="1515"/>
      <c r="T68" s="1515"/>
      <c r="U68" s="1515"/>
      <c r="V68" s="1515"/>
      <c r="W68" s="1515"/>
      <c r="X68" s="1515"/>
      <c r="Y68" s="1515"/>
      <c r="Z68" s="1515"/>
      <c r="AA68" s="1515"/>
      <c r="AB68" s="1515"/>
      <c r="AC68" s="1515"/>
      <c r="AD68" s="1515"/>
      <c r="AE68" s="1515"/>
      <c r="AF68" s="1515"/>
      <c r="AG68" s="1515"/>
      <c r="AH68" s="1515"/>
      <c r="AI68" s="1515">
        <f t="shared" si="48"/>
        <v>0</v>
      </c>
    </row>
    <row r="69" spans="1:35" s="1556" customFormat="1" ht="10.5" outlineLevel="1" x14ac:dyDescent="0.25">
      <c r="A69" s="1683" t="s">
        <v>113</v>
      </c>
      <c r="B69" s="1516">
        <v>4.05</v>
      </c>
      <c r="C69" s="1574" t="s">
        <v>305</v>
      </c>
      <c r="D69" s="1529" t="s">
        <v>109</v>
      </c>
      <c r="E69" s="1530">
        <v>30.053999999999998</v>
      </c>
      <c r="F69" s="1519">
        <f>VLOOKUP($C69,'01'!$C$7:$M$216,MATCH("P. Unit. MAT",'01'!$C$7:$M$7,0),0)</f>
        <v>17421.47690800425</v>
      </c>
      <c r="G69" s="1519">
        <f t="shared" si="44"/>
        <v>523585.06699315971</v>
      </c>
      <c r="H69" s="1519">
        <f>VLOOKUP($C69,'01'!$C$7:$M$216,MATCH("P. Unit. MO",'01'!$C$7:$M$7,0),0)</f>
        <v>35727.795843755412</v>
      </c>
      <c r="I69" s="1519">
        <f t="shared" si="45"/>
        <v>1073763.176288225</v>
      </c>
      <c r="J69" s="1519">
        <f>VLOOKUP($C69,'01'!$C$7:$M$216,MATCH("P. Unit. EQ",'01'!$C$7:$M$7,0),0)</f>
        <v>491.0742091256746</v>
      </c>
      <c r="K69" s="1519">
        <f t="shared" si="46"/>
        <v>14758.744281063024</v>
      </c>
      <c r="L69" s="1519">
        <f t="shared" si="47"/>
        <v>1612106.9875624478</v>
      </c>
      <c r="M69" s="1566"/>
      <c r="N69" s="1505"/>
      <c r="R69" s="1515"/>
      <c r="S69" s="1515"/>
      <c r="T69" s="1515"/>
      <c r="U69" s="1515"/>
      <c r="V69" s="1515"/>
      <c r="W69" s="1515"/>
      <c r="X69" s="1515"/>
      <c r="Y69" s="1515"/>
      <c r="Z69" s="1515"/>
      <c r="AA69" s="1515"/>
      <c r="AB69" s="1515"/>
      <c r="AC69" s="1515"/>
      <c r="AD69" s="1515"/>
      <c r="AE69" s="1515"/>
      <c r="AF69" s="1515"/>
      <c r="AG69" s="1515"/>
      <c r="AH69" s="1515"/>
      <c r="AI69" s="1515">
        <f t="shared" si="48"/>
        <v>0</v>
      </c>
    </row>
    <row r="70" spans="1:35" s="1556" customFormat="1" ht="10.5" outlineLevel="1" x14ac:dyDescent="0.25">
      <c r="A70" s="1683" t="s">
        <v>113</v>
      </c>
      <c r="B70" s="1516">
        <v>4.0599999999999996</v>
      </c>
      <c r="C70" s="1574" t="s">
        <v>306</v>
      </c>
      <c r="D70" s="1529" t="s">
        <v>109</v>
      </c>
      <c r="E70" s="1530">
        <v>24</v>
      </c>
      <c r="F70" s="1519">
        <f>VLOOKUP($C70,'01'!$C$7:$M$216,MATCH("P. Unit. MAT",'01'!$C$7:$M$7,0),0)</f>
        <v>28704.099930898083</v>
      </c>
      <c r="G70" s="1519">
        <f t="shared" si="44"/>
        <v>688898.39834155398</v>
      </c>
      <c r="H70" s="1519">
        <f>VLOOKUP($C70,'01'!$C$7:$M$216,MATCH("P. Unit. MO",'01'!$C$7:$M$7,0),0)</f>
        <v>14682.225149543603</v>
      </c>
      <c r="I70" s="1519">
        <f t="shared" si="45"/>
        <v>352373.40358904644</v>
      </c>
      <c r="J70" s="1519">
        <f>VLOOKUP($C70,'01'!$C$7:$M$216,MATCH("P. Unit. EQ",'01'!$C$7:$M$7,0),0)</f>
        <v>298.91473598954104</v>
      </c>
      <c r="K70" s="1519">
        <f t="shared" si="46"/>
        <v>7173.9536637489855</v>
      </c>
      <c r="L70" s="1519">
        <f t="shared" si="47"/>
        <v>1048445.7555943495</v>
      </c>
      <c r="M70" s="1566"/>
      <c r="N70" s="1505"/>
      <c r="R70" s="1515"/>
      <c r="S70" s="1515"/>
      <c r="T70" s="1515"/>
      <c r="U70" s="1515"/>
      <c r="V70" s="1515"/>
      <c r="W70" s="1515"/>
      <c r="X70" s="1515"/>
      <c r="Y70" s="1515"/>
      <c r="Z70" s="1515"/>
      <c r="AA70" s="1515"/>
      <c r="AB70" s="1515"/>
      <c r="AC70" s="1515"/>
      <c r="AD70" s="1515"/>
      <c r="AE70" s="1515"/>
      <c r="AF70" s="1515"/>
      <c r="AG70" s="1515"/>
      <c r="AH70" s="1515"/>
      <c r="AI70" s="1515">
        <f t="shared" si="48"/>
        <v>0</v>
      </c>
    </row>
    <row r="71" spans="1:35" s="1556" customFormat="1" ht="10.5" outlineLevel="1" x14ac:dyDescent="0.25">
      <c r="A71" s="1683" t="s">
        <v>113</v>
      </c>
      <c r="B71" s="1516">
        <v>4.07</v>
      </c>
      <c r="C71" s="1574" t="s">
        <v>307</v>
      </c>
      <c r="D71" s="1529" t="s">
        <v>124</v>
      </c>
      <c r="E71" s="1530">
        <v>81</v>
      </c>
      <c r="F71" s="1519">
        <f>VLOOKUP($C71,'01'!$C$7:$M$216,MATCH("P. Unit. MAT",'01'!$C$7:$M$7,0),0)</f>
        <v>17364.127814814812</v>
      </c>
      <c r="G71" s="1519">
        <f t="shared" si="44"/>
        <v>1406494.3529999999</v>
      </c>
      <c r="H71" s="1519">
        <f>VLOOKUP($C71,'01'!$C$7:$M$216,MATCH("P. Unit. MO",'01'!$C$7:$M$7,0),0)</f>
        <v>6926.4989701940704</v>
      </c>
      <c r="I71" s="1519">
        <f t="shared" si="45"/>
        <v>561046.41658571968</v>
      </c>
      <c r="J71" s="1519">
        <f>VLOOKUP($C71,'01'!$C$7:$M$216,MATCH("P. Unit. EQ",'01'!$C$7:$M$7,0),0)</f>
        <v>364.35940177513328</v>
      </c>
      <c r="K71" s="1519">
        <f t="shared" si="46"/>
        <v>29513.111543785795</v>
      </c>
      <c r="L71" s="1519">
        <f t="shared" si="47"/>
        <v>1997053.8811295053</v>
      </c>
      <c r="M71" s="1566"/>
      <c r="N71" s="1505"/>
      <c r="R71" s="1515"/>
      <c r="S71" s="1515"/>
      <c r="T71" s="1515"/>
      <c r="U71" s="1515"/>
      <c r="V71" s="1515"/>
      <c r="W71" s="1515"/>
      <c r="X71" s="1515"/>
      <c r="Y71" s="1515"/>
      <c r="Z71" s="1515"/>
      <c r="AA71" s="1515"/>
      <c r="AB71" s="1515"/>
      <c r="AC71" s="1515"/>
      <c r="AD71" s="1515"/>
      <c r="AE71" s="1515"/>
      <c r="AF71" s="1515"/>
      <c r="AG71" s="1515"/>
      <c r="AH71" s="1515"/>
      <c r="AI71" s="1515">
        <f t="shared" si="48"/>
        <v>0</v>
      </c>
    </row>
    <row r="72" spans="1:35" s="1556" customFormat="1" ht="10.5" outlineLevel="1" x14ac:dyDescent="0.25">
      <c r="A72" s="1683" t="s">
        <v>113</v>
      </c>
      <c r="B72" s="1516">
        <v>4.08</v>
      </c>
      <c r="C72" s="1574" t="s">
        <v>308</v>
      </c>
      <c r="D72" s="1529" t="s">
        <v>107</v>
      </c>
      <c r="E72" s="1530">
        <v>1</v>
      </c>
      <c r="F72" s="1519">
        <f>VLOOKUP($C72,'01'!$C$7:$M$216,MATCH("P. Unit. MAT",'01'!$C$7:$M$7,0),0)</f>
        <v>451217.9481498308</v>
      </c>
      <c r="G72" s="1519">
        <f t="shared" si="44"/>
        <v>451217.9481498308</v>
      </c>
      <c r="H72" s="1519">
        <f>VLOOKUP($C72,'01'!$C$7:$M$216,MATCH("P. Unit. MO",'01'!$C$7:$M$7,0),0)</f>
        <v>426669.71598600381</v>
      </c>
      <c r="I72" s="1519">
        <f t="shared" si="45"/>
        <v>426669.71598600381</v>
      </c>
      <c r="J72" s="1519">
        <f>VLOOKUP($C72,'01'!$C$7:$M$216,MATCH("P. Unit. EQ",'01'!$C$7:$M$7,0),0)</f>
        <v>13168.314962037519</v>
      </c>
      <c r="K72" s="1519">
        <f t="shared" si="46"/>
        <v>13168.314962037519</v>
      </c>
      <c r="L72" s="1519">
        <f t="shared" si="47"/>
        <v>891055.97909787216</v>
      </c>
      <c r="M72" s="1566"/>
      <c r="N72" s="1505"/>
      <c r="R72" s="1515"/>
      <c r="S72" s="1515"/>
      <c r="T72" s="1515"/>
      <c r="U72" s="1515"/>
      <c r="V72" s="1515"/>
      <c r="W72" s="1515"/>
      <c r="X72" s="1515"/>
      <c r="Y72" s="1515"/>
      <c r="Z72" s="1515"/>
      <c r="AA72" s="1515"/>
      <c r="AB72" s="1515"/>
      <c r="AC72" s="1515"/>
      <c r="AD72" s="1515"/>
      <c r="AE72" s="1515"/>
      <c r="AF72" s="1515"/>
      <c r="AG72" s="1515"/>
      <c r="AH72" s="1515"/>
      <c r="AI72" s="1515">
        <f t="shared" si="48"/>
        <v>0</v>
      </c>
    </row>
    <row r="73" spans="1:35" ht="10.5" x14ac:dyDescent="0.25">
      <c r="A73" s="1681"/>
      <c r="B73" s="1500">
        <v>5</v>
      </c>
      <c r="C73" s="1590" t="s">
        <v>121</v>
      </c>
      <c r="D73" s="1501"/>
      <c r="E73" s="1502"/>
      <c r="F73" s="1502"/>
      <c r="G73" s="1526">
        <f>SUM(G74:G80)</f>
        <v>8197853.9216176411</v>
      </c>
      <c r="H73" s="1502"/>
      <c r="I73" s="1527">
        <f>SUM(I74:I80)</f>
        <v>20348685.260907929</v>
      </c>
      <c r="J73" s="1502"/>
      <c r="K73" s="1508">
        <f>SUM(K74:K80)</f>
        <v>68057.348956340691</v>
      </c>
      <c r="L73" s="1503">
        <f>SUM(L74:L80)</f>
        <v>28614596.531481914</v>
      </c>
      <c r="M73" s="1504">
        <f>SUM(D73:K73)</f>
        <v>28614596.53148191</v>
      </c>
      <c r="N73" s="895">
        <f>M73-'01'!T50</f>
        <v>0</v>
      </c>
      <c r="R73" s="1506"/>
      <c r="S73" s="1506"/>
      <c r="T73" s="1506"/>
      <c r="U73" s="1506"/>
      <c r="V73" s="1506"/>
      <c r="W73" s="1507"/>
      <c r="X73" s="1507"/>
      <c r="Y73" s="1507"/>
      <c r="Z73" s="1507"/>
      <c r="AA73" s="1507"/>
      <c r="AB73" s="1507"/>
      <c r="AC73" s="1507"/>
      <c r="AD73" s="1507"/>
      <c r="AE73" s="1507"/>
      <c r="AF73" s="1507"/>
      <c r="AG73" s="1507"/>
      <c r="AH73" s="1507"/>
      <c r="AI73" s="1507"/>
    </row>
    <row r="74" spans="1:35" s="1556" customFormat="1" ht="10.5" outlineLevel="1" x14ac:dyDescent="0.25">
      <c r="A74" s="1683" t="s">
        <v>113</v>
      </c>
      <c r="B74" s="1516">
        <v>5.01</v>
      </c>
      <c r="C74" s="1574" t="s">
        <v>1014</v>
      </c>
      <c r="D74" s="1529" t="s">
        <v>109</v>
      </c>
      <c r="E74" s="1530">
        <v>139.05000000000001</v>
      </c>
      <c r="F74" s="1519">
        <f>VLOOKUP($C74,'01'!$C$7:$M$216,MATCH("P. Unit. MAT",'01'!$C$7:$M$7,0),0)</f>
        <v>9809.5604040679573</v>
      </c>
      <c r="G74" s="1519">
        <f t="shared" si="44"/>
        <v>1364019.3741856497</v>
      </c>
      <c r="H74" s="1519">
        <f>VLOOKUP($C74,'01'!$C$7:$M$216,MATCH("P. Unit. MO",'01'!$C$7:$M$7,0),0)</f>
        <v>7502.8371271886372</v>
      </c>
      <c r="I74" s="1519">
        <f t="shared" si="45"/>
        <v>1043269.5025355801</v>
      </c>
      <c r="J74" s="1519">
        <f>VLOOKUP($C74,'01'!$C$7:$M$216,MATCH("P. Unit. EQ",'01'!$C$7:$M$7,0),0)</f>
        <v>31.337344543287259</v>
      </c>
      <c r="K74" s="1519">
        <f t="shared" si="46"/>
        <v>4357.4577587440936</v>
      </c>
      <c r="L74" s="1519">
        <f t="shared" ref="L74:L80" si="49">SUM(G74,I74,K74)</f>
        <v>2411646.3344799741</v>
      </c>
      <c r="M74" s="1566"/>
      <c r="N74" s="1505"/>
      <c r="R74" s="1515"/>
      <c r="S74" s="1515"/>
      <c r="T74" s="1515"/>
      <c r="U74" s="1515"/>
      <c r="V74" s="1515"/>
      <c r="W74" s="1515"/>
      <c r="X74" s="1515"/>
      <c r="Y74" s="1515"/>
      <c r="Z74" s="1515"/>
      <c r="AA74" s="1515"/>
      <c r="AB74" s="1515"/>
      <c r="AC74" s="1515"/>
      <c r="AD74" s="1515"/>
      <c r="AE74" s="1515"/>
      <c r="AF74" s="1515"/>
      <c r="AG74" s="1515"/>
      <c r="AH74" s="1515"/>
      <c r="AI74" s="1515">
        <f t="shared" ref="AI74:AI80" si="50">SUM(S74:AH74)</f>
        <v>0</v>
      </c>
    </row>
    <row r="75" spans="1:35" s="1556" customFormat="1" ht="10.5" outlineLevel="1" x14ac:dyDescent="0.25">
      <c r="A75" s="1683" t="s">
        <v>113</v>
      </c>
      <c r="B75" s="1516">
        <v>5.0199999999999996</v>
      </c>
      <c r="C75" s="1574" t="s">
        <v>1015</v>
      </c>
      <c r="D75" s="1529" t="s">
        <v>109</v>
      </c>
      <c r="E75" s="1530">
        <v>300</v>
      </c>
      <c r="F75" s="1519">
        <f>VLOOKUP($C75,'01'!$C$7:$M$216,MATCH("P. Unit. MAT",'01'!$C$7:$M$7,0),0)</f>
        <v>758.10738300000003</v>
      </c>
      <c r="G75" s="1519">
        <f t="shared" si="44"/>
        <v>227432.21490000002</v>
      </c>
      <c r="H75" s="1519">
        <f>VLOOKUP($C75,'01'!$C$7:$M$216,MATCH("P. Unit. MO",'01'!$C$7:$M$7,0),0)</f>
        <v>3395.9551113285988</v>
      </c>
      <c r="I75" s="1519">
        <f t="shared" si="45"/>
        <v>1018786.5333985797</v>
      </c>
      <c r="J75" s="1519">
        <f>VLOOKUP($C75,'01'!$C$7:$M$216,MATCH("P. Unit. EQ",'01'!$C$7:$M$7,0),0)</f>
        <v>122.76855228141865</v>
      </c>
      <c r="K75" s="1519">
        <f t="shared" si="46"/>
        <v>36830.565684425594</v>
      </c>
      <c r="L75" s="1519">
        <f t="shared" si="49"/>
        <v>1283049.3139830055</v>
      </c>
      <c r="M75" s="1566"/>
      <c r="N75" s="1505"/>
      <c r="R75" s="1515"/>
      <c r="S75" s="1515"/>
      <c r="T75" s="1515"/>
      <c r="U75" s="1515"/>
      <c r="V75" s="1515"/>
      <c r="W75" s="1515"/>
      <c r="X75" s="1515"/>
      <c r="Y75" s="1515"/>
      <c r="Z75" s="1515"/>
      <c r="AA75" s="1515"/>
      <c r="AB75" s="1515"/>
      <c r="AC75" s="1515"/>
      <c r="AD75" s="1515"/>
      <c r="AE75" s="1515"/>
      <c r="AF75" s="1515"/>
      <c r="AG75" s="1515"/>
      <c r="AH75" s="1515"/>
      <c r="AI75" s="1515">
        <f t="shared" si="50"/>
        <v>0</v>
      </c>
    </row>
    <row r="76" spans="1:35" s="1556" customFormat="1" ht="10.5" outlineLevel="1" x14ac:dyDescent="0.25">
      <c r="A76" s="1683" t="s">
        <v>113</v>
      </c>
      <c r="B76" s="1516">
        <v>5.03</v>
      </c>
      <c r="C76" s="1574" t="s">
        <v>1016</v>
      </c>
      <c r="D76" s="1529" t="s">
        <v>109</v>
      </c>
      <c r="E76" s="1530">
        <v>48</v>
      </c>
      <c r="F76" s="1519">
        <f>VLOOKUP($C76,'01'!$C$7:$M$216,MATCH("P. Unit. MAT",'01'!$C$7:$M$7,0),0)</f>
        <v>758.10738300000003</v>
      </c>
      <c r="G76" s="1519">
        <f t="shared" si="44"/>
        <v>36389.154384000001</v>
      </c>
      <c r="H76" s="1519">
        <f>VLOOKUP($C76,'01'!$C$7:$M$216,MATCH("P. Unit. MO",'01'!$C$7:$M$7,0),0)</f>
        <v>3395.9551113285988</v>
      </c>
      <c r="I76" s="1519">
        <f t="shared" si="45"/>
        <v>163005.84534377273</v>
      </c>
      <c r="J76" s="1519">
        <f>VLOOKUP($C76,'01'!$C$7:$M$216,MATCH("P. Unit. EQ",'01'!$C$7:$M$7,0),0)</f>
        <v>122.76855228141865</v>
      </c>
      <c r="K76" s="1519">
        <f t="shared" si="46"/>
        <v>5892.8905095080954</v>
      </c>
      <c r="L76" s="1519">
        <f t="shared" si="49"/>
        <v>205287.89023728081</v>
      </c>
      <c r="M76" s="1566"/>
      <c r="N76" s="1505"/>
      <c r="R76" s="1515"/>
      <c r="S76" s="1515"/>
      <c r="T76" s="1515"/>
      <c r="U76" s="1515"/>
      <c r="V76" s="1515"/>
      <c r="W76" s="1515"/>
      <c r="X76" s="1515"/>
      <c r="Y76" s="1515"/>
      <c r="Z76" s="1515"/>
      <c r="AA76" s="1515"/>
      <c r="AB76" s="1515"/>
      <c r="AC76" s="1515"/>
      <c r="AD76" s="1515"/>
      <c r="AE76" s="1515"/>
      <c r="AF76" s="1515"/>
      <c r="AG76" s="1515"/>
      <c r="AH76" s="1515"/>
      <c r="AI76" s="1515">
        <f t="shared" si="50"/>
        <v>0</v>
      </c>
    </row>
    <row r="77" spans="1:35" s="1556" customFormat="1" ht="10.5" outlineLevel="1" x14ac:dyDescent="0.25">
      <c r="A77" s="1683" t="s">
        <v>113</v>
      </c>
      <c r="B77" s="1516">
        <v>5.04</v>
      </c>
      <c r="C77" s="1574" t="s">
        <v>309</v>
      </c>
      <c r="D77" s="1529" t="s">
        <v>109</v>
      </c>
      <c r="E77" s="1530">
        <v>262</v>
      </c>
      <c r="F77" s="1519">
        <f>VLOOKUP($C77,'01'!$C$7:$M$216,MATCH("P. Unit. MAT",'01'!$C$7:$M$7,0),0)</f>
        <v>3502.8</v>
      </c>
      <c r="G77" s="1519">
        <f t="shared" si="44"/>
        <v>917733.60000000009</v>
      </c>
      <c r="H77" s="1519">
        <f>VLOOKUP($C77,'01'!$C$7:$M$216,MATCH("P. Unit. MO",'01'!$C$7:$M$7,0),0)</f>
        <v>0</v>
      </c>
      <c r="I77" s="1519">
        <f t="shared" si="45"/>
        <v>0</v>
      </c>
      <c r="J77" s="1519">
        <f>VLOOKUP($C77,'01'!$C$7:$M$216,MATCH("P. Unit. EQ",'01'!$C$7:$M$7,0),0)</f>
        <v>0</v>
      </c>
      <c r="K77" s="1519">
        <f t="shared" si="46"/>
        <v>0</v>
      </c>
      <c r="L77" s="1519">
        <f t="shared" si="49"/>
        <v>917733.60000000009</v>
      </c>
      <c r="M77" s="1566"/>
      <c r="N77" s="1505"/>
      <c r="R77" s="1515"/>
      <c r="S77" s="1515"/>
      <c r="T77" s="1515"/>
      <c r="U77" s="1515"/>
      <c r="V77" s="1515"/>
      <c r="W77" s="1515"/>
      <c r="X77" s="1515"/>
      <c r="Y77" s="1515"/>
      <c r="Z77" s="1515"/>
      <c r="AA77" s="1515"/>
      <c r="AB77" s="1515"/>
      <c r="AC77" s="1515"/>
      <c r="AD77" s="1515"/>
      <c r="AE77" s="1515"/>
      <c r="AF77" s="1515"/>
      <c r="AG77" s="1515"/>
      <c r="AH77" s="1515"/>
      <c r="AI77" s="1515">
        <f t="shared" si="50"/>
        <v>0</v>
      </c>
    </row>
    <row r="78" spans="1:35" s="1556" customFormat="1" ht="10.5" outlineLevel="1" x14ac:dyDescent="0.25">
      <c r="A78" s="1683" t="s">
        <v>113</v>
      </c>
      <c r="B78" s="1516">
        <v>5.05</v>
      </c>
      <c r="C78" s="1574" t="s">
        <v>199</v>
      </c>
      <c r="D78" s="1529" t="s">
        <v>109</v>
      </c>
      <c r="E78" s="1530">
        <v>510</v>
      </c>
      <c r="F78" s="1519">
        <f>VLOOKUP($C78,'01'!$C$7:$M$216,MATCH("P. Unit. MAT",'01'!$C$7:$M$7,0),0)</f>
        <v>1273.3407295555555</v>
      </c>
      <c r="G78" s="1519">
        <f t="shared" si="44"/>
        <v>649403.77207333327</v>
      </c>
      <c r="H78" s="1519">
        <f>VLOOKUP($C78,'01'!$C$7:$M$216,MATCH("P. Unit. MO",'01'!$C$7:$M$7,0),0)</f>
        <v>1563.0910681642993</v>
      </c>
      <c r="I78" s="1519">
        <f t="shared" si="45"/>
        <v>797176.44476379268</v>
      </c>
      <c r="J78" s="1519">
        <f>VLOOKUP($C78,'01'!$C$7:$M$216,MATCH("P. Unit. EQ",'01'!$C$7:$M$7,0),0)</f>
        <v>9.7929201697772683</v>
      </c>
      <c r="K78" s="1519">
        <f t="shared" si="46"/>
        <v>4994.3892865864073</v>
      </c>
      <c r="L78" s="1519">
        <f t="shared" si="49"/>
        <v>1451574.6061237121</v>
      </c>
      <c r="M78" s="1566"/>
      <c r="N78" s="1505"/>
      <c r="R78" s="1515"/>
      <c r="S78" s="1515"/>
      <c r="T78" s="1515"/>
      <c r="U78" s="1515"/>
      <c r="V78" s="1515"/>
      <c r="W78" s="1515"/>
      <c r="X78" s="1515"/>
      <c r="Y78" s="1515"/>
      <c r="Z78" s="1515"/>
      <c r="AA78" s="1515"/>
      <c r="AB78" s="1515"/>
      <c r="AC78" s="1515"/>
      <c r="AD78" s="1515"/>
      <c r="AE78" s="1515"/>
      <c r="AF78" s="1515"/>
      <c r="AG78" s="1515"/>
      <c r="AH78" s="1515"/>
      <c r="AI78" s="1515">
        <f t="shared" si="50"/>
        <v>0</v>
      </c>
    </row>
    <row r="79" spans="1:35" s="1546" customFormat="1" ht="10.5" outlineLevel="1" x14ac:dyDescent="0.25">
      <c r="A79" s="1683" t="s">
        <v>113</v>
      </c>
      <c r="B79" s="1516">
        <v>5.0599999999999996</v>
      </c>
      <c r="C79" s="1574" t="s">
        <v>1017</v>
      </c>
      <c r="D79" s="1567" t="s">
        <v>109</v>
      </c>
      <c r="E79" s="1530">
        <v>510</v>
      </c>
      <c r="F79" s="1519">
        <f>VLOOKUP($C79,'01'!$C$7:$M$216,MATCH("P. Unit. MAT",'01'!$C$7:$M$7,0),0)</f>
        <v>9809.5604040679573</v>
      </c>
      <c r="G79" s="1519">
        <f t="shared" si="44"/>
        <v>5002875.8060746584</v>
      </c>
      <c r="H79" s="1519">
        <f>VLOOKUP($C79,'01'!$C$7:$M$216,MATCH("P. Unit. MO",'01'!$C$7:$M$7,0),0)</f>
        <v>7502.8371271886372</v>
      </c>
      <c r="I79" s="1519">
        <f t="shared" si="45"/>
        <v>3826446.9348662049</v>
      </c>
      <c r="J79" s="1519">
        <f>VLOOKUP($C79,'01'!$C$7:$M$216,MATCH("P. Unit. EQ",'01'!$C$7:$M$7,0),0)</f>
        <v>31.337344543287259</v>
      </c>
      <c r="K79" s="1519">
        <f t="shared" si="46"/>
        <v>15982.045717076502</v>
      </c>
      <c r="L79" s="1519">
        <f t="shared" si="49"/>
        <v>8845304.7866579406</v>
      </c>
      <c r="M79" s="1562"/>
      <c r="N79" s="1505"/>
      <c r="R79" s="1515"/>
      <c r="S79" s="1515"/>
      <c r="T79" s="1515"/>
      <c r="U79" s="1515"/>
      <c r="V79" s="1515"/>
      <c r="W79" s="1515"/>
      <c r="X79" s="1515"/>
      <c r="Y79" s="1515"/>
      <c r="Z79" s="1515"/>
      <c r="AA79" s="1515"/>
      <c r="AB79" s="1515"/>
      <c r="AC79" s="1515"/>
      <c r="AD79" s="1515"/>
      <c r="AE79" s="1515"/>
      <c r="AF79" s="1515"/>
      <c r="AG79" s="1515"/>
      <c r="AH79" s="1515"/>
      <c r="AI79" s="1515">
        <f t="shared" si="50"/>
        <v>0</v>
      </c>
    </row>
    <row r="80" spans="1:35" s="1546" customFormat="1" ht="10.5" outlineLevel="1" x14ac:dyDescent="0.25">
      <c r="A80" s="1683" t="s">
        <v>113</v>
      </c>
      <c r="B80" s="1516">
        <v>5.07</v>
      </c>
      <c r="C80" s="1574" t="s">
        <v>310</v>
      </c>
      <c r="D80" s="1567" t="s">
        <v>107</v>
      </c>
      <c r="E80" s="1530">
        <v>1</v>
      </c>
      <c r="F80" s="1519">
        <f>VLOOKUP($C80,'01'!$C$7:$M$216,MATCH("P. Unit. MAT",'01'!$C$7:$M$7,0),0)</f>
        <v>0</v>
      </c>
      <c r="G80" s="1519">
        <f t="shared" si="44"/>
        <v>0</v>
      </c>
      <c r="H80" s="1519">
        <f>VLOOKUP($C80,'01'!$C$7:$M$216,MATCH("P. Unit. MO",'01'!$C$7:$M$7,0),0)</f>
        <v>13500000</v>
      </c>
      <c r="I80" s="1519">
        <f t="shared" si="45"/>
        <v>13500000</v>
      </c>
      <c r="J80" s="1519">
        <f>VLOOKUP($C80,'01'!$C$7:$M$216,MATCH("P. Unit. EQ",'01'!$C$7:$M$7,0),0)</f>
        <v>0</v>
      </c>
      <c r="K80" s="1519">
        <f t="shared" si="46"/>
        <v>0</v>
      </c>
      <c r="L80" s="1519">
        <f t="shared" si="49"/>
        <v>13500000</v>
      </c>
      <c r="M80" s="1562"/>
      <c r="N80" s="1505"/>
      <c r="R80" s="1515"/>
      <c r="S80" s="1515"/>
      <c r="T80" s="1515"/>
      <c r="U80" s="1515"/>
      <c r="V80" s="1515"/>
      <c r="W80" s="1515"/>
      <c r="X80" s="1515"/>
      <c r="Y80" s="1515"/>
      <c r="Z80" s="1515"/>
      <c r="AA80" s="1515"/>
      <c r="AB80" s="1515"/>
      <c r="AC80" s="1515"/>
      <c r="AD80" s="1515"/>
      <c r="AE80" s="1515"/>
      <c r="AF80" s="1515"/>
      <c r="AG80" s="1515"/>
      <c r="AH80" s="1515"/>
      <c r="AI80" s="1515">
        <f t="shared" si="50"/>
        <v>0</v>
      </c>
    </row>
    <row r="81" spans="1:35" ht="10.5" x14ac:dyDescent="0.25">
      <c r="A81" s="1681"/>
      <c r="B81" s="1500">
        <v>6</v>
      </c>
      <c r="C81" s="1590" t="s">
        <v>200</v>
      </c>
      <c r="D81" s="1501"/>
      <c r="E81" s="1502"/>
      <c r="F81" s="1502"/>
      <c r="G81" s="1526">
        <f>SUM(G82:G82)</f>
        <v>836363.63636363635</v>
      </c>
      <c r="H81" s="1502"/>
      <c r="I81" s="1527">
        <f>SUM(I82:I82)</f>
        <v>259794.23998628792</v>
      </c>
      <c r="J81" s="1502"/>
      <c r="K81" s="1508">
        <f>SUM(K82:K82)</f>
        <v>840260.54996343073</v>
      </c>
      <c r="L81" s="1503">
        <f>SUM(L82:L82)</f>
        <v>1936418.4263133551</v>
      </c>
      <c r="M81" s="1504">
        <f>SUM(D81:K81)</f>
        <v>1936418.4263133551</v>
      </c>
      <c r="N81" s="895">
        <f>M81-'01'!T58</f>
        <v>0</v>
      </c>
      <c r="R81" s="1506"/>
      <c r="S81" s="1506"/>
      <c r="T81" s="1506"/>
      <c r="U81" s="1506"/>
      <c r="V81" s="1506"/>
      <c r="W81" s="1507"/>
      <c r="X81" s="1507"/>
      <c r="Y81" s="1507"/>
      <c r="Z81" s="1507"/>
      <c r="AA81" s="1507"/>
      <c r="AB81" s="1507"/>
      <c r="AC81" s="1507"/>
      <c r="AD81" s="1507"/>
      <c r="AE81" s="1507"/>
      <c r="AF81" s="1507"/>
      <c r="AG81" s="1507"/>
      <c r="AH81" s="1507"/>
      <c r="AI81" s="1507"/>
    </row>
    <row r="82" spans="1:35" s="1546" customFormat="1" ht="10.5" outlineLevel="1" x14ac:dyDescent="0.25">
      <c r="A82" s="1683" t="s">
        <v>113</v>
      </c>
      <c r="B82" s="1568">
        <v>6.02</v>
      </c>
      <c r="C82" s="1659" t="s">
        <v>201</v>
      </c>
      <c r="D82" s="1569" t="s">
        <v>124</v>
      </c>
      <c r="E82" s="1524">
        <v>60</v>
      </c>
      <c r="F82" s="1519">
        <f>VLOOKUP($C82,'01'!$C$7:$M$216,MATCH("P. Unit. MAT",'01'!$C$7:$M$7,0),0)</f>
        <v>13939.39393939394</v>
      </c>
      <c r="G82" s="1519">
        <f t="shared" si="44"/>
        <v>836363.63636363635</v>
      </c>
      <c r="H82" s="1519">
        <f>VLOOKUP($C82,'01'!$C$7:$M$216,MATCH("P. Unit. MO",'01'!$C$7:$M$7,0),0)</f>
        <v>4329.9039997714654</v>
      </c>
      <c r="I82" s="1519">
        <f t="shared" si="45"/>
        <v>259794.23998628792</v>
      </c>
      <c r="J82" s="1519">
        <f>VLOOKUP($C82,'01'!$C$7:$M$216,MATCH("P. Unit. EQ",'01'!$C$7:$M$7,0),0)</f>
        <v>14004.342499390512</v>
      </c>
      <c r="K82" s="1519">
        <f t="shared" si="46"/>
        <v>840260.54996343073</v>
      </c>
      <c r="L82" s="1519">
        <f t="shared" ref="L82" si="51">SUM(G82,I82,K82)</f>
        <v>1936418.4263133551</v>
      </c>
      <c r="M82" s="1562"/>
      <c r="N82" s="1505"/>
      <c r="R82" s="1515"/>
      <c r="S82" s="1515"/>
      <c r="T82" s="1515"/>
      <c r="U82" s="1515"/>
      <c r="V82" s="1515"/>
      <c r="W82" s="1515"/>
      <c r="X82" s="1515"/>
      <c r="Y82" s="1515"/>
      <c r="Z82" s="1515"/>
      <c r="AA82" s="1515"/>
      <c r="AB82" s="1515"/>
      <c r="AC82" s="1515"/>
      <c r="AD82" s="1515"/>
      <c r="AE82" s="1515"/>
      <c r="AF82" s="1515"/>
      <c r="AG82" s="1515"/>
      <c r="AH82" s="1515"/>
      <c r="AI82" s="1515">
        <f t="shared" ref="AI82" si="52">SUM(S82:AH82)</f>
        <v>0</v>
      </c>
    </row>
    <row r="83" spans="1:35" ht="10.5" x14ac:dyDescent="0.25">
      <c r="A83" s="1681"/>
      <c r="B83" s="1500">
        <v>7</v>
      </c>
      <c r="C83" s="1590" t="s">
        <v>122</v>
      </c>
      <c r="D83" s="1501"/>
      <c r="E83" s="1502"/>
      <c r="F83" s="1502"/>
      <c r="G83" s="1526">
        <f>SUM(G84:G91)</f>
        <v>24088944.704304639</v>
      </c>
      <c r="H83" s="1502"/>
      <c r="I83" s="1527">
        <f>SUM(I84:I91)</f>
        <v>82777152.053012043</v>
      </c>
      <c r="J83" s="1502"/>
      <c r="K83" s="1508">
        <f>SUM(K84:K91)</f>
        <v>1645089.2151973799</v>
      </c>
      <c r="L83" s="1503">
        <f>SUM(L84:L91)</f>
        <v>108511185.97251408</v>
      </c>
      <c r="M83" s="1504">
        <f>SUM(D83:K83)</f>
        <v>108511185.97251406</v>
      </c>
      <c r="N83" s="895">
        <f>M83-'01'!T60</f>
        <v>0</v>
      </c>
      <c r="R83" s="1506"/>
      <c r="S83" s="1506"/>
      <c r="T83" s="1506"/>
      <c r="U83" s="1506"/>
      <c r="V83" s="1506"/>
      <c r="W83" s="1507"/>
      <c r="X83" s="1507"/>
      <c r="Y83" s="1507"/>
      <c r="Z83" s="1507"/>
      <c r="AA83" s="1507"/>
      <c r="AB83" s="1507"/>
      <c r="AC83" s="1507"/>
      <c r="AD83" s="1507"/>
      <c r="AE83" s="1507"/>
      <c r="AF83" s="1507"/>
      <c r="AG83" s="1507"/>
      <c r="AH83" s="1507"/>
      <c r="AI83" s="1507"/>
    </row>
    <row r="84" spans="1:35" s="1556" customFormat="1" ht="10.5" outlineLevel="1" x14ac:dyDescent="0.25">
      <c r="A84" s="1683" t="s">
        <v>113</v>
      </c>
      <c r="B84" s="1510">
        <v>7.01</v>
      </c>
      <c r="C84" s="1664" t="s">
        <v>311</v>
      </c>
      <c r="D84" s="1553" t="s">
        <v>109</v>
      </c>
      <c r="E84" s="1554">
        <v>678.25199999999995</v>
      </c>
      <c r="F84" s="1519">
        <f>VLOOKUP($C84,'01'!$C$7:$M$216,MATCH("P. Unit. MAT",'01'!$C$7:$M$7,0),0)</f>
        <v>3747.8693230000003</v>
      </c>
      <c r="G84" s="1519">
        <f t="shared" si="44"/>
        <v>2541999.8640633961</v>
      </c>
      <c r="H84" s="1519">
        <f>VLOOKUP($C84,'01'!$C$7:$M$216,MATCH("P. Unit. MO",'01'!$C$7:$M$7,0),0)</f>
        <v>9136.8339619578401</v>
      </c>
      <c r="I84" s="1519">
        <f t="shared" si="45"/>
        <v>6197075.9083658289</v>
      </c>
      <c r="J84" s="1519">
        <f>VLOOKUP($C84,'01'!$C$7:$M$216,MATCH("P. Unit. EQ",'01'!$C$7:$M$7,0),0)</f>
        <v>298.91473598954104</v>
      </c>
      <c r="K84" s="1519">
        <f t="shared" si="46"/>
        <v>202739.51751437818</v>
      </c>
      <c r="L84" s="1519">
        <f t="shared" ref="L84:L91" si="53">SUM(G84,I84,K84)</f>
        <v>8941815.2899436019</v>
      </c>
      <c r="M84" s="1570"/>
      <c r="N84" s="1505"/>
      <c r="R84" s="1515"/>
      <c r="S84" s="1515"/>
      <c r="T84" s="1515"/>
      <c r="U84" s="1515"/>
      <c r="V84" s="1515"/>
      <c r="W84" s="1515"/>
      <c r="X84" s="1515"/>
      <c r="Y84" s="1515"/>
      <c r="Z84" s="1515"/>
      <c r="AA84" s="1515"/>
      <c r="AB84" s="1515"/>
      <c r="AC84" s="1515"/>
      <c r="AD84" s="1515"/>
      <c r="AE84" s="1515"/>
      <c r="AF84" s="1515"/>
      <c r="AG84" s="1515"/>
      <c r="AH84" s="1515"/>
      <c r="AI84" s="1515">
        <f t="shared" ref="AI84:AI91" si="54">SUM(S84:AH84)</f>
        <v>0</v>
      </c>
    </row>
    <row r="85" spans="1:35" s="1556" customFormat="1" ht="10.5" outlineLevel="1" x14ac:dyDescent="0.25">
      <c r="A85" s="1683" t="s">
        <v>113</v>
      </c>
      <c r="B85" s="1516">
        <v>7.02</v>
      </c>
      <c r="C85" s="1571" t="s">
        <v>1018</v>
      </c>
      <c r="D85" s="1529" t="s">
        <v>109</v>
      </c>
      <c r="E85" s="1530">
        <v>876.08119999999985</v>
      </c>
      <c r="F85" s="1519">
        <f>VLOOKUP($C85,'01'!$C$7:$M$216,MATCH("P. Unit. MAT",'01'!$C$7:$M$7,0),0)</f>
        <v>3747.8693230000003</v>
      </c>
      <c r="G85" s="1519">
        <f t="shared" si="44"/>
        <v>3283437.8539370275</v>
      </c>
      <c r="H85" s="1519">
        <f>VLOOKUP($C85,'01'!$C$7:$M$216,MATCH("P. Unit. MO",'01'!$C$7:$M$7,0),0)</f>
        <v>13134.198820314396</v>
      </c>
      <c r="I85" s="1519">
        <f t="shared" si="45"/>
        <v>11506624.663539618</v>
      </c>
      <c r="J85" s="1519">
        <f>VLOOKUP($C85,'01'!$C$7:$M$216,MATCH("P. Unit. EQ",'01'!$C$7:$M$7,0),0)</f>
        <v>766.41029483988711</v>
      </c>
      <c r="K85" s="1519">
        <f t="shared" si="46"/>
        <v>671437.65079568198</v>
      </c>
      <c r="L85" s="1519">
        <f t="shared" si="53"/>
        <v>15461500.168272328</v>
      </c>
      <c r="M85" s="1562"/>
      <c r="N85" s="1505"/>
      <c r="R85" s="1515"/>
      <c r="S85" s="1515"/>
      <c r="T85" s="1515"/>
      <c r="U85" s="1515"/>
      <c r="V85" s="1515"/>
      <c r="W85" s="1515"/>
      <c r="X85" s="1515"/>
      <c r="Y85" s="1515"/>
      <c r="Z85" s="1515"/>
      <c r="AA85" s="1515"/>
      <c r="AB85" s="1515"/>
      <c r="AC85" s="1515"/>
      <c r="AD85" s="1515"/>
      <c r="AE85" s="1515"/>
      <c r="AF85" s="1515"/>
      <c r="AG85" s="1515"/>
      <c r="AH85" s="1515"/>
      <c r="AI85" s="1515">
        <f t="shared" si="54"/>
        <v>0</v>
      </c>
    </row>
    <row r="86" spans="1:35" s="1556" customFormat="1" ht="10.5" outlineLevel="1" x14ac:dyDescent="0.25">
      <c r="A86" s="1683" t="s">
        <v>113</v>
      </c>
      <c r="B86" s="1572">
        <v>7.03</v>
      </c>
      <c r="C86" s="1571" t="s">
        <v>312</v>
      </c>
      <c r="D86" s="1529" t="s">
        <v>124</v>
      </c>
      <c r="E86" s="1530">
        <v>182</v>
      </c>
      <c r="F86" s="1519">
        <f>VLOOKUP($C86,'01'!$C$7:$M$216,MATCH("P. Unit. MAT",'01'!$C$7:$M$7,0),0)</f>
        <v>0</v>
      </c>
      <c r="G86" s="1519">
        <f t="shared" si="44"/>
        <v>0</v>
      </c>
      <c r="H86" s="1519">
        <f>VLOOKUP($C86,'01'!$C$7:$M$216,MATCH("P. Unit. MO",'01'!$C$7:$M$7,0),0)</f>
        <v>8597.4065149288563</v>
      </c>
      <c r="I86" s="1519">
        <f t="shared" si="45"/>
        <v>1564727.9857170519</v>
      </c>
      <c r="J86" s="1519">
        <f>VLOOKUP($C86,'01'!$C$7:$M$216,MATCH("P. Unit. EQ",'01'!$C$7:$M$7,0),0)</f>
        <v>0</v>
      </c>
      <c r="K86" s="1519">
        <f t="shared" si="46"/>
        <v>0</v>
      </c>
      <c r="L86" s="1519">
        <f t="shared" si="53"/>
        <v>1564727.9857170519</v>
      </c>
      <c r="M86" s="1562"/>
      <c r="N86" s="1505"/>
      <c r="R86" s="1515"/>
      <c r="S86" s="1515"/>
      <c r="T86" s="1515"/>
      <c r="U86" s="1515"/>
      <c r="V86" s="1515"/>
      <c r="W86" s="1515"/>
      <c r="X86" s="1515"/>
      <c r="Y86" s="1515"/>
      <c r="Z86" s="1515"/>
      <c r="AA86" s="1515"/>
      <c r="AB86" s="1515"/>
      <c r="AC86" s="1515"/>
      <c r="AD86" s="1515"/>
      <c r="AE86" s="1515"/>
      <c r="AF86" s="1515"/>
      <c r="AG86" s="1515"/>
      <c r="AH86" s="1515"/>
      <c r="AI86" s="1515">
        <f t="shared" si="54"/>
        <v>0</v>
      </c>
    </row>
    <row r="87" spans="1:35" s="1556" customFormat="1" ht="10.5" outlineLevel="1" x14ac:dyDescent="0.25">
      <c r="A87" s="1683" t="s">
        <v>113</v>
      </c>
      <c r="B87" s="1572">
        <v>7.04</v>
      </c>
      <c r="C87" s="1574" t="s">
        <v>202</v>
      </c>
      <c r="D87" s="1529" t="s">
        <v>109</v>
      </c>
      <c r="E87" s="1530">
        <v>995.85109999999997</v>
      </c>
      <c r="F87" s="1519">
        <f>VLOOKUP($C87,'01'!$C$7:$M$216,MATCH("P. Unit. MAT",'01'!$C$7:$M$7,0),0)</f>
        <v>2606.0755930000005</v>
      </c>
      <c r="G87" s="1519">
        <f t="shared" si="44"/>
        <v>2595263.2459722026</v>
      </c>
      <c r="H87" s="1519">
        <f>VLOOKUP($C87,'01'!$C$7:$M$216,MATCH("P. Unit. MO",'01'!$C$7:$M$7,0),0)</f>
        <v>17928.383737307293</v>
      </c>
      <c r="I87" s="1519">
        <f t="shared" si="45"/>
        <v>17854000.666019578</v>
      </c>
      <c r="J87" s="1519">
        <f>VLOOKUP($C87,'01'!$C$7:$M$216,MATCH("P. Unit. EQ",'01'!$C$7:$M$7,0),0)</f>
        <v>572.91991064662034</v>
      </c>
      <c r="K87" s="1519">
        <f t="shared" si="46"/>
        <v>570542.9232293386</v>
      </c>
      <c r="L87" s="1519">
        <f t="shared" si="53"/>
        <v>21019806.835221119</v>
      </c>
      <c r="M87" s="1562"/>
      <c r="N87" s="1505"/>
      <c r="R87" s="1515"/>
      <c r="S87" s="1515"/>
      <c r="T87" s="1515"/>
      <c r="U87" s="1515"/>
      <c r="V87" s="1515"/>
      <c r="W87" s="1515"/>
      <c r="X87" s="1515"/>
      <c r="Y87" s="1515"/>
      <c r="Z87" s="1515"/>
      <c r="AA87" s="1515"/>
      <c r="AB87" s="1515"/>
      <c r="AC87" s="1515"/>
      <c r="AD87" s="1515"/>
      <c r="AE87" s="1515"/>
      <c r="AF87" s="1515"/>
      <c r="AG87" s="1515"/>
      <c r="AH87" s="1515"/>
      <c r="AI87" s="1515">
        <f t="shared" si="54"/>
        <v>0</v>
      </c>
    </row>
    <row r="88" spans="1:35" s="1556" customFormat="1" ht="10.5" outlineLevel="1" x14ac:dyDescent="0.25">
      <c r="A88" s="1683" t="s">
        <v>127</v>
      </c>
      <c r="B88" s="1572">
        <v>7.05</v>
      </c>
      <c r="C88" s="1574" t="s">
        <v>203</v>
      </c>
      <c r="D88" s="1529" t="s">
        <v>109</v>
      </c>
      <c r="E88" s="1530">
        <v>2514.8970000000013</v>
      </c>
      <c r="F88" s="1519">
        <f>VLOOKUP($C88,'01'!$C$7:$M$216,MATCH("P. Unit. MAT",'01'!$C$7:$M$7,0),0)</f>
        <v>5135.3398886713831</v>
      </c>
      <c r="G88" s="1519">
        <f t="shared" si="44"/>
        <v>12914850.880000003</v>
      </c>
      <c r="H88" s="1519">
        <f>VLOOKUP($C88,'01'!$C$7:$M$216,MATCH("P. Unit. MO",'01'!$C$7:$M$7,0),0)</f>
        <v>12817.951531348474</v>
      </c>
      <c r="I88" s="1519">
        <f t="shared" si="45"/>
        <v>32235827.852333698</v>
      </c>
      <c r="J88" s="1519">
        <f>VLOOKUP($C88,'01'!$C$7:$M$216,MATCH("P. Unit. EQ",'01'!$C$7:$M$7,0),0)</f>
        <v>0</v>
      </c>
      <c r="K88" s="1519">
        <f t="shared" si="46"/>
        <v>0</v>
      </c>
      <c r="L88" s="1519">
        <f t="shared" si="53"/>
        <v>45150678.732333705</v>
      </c>
      <c r="M88" s="1562"/>
      <c r="N88" s="1505"/>
      <c r="R88" s="1515"/>
      <c r="S88" s="1515"/>
      <c r="T88" s="1515"/>
      <c r="U88" s="1515"/>
      <c r="V88" s="1515"/>
      <c r="W88" s="1515"/>
      <c r="X88" s="1515"/>
      <c r="Y88" s="1515"/>
      <c r="Z88" s="1515"/>
      <c r="AA88" s="1515"/>
      <c r="AB88" s="1515"/>
      <c r="AC88" s="1515"/>
      <c r="AD88" s="1515"/>
      <c r="AE88" s="1515"/>
      <c r="AF88" s="1515"/>
      <c r="AG88" s="1515"/>
      <c r="AH88" s="1515"/>
      <c r="AI88" s="1515">
        <f t="shared" si="54"/>
        <v>0</v>
      </c>
    </row>
    <row r="89" spans="1:35" s="1556" customFormat="1" ht="10.5" outlineLevel="1" x14ac:dyDescent="0.25">
      <c r="A89" s="1683" t="s">
        <v>127</v>
      </c>
      <c r="B89" s="1572">
        <v>7.06</v>
      </c>
      <c r="C89" s="1665" t="s">
        <v>313</v>
      </c>
      <c r="D89" s="1529" t="s">
        <v>124</v>
      </c>
      <c r="E89" s="1530">
        <v>509.9</v>
      </c>
      <c r="F89" s="1519">
        <f>VLOOKUP($C89,'01'!$C$7:$M$216,MATCH("P. Unit. MAT",'01'!$C$7:$M$7,0),0)</f>
        <v>0</v>
      </c>
      <c r="G89" s="1519">
        <f t="shared" si="44"/>
        <v>0</v>
      </c>
      <c r="H89" s="1519">
        <f>VLOOKUP($C89,'01'!$C$7:$M$216,MATCH("P. Unit. MO",'01'!$C$7:$M$7,0),0)</f>
        <v>10160.57133582501</v>
      </c>
      <c r="I89" s="1519">
        <f t="shared" si="45"/>
        <v>5180875.3241371727</v>
      </c>
      <c r="J89" s="1519">
        <f>VLOOKUP($C89,'01'!$C$7:$M$216,MATCH("P. Unit. EQ",'01'!$C$7:$M$7,0),0)</f>
        <v>0</v>
      </c>
      <c r="K89" s="1519">
        <f t="shared" si="46"/>
        <v>0</v>
      </c>
      <c r="L89" s="1519">
        <f t="shared" si="53"/>
        <v>5180875.3241371727</v>
      </c>
      <c r="M89" s="1562"/>
      <c r="N89" s="1505"/>
      <c r="R89" s="1515"/>
      <c r="S89" s="1515"/>
      <c r="T89" s="1515"/>
      <c r="U89" s="1515"/>
      <c r="V89" s="1515"/>
      <c r="W89" s="1515"/>
      <c r="X89" s="1515"/>
      <c r="Y89" s="1515"/>
      <c r="Z89" s="1515"/>
      <c r="AA89" s="1515"/>
      <c r="AB89" s="1515"/>
      <c r="AC89" s="1515"/>
      <c r="AD89" s="1515"/>
      <c r="AE89" s="1515"/>
      <c r="AF89" s="1515"/>
      <c r="AG89" s="1515"/>
      <c r="AH89" s="1515"/>
      <c r="AI89" s="1515">
        <f t="shared" si="54"/>
        <v>0</v>
      </c>
    </row>
    <row r="90" spans="1:35" s="1556" customFormat="1" ht="10.5" outlineLevel="1" x14ac:dyDescent="0.25">
      <c r="A90" s="1683" t="s">
        <v>127</v>
      </c>
      <c r="B90" s="1572">
        <v>7.07</v>
      </c>
      <c r="C90" s="1665" t="s">
        <v>314</v>
      </c>
      <c r="D90" s="1529" t="s">
        <v>111</v>
      </c>
      <c r="E90" s="1530">
        <v>198</v>
      </c>
      <c r="F90" s="1519">
        <f>VLOOKUP($C90,'01'!$C$7:$M$216,MATCH("P. Unit. MAT",'01'!$C$7:$M$7,0),0)</f>
        <v>1217.7454545454545</v>
      </c>
      <c r="G90" s="1519">
        <f t="shared" si="44"/>
        <v>241113.60000000001</v>
      </c>
      <c r="H90" s="1519">
        <f>VLOOKUP($C90,'01'!$C$7:$M$216,MATCH("P. Unit. MO",'01'!$C$7:$M$7,0),0)</f>
        <v>10673.73150430102</v>
      </c>
      <c r="I90" s="1519">
        <f t="shared" si="45"/>
        <v>2113398.8378516021</v>
      </c>
      <c r="J90" s="1519">
        <f>VLOOKUP($C90,'01'!$C$7:$M$216,MATCH("P. Unit. EQ",'01'!$C$7:$M$7,0),0)</f>
        <v>0</v>
      </c>
      <c r="K90" s="1519">
        <f t="shared" si="46"/>
        <v>0</v>
      </c>
      <c r="L90" s="1519">
        <f t="shared" si="53"/>
        <v>2354512.4378516022</v>
      </c>
      <c r="M90" s="1562"/>
      <c r="N90" s="1505"/>
      <c r="R90" s="1515"/>
      <c r="S90" s="1515"/>
      <c r="T90" s="1515"/>
      <c r="U90" s="1515"/>
      <c r="V90" s="1515"/>
      <c r="W90" s="1515"/>
      <c r="X90" s="1515"/>
      <c r="Y90" s="1515"/>
      <c r="Z90" s="1515"/>
      <c r="AA90" s="1515"/>
      <c r="AB90" s="1515"/>
      <c r="AC90" s="1515"/>
      <c r="AD90" s="1515"/>
      <c r="AE90" s="1515"/>
      <c r="AF90" s="1515"/>
      <c r="AG90" s="1515"/>
      <c r="AH90" s="1515"/>
      <c r="AI90" s="1515">
        <f t="shared" si="54"/>
        <v>0</v>
      </c>
    </row>
    <row r="91" spans="1:35" s="1556" customFormat="1" ht="10.5" outlineLevel="1" x14ac:dyDescent="0.25">
      <c r="A91" s="1683" t="s">
        <v>113</v>
      </c>
      <c r="B91" s="1573">
        <v>7.08</v>
      </c>
      <c r="C91" s="1659" t="s">
        <v>123</v>
      </c>
      <c r="D91" s="1557" t="s">
        <v>109</v>
      </c>
      <c r="E91" s="1537">
        <v>670.322</v>
      </c>
      <c r="F91" s="1519">
        <f>VLOOKUP($C91,'01'!$C$7:$M$216,MATCH("P. Unit. MAT",'01'!$C$7:$M$7,0),0)</f>
        <v>3747.8693230000003</v>
      </c>
      <c r="G91" s="1519">
        <f t="shared" si="44"/>
        <v>2512279.260332006</v>
      </c>
      <c r="H91" s="1519">
        <f>VLOOKUP($C91,'01'!$C$7:$M$216,MATCH("P. Unit. MO",'01'!$C$7:$M$7,0),0)</f>
        <v>9136.8339619578401</v>
      </c>
      <c r="I91" s="1519">
        <f t="shared" si="45"/>
        <v>6124620.8150475034</v>
      </c>
      <c r="J91" s="1519">
        <f>VLOOKUP($C91,'01'!$C$7:$M$216,MATCH("P. Unit. EQ",'01'!$C$7:$M$7,0),0)</f>
        <v>298.91473598954104</v>
      </c>
      <c r="K91" s="1519">
        <f t="shared" si="46"/>
        <v>200369.12365798114</v>
      </c>
      <c r="L91" s="1519">
        <f t="shared" si="53"/>
        <v>8837269.1990374904</v>
      </c>
      <c r="M91" s="1562"/>
      <c r="N91" s="1505"/>
      <c r="R91" s="1515"/>
      <c r="S91" s="1515"/>
      <c r="T91" s="1515"/>
      <c r="U91" s="1515"/>
      <c r="V91" s="1515"/>
      <c r="W91" s="1515"/>
      <c r="X91" s="1515"/>
      <c r="Y91" s="1515"/>
      <c r="Z91" s="1515"/>
      <c r="AA91" s="1515"/>
      <c r="AB91" s="1515"/>
      <c r="AC91" s="1515"/>
      <c r="AD91" s="1515"/>
      <c r="AE91" s="1515"/>
      <c r="AF91" s="1515"/>
      <c r="AG91" s="1515"/>
      <c r="AH91" s="1515"/>
      <c r="AI91" s="1515">
        <f t="shared" si="54"/>
        <v>0</v>
      </c>
    </row>
    <row r="92" spans="1:35" ht="10.5" x14ac:dyDescent="0.25">
      <c r="A92" s="1681"/>
      <c r="B92" s="1500">
        <v>8</v>
      </c>
      <c r="C92" s="1590" t="s">
        <v>120</v>
      </c>
      <c r="D92" s="1501"/>
      <c r="E92" s="1502"/>
      <c r="F92" s="1502"/>
      <c r="G92" s="1526">
        <f>SUM(G93:G100)</f>
        <v>14542452.024857547</v>
      </c>
      <c r="H92" s="1502"/>
      <c r="I92" s="1527">
        <f>SUM(I93:I100)</f>
        <v>20578782.659518097</v>
      </c>
      <c r="J92" s="1502"/>
      <c r="K92" s="1508">
        <f>SUM(K93:K100)</f>
        <v>511992.53975373256</v>
      </c>
      <c r="L92" s="1503">
        <f>SUM(L93:L100)</f>
        <v>35633227.224129379</v>
      </c>
      <c r="M92" s="1504">
        <f>SUM(D92:K92)</f>
        <v>35633227.224129379</v>
      </c>
      <c r="N92" s="895">
        <f>M92-'01'!T69</f>
        <v>0</v>
      </c>
      <c r="R92" s="1506"/>
      <c r="S92" s="1506"/>
      <c r="T92" s="1506"/>
      <c r="U92" s="1506"/>
      <c r="V92" s="1506"/>
      <c r="W92" s="1507"/>
      <c r="X92" s="1507"/>
      <c r="Y92" s="1507"/>
      <c r="Z92" s="1507"/>
      <c r="AA92" s="1507"/>
      <c r="AB92" s="1507"/>
      <c r="AC92" s="1507"/>
      <c r="AD92" s="1507"/>
      <c r="AE92" s="1507"/>
      <c r="AF92" s="1507"/>
      <c r="AG92" s="1507"/>
      <c r="AH92" s="1507"/>
      <c r="AI92" s="1507"/>
    </row>
    <row r="93" spans="1:35" s="1556" customFormat="1" ht="10.5" outlineLevel="1" x14ac:dyDescent="0.25">
      <c r="A93" s="1683" t="s">
        <v>113</v>
      </c>
      <c r="B93" s="1510">
        <v>8.01</v>
      </c>
      <c r="C93" s="1658" t="s">
        <v>315</v>
      </c>
      <c r="D93" s="1553" t="s">
        <v>109</v>
      </c>
      <c r="E93" s="1554">
        <v>104</v>
      </c>
      <c r="F93" s="1519">
        <f>VLOOKUP($C93,'01'!$C$7:$M$216,MATCH("P. Unit. MAT",'01'!$C$7:$M$7,0),0)</f>
        <v>9763.5190306500008</v>
      </c>
      <c r="G93" s="1519">
        <f t="shared" si="44"/>
        <v>1015405.9791876001</v>
      </c>
      <c r="H93" s="1519">
        <f>VLOOKUP($C93,'01'!$C$7:$M$216,MATCH("P. Unit. MO",'01'!$C$7:$M$7,0),0)</f>
        <v>15181.289056642992</v>
      </c>
      <c r="I93" s="1519">
        <f t="shared" si="45"/>
        <v>1578854.0618908713</v>
      </c>
      <c r="J93" s="1519">
        <f>VLOOKUP($C93,'01'!$C$7:$M$216,MATCH("P. Unit. EQ",'01'!$C$7:$M$7,0),0)</f>
        <v>451.34429264543519</v>
      </c>
      <c r="K93" s="1519">
        <f t="shared" si="46"/>
        <v>46939.806435125261</v>
      </c>
      <c r="L93" s="1519">
        <f t="shared" ref="L93:L100" si="55">SUM(G93,I93,K93)</f>
        <v>2641199.847513597</v>
      </c>
      <c r="M93" s="1566"/>
      <c r="N93" s="1505"/>
      <c r="R93" s="1515"/>
      <c r="S93" s="1515"/>
      <c r="T93" s="1515"/>
      <c r="U93" s="1515"/>
      <c r="V93" s="1515"/>
      <c r="W93" s="1515"/>
      <c r="X93" s="1515"/>
      <c r="Y93" s="1515"/>
      <c r="Z93" s="1515"/>
      <c r="AA93" s="1515"/>
      <c r="AB93" s="1515"/>
      <c r="AC93" s="1515"/>
      <c r="AD93" s="1515"/>
      <c r="AE93" s="1515"/>
      <c r="AF93" s="1515"/>
      <c r="AG93" s="1515"/>
      <c r="AH93" s="1515"/>
      <c r="AI93" s="1515">
        <f t="shared" ref="AI93:AI100" si="56">SUM(S93:AH93)</f>
        <v>0</v>
      </c>
    </row>
    <row r="94" spans="1:35" s="1556" customFormat="1" ht="10.5" outlineLevel="1" x14ac:dyDescent="0.25">
      <c r="A94" s="1683" t="s">
        <v>113</v>
      </c>
      <c r="B94" s="1516">
        <v>8.02</v>
      </c>
      <c r="C94" s="1574" t="s">
        <v>316</v>
      </c>
      <c r="D94" s="1529" t="s">
        <v>109</v>
      </c>
      <c r="E94" s="1530">
        <v>48</v>
      </c>
      <c r="F94" s="1519">
        <f>VLOOKUP($C94,'01'!$C$7:$M$216,MATCH("P. Unit. MAT",'01'!$C$7:$M$7,0),0)</f>
        <v>13518.025374200002</v>
      </c>
      <c r="G94" s="1519">
        <f t="shared" si="44"/>
        <v>648865.21796160005</v>
      </c>
      <c r="H94" s="1519">
        <f>VLOOKUP($C94,'01'!$C$7:$M$216,MATCH("P. Unit. MO",'01'!$C$7:$M$7,0),0)</f>
        <v>15681.289056642992</v>
      </c>
      <c r="I94" s="1519">
        <f t="shared" si="45"/>
        <v>752701.87471886363</v>
      </c>
      <c r="J94" s="1519">
        <f>VLOOKUP($C94,'01'!$C$7:$M$216,MATCH("P. Unit. EQ",'01'!$C$7:$M$7,0),0)</f>
        <v>451.34429264543519</v>
      </c>
      <c r="K94" s="1519">
        <f t="shared" si="46"/>
        <v>21664.526046980889</v>
      </c>
      <c r="L94" s="1519">
        <f t="shared" si="55"/>
        <v>1423231.6187274444</v>
      </c>
      <c r="M94" s="1566"/>
      <c r="N94" s="1505"/>
      <c r="R94" s="1515"/>
      <c r="S94" s="1515"/>
      <c r="T94" s="1515"/>
      <c r="U94" s="1515"/>
      <c r="V94" s="1515"/>
      <c r="W94" s="1515"/>
      <c r="X94" s="1515"/>
      <c r="Y94" s="1515"/>
      <c r="Z94" s="1515"/>
      <c r="AA94" s="1515"/>
      <c r="AB94" s="1515"/>
      <c r="AC94" s="1515"/>
      <c r="AD94" s="1515"/>
      <c r="AE94" s="1515"/>
      <c r="AF94" s="1515"/>
      <c r="AG94" s="1515"/>
      <c r="AH94" s="1515"/>
      <c r="AI94" s="1515">
        <f t="shared" si="56"/>
        <v>0</v>
      </c>
    </row>
    <row r="95" spans="1:35" s="1556" customFormat="1" ht="10.5" outlineLevel="1" x14ac:dyDescent="0.25">
      <c r="A95" s="1683" t="s">
        <v>113</v>
      </c>
      <c r="B95" s="1516">
        <v>8.0299999999999994</v>
      </c>
      <c r="C95" s="1574" t="s">
        <v>317</v>
      </c>
      <c r="D95" s="1529" t="s">
        <v>109</v>
      </c>
      <c r="E95" s="1530">
        <v>235</v>
      </c>
      <c r="F95" s="1519">
        <f>VLOOKUP($C95,'01'!$C$7:$M$216,MATCH("P. Unit. MAT",'01'!$C$7:$M$7,0),0)</f>
        <v>11716.222836780002</v>
      </c>
      <c r="G95" s="1519">
        <f t="shared" si="44"/>
        <v>2753312.3666433003</v>
      </c>
      <c r="H95" s="1519">
        <f>VLOOKUP($C95,'01'!$C$7:$M$216,MATCH("P. Unit. MO",'01'!$C$7:$M$7,0),0)</f>
        <v>13663.160150978691</v>
      </c>
      <c r="I95" s="1519">
        <f t="shared" si="45"/>
        <v>3210842.6354799923</v>
      </c>
      <c r="J95" s="1519">
        <f>VLOOKUP($C95,'01'!$C$7:$M$216,MATCH("P. Unit. EQ",'01'!$C$7:$M$7,0),0)</f>
        <v>406.20986338089159</v>
      </c>
      <c r="K95" s="1519">
        <f t="shared" si="46"/>
        <v>95459.317894509528</v>
      </c>
      <c r="L95" s="1519">
        <f t="shared" si="55"/>
        <v>6059614.3200178016</v>
      </c>
      <c r="M95" s="1566"/>
      <c r="N95" s="1505"/>
      <c r="R95" s="1515"/>
      <c r="S95" s="1515"/>
      <c r="T95" s="1515"/>
      <c r="U95" s="1515"/>
      <c r="V95" s="1515"/>
      <c r="W95" s="1515"/>
      <c r="X95" s="1515"/>
      <c r="Y95" s="1515"/>
      <c r="Z95" s="1515"/>
      <c r="AA95" s="1515"/>
      <c r="AB95" s="1515"/>
      <c r="AC95" s="1515"/>
      <c r="AD95" s="1515"/>
      <c r="AE95" s="1515"/>
      <c r="AF95" s="1515"/>
      <c r="AG95" s="1515"/>
      <c r="AH95" s="1515"/>
      <c r="AI95" s="1515">
        <f t="shared" si="56"/>
        <v>0</v>
      </c>
    </row>
    <row r="96" spans="1:35" s="1556" customFormat="1" ht="10.5" outlineLevel="1" x14ac:dyDescent="0.25">
      <c r="A96" s="1683" t="s">
        <v>113</v>
      </c>
      <c r="B96" s="1516">
        <v>8.0399999999999991</v>
      </c>
      <c r="C96" s="1574" t="s">
        <v>204</v>
      </c>
      <c r="D96" s="1529" t="s">
        <v>109</v>
      </c>
      <c r="E96" s="1530">
        <v>878</v>
      </c>
      <c r="F96" s="1519">
        <f>VLOOKUP($C96,'01'!$C$7:$M$216,MATCH("P. Unit. MAT",'01'!$C$7:$M$7,0),0)</f>
        <v>6431.816156095043</v>
      </c>
      <c r="G96" s="1519">
        <f t="shared" si="44"/>
        <v>5647134.5850514481</v>
      </c>
      <c r="H96" s="1519">
        <f>VLOOKUP($C96,'01'!$C$7:$M$216,MATCH("P. Unit. MO",'01'!$C$7:$M$7,0),0)</f>
        <v>8572.2516609388531</v>
      </c>
      <c r="I96" s="1519">
        <f t="shared" si="45"/>
        <v>7526436.958304313</v>
      </c>
      <c r="J96" s="1519">
        <f>VLOOKUP($C96,'01'!$C$7:$M$216,MATCH("P. Unit. EQ",'01'!$C$7:$M$7,0),0)</f>
        <v>116.9025805965067</v>
      </c>
      <c r="K96" s="1519">
        <f t="shared" si="46"/>
        <v>102640.46576373288</v>
      </c>
      <c r="L96" s="1519">
        <f t="shared" si="55"/>
        <v>13276212.009119494</v>
      </c>
      <c r="M96" s="1566"/>
      <c r="N96" s="1505"/>
      <c r="R96" s="1515"/>
      <c r="S96" s="1515"/>
      <c r="T96" s="1515"/>
      <c r="U96" s="1515"/>
      <c r="V96" s="1515"/>
      <c r="W96" s="1515"/>
      <c r="X96" s="1515"/>
      <c r="Y96" s="1515"/>
      <c r="Z96" s="1515"/>
      <c r="AA96" s="1515"/>
      <c r="AB96" s="1515"/>
      <c r="AC96" s="1515"/>
      <c r="AD96" s="1515"/>
      <c r="AE96" s="1515"/>
      <c r="AF96" s="1515"/>
      <c r="AG96" s="1515"/>
      <c r="AH96" s="1515"/>
      <c r="AI96" s="1515">
        <f t="shared" si="56"/>
        <v>0</v>
      </c>
    </row>
    <row r="97" spans="1:35" s="1556" customFormat="1" ht="10.5" outlineLevel="1" x14ac:dyDescent="0.25">
      <c r="A97" s="1683" t="s">
        <v>113</v>
      </c>
      <c r="B97" s="1516">
        <v>8.0500000000000007</v>
      </c>
      <c r="C97" s="1574" t="s">
        <v>318</v>
      </c>
      <c r="D97" s="1529" t="s">
        <v>109</v>
      </c>
      <c r="E97" s="1530">
        <v>564</v>
      </c>
      <c r="F97" s="1519">
        <f>VLOOKUP($C97,'01'!$C$7:$M$216,MATCH("P. Unit. MAT",'01'!$C$7:$M$7,0),0)</f>
        <v>3180.0905400000011</v>
      </c>
      <c r="G97" s="1519">
        <f t="shared" si="44"/>
        <v>1793571.0645600006</v>
      </c>
      <c r="H97" s="1519">
        <f>VLOOKUP($C97,'01'!$C$7:$M$216,MATCH("P. Unit. MO",'01'!$C$7:$M$7,0),0)</f>
        <v>6505.5636652352905</v>
      </c>
      <c r="I97" s="1519">
        <f t="shared" si="45"/>
        <v>3669137.9071927038</v>
      </c>
      <c r="J97" s="1519">
        <f>VLOOKUP($C97,'01'!$C$7:$M$216,MATCH("P. Unit. EQ",'01'!$C$7:$M$7,0),0)</f>
        <v>210.62733656786975</v>
      </c>
      <c r="K97" s="1519">
        <f t="shared" si="46"/>
        <v>118793.81782427854</v>
      </c>
      <c r="L97" s="1519">
        <f t="shared" si="55"/>
        <v>5581502.7895769831</v>
      </c>
      <c r="M97" s="1566"/>
      <c r="N97" s="1505"/>
      <c r="R97" s="1515"/>
      <c r="S97" s="1515"/>
      <c r="T97" s="1515"/>
      <c r="U97" s="1515"/>
      <c r="V97" s="1515"/>
      <c r="W97" s="1515"/>
      <c r="X97" s="1515"/>
      <c r="Y97" s="1515"/>
      <c r="Z97" s="1515"/>
      <c r="AA97" s="1515"/>
      <c r="AB97" s="1515"/>
      <c r="AC97" s="1515"/>
      <c r="AD97" s="1515"/>
      <c r="AE97" s="1515"/>
      <c r="AF97" s="1515"/>
      <c r="AG97" s="1515"/>
      <c r="AH97" s="1515"/>
      <c r="AI97" s="1515">
        <f t="shared" si="56"/>
        <v>0</v>
      </c>
    </row>
    <row r="98" spans="1:35" s="1556" customFormat="1" ht="10.5" outlineLevel="1" x14ac:dyDescent="0.25">
      <c r="A98" s="1683" t="s">
        <v>113</v>
      </c>
      <c r="B98" s="1516">
        <v>8.06</v>
      </c>
      <c r="C98" s="1574" t="s">
        <v>319</v>
      </c>
      <c r="D98" s="1529" t="s">
        <v>109</v>
      </c>
      <c r="E98" s="1530">
        <v>438</v>
      </c>
      <c r="F98" s="1519">
        <f>VLOOKUP($C98,'01'!$C$7:$M$216,MATCH("P. Unit. MAT",'01'!$C$7:$M$7,0),0)</f>
        <v>3180.0905400000011</v>
      </c>
      <c r="G98" s="1519">
        <f t="shared" si="44"/>
        <v>1392879.6565200004</v>
      </c>
      <c r="H98" s="1519">
        <f>VLOOKUP($C98,'01'!$C$7:$M$216,MATCH("P. Unit. MO",'01'!$C$7:$M$7,0),0)</f>
        <v>6505.5636652352905</v>
      </c>
      <c r="I98" s="1519">
        <f t="shared" si="45"/>
        <v>2849436.8853730573</v>
      </c>
      <c r="J98" s="1519">
        <f>VLOOKUP($C98,'01'!$C$7:$M$216,MATCH("P. Unit. EQ",'01'!$C$7:$M$7,0),0)</f>
        <v>210.62733656786975</v>
      </c>
      <c r="K98" s="1519">
        <f t="shared" si="46"/>
        <v>92254.773416726952</v>
      </c>
      <c r="L98" s="1519">
        <f t="shared" si="55"/>
        <v>4334571.3153097844</v>
      </c>
      <c r="M98" s="1566"/>
      <c r="N98" s="1505"/>
      <c r="R98" s="1515"/>
      <c r="S98" s="1515"/>
      <c r="T98" s="1515"/>
      <c r="U98" s="1515"/>
      <c r="V98" s="1515"/>
      <c r="W98" s="1515"/>
      <c r="X98" s="1515"/>
      <c r="Y98" s="1515"/>
      <c r="Z98" s="1515"/>
      <c r="AA98" s="1515"/>
      <c r="AB98" s="1515"/>
      <c r="AC98" s="1515"/>
      <c r="AD98" s="1515"/>
      <c r="AE98" s="1515"/>
      <c r="AF98" s="1515"/>
      <c r="AG98" s="1515"/>
      <c r="AH98" s="1515"/>
      <c r="AI98" s="1515">
        <f t="shared" si="56"/>
        <v>0</v>
      </c>
    </row>
    <row r="99" spans="1:35" s="1556" customFormat="1" ht="10.5" outlineLevel="1" x14ac:dyDescent="0.25">
      <c r="A99" s="1683" t="s">
        <v>113</v>
      </c>
      <c r="B99" s="1516">
        <v>8.07</v>
      </c>
      <c r="C99" s="1574" t="s">
        <v>320</v>
      </c>
      <c r="D99" s="1529" t="s">
        <v>107</v>
      </c>
      <c r="E99" s="1530">
        <v>1</v>
      </c>
      <c r="F99" s="1519">
        <f>VLOOKUP($C99,'01'!$C$7:$M$216,MATCH("P. Unit. MAT",'01'!$C$7:$M$7,0),0)</f>
        <v>1076227.6597</v>
      </c>
      <c r="G99" s="1519">
        <f t="shared" si="44"/>
        <v>1076227.6597</v>
      </c>
      <c r="H99" s="1519">
        <f>VLOOKUP($C99,'01'!$C$7:$M$216,MATCH("P. Unit. MO",'01'!$C$7:$M$7,0),0)</f>
        <v>826143.61379857967</v>
      </c>
      <c r="I99" s="1519">
        <f t="shared" si="45"/>
        <v>826143.61379857967</v>
      </c>
      <c r="J99" s="1519">
        <f>VLOOKUP($C99,'01'!$C$7:$M$216,MATCH("P. Unit. EQ",'01'!$C$7:$M$7,0),0)</f>
        <v>28535.569102478694</v>
      </c>
      <c r="K99" s="1519">
        <f t="shared" si="46"/>
        <v>28535.569102478694</v>
      </c>
      <c r="L99" s="1519">
        <f t="shared" si="55"/>
        <v>1930906.8426010583</v>
      </c>
      <c r="M99" s="1566"/>
      <c r="N99" s="1505"/>
      <c r="R99" s="1515"/>
      <c r="S99" s="1515"/>
      <c r="T99" s="1515"/>
      <c r="U99" s="1515"/>
      <c r="V99" s="1515"/>
      <c r="W99" s="1515"/>
      <c r="X99" s="1515"/>
      <c r="Y99" s="1515"/>
      <c r="Z99" s="1515"/>
      <c r="AA99" s="1515"/>
      <c r="AB99" s="1515"/>
      <c r="AC99" s="1515"/>
      <c r="AD99" s="1515"/>
      <c r="AE99" s="1515"/>
      <c r="AF99" s="1515"/>
      <c r="AG99" s="1515"/>
      <c r="AH99" s="1515"/>
      <c r="AI99" s="1515">
        <f t="shared" si="56"/>
        <v>0</v>
      </c>
    </row>
    <row r="100" spans="1:35" s="1556" customFormat="1" ht="10.5" outlineLevel="1" x14ac:dyDescent="0.25">
      <c r="A100" s="1683" t="s">
        <v>113</v>
      </c>
      <c r="B100" s="1516">
        <v>8.08</v>
      </c>
      <c r="C100" s="1659" t="s">
        <v>321</v>
      </c>
      <c r="D100" s="1557" t="s">
        <v>107</v>
      </c>
      <c r="E100" s="1537">
        <v>1</v>
      </c>
      <c r="F100" s="1519">
        <f>VLOOKUP($C100,'01'!$C$7:$M$216,MATCH("P. Unit. MAT",'01'!$C$7:$M$7,0),0)</f>
        <v>215055.49523360003</v>
      </c>
      <c r="G100" s="1519">
        <f t="shared" si="44"/>
        <v>215055.49523360003</v>
      </c>
      <c r="H100" s="1519">
        <f>VLOOKUP($C100,'01'!$C$7:$M$216,MATCH("P. Unit. MO",'01'!$C$7:$M$7,0),0)</f>
        <v>165228.72275971592</v>
      </c>
      <c r="I100" s="1519">
        <f t="shared" si="45"/>
        <v>165228.72275971592</v>
      </c>
      <c r="J100" s="1519">
        <f>VLOOKUP($C100,'01'!$C$7:$M$216,MATCH("P. Unit. EQ",'01'!$C$7:$M$7,0),0)</f>
        <v>5704.2632698997386</v>
      </c>
      <c r="K100" s="1519">
        <f t="shared" si="46"/>
        <v>5704.2632698997386</v>
      </c>
      <c r="L100" s="1519">
        <f t="shared" si="55"/>
        <v>385988.48126321571</v>
      </c>
      <c r="M100" s="1566"/>
      <c r="N100" s="1505"/>
      <c r="R100" s="1515"/>
      <c r="S100" s="1515"/>
      <c r="T100" s="1515"/>
      <c r="U100" s="1515"/>
      <c r="V100" s="1515"/>
      <c r="W100" s="1515"/>
      <c r="X100" s="1515"/>
      <c r="Y100" s="1515"/>
      <c r="Z100" s="1515"/>
      <c r="AA100" s="1515"/>
      <c r="AB100" s="1515"/>
      <c r="AC100" s="1515"/>
      <c r="AD100" s="1515"/>
      <c r="AE100" s="1515"/>
      <c r="AF100" s="1515"/>
      <c r="AG100" s="1515"/>
      <c r="AH100" s="1515"/>
      <c r="AI100" s="1515">
        <f t="shared" si="56"/>
        <v>0</v>
      </c>
    </row>
    <row r="101" spans="1:35" ht="10.5" x14ac:dyDescent="0.25">
      <c r="A101" s="1681"/>
      <c r="B101" s="1500">
        <v>9</v>
      </c>
      <c r="C101" s="1590" t="s">
        <v>205</v>
      </c>
      <c r="D101" s="1501"/>
      <c r="E101" s="1502"/>
      <c r="F101" s="1502"/>
      <c r="G101" s="1526">
        <f>SUM(G102:G105)</f>
        <v>840647.73097364325</v>
      </c>
      <c r="H101" s="1502"/>
      <c r="I101" s="1527">
        <f>SUM(I102:I105)</f>
        <v>3740931.7396108191</v>
      </c>
      <c r="J101" s="1502"/>
      <c r="K101" s="1508">
        <f>SUM(K102:K105)</f>
        <v>78094.62236307282</v>
      </c>
      <c r="L101" s="1503">
        <f>SUM(L102:L105)</f>
        <v>4659674.0929475352</v>
      </c>
      <c r="M101" s="1504">
        <f>SUM(D101:K101)</f>
        <v>4659674.0929475352</v>
      </c>
      <c r="N101" s="895">
        <f>M101-'01'!T78</f>
        <v>0</v>
      </c>
      <c r="R101" s="1506"/>
      <c r="S101" s="1506"/>
      <c r="T101" s="1506"/>
      <c r="U101" s="1506"/>
      <c r="V101" s="1506"/>
      <c r="W101" s="1507"/>
      <c r="X101" s="1507"/>
      <c r="Y101" s="1507"/>
      <c r="Z101" s="1507"/>
      <c r="AA101" s="1507"/>
      <c r="AB101" s="1507"/>
      <c r="AC101" s="1507"/>
      <c r="AD101" s="1507"/>
      <c r="AE101" s="1507"/>
      <c r="AF101" s="1507"/>
      <c r="AG101" s="1507"/>
      <c r="AH101" s="1507"/>
      <c r="AI101" s="1507"/>
    </row>
    <row r="102" spans="1:35" ht="10.5" outlineLevel="1" x14ac:dyDescent="0.25">
      <c r="A102" s="1683" t="s">
        <v>113</v>
      </c>
      <c r="B102" s="1510">
        <v>9.01</v>
      </c>
      <c r="C102" s="1658" t="s">
        <v>322</v>
      </c>
      <c r="D102" s="1575" t="s">
        <v>107</v>
      </c>
      <c r="E102" s="1554">
        <v>1</v>
      </c>
      <c r="F102" s="1519">
        <f>VLOOKUP($C102,'01'!$C$7:$M$216,MATCH("P. Unit. MAT",'01'!$C$7:$M$7,0),0)</f>
        <v>203505.44198054407</v>
      </c>
      <c r="G102" s="1519">
        <f t="shared" si="44"/>
        <v>203505.44198054407</v>
      </c>
      <c r="H102" s="1519">
        <f>VLOOKUP($C102,'01'!$C$7:$M$216,MATCH("P. Unit. MO",'01'!$C$7:$M$7,0),0)</f>
        <v>1383533.8263977272</v>
      </c>
      <c r="I102" s="1519">
        <f t="shared" si="45"/>
        <v>1383533.8263977272</v>
      </c>
      <c r="J102" s="1519">
        <f>VLOOKUP($C102,'01'!$C$7:$M$216,MATCH("P. Unit. EQ",'01'!$C$7:$M$7,0),0)</f>
        <v>23805.589025674068</v>
      </c>
      <c r="K102" s="1519">
        <f t="shared" si="46"/>
        <v>23805.589025674068</v>
      </c>
      <c r="L102" s="1519">
        <f t="shared" ref="L102:L105" si="57">SUM(G102,I102,K102)</f>
        <v>1610844.8574039454</v>
      </c>
      <c r="M102" s="1562"/>
      <c r="N102" s="1576"/>
      <c r="R102" s="1515"/>
      <c r="S102" s="1515"/>
      <c r="T102" s="1515"/>
      <c r="U102" s="1515"/>
      <c r="V102" s="1515"/>
      <c r="W102" s="1515"/>
      <c r="X102" s="1515"/>
      <c r="Y102" s="1515"/>
      <c r="Z102" s="1515"/>
      <c r="AA102" s="1515"/>
      <c r="AB102" s="1515"/>
      <c r="AC102" s="1515"/>
      <c r="AD102" s="1515"/>
      <c r="AE102" s="1515"/>
      <c r="AF102" s="1515"/>
      <c r="AG102" s="1515"/>
      <c r="AH102" s="1515"/>
      <c r="AI102" s="1515">
        <f t="shared" ref="AI102:AI105" si="58">SUM(S102:AH102)</f>
        <v>0</v>
      </c>
    </row>
    <row r="103" spans="1:35" ht="10.5" outlineLevel="1" x14ac:dyDescent="0.25">
      <c r="A103" s="1683" t="s">
        <v>113</v>
      </c>
      <c r="B103" s="1539">
        <v>9.02</v>
      </c>
      <c r="C103" s="1587" t="s">
        <v>323</v>
      </c>
      <c r="D103" s="1577" t="s">
        <v>124</v>
      </c>
      <c r="E103" s="1578">
        <v>122</v>
      </c>
      <c r="F103" s="1519">
        <f>VLOOKUP($C103,'01'!$C$7:$M$216,MATCH("P. Unit. MAT",'01'!$C$7:$M$7,0),0)</f>
        <v>2447.0972090502642</v>
      </c>
      <c r="G103" s="1519">
        <f t="shared" si="44"/>
        <v>298545.85950413224</v>
      </c>
      <c r="H103" s="1519">
        <f>VLOOKUP($C103,'01'!$C$7:$M$216,MATCH("P. Unit. MO",'01'!$C$7:$M$7,0),0)</f>
        <v>12299.732995391207</v>
      </c>
      <c r="I103" s="1519">
        <f t="shared" si="45"/>
        <v>1500567.4254377272</v>
      </c>
      <c r="J103" s="1519">
        <f>VLOOKUP($C103,'01'!$C$7:$M$216,MATCH("P. Unit. EQ",'01'!$C$7:$M$7,0),0)</f>
        <v>221.20245306662204</v>
      </c>
      <c r="K103" s="1519">
        <f t="shared" si="46"/>
        <v>26986.699274127888</v>
      </c>
      <c r="L103" s="1519">
        <f t="shared" si="57"/>
        <v>1826099.9842159874</v>
      </c>
      <c r="M103" s="1562"/>
      <c r="N103" s="1576"/>
      <c r="R103" s="1515"/>
      <c r="S103" s="1515"/>
      <c r="T103" s="1515"/>
      <c r="U103" s="1515"/>
      <c r="V103" s="1515"/>
      <c r="W103" s="1515"/>
      <c r="X103" s="1515"/>
      <c r="Y103" s="1515"/>
      <c r="Z103" s="1515"/>
      <c r="AA103" s="1515"/>
      <c r="AB103" s="1515"/>
      <c r="AC103" s="1515"/>
      <c r="AD103" s="1515"/>
      <c r="AE103" s="1515"/>
      <c r="AF103" s="1515"/>
      <c r="AG103" s="1515"/>
      <c r="AH103" s="1515"/>
      <c r="AI103" s="1515">
        <f t="shared" si="58"/>
        <v>0</v>
      </c>
    </row>
    <row r="104" spans="1:35" ht="10.5" outlineLevel="1" x14ac:dyDescent="0.25">
      <c r="A104" s="1683" t="s">
        <v>113</v>
      </c>
      <c r="B104" s="1516">
        <v>9.0299999999999994</v>
      </c>
      <c r="C104" s="1574" t="s">
        <v>324</v>
      </c>
      <c r="D104" s="1579" t="s">
        <v>124</v>
      </c>
      <c r="E104" s="1530">
        <v>155</v>
      </c>
      <c r="F104" s="1519">
        <f>VLOOKUP($C104,'01'!$C$7:$M$216,MATCH("P. Unit. MAT",'01'!$C$7:$M$7,0),0)</f>
        <v>758.10738300000003</v>
      </c>
      <c r="G104" s="1519">
        <f t="shared" si="44"/>
        <v>117506.644365</v>
      </c>
      <c r="H104" s="1519">
        <f>VLOOKUP($C104,'01'!$C$7:$M$216,MATCH("P. Unit. MO",'01'!$C$7:$M$7,0),0)</f>
        <v>3395.9551113285988</v>
      </c>
      <c r="I104" s="1519">
        <f t="shared" si="45"/>
        <v>526373.04225593281</v>
      </c>
      <c r="J104" s="1519">
        <f>VLOOKUP($C104,'01'!$C$7:$M$216,MATCH("P. Unit. EQ",'01'!$C$7:$M$7,0),0)</f>
        <v>122.76855228141865</v>
      </c>
      <c r="K104" s="1519">
        <f t="shared" si="46"/>
        <v>19029.12560361989</v>
      </c>
      <c r="L104" s="1519">
        <f t="shared" si="57"/>
        <v>662908.81222455262</v>
      </c>
      <c r="M104" s="1562"/>
      <c r="N104" s="1576"/>
      <c r="R104" s="1515"/>
      <c r="S104" s="1515"/>
      <c r="T104" s="1515"/>
      <c r="U104" s="1515"/>
      <c r="V104" s="1515"/>
      <c r="W104" s="1515"/>
      <c r="X104" s="1515"/>
      <c r="Y104" s="1515"/>
      <c r="Z104" s="1515"/>
      <c r="AA104" s="1515"/>
      <c r="AB104" s="1515"/>
      <c r="AC104" s="1515"/>
      <c r="AD104" s="1515"/>
      <c r="AE104" s="1515"/>
      <c r="AF104" s="1515"/>
      <c r="AG104" s="1515"/>
      <c r="AH104" s="1515"/>
      <c r="AI104" s="1515">
        <f t="shared" si="58"/>
        <v>0</v>
      </c>
    </row>
    <row r="105" spans="1:35" ht="10.5" outlineLevel="1" x14ac:dyDescent="0.25">
      <c r="A105" s="1683" t="s">
        <v>113</v>
      </c>
      <c r="B105" s="1580">
        <v>9.0399999999999991</v>
      </c>
      <c r="C105" s="1589" t="s">
        <v>325</v>
      </c>
      <c r="D105" s="1581" t="s">
        <v>124</v>
      </c>
      <c r="E105" s="1582">
        <v>31.200000000000003</v>
      </c>
      <c r="F105" s="1519">
        <f>VLOOKUP($C105,'01'!$C$7:$M$216,MATCH("P. Unit. MAT",'01'!$C$7:$M$7,0),0)</f>
        <v>7086.2110616656082</v>
      </c>
      <c r="G105" s="1519">
        <f t="shared" si="44"/>
        <v>221089.78512396698</v>
      </c>
      <c r="H105" s="1519">
        <f>VLOOKUP($C105,'01'!$C$7:$M$216,MATCH("P. Unit. MO",'01'!$C$7:$M$7,0),0)</f>
        <v>10591.584792289481</v>
      </c>
      <c r="I105" s="1519">
        <f t="shared" si="45"/>
        <v>330457.44551943184</v>
      </c>
      <c r="J105" s="1519">
        <f>VLOOKUP($C105,'01'!$C$7:$M$216,MATCH("P. Unit. EQ",'01'!$C$7:$M$7,0),0)</f>
        <v>265.16693780932633</v>
      </c>
      <c r="K105" s="1519">
        <f t="shared" si="46"/>
        <v>8273.2084596509831</v>
      </c>
      <c r="L105" s="1519">
        <f t="shared" si="57"/>
        <v>559820.43910304981</v>
      </c>
      <c r="M105" s="1562"/>
      <c r="N105" s="1576"/>
      <c r="R105" s="1515"/>
      <c r="S105" s="1515"/>
      <c r="T105" s="1515"/>
      <c r="U105" s="1515"/>
      <c r="V105" s="1515"/>
      <c r="W105" s="1515"/>
      <c r="X105" s="1515"/>
      <c r="Y105" s="1515"/>
      <c r="Z105" s="1515"/>
      <c r="AA105" s="1515"/>
      <c r="AB105" s="1515"/>
      <c r="AC105" s="1515"/>
      <c r="AD105" s="1515"/>
      <c r="AE105" s="1515"/>
      <c r="AF105" s="1515"/>
      <c r="AG105" s="1515"/>
      <c r="AH105" s="1515"/>
      <c r="AI105" s="1515">
        <f t="shared" si="58"/>
        <v>0</v>
      </c>
    </row>
    <row r="106" spans="1:35" ht="10.5" x14ac:dyDescent="0.25">
      <c r="A106" s="1681"/>
      <c r="B106" s="1500">
        <v>10</v>
      </c>
      <c r="C106" s="1590" t="s">
        <v>206</v>
      </c>
      <c r="D106" s="1501"/>
      <c r="E106" s="1502"/>
      <c r="F106" s="1502"/>
      <c r="G106" s="1526">
        <f>SUM(G107:G110)</f>
        <v>2275272.132231405</v>
      </c>
      <c r="H106" s="1502"/>
      <c r="I106" s="1527">
        <f>SUM(I107:I110)</f>
        <v>1439691.3599794318</v>
      </c>
      <c r="J106" s="1502"/>
      <c r="K106" s="1508">
        <f>SUM(K107:K110)</f>
        <v>0</v>
      </c>
      <c r="L106" s="1503">
        <f>SUM(L107:L110)</f>
        <v>3714963.4922108371</v>
      </c>
      <c r="M106" s="1504">
        <f>SUM(D106:K106)</f>
        <v>3714963.4922108371</v>
      </c>
      <c r="N106" s="895">
        <f>M106-'01'!T83</f>
        <v>0</v>
      </c>
      <c r="R106" s="1506"/>
      <c r="S106" s="1506"/>
      <c r="T106" s="1506"/>
      <c r="U106" s="1506"/>
      <c r="V106" s="1506"/>
      <c r="W106" s="1507"/>
      <c r="X106" s="1507"/>
      <c r="Y106" s="1507"/>
      <c r="Z106" s="1507"/>
      <c r="AA106" s="1507"/>
      <c r="AB106" s="1507"/>
      <c r="AC106" s="1507"/>
      <c r="AD106" s="1507"/>
      <c r="AE106" s="1507"/>
      <c r="AF106" s="1507"/>
      <c r="AG106" s="1507"/>
      <c r="AH106" s="1507"/>
      <c r="AI106" s="1507"/>
    </row>
    <row r="107" spans="1:35" ht="10.5" outlineLevel="1" x14ac:dyDescent="0.25">
      <c r="A107" s="1682" t="s">
        <v>113</v>
      </c>
      <c r="B107" s="1510">
        <v>10.01</v>
      </c>
      <c r="C107" s="1658" t="s">
        <v>1019</v>
      </c>
      <c r="D107" s="1583" t="s">
        <v>107</v>
      </c>
      <c r="E107" s="1512">
        <v>0</v>
      </c>
      <c r="F107" s="1519">
        <f>VLOOKUP($C107,'01'!$C$7:$M$216,MATCH("P. Unit. MAT",'01'!$C$7:$M$7,0),0)</f>
        <v>0</v>
      </c>
      <c r="G107" s="1519">
        <f t="shared" si="44"/>
        <v>0</v>
      </c>
      <c r="H107" s="1519">
        <f>VLOOKUP($C107,'01'!$C$7:$M$216,MATCH("P. Unit. MO",'01'!$C$7:$M$7,0),0)</f>
        <v>0</v>
      </c>
      <c r="I107" s="1519">
        <f t="shared" si="45"/>
        <v>0</v>
      </c>
      <c r="J107" s="1519">
        <f>VLOOKUP($C107,'01'!$C$7:$M$216,MATCH("P. Unit. EQ",'01'!$C$7:$M$7,0),0)</f>
        <v>0</v>
      </c>
      <c r="K107" s="1519">
        <f t="shared" si="46"/>
        <v>0</v>
      </c>
      <c r="L107" s="1519">
        <f t="shared" ref="L107:L110" si="59">SUM(G107,I107,K107)</f>
        <v>0</v>
      </c>
      <c r="N107" s="1505"/>
      <c r="R107" s="1515"/>
      <c r="S107" s="1515"/>
      <c r="T107" s="1515"/>
      <c r="U107" s="1515"/>
      <c r="V107" s="1515"/>
      <c r="W107" s="1515"/>
      <c r="X107" s="1515"/>
      <c r="Y107" s="1515"/>
      <c r="Z107" s="1515"/>
      <c r="AA107" s="1515"/>
      <c r="AB107" s="1515"/>
      <c r="AC107" s="1515"/>
      <c r="AD107" s="1515"/>
      <c r="AE107" s="1515"/>
      <c r="AF107" s="1515"/>
      <c r="AG107" s="1515"/>
      <c r="AH107" s="1515"/>
      <c r="AI107" s="1515">
        <f t="shared" ref="AI107:AI110" si="60">SUM(S107:AH107)</f>
        <v>0</v>
      </c>
    </row>
    <row r="108" spans="1:35" ht="10.5" outlineLevel="1" x14ac:dyDescent="0.25">
      <c r="A108" s="1683" t="s">
        <v>113</v>
      </c>
      <c r="B108" s="1516">
        <v>10.02</v>
      </c>
      <c r="C108" s="1574" t="s">
        <v>1020</v>
      </c>
      <c r="D108" s="1584" t="s">
        <v>107</v>
      </c>
      <c r="E108" s="1518">
        <v>1</v>
      </c>
      <c r="F108" s="1519">
        <f>VLOOKUP($C108,'01'!$C$7:$M$216,MATCH("P. Unit. MAT",'01'!$C$7:$M$7,0),0)</f>
        <v>700000</v>
      </c>
      <c r="G108" s="1519">
        <f t="shared" si="44"/>
        <v>700000</v>
      </c>
      <c r="H108" s="1519">
        <f>VLOOKUP($C108,'01'!$C$7:$M$216,MATCH("P. Unit. MO",'01'!$C$7:$M$7,0),0)</f>
        <v>1050000</v>
      </c>
      <c r="I108" s="1519">
        <f t="shared" si="45"/>
        <v>1050000</v>
      </c>
      <c r="J108" s="1519">
        <f>VLOOKUP($C108,'01'!$C$7:$M$216,MATCH("P. Unit. EQ",'01'!$C$7:$M$7,0),0)</f>
        <v>0</v>
      </c>
      <c r="K108" s="1519">
        <f t="shared" si="46"/>
        <v>0</v>
      </c>
      <c r="L108" s="1519">
        <f t="shared" si="59"/>
        <v>1750000</v>
      </c>
      <c r="M108" s="1585"/>
      <c r="N108" s="1505"/>
      <c r="R108" s="1515"/>
      <c r="S108" s="1515"/>
      <c r="T108" s="1515"/>
      <c r="U108" s="1515"/>
      <c r="V108" s="1515"/>
      <c r="W108" s="1515"/>
      <c r="X108" s="1515"/>
      <c r="Y108" s="1515"/>
      <c r="Z108" s="1515"/>
      <c r="AA108" s="1515"/>
      <c r="AB108" s="1515"/>
      <c r="AC108" s="1515"/>
      <c r="AD108" s="1515"/>
      <c r="AE108" s="1515"/>
      <c r="AF108" s="1515"/>
      <c r="AG108" s="1515"/>
      <c r="AH108" s="1515"/>
      <c r="AI108" s="1515">
        <f t="shared" si="60"/>
        <v>0</v>
      </c>
    </row>
    <row r="109" spans="1:35" ht="10.5" outlineLevel="1" x14ac:dyDescent="0.25">
      <c r="A109" s="1683" t="s">
        <v>113</v>
      </c>
      <c r="B109" s="1516">
        <v>10.029999999999999</v>
      </c>
      <c r="C109" s="1574" t="s">
        <v>1021</v>
      </c>
      <c r="D109" s="1584" t="s">
        <v>104</v>
      </c>
      <c r="E109" s="1518">
        <v>0</v>
      </c>
      <c r="F109" s="1519">
        <f>VLOOKUP($C109,'01'!$C$7:$M$216,MATCH("P. Unit. MAT",'01'!$C$7:$M$7,0),0)</f>
        <v>0</v>
      </c>
      <c r="G109" s="1519">
        <f t="shared" si="44"/>
        <v>0</v>
      </c>
      <c r="H109" s="1519">
        <f>VLOOKUP($C109,'01'!$C$7:$M$216,MATCH("P. Unit. MO",'01'!$C$7:$M$7,0),0)</f>
        <v>0</v>
      </c>
      <c r="I109" s="1519">
        <f t="shared" si="45"/>
        <v>0</v>
      </c>
      <c r="J109" s="1519">
        <f>VLOOKUP($C109,'01'!$C$7:$M$216,MATCH("P. Unit. EQ",'01'!$C$7:$M$7,0),0)</f>
        <v>0</v>
      </c>
      <c r="K109" s="1519">
        <f t="shared" si="46"/>
        <v>0</v>
      </c>
      <c r="L109" s="1519">
        <f t="shared" si="59"/>
        <v>0</v>
      </c>
      <c r="N109" s="1505"/>
      <c r="R109" s="1515"/>
      <c r="S109" s="1515"/>
      <c r="T109" s="1515"/>
      <c r="U109" s="1515"/>
      <c r="V109" s="1515"/>
      <c r="W109" s="1515"/>
      <c r="X109" s="1515"/>
      <c r="Y109" s="1515"/>
      <c r="Z109" s="1515"/>
      <c r="AA109" s="1515"/>
      <c r="AB109" s="1515"/>
      <c r="AC109" s="1515"/>
      <c r="AD109" s="1515"/>
      <c r="AE109" s="1515"/>
      <c r="AF109" s="1515"/>
      <c r="AG109" s="1515"/>
      <c r="AH109" s="1515"/>
      <c r="AI109" s="1515">
        <f t="shared" si="60"/>
        <v>0</v>
      </c>
    </row>
    <row r="110" spans="1:35" s="1556" customFormat="1" ht="10.5" outlineLevel="1" x14ac:dyDescent="0.25">
      <c r="A110" s="1683" t="s">
        <v>113</v>
      </c>
      <c r="B110" s="1516">
        <v>10.039999999999999</v>
      </c>
      <c r="C110" s="1574" t="s">
        <v>326</v>
      </c>
      <c r="D110" s="1529" t="s">
        <v>111</v>
      </c>
      <c r="E110" s="1530">
        <v>7</v>
      </c>
      <c r="F110" s="1519">
        <f>VLOOKUP($C110,'01'!$C$7:$M$216,MATCH("P. Unit. MAT",'01'!$C$7:$M$7,0),0)</f>
        <v>225038.87603305787</v>
      </c>
      <c r="G110" s="1519">
        <f t="shared" si="44"/>
        <v>1575272.132231405</v>
      </c>
      <c r="H110" s="1519">
        <f>VLOOKUP($C110,'01'!$C$7:$M$216,MATCH("P. Unit. MO",'01'!$C$7:$M$7,0),0)</f>
        <v>55670.194282775978</v>
      </c>
      <c r="I110" s="1519">
        <f t="shared" si="45"/>
        <v>389691.35997943184</v>
      </c>
      <c r="J110" s="1519">
        <f>VLOOKUP($C110,'01'!$C$7:$M$216,MATCH("P. Unit. EQ",'01'!$C$7:$M$7,0),0)</f>
        <v>0</v>
      </c>
      <c r="K110" s="1519">
        <f t="shared" si="46"/>
        <v>0</v>
      </c>
      <c r="L110" s="1519">
        <f t="shared" si="59"/>
        <v>1964963.4922108368</v>
      </c>
      <c r="M110" s="1566"/>
      <c r="N110" s="1505"/>
      <c r="R110" s="1515"/>
      <c r="S110" s="1515"/>
      <c r="T110" s="1515"/>
      <c r="U110" s="1515"/>
      <c r="V110" s="1515"/>
      <c r="W110" s="1515"/>
      <c r="X110" s="1515"/>
      <c r="Y110" s="1515"/>
      <c r="Z110" s="1515"/>
      <c r="AA110" s="1515"/>
      <c r="AB110" s="1515"/>
      <c r="AC110" s="1515"/>
      <c r="AD110" s="1515"/>
      <c r="AE110" s="1515"/>
      <c r="AF110" s="1515"/>
      <c r="AG110" s="1515"/>
      <c r="AH110" s="1515"/>
      <c r="AI110" s="1515">
        <f t="shared" si="60"/>
        <v>0</v>
      </c>
    </row>
    <row r="111" spans="1:35" ht="10.5" x14ac:dyDescent="0.25">
      <c r="A111" s="1681"/>
      <c r="B111" s="1500">
        <v>11</v>
      </c>
      <c r="C111" s="1590" t="s">
        <v>207</v>
      </c>
      <c r="D111" s="1501"/>
      <c r="E111" s="1502"/>
      <c r="F111" s="1502"/>
      <c r="G111" s="1526">
        <f>SUM(G112:G118)</f>
        <v>20051426.130128048</v>
      </c>
      <c r="H111" s="1502"/>
      <c r="I111" s="1527">
        <f>SUM(I112:I118)</f>
        <v>17642579.076806501</v>
      </c>
      <c r="J111" s="1502"/>
      <c r="K111" s="1508">
        <f>SUM(K112:K118)</f>
        <v>527914.02248765982</v>
      </c>
      <c r="L111" s="1503">
        <f>SUM(L112:L118)</f>
        <v>38221919.229422204</v>
      </c>
      <c r="M111" s="1504">
        <f>SUM(D111:K111)</f>
        <v>38221919.229422212</v>
      </c>
      <c r="N111" s="895">
        <f>M111-'01'!T88</f>
        <v>0</v>
      </c>
      <c r="R111" s="1506"/>
      <c r="S111" s="1506"/>
      <c r="T111" s="1506"/>
      <c r="U111" s="1506"/>
      <c r="V111" s="1506"/>
      <c r="W111" s="1507"/>
      <c r="X111" s="1507"/>
      <c r="Y111" s="1507"/>
      <c r="Z111" s="1507"/>
      <c r="AA111" s="1507"/>
      <c r="AB111" s="1507"/>
      <c r="AC111" s="1507"/>
      <c r="AD111" s="1507"/>
      <c r="AE111" s="1507"/>
      <c r="AF111" s="1507"/>
      <c r="AG111" s="1507"/>
      <c r="AH111" s="1507"/>
      <c r="AI111" s="1507"/>
    </row>
    <row r="112" spans="1:35" ht="10.5" outlineLevel="1" x14ac:dyDescent="0.25">
      <c r="A112" s="1682" t="s">
        <v>128</v>
      </c>
      <c r="B112" s="1510">
        <v>11.01</v>
      </c>
      <c r="C112" s="1658" t="s">
        <v>1022</v>
      </c>
      <c r="D112" s="1575" t="s">
        <v>109</v>
      </c>
      <c r="E112" s="1554">
        <v>30</v>
      </c>
      <c r="F112" s="1519">
        <f>VLOOKUP($C112,'01'!$C$7:$M$216,MATCH("P. Unit. MAT",'01'!$C$7:$M$7,0),0)</f>
        <v>7250.1086533719017</v>
      </c>
      <c r="G112" s="1519">
        <f t="shared" si="44"/>
        <v>217503.25960115704</v>
      </c>
      <c r="H112" s="1519">
        <f>VLOOKUP($C112,'01'!$C$7:$M$216,MATCH("P. Unit. MO",'01'!$C$7:$M$7,0),0)</f>
        <v>9992.0861533187654</v>
      </c>
      <c r="I112" s="1519">
        <f t="shared" si="45"/>
        <v>299762.58459956298</v>
      </c>
      <c r="J112" s="1519">
        <f>VLOOKUP($C112,'01'!$C$7:$M$216,MATCH("P. Unit. EQ",'01'!$C$7:$M$7,0),0)</f>
        <v>219.89812852357096</v>
      </c>
      <c r="K112" s="1519">
        <f t="shared" si="46"/>
        <v>6596.9438557071289</v>
      </c>
      <c r="L112" s="1519">
        <f t="shared" ref="L112:L118" si="61">SUM(G112,I112,K112)</f>
        <v>523862.78805642715</v>
      </c>
      <c r="M112" s="1562"/>
      <c r="N112" s="1576"/>
      <c r="R112" s="1515"/>
      <c r="S112" s="1515"/>
      <c r="T112" s="1515"/>
      <c r="U112" s="1515"/>
      <c r="V112" s="1515"/>
      <c r="W112" s="1515"/>
      <c r="X112" s="1515"/>
      <c r="Y112" s="1515"/>
      <c r="Z112" s="1515"/>
      <c r="AA112" s="1515"/>
      <c r="AB112" s="1515"/>
      <c r="AC112" s="1515"/>
      <c r="AD112" s="1515"/>
      <c r="AE112" s="1515"/>
      <c r="AF112" s="1515"/>
      <c r="AG112" s="1515"/>
      <c r="AH112" s="1515"/>
      <c r="AI112" s="1515">
        <f t="shared" ref="AI112:AI118" si="62">SUM(S112:AH112)</f>
        <v>0</v>
      </c>
    </row>
    <row r="113" spans="1:35" ht="10.5" outlineLevel="1" x14ac:dyDescent="0.25">
      <c r="A113" s="1683" t="s">
        <v>128</v>
      </c>
      <c r="B113" s="1516">
        <v>11.02</v>
      </c>
      <c r="C113" s="1574" t="s">
        <v>1023</v>
      </c>
      <c r="D113" s="1579" t="s">
        <v>109</v>
      </c>
      <c r="E113" s="1530">
        <v>185</v>
      </c>
      <c r="F113" s="1519">
        <f>VLOOKUP($C113,'01'!$C$7:$M$216,MATCH("P. Unit. MAT",'01'!$C$7:$M$7,0),0)</f>
        <v>7250.1086533719017</v>
      </c>
      <c r="G113" s="1519">
        <f t="shared" si="44"/>
        <v>1341270.1008738019</v>
      </c>
      <c r="H113" s="1519">
        <f>VLOOKUP($C113,'01'!$C$7:$M$216,MATCH("P. Unit. MO",'01'!$C$7:$M$7,0),0)</f>
        <v>9992.0861533187654</v>
      </c>
      <c r="I113" s="1519">
        <f t="shared" si="45"/>
        <v>1848535.9383639717</v>
      </c>
      <c r="J113" s="1519">
        <f>VLOOKUP($C113,'01'!$C$7:$M$216,MATCH("P. Unit. EQ",'01'!$C$7:$M$7,0),0)</f>
        <v>219.89812852357096</v>
      </c>
      <c r="K113" s="1519">
        <f t="shared" si="46"/>
        <v>40681.153776860629</v>
      </c>
      <c r="L113" s="1519">
        <f t="shared" si="61"/>
        <v>3230487.1930146343</v>
      </c>
      <c r="M113" s="1562"/>
      <c r="N113" s="1576"/>
      <c r="R113" s="1515"/>
      <c r="S113" s="1515"/>
      <c r="T113" s="1515"/>
      <c r="U113" s="1515"/>
      <c r="V113" s="1515"/>
      <c r="W113" s="1515"/>
      <c r="X113" s="1515"/>
      <c r="Y113" s="1515"/>
      <c r="Z113" s="1515"/>
      <c r="AA113" s="1515"/>
      <c r="AB113" s="1515"/>
      <c r="AC113" s="1515"/>
      <c r="AD113" s="1515"/>
      <c r="AE113" s="1515"/>
      <c r="AF113" s="1515"/>
      <c r="AG113" s="1515"/>
      <c r="AH113" s="1515"/>
      <c r="AI113" s="1515">
        <f t="shared" si="62"/>
        <v>0</v>
      </c>
    </row>
    <row r="114" spans="1:35" ht="10.5" outlineLevel="1" x14ac:dyDescent="0.25">
      <c r="A114" s="1683" t="s">
        <v>128</v>
      </c>
      <c r="B114" s="1516">
        <v>11.03</v>
      </c>
      <c r="C114" s="1574" t="s">
        <v>1024</v>
      </c>
      <c r="D114" s="1579" t="s">
        <v>109</v>
      </c>
      <c r="E114" s="1530">
        <v>942</v>
      </c>
      <c r="F114" s="1519">
        <f>VLOOKUP($C114,'01'!$C$7:$M$216,MATCH("P. Unit. MAT",'01'!$C$7:$M$7,0),0)</f>
        <v>7250.1086533719017</v>
      </c>
      <c r="G114" s="1519">
        <f t="shared" si="44"/>
        <v>6829602.3514763312</v>
      </c>
      <c r="H114" s="1519">
        <f>VLOOKUP($C114,'01'!$C$7:$M$216,MATCH("P. Unit. MO",'01'!$C$7:$M$7,0),0)</f>
        <v>9992.0861533187654</v>
      </c>
      <c r="I114" s="1519">
        <f t="shared" si="45"/>
        <v>9412545.156426277</v>
      </c>
      <c r="J114" s="1519">
        <f>VLOOKUP($C114,'01'!$C$7:$M$216,MATCH("P. Unit. EQ",'01'!$C$7:$M$7,0),0)</f>
        <v>219.89812852357096</v>
      </c>
      <c r="K114" s="1519">
        <f t="shared" si="46"/>
        <v>207144.03706920386</v>
      </c>
      <c r="L114" s="1519">
        <f t="shared" si="61"/>
        <v>16449291.544971811</v>
      </c>
      <c r="M114" s="1562"/>
      <c r="N114" s="1576"/>
      <c r="R114" s="1515"/>
      <c r="S114" s="1515"/>
      <c r="T114" s="1515"/>
      <c r="U114" s="1515"/>
      <c r="V114" s="1515"/>
      <c r="W114" s="1515"/>
      <c r="X114" s="1515"/>
      <c r="Y114" s="1515"/>
      <c r="Z114" s="1515"/>
      <c r="AA114" s="1515"/>
      <c r="AB114" s="1515"/>
      <c r="AC114" s="1515"/>
      <c r="AD114" s="1515"/>
      <c r="AE114" s="1515"/>
      <c r="AF114" s="1515"/>
      <c r="AG114" s="1515"/>
      <c r="AH114" s="1515"/>
      <c r="AI114" s="1515">
        <f t="shared" si="62"/>
        <v>0</v>
      </c>
    </row>
    <row r="115" spans="1:35" ht="10.5" outlineLevel="1" x14ac:dyDescent="0.25">
      <c r="A115" s="1683" t="s">
        <v>128</v>
      </c>
      <c r="B115" s="1516">
        <v>11.04</v>
      </c>
      <c r="C115" s="1574" t="s">
        <v>1025</v>
      </c>
      <c r="D115" s="1579" t="s">
        <v>109</v>
      </c>
      <c r="E115" s="1530">
        <v>110</v>
      </c>
      <c r="F115" s="1519">
        <f>VLOOKUP($C115,'01'!$C$7:$M$216,MATCH("P. Unit. MAT",'01'!$C$7:$M$7,0),0)</f>
        <v>7250.1086533719017</v>
      </c>
      <c r="G115" s="1519">
        <f t="shared" si="44"/>
        <v>797511.95187090919</v>
      </c>
      <c r="H115" s="1519">
        <f>VLOOKUP($C115,'01'!$C$7:$M$216,MATCH("P. Unit. MO",'01'!$C$7:$M$7,0),0)</f>
        <v>12989.711999314395</v>
      </c>
      <c r="I115" s="1519">
        <f t="shared" si="45"/>
        <v>1428868.3199245834</v>
      </c>
      <c r="J115" s="1519">
        <f>VLOOKUP($C115,'01'!$C$7:$M$216,MATCH("P. Unit. EQ",'01'!$C$7:$M$7,0),0)</f>
        <v>285.86756708064229</v>
      </c>
      <c r="K115" s="1519">
        <f t="shared" si="46"/>
        <v>31445.432378870653</v>
      </c>
      <c r="L115" s="1519">
        <f t="shared" si="61"/>
        <v>2257825.7041743631</v>
      </c>
      <c r="M115" s="1562"/>
      <c r="N115" s="1576"/>
      <c r="R115" s="1515"/>
      <c r="S115" s="1515"/>
      <c r="T115" s="1515"/>
      <c r="U115" s="1515"/>
      <c r="V115" s="1515"/>
      <c r="W115" s="1515"/>
      <c r="X115" s="1515"/>
      <c r="Y115" s="1515"/>
      <c r="Z115" s="1515"/>
      <c r="AA115" s="1515"/>
      <c r="AB115" s="1515"/>
      <c r="AC115" s="1515"/>
      <c r="AD115" s="1515"/>
      <c r="AE115" s="1515"/>
      <c r="AF115" s="1515"/>
      <c r="AG115" s="1515"/>
      <c r="AH115" s="1515"/>
      <c r="AI115" s="1515">
        <f t="shared" si="62"/>
        <v>0</v>
      </c>
    </row>
    <row r="116" spans="1:35" s="1556" customFormat="1" ht="10.5" outlineLevel="1" x14ac:dyDescent="0.25">
      <c r="A116" s="1683" t="s">
        <v>128</v>
      </c>
      <c r="B116" s="1516">
        <v>11.05</v>
      </c>
      <c r="C116" s="1574" t="s">
        <v>327</v>
      </c>
      <c r="D116" s="1529" t="s">
        <v>109</v>
      </c>
      <c r="E116" s="1530">
        <v>128</v>
      </c>
      <c r="F116" s="1519">
        <f>VLOOKUP($C116,'01'!$C$7:$M$216,MATCH("P. Unit. MAT",'01'!$C$7:$M$7,0),0)</f>
        <v>3816.1086480000013</v>
      </c>
      <c r="G116" s="1519">
        <f t="shared" si="44"/>
        <v>488461.90694400016</v>
      </c>
      <c r="H116" s="1519">
        <f>VLOOKUP($C116,'01'!$C$7:$M$216,MATCH("P. Unit. MO",'01'!$C$7:$M$7,0),0)</f>
        <v>8702.6232034659097</v>
      </c>
      <c r="I116" s="1519">
        <f t="shared" si="45"/>
        <v>1113935.7700436364</v>
      </c>
      <c r="J116" s="1519">
        <f>VLOOKUP($C116,'01'!$C$7:$M$216,MATCH("P. Unit. EQ",'01'!$C$7:$M$7,0),0)</f>
        <v>274.73130856678659</v>
      </c>
      <c r="K116" s="1519">
        <f t="shared" si="46"/>
        <v>35165.607496548684</v>
      </c>
      <c r="L116" s="1519">
        <f t="shared" si="61"/>
        <v>1637563.2844841853</v>
      </c>
      <c r="M116" s="1566"/>
      <c r="N116" s="1505"/>
      <c r="R116" s="1515"/>
      <c r="S116" s="1515"/>
      <c r="T116" s="1515"/>
      <c r="U116" s="1515"/>
      <c r="V116" s="1515"/>
      <c r="W116" s="1515"/>
      <c r="X116" s="1515"/>
      <c r="Y116" s="1515"/>
      <c r="Z116" s="1515"/>
      <c r="AA116" s="1515"/>
      <c r="AB116" s="1515"/>
      <c r="AC116" s="1515"/>
      <c r="AD116" s="1515"/>
      <c r="AE116" s="1515"/>
      <c r="AF116" s="1515"/>
      <c r="AG116" s="1515"/>
      <c r="AH116" s="1515"/>
      <c r="AI116" s="1515">
        <f t="shared" si="62"/>
        <v>0</v>
      </c>
    </row>
    <row r="117" spans="1:35" ht="10.5" outlineLevel="1" x14ac:dyDescent="0.25">
      <c r="A117" s="1683" t="s">
        <v>128</v>
      </c>
      <c r="B117" s="1516">
        <v>11.06</v>
      </c>
      <c r="C117" s="1574" t="s">
        <v>1026</v>
      </c>
      <c r="D117" s="1579" t="s">
        <v>109</v>
      </c>
      <c r="E117" s="1530">
        <v>48</v>
      </c>
      <c r="F117" s="1519">
        <f>VLOOKUP($C117,'01'!$C$7:$M$216,MATCH("P. Unit. MAT",'01'!$C$7:$M$7,0),0)</f>
        <v>7250.1086533719017</v>
      </c>
      <c r="G117" s="1519">
        <f t="shared" si="44"/>
        <v>348005.21536185127</v>
      </c>
      <c r="H117" s="1519">
        <f>VLOOKUP($C117,'01'!$C$7:$M$216,MATCH("P. Unit. MO",'01'!$C$7:$M$7,0),0)</f>
        <v>9992.0861533187654</v>
      </c>
      <c r="I117" s="1519">
        <f t="shared" si="45"/>
        <v>479620.13535930077</v>
      </c>
      <c r="J117" s="1519">
        <f>VLOOKUP($C117,'01'!$C$7:$M$216,MATCH("P. Unit. EQ",'01'!$C$7:$M$7,0),0)</f>
        <v>219.89812852357096</v>
      </c>
      <c r="K117" s="1519">
        <f t="shared" si="46"/>
        <v>10555.110169131407</v>
      </c>
      <c r="L117" s="1519">
        <f t="shared" si="61"/>
        <v>838180.46089028346</v>
      </c>
      <c r="M117" s="1562"/>
      <c r="N117" s="1576"/>
      <c r="R117" s="1515"/>
      <c r="S117" s="1515"/>
      <c r="T117" s="1515"/>
      <c r="U117" s="1515"/>
      <c r="V117" s="1515"/>
      <c r="W117" s="1515"/>
      <c r="X117" s="1515"/>
      <c r="Y117" s="1515"/>
      <c r="Z117" s="1515"/>
      <c r="AA117" s="1515"/>
      <c r="AB117" s="1515"/>
      <c r="AC117" s="1515"/>
      <c r="AD117" s="1515"/>
      <c r="AE117" s="1515"/>
      <c r="AF117" s="1515"/>
      <c r="AG117" s="1515"/>
      <c r="AH117" s="1515"/>
      <c r="AI117" s="1515">
        <f t="shared" si="62"/>
        <v>0</v>
      </c>
    </row>
    <row r="118" spans="1:35" ht="10.5" outlineLevel="1" x14ac:dyDescent="0.25">
      <c r="A118" s="1683" t="s">
        <v>128</v>
      </c>
      <c r="B118" s="1516">
        <v>11.07</v>
      </c>
      <c r="C118" s="1659" t="s">
        <v>328</v>
      </c>
      <c r="D118" s="1586" t="s">
        <v>109</v>
      </c>
      <c r="E118" s="1537">
        <v>226</v>
      </c>
      <c r="F118" s="1519">
        <f>VLOOKUP($C118,'01'!$C$7:$M$216,MATCH("P. Unit. MAT",'01'!$C$7:$M$7,0),0)</f>
        <v>44376.421876106186</v>
      </c>
      <c r="G118" s="1519">
        <f t="shared" si="44"/>
        <v>10029071.343999999</v>
      </c>
      <c r="H118" s="1519">
        <f>VLOOKUP($C118,'01'!$C$7:$M$216,MATCH("P. Unit. MO",'01'!$C$7:$M$7,0),0)</f>
        <v>13536.775097739677</v>
      </c>
      <c r="I118" s="1519">
        <f t="shared" si="45"/>
        <v>3059311.1720891669</v>
      </c>
      <c r="J118" s="1519">
        <f>VLOOKUP($C118,'01'!$C$7:$M$216,MATCH("P. Unit. EQ",'01'!$C$7:$M$7,0),0)</f>
        <v>868.69795460768796</v>
      </c>
      <c r="K118" s="1519">
        <f t="shared" si="46"/>
        <v>196325.73774133748</v>
      </c>
      <c r="L118" s="1519">
        <f t="shared" si="61"/>
        <v>13284708.253830504</v>
      </c>
      <c r="M118" s="1562"/>
      <c r="N118" s="1576"/>
      <c r="R118" s="1515"/>
      <c r="S118" s="1515"/>
      <c r="T118" s="1515"/>
      <c r="U118" s="1515"/>
      <c r="V118" s="1515"/>
      <c r="W118" s="1515"/>
      <c r="X118" s="1515"/>
      <c r="Y118" s="1515"/>
      <c r="Z118" s="1515"/>
      <c r="AA118" s="1515"/>
      <c r="AB118" s="1515"/>
      <c r="AC118" s="1515"/>
      <c r="AD118" s="1515"/>
      <c r="AE118" s="1515"/>
      <c r="AF118" s="1515"/>
      <c r="AG118" s="1515"/>
      <c r="AH118" s="1515"/>
      <c r="AI118" s="1515">
        <f t="shared" si="62"/>
        <v>0</v>
      </c>
    </row>
    <row r="119" spans="1:35" ht="10.5" x14ac:dyDescent="0.25">
      <c r="A119" s="1681"/>
      <c r="B119" s="1500">
        <v>12</v>
      </c>
      <c r="C119" s="1590" t="s">
        <v>329</v>
      </c>
      <c r="D119" s="1501"/>
      <c r="E119" s="1502"/>
      <c r="F119" s="1502"/>
      <c r="G119" s="1526">
        <f>SUM(G120:G124)</f>
        <v>3298400.7315757438</v>
      </c>
      <c r="H119" s="1502"/>
      <c r="I119" s="1527">
        <f>SUM(I120:I124)</f>
        <v>5324090.9879234023</v>
      </c>
      <c r="J119" s="1502"/>
      <c r="K119" s="1508">
        <f>SUM(K120:K124)</f>
        <v>146557.91189951703</v>
      </c>
      <c r="L119" s="1503">
        <f>SUM(L120:L124)</f>
        <v>8769049.6313986629</v>
      </c>
      <c r="M119" s="1504">
        <f>SUM(D119:K119)</f>
        <v>8769049.6313986629</v>
      </c>
      <c r="N119" s="895">
        <f>'01'!T96-M119</f>
        <v>0</v>
      </c>
      <c r="R119" s="1506"/>
      <c r="S119" s="1506"/>
      <c r="T119" s="1506"/>
      <c r="U119" s="1506"/>
      <c r="V119" s="1506"/>
      <c r="W119" s="1507"/>
      <c r="X119" s="1507"/>
      <c r="Y119" s="1507"/>
      <c r="Z119" s="1507"/>
      <c r="AA119" s="1507"/>
      <c r="AB119" s="1507"/>
      <c r="AC119" s="1507"/>
      <c r="AD119" s="1507"/>
      <c r="AE119" s="1507"/>
      <c r="AF119" s="1507"/>
      <c r="AG119" s="1507"/>
      <c r="AH119" s="1507"/>
      <c r="AI119" s="1507"/>
    </row>
    <row r="120" spans="1:35" ht="10.5" outlineLevel="1" x14ac:dyDescent="0.25">
      <c r="A120" s="1683" t="s">
        <v>128</v>
      </c>
      <c r="B120" s="1510">
        <f>+B119+0.01</f>
        <v>12.01</v>
      </c>
      <c r="C120" s="1658" t="s">
        <v>330</v>
      </c>
      <c r="D120" s="1575" t="s">
        <v>124</v>
      </c>
      <c r="E120" s="1554">
        <v>779</v>
      </c>
      <c r="F120" s="1519">
        <f>VLOOKUP($C120,'01'!$C$7:$M$216,MATCH("P. Unit. MAT",'01'!$C$7:$M$7,0),0)</f>
        <v>3132.231404958678</v>
      </c>
      <c r="G120" s="1519">
        <f t="shared" si="44"/>
        <v>2440008.26446281</v>
      </c>
      <c r="H120" s="1519">
        <f>VLOOKUP($C120,'01'!$C$7:$M$216,MATCH("P. Unit. MO",'01'!$C$7:$M$7,0),0)</f>
        <v>2684.888248793714</v>
      </c>
      <c r="I120" s="1519">
        <f t="shared" si="45"/>
        <v>2091527.9458103031</v>
      </c>
      <c r="J120" s="1519">
        <f>VLOOKUP($C120,'01'!$C$7:$M$216,MATCH("P. Unit. EQ",'01'!$C$7:$M$7,0),0)</f>
        <v>87.256794806285882</v>
      </c>
      <c r="K120" s="1519">
        <f t="shared" si="46"/>
        <v>67973.043154096697</v>
      </c>
      <c r="L120" s="1519">
        <f t="shared" ref="L120:L124" si="63">SUM(G120,I120,K120)</f>
        <v>4599509.2534272093</v>
      </c>
      <c r="N120" s="1505"/>
      <c r="R120" s="1515"/>
      <c r="S120" s="1515"/>
      <c r="T120" s="1515"/>
      <c r="U120" s="1515"/>
      <c r="V120" s="1515"/>
      <c r="W120" s="1515"/>
      <c r="X120" s="1515"/>
      <c r="Y120" s="1515"/>
      <c r="Z120" s="1515"/>
      <c r="AA120" s="1515"/>
      <c r="AB120" s="1515"/>
      <c r="AC120" s="1515"/>
      <c r="AD120" s="1515"/>
      <c r="AE120" s="1515"/>
      <c r="AF120" s="1515"/>
      <c r="AG120" s="1515"/>
      <c r="AH120" s="1515"/>
      <c r="AI120" s="1515">
        <f t="shared" ref="AI120:AI123" si="64">SUM(S120:AH120)</f>
        <v>0</v>
      </c>
    </row>
    <row r="121" spans="1:35" ht="10.5" outlineLevel="1" x14ac:dyDescent="0.25">
      <c r="A121" s="1683" t="s">
        <v>128</v>
      </c>
      <c r="B121" s="1539">
        <v>12.02</v>
      </c>
      <c r="C121" s="1574" t="s">
        <v>324</v>
      </c>
      <c r="D121" s="1577" t="s">
        <v>124</v>
      </c>
      <c r="E121" s="1578">
        <v>155</v>
      </c>
      <c r="F121" s="1519">
        <f>VLOOKUP($C121,'01'!$C$7:$M$216,MATCH("P. Unit. MAT",'01'!$C$7:$M$7,0),0)</f>
        <v>758.10738300000003</v>
      </c>
      <c r="G121" s="1519">
        <f t="shared" si="44"/>
        <v>117506.644365</v>
      </c>
      <c r="H121" s="1519">
        <f>VLOOKUP($C121,'01'!$C$7:$M$216,MATCH("P. Unit. MO",'01'!$C$7:$M$7,0),0)</f>
        <v>3395.9551113285988</v>
      </c>
      <c r="I121" s="1519">
        <f t="shared" si="45"/>
        <v>526373.04225593281</v>
      </c>
      <c r="J121" s="1519">
        <f>VLOOKUP($C121,'01'!$C$7:$M$216,MATCH("P. Unit. EQ",'01'!$C$7:$M$7,0),0)</f>
        <v>122.76855228141865</v>
      </c>
      <c r="K121" s="1519">
        <f t="shared" si="46"/>
        <v>19029.12560361989</v>
      </c>
      <c r="L121" s="1519">
        <f t="shared" si="63"/>
        <v>662908.81222455262</v>
      </c>
      <c r="N121" s="1505"/>
      <c r="R121" s="1515"/>
      <c r="S121" s="1515"/>
      <c r="T121" s="1515"/>
      <c r="U121" s="1515"/>
      <c r="V121" s="1515"/>
      <c r="W121" s="1515"/>
      <c r="X121" s="1515"/>
      <c r="Y121" s="1515"/>
      <c r="Z121" s="1515"/>
      <c r="AA121" s="1515"/>
      <c r="AB121" s="1515"/>
      <c r="AC121" s="1515"/>
      <c r="AD121" s="1515"/>
      <c r="AE121" s="1515"/>
      <c r="AF121" s="1515"/>
      <c r="AG121" s="1515"/>
      <c r="AH121" s="1515"/>
      <c r="AI121" s="1515">
        <f t="shared" si="64"/>
        <v>0</v>
      </c>
    </row>
    <row r="122" spans="1:35" ht="10.5" outlineLevel="1" x14ac:dyDescent="0.25">
      <c r="A122" s="1683" t="s">
        <v>128</v>
      </c>
      <c r="B122" s="1539">
        <v>12.03</v>
      </c>
      <c r="C122" s="1587" t="s">
        <v>1027</v>
      </c>
      <c r="D122" s="1577" t="s">
        <v>124</v>
      </c>
      <c r="E122" s="1578">
        <v>37</v>
      </c>
      <c r="F122" s="1519">
        <f>VLOOKUP($C122,'01'!$C$7:$M$216,MATCH("P. Unit. MAT",'01'!$C$7:$M$7,0),0)</f>
        <v>1185.4173163966941</v>
      </c>
      <c r="G122" s="1519">
        <f t="shared" si="44"/>
        <v>43860.440706677684</v>
      </c>
      <c r="H122" s="1519">
        <f>VLOOKUP($C122,'01'!$C$7:$M$216,MATCH("P. Unit. MO",'01'!$C$7:$M$7,0),0)</f>
        <v>4329.9039997714654</v>
      </c>
      <c r="I122" s="1519">
        <f t="shared" si="45"/>
        <v>160206.44799154421</v>
      </c>
      <c r="J122" s="1519">
        <f>VLOOKUP($C122,'01'!$C$7:$M$216,MATCH("P. Unit. EQ",'01'!$C$7:$M$7,0),0)</f>
        <v>95.289189026880749</v>
      </c>
      <c r="K122" s="1519">
        <f t="shared" si="46"/>
        <v>3525.6999939945877</v>
      </c>
      <c r="L122" s="1519">
        <f t="shared" si="63"/>
        <v>207592.58869221646</v>
      </c>
      <c r="N122" s="1505"/>
      <c r="R122" s="1515"/>
      <c r="S122" s="1515"/>
      <c r="T122" s="1515"/>
      <c r="U122" s="1515"/>
      <c r="V122" s="1515"/>
      <c r="W122" s="1515"/>
      <c r="X122" s="1515"/>
      <c r="Y122" s="1515"/>
      <c r="Z122" s="1515"/>
      <c r="AA122" s="1515"/>
      <c r="AB122" s="1515"/>
      <c r="AC122" s="1515"/>
      <c r="AD122" s="1515"/>
      <c r="AE122" s="1515"/>
      <c r="AF122" s="1515"/>
      <c r="AG122" s="1515"/>
      <c r="AH122" s="1515"/>
      <c r="AI122" s="1515">
        <f t="shared" si="64"/>
        <v>0</v>
      </c>
    </row>
    <row r="123" spans="1:35" ht="10.5" outlineLevel="1" x14ac:dyDescent="0.25">
      <c r="A123" s="1683" t="s">
        <v>128</v>
      </c>
      <c r="B123" s="1539">
        <v>12.04</v>
      </c>
      <c r="C123" s="1587" t="s">
        <v>1028</v>
      </c>
      <c r="D123" s="1577" t="s">
        <v>124</v>
      </c>
      <c r="E123" s="1578">
        <v>433</v>
      </c>
      <c r="F123" s="1519">
        <f>VLOOKUP($C123,'01'!$C$7:$M$216,MATCH("P. Unit. MAT",'01'!$C$7:$M$7,0),0)</f>
        <v>1185.4173163966941</v>
      </c>
      <c r="G123" s="1519">
        <f t="shared" si="44"/>
        <v>513285.69799976854</v>
      </c>
      <c r="H123" s="1519">
        <f>VLOOKUP($C123,'01'!$C$7:$M$216,MATCH("P. Unit. MO",'01'!$C$7:$M$7,0),0)</f>
        <v>4329.9039997714654</v>
      </c>
      <c r="I123" s="1519">
        <f t="shared" si="45"/>
        <v>1874848.4319010444</v>
      </c>
      <c r="J123" s="1519">
        <f>VLOOKUP($C123,'01'!$C$7:$M$216,MATCH("P. Unit. EQ",'01'!$C$7:$M$7,0),0)</f>
        <v>95.289189026880749</v>
      </c>
      <c r="K123" s="1519">
        <f t="shared" si="46"/>
        <v>41260.218848639364</v>
      </c>
      <c r="L123" s="1519">
        <f t="shared" si="63"/>
        <v>2429394.3487494523</v>
      </c>
      <c r="N123" s="1505"/>
      <c r="R123" s="1515"/>
      <c r="S123" s="1515"/>
      <c r="T123" s="1515"/>
      <c r="U123" s="1515"/>
      <c r="V123" s="1515"/>
      <c r="W123" s="1515"/>
      <c r="X123" s="1515"/>
      <c r="Y123" s="1515"/>
      <c r="Z123" s="1515"/>
      <c r="AA123" s="1515"/>
      <c r="AB123" s="1515"/>
      <c r="AC123" s="1515"/>
      <c r="AD123" s="1515"/>
      <c r="AE123" s="1515"/>
      <c r="AF123" s="1515"/>
      <c r="AG123" s="1515"/>
      <c r="AH123" s="1515"/>
      <c r="AI123" s="1515">
        <f t="shared" si="64"/>
        <v>0</v>
      </c>
    </row>
    <row r="124" spans="1:35" ht="10.5" outlineLevel="1" x14ac:dyDescent="0.25">
      <c r="A124" s="1683" t="s">
        <v>128</v>
      </c>
      <c r="B124" s="1516">
        <v>12.05</v>
      </c>
      <c r="C124" s="1587" t="s">
        <v>1029</v>
      </c>
      <c r="D124" s="1579" t="s">
        <v>124</v>
      </c>
      <c r="E124" s="1530">
        <v>155</v>
      </c>
      <c r="F124" s="1519">
        <f>VLOOKUP($C124,'01'!$C$7:$M$216,MATCH("P. Unit. MAT",'01'!$C$7:$M$7,0),0)</f>
        <v>1185.4173163966941</v>
      </c>
      <c r="G124" s="1519">
        <f t="shared" si="44"/>
        <v>183739.68404148758</v>
      </c>
      <c r="H124" s="1519">
        <f>VLOOKUP($C124,'01'!$C$7:$M$216,MATCH("P. Unit. MO",'01'!$C$7:$M$7,0),0)</f>
        <v>4329.9039997714654</v>
      </c>
      <c r="I124" s="1519">
        <f t="shared" si="45"/>
        <v>671135.11996457714</v>
      </c>
      <c r="J124" s="1519">
        <f>VLOOKUP($C124,'01'!$C$7:$M$216,MATCH("P. Unit. EQ",'01'!$C$7:$M$7,0),0)</f>
        <v>95.289189026880749</v>
      </c>
      <c r="K124" s="1519">
        <f t="shared" si="46"/>
        <v>14769.824299166516</v>
      </c>
      <c r="L124" s="1519">
        <f t="shared" si="63"/>
        <v>869644.62830523134</v>
      </c>
      <c r="N124" s="1505"/>
      <c r="R124" s="1515"/>
      <c r="S124" s="1515"/>
      <c r="T124" s="1515"/>
      <c r="U124" s="1515"/>
      <c r="V124" s="1515"/>
      <c r="W124" s="1515"/>
      <c r="X124" s="1515"/>
      <c r="Y124" s="1515"/>
      <c r="Z124" s="1515"/>
      <c r="AA124" s="1515"/>
      <c r="AB124" s="1515"/>
      <c r="AC124" s="1515"/>
      <c r="AD124" s="1515"/>
      <c r="AE124" s="1515"/>
      <c r="AF124" s="1515"/>
      <c r="AG124" s="1515"/>
      <c r="AH124" s="1515"/>
    </row>
    <row r="125" spans="1:35" ht="10.5" x14ac:dyDescent="0.25">
      <c r="A125" s="1681"/>
      <c r="B125" s="1500">
        <v>13</v>
      </c>
      <c r="C125" s="1590" t="s">
        <v>331</v>
      </c>
      <c r="D125" s="1501"/>
      <c r="E125" s="1502"/>
      <c r="F125" s="1502"/>
      <c r="G125" s="1526">
        <f>SUM(G126:G129)</f>
        <v>5707277.7834534375</v>
      </c>
      <c r="H125" s="1502"/>
      <c r="I125" s="1527">
        <f>SUM(I126:I129)</f>
        <v>9553949.4126357362</v>
      </c>
      <c r="J125" s="1502"/>
      <c r="K125" s="1508">
        <f>SUM(K126:K129)</f>
        <v>199707.36823010378</v>
      </c>
      <c r="L125" s="1503">
        <f>SUM(L126:L129)</f>
        <v>15460934.564319279</v>
      </c>
      <c r="M125" s="1504">
        <f>SUM(D125:K125)</f>
        <v>15460934.564319279</v>
      </c>
      <c r="N125" s="895">
        <f>M125-'01'!T102</f>
        <v>0</v>
      </c>
      <c r="R125" s="1506"/>
      <c r="S125" s="1506"/>
      <c r="T125" s="1506"/>
      <c r="U125" s="1506"/>
      <c r="V125" s="1506"/>
      <c r="W125" s="1507"/>
      <c r="X125" s="1507"/>
      <c r="Y125" s="1507"/>
      <c r="Z125" s="1507"/>
      <c r="AA125" s="1507"/>
      <c r="AB125" s="1507"/>
      <c r="AC125" s="1507"/>
      <c r="AD125" s="1507"/>
      <c r="AE125" s="1507"/>
      <c r="AF125" s="1507"/>
      <c r="AG125" s="1507"/>
      <c r="AH125" s="1507"/>
      <c r="AI125" s="1507"/>
    </row>
    <row r="126" spans="1:35" ht="10.5" outlineLevel="1" x14ac:dyDescent="0.25">
      <c r="A126" s="1683" t="s">
        <v>128</v>
      </c>
      <c r="B126" s="1568">
        <v>13.01</v>
      </c>
      <c r="C126" s="1574" t="s">
        <v>1030</v>
      </c>
      <c r="D126" s="1584" t="s">
        <v>109</v>
      </c>
      <c r="E126" s="1518">
        <v>511</v>
      </c>
      <c r="F126" s="1519">
        <f>VLOOKUP($C126,'01'!$C$7:$M$216,MATCH("P. Unit. MAT",'01'!$C$7:$M$7,0),0)</f>
        <v>7250.1086533719017</v>
      </c>
      <c r="G126" s="1519">
        <f t="shared" si="44"/>
        <v>3704805.521873042</v>
      </c>
      <c r="H126" s="1519">
        <f>VLOOKUP($C126,'01'!$C$7:$M$216,MATCH("P. Unit. MO",'01'!$C$7:$M$7,0),0)</f>
        <v>12989.711999314395</v>
      </c>
      <c r="I126" s="1519">
        <f t="shared" si="45"/>
        <v>6637742.8316496555</v>
      </c>
      <c r="J126" s="1519">
        <f>VLOOKUP($C126,'01'!$C$7:$M$216,MATCH("P. Unit. EQ",'01'!$C$7:$M$7,0),0)</f>
        <v>285.86756708064229</v>
      </c>
      <c r="K126" s="1519">
        <f t="shared" si="46"/>
        <v>146078.3267782082</v>
      </c>
      <c r="L126" s="1519">
        <f t="shared" ref="L126:L129" si="65">SUM(G126,I126,K126)</f>
        <v>10488626.680300906</v>
      </c>
      <c r="N126" s="1505"/>
      <c r="R126" s="1515"/>
      <c r="S126" s="1515"/>
      <c r="T126" s="1515"/>
      <c r="U126" s="1515"/>
      <c r="V126" s="1515"/>
      <c r="W126" s="1515"/>
      <c r="X126" s="1515"/>
      <c r="Y126" s="1515"/>
      <c r="Z126" s="1515"/>
      <c r="AA126" s="1515"/>
      <c r="AB126" s="1515"/>
      <c r="AC126" s="1515"/>
      <c r="AD126" s="1515"/>
      <c r="AE126" s="1515"/>
      <c r="AF126" s="1515"/>
      <c r="AG126" s="1515"/>
      <c r="AH126" s="1515"/>
      <c r="AI126" s="1515">
        <f t="shared" ref="AI126:AI129" si="66">SUM(S126:AH126)</f>
        <v>0</v>
      </c>
    </row>
    <row r="127" spans="1:35" ht="10.5" outlineLevel="1" x14ac:dyDescent="0.25">
      <c r="A127" s="1683" t="s">
        <v>128</v>
      </c>
      <c r="B127" s="1568">
        <v>13.02</v>
      </c>
      <c r="C127" s="1574" t="s">
        <v>1031</v>
      </c>
      <c r="D127" s="1584" t="s">
        <v>109</v>
      </c>
      <c r="E127" s="1518">
        <v>40</v>
      </c>
      <c r="F127" s="1519">
        <f>VLOOKUP($C127,'01'!$C$7:$M$216,MATCH("P. Unit. MAT",'01'!$C$7:$M$7,0),0)</f>
        <v>7250.1086533719017</v>
      </c>
      <c r="G127" s="1519">
        <f t="shared" si="44"/>
        <v>290004.34613487608</v>
      </c>
      <c r="H127" s="1519">
        <f>VLOOKUP($C127,'01'!$C$7:$M$216,MATCH("P. Unit. MO",'01'!$C$7:$M$7,0),0)</f>
        <v>12989.711999314395</v>
      </c>
      <c r="I127" s="1519">
        <f t="shared" si="45"/>
        <v>519588.47997257579</v>
      </c>
      <c r="J127" s="1519">
        <f>VLOOKUP($C127,'01'!$C$7:$M$216,MATCH("P. Unit. EQ",'01'!$C$7:$M$7,0),0)</f>
        <v>285.86756708064229</v>
      </c>
      <c r="K127" s="1519">
        <f t="shared" si="46"/>
        <v>11434.702683225692</v>
      </c>
      <c r="L127" s="1519">
        <f t="shared" si="65"/>
        <v>821027.52879067766</v>
      </c>
      <c r="N127" s="1505"/>
      <c r="R127" s="1515"/>
      <c r="S127" s="1515"/>
      <c r="T127" s="1515"/>
      <c r="U127" s="1515"/>
      <c r="V127" s="1515"/>
      <c r="W127" s="1515"/>
      <c r="X127" s="1515"/>
      <c r="Y127" s="1515"/>
      <c r="Z127" s="1515"/>
      <c r="AA127" s="1515"/>
      <c r="AB127" s="1515"/>
      <c r="AC127" s="1515"/>
      <c r="AD127" s="1515"/>
      <c r="AE127" s="1515"/>
      <c r="AF127" s="1515"/>
      <c r="AG127" s="1515"/>
      <c r="AH127" s="1515"/>
      <c r="AI127" s="1515">
        <f t="shared" si="66"/>
        <v>0</v>
      </c>
    </row>
    <row r="128" spans="1:35" ht="10.5" outlineLevel="1" x14ac:dyDescent="0.25">
      <c r="A128" s="1683" t="s">
        <v>128</v>
      </c>
      <c r="B128" s="1568">
        <v>13.03</v>
      </c>
      <c r="C128" s="1574" t="s">
        <v>1032</v>
      </c>
      <c r="D128" s="1579" t="s">
        <v>109</v>
      </c>
      <c r="E128" s="1530">
        <v>147.60100000000003</v>
      </c>
      <c r="F128" s="1519">
        <f>VLOOKUP($C128,'01'!$C$7:$M$216,MATCH("P. Unit. MAT",'01'!$C$7:$M$7,0),0)</f>
        <v>7250.1086533719017</v>
      </c>
      <c r="G128" s="1519">
        <f t="shared" si="44"/>
        <v>1070123.2873463463</v>
      </c>
      <c r="H128" s="1519">
        <f>VLOOKUP($C128,'01'!$C$7:$M$216,MATCH("P. Unit. MO",'01'!$C$7:$M$7,0),0)</f>
        <v>16237.139999142993</v>
      </c>
      <c r="I128" s="1519">
        <f t="shared" si="45"/>
        <v>2396618.1010135054</v>
      </c>
      <c r="J128" s="1519">
        <f>VLOOKUP($C128,'01'!$C$7:$M$216,MATCH("P. Unit. EQ",'01'!$C$7:$M$7,0),0)</f>
        <v>285.86756708064229</v>
      </c>
      <c r="K128" s="1519">
        <f t="shared" si="46"/>
        <v>42194.338768669892</v>
      </c>
      <c r="L128" s="1519">
        <f t="shared" si="65"/>
        <v>3508935.7271285215</v>
      </c>
      <c r="M128" s="1562"/>
      <c r="N128" s="1576"/>
      <c r="R128" s="1515"/>
      <c r="S128" s="1515"/>
      <c r="T128" s="1515"/>
      <c r="U128" s="1515"/>
      <c r="V128" s="1515"/>
      <c r="W128" s="1515"/>
      <c r="X128" s="1515"/>
      <c r="Y128" s="1515"/>
      <c r="Z128" s="1515"/>
      <c r="AA128" s="1515"/>
      <c r="AB128" s="1515"/>
      <c r="AC128" s="1515"/>
      <c r="AD128" s="1515"/>
      <c r="AE128" s="1515"/>
      <c r="AF128" s="1515"/>
      <c r="AG128" s="1515"/>
      <c r="AH128" s="1515"/>
      <c r="AI128" s="1515">
        <f t="shared" si="66"/>
        <v>0</v>
      </c>
    </row>
    <row r="129" spans="1:35" ht="10.5" outlineLevel="1" x14ac:dyDescent="0.25">
      <c r="A129" s="1683" t="s">
        <v>128</v>
      </c>
      <c r="B129" s="1580">
        <v>13.04</v>
      </c>
      <c r="C129" s="1659" t="s">
        <v>332</v>
      </c>
      <c r="D129" s="1588" t="s">
        <v>111</v>
      </c>
      <c r="E129" s="1524">
        <v>41</v>
      </c>
      <c r="F129" s="1519">
        <f>VLOOKUP($C129,'01'!$C$7:$M$216,MATCH("P. Unit. MAT",'01'!$C$7:$M$7,0),0)</f>
        <v>15666.94214876033</v>
      </c>
      <c r="G129" s="1519">
        <f t="shared" ref="G129" si="67">F129*$E129</f>
        <v>642344.62809917354</v>
      </c>
      <c r="H129" s="1519">
        <f>VLOOKUP($C129,'01'!$C$7:$M$216,MATCH("P. Unit. MO",'01'!$C$7:$M$7,0),0)</f>
        <v>0</v>
      </c>
      <c r="I129" s="1519">
        <f t="shared" ref="I129" si="68">H129*$E129</f>
        <v>0</v>
      </c>
      <c r="J129" s="1519">
        <f>VLOOKUP($C129,'01'!$C$7:$M$216,MATCH("P. Unit. EQ",'01'!$C$7:$M$7,0),0)</f>
        <v>0</v>
      </c>
      <c r="K129" s="1519">
        <f t="shared" ref="K129" si="69">J129*$E129</f>
        <v>0</v>
      </c>
      <c r="L129" s="1519">
        <f t="shared" si="65"/>
        <v>642344.62809917354</v>
      </c>
      <c r="N129" s="1505"/>
      <c r="R129" s="1515"/>
      <c r="S129" s="1515"/>
      <c r="T129" s="1515"/>
      <c r="U129" s="1515"/>
      <c r="V129" s="1515"/>
      <c r="W129" s="1515"/>
      <c r="X129" s="1515"/>
      <c r="Y129" s="1515"/>
      <c r="Z129" s="1515"/>
      <c r="AA129" s="1515"/>
      <c r="AB129" s="1515"/>
      <c r="AC129" s="1515"/>
      <c r="AD129" s="1515"/>
      <c r="AE129" s="1515"/>
      <c r="AF129" s="1515"/>
      <c r="AG129" s="1515"/>
      <c r="AH129" s="1515"/>
      <c r="AI129" s="1515">
        <f t="shared" si="66"/>
        <v>0</v>
      </c>
    </row>
    <row r="130" spans="1:35" s="1556" customFormat="1" ht="10.5" x14ac:dyDescent="0.25">
      <c r="A130" s="1681"/>
      <c r="B130" s="1500">
        <v>14</v>
      </c>
      <c r="C130" s="1590" t="s">
        <v>126</v>
      </c>
      <c r="D130" s="1501"/>
      <c r="E130" s="1502"/>
      <c r="F130" s="1502"/>
      <c r="G130" s="1526">
        <f>SUM(G131:G137)</f>
        <v>11740504.943380594</v>
      </c>
      <c r="H130" s="1502"/>
      <c r="I130" s="1527">
        <f>SUM(I131:I137)</f>
        <v>27906001.175322611</v>
      </c>
      <c r="J130" s="1502"/>
      <c r="K130" s="1508">
        <f>SUM(K131:K137)</f>
        <v>369046.27112401568</v>
      </c>
      <c r="L130" s="1503">
        <f>SUM(L131:L137)</f>
        <v>40015552.389827222</v>
      </c>
      <c r="M130" s="1504">
        <f>SUM(D130:K130)</f>
        <v>40015552.389827214</v>
      </c>
      <c r="N130" s="895">
        <f>M130-'01'!T107</f>
        <v>0</v>
      </c>
      <c r="R130" s="1506"/>
      <c r="S130" s="1506"/>
      <c r="T130" s="1506"/>
      <c r="U130" s="1506"/>
      <c r="V130" s="1506"/>
      <c r="W130" s="1507"/>
      <c r="X130" s="1507"/>
      <c r="Y130" s="1507"/>
      <c r="Z130" s="1507"/>
      <c r="AA130" s="1507"/>
      <c r="AB130" s="1507"/>
      <c r="AC130" s="1507"/>
      <c r="AD130" s="1507"/>
      <c r="AE130" s="1507"/>
      <c r="AF130" s="1507"/>
      <c r="AG130" s="1507"/>
      <c r="AH130" s="1507"/>
      <c r="AI130" s="1507"/>
    </row>
    <row r="131" spans="1:35" ht="10.5" outlineLevel="1" x14ac:dyDescent="0.25">
      <c r="A131" s="1682" t="s">
        <v>127</v>
      </c>
      <c r="B131" s="1510">
        <f>+B130+0.01</f>
        <v>14.01</v>
      </c>
      <c r="C131" s="1658" t="s">
        <v>208</v>
      </c>
      <c r="D131" s="1583" t="s">
        <v>109</v>
      </c>
      <c r="E131" s="1512">
        <v>334.91519999999997</v>
      </c>
      <c r="F131" s="1519">
        <f>VLOOKUP($C131,'01'!$C$7:$M$216,MATCH("P. Unit. MAT",'01'!$C$7:$M$7,0),0)</f>
        <v>9357.531771197835</v>
      </c>
      <c r="G131" s="1519">
        <f t="shared" ref="G131:G137" si="70">F131*$E131</f>
        <v>3133979.6246570768</v>
      </c>
      <c r="H131" s="1519">
        <f>VLOOKUP($C131,'01'!$C$7:$M$216,MATCH("P. Unit. MO",'01'!$C$7:$M$7,0),0)</f>
        <v>13673.38105190989</v>
      </c>
      <c r="I131" s="1519">
        <f t="shared" ref="I131:I137" si="71">H131*$E131</f>
        <v>4579423.1496766107</v>
      </c>
      <c r="J131" s="1519">
        <f>VLOOKUP($C131,'01'!$C$7:$M$216,MATCH("P. Unit. EQ",'01'!$C$7:$M$7,0),0)</f>
        <v>256.8223600688724</v>
      </c>
      <c r="K131" s="1519">
        <f t="shared" ref="K131:K137" si="72">J131*$E131</f>
        <v>86013.712086938409</v>
      </c>
      <c r="L131" s="1519">
        <f t="shared" ref="L131:L137" si="73">SUM(G131,I131,K131)</f>
        <v>7799416.4864206258</v>
      </c>
      <c r="N131" s="1505"/>
      <c r="R131" s="1515"/>
      <c r="S131" s="1515"/>
      <c r="T131" s="1515"/>
      <c r="U131" s="1515"/>
      <c r="V131" s="1515"/>
      <c r="W131" s="1515"/>
      <c r="X131" s="1515"/>
      <c r="Y131" s="1515"/>
      <c r="Z131" s="1515"/>
      <c r="AA131" s="1515"/>
      <c r="AB131" s="1515"/>
      <c r="AC131" s="1515"/>
      <c r="AD131" s="1515"/>
      <c r="AE131" s="1515"/>
      <c r="AF131" s="1515"/>
      <c r="AG131" s="1515"/>
      <c r="AH131" s="1515"/>
      <c r="AI131" s="1515">
        <f t="shared" ref="AI131:AI137" si="74">SUM(S131:AH131)</f>
        <v>0</v>
      </c>
    </row>
    <row r="132" spans="1:35" ht="10.5" outlineLevel="1" x14ac:dyDescent="0.25">
      <c r="A132" s="1683" t="s">
        <v>127</v>
      </c>
      <c r="B132" s="1516">
        <f t="shared" ref="B132" si="75">+B131+0.01</f>
        <v>14.02</v>
      </c>
      <c r="C132" s="1574" t="s">
        <v>333</v>
      </c>
      <c r="D132" s="1584" t="s">
        <v>109</v>
      </c>
      <c r="E132" s="1518">
        <v>280.3913</v>
      </c>
      <c r="F132" s="1519">
        <f>VLOOKUP($C132,'01'!$C$7:$M$216,MATCH("P. Unit. MAT",'01'!$C$7:$M$7,0),0)</f>
        <v>13094.309718890145</v>
      </c>
      <c r="G132" s="1519">
        <f t="shared" si="70"/>
        <v>3671530.5246822424</v>
      </c>
      <c r="H132" s="1519">
        <f>VLOOKUP($C132,'01'!$C$7:$M$216,MATCH("P. Unit. MO",'01'!$C$7:$M$7,0),0)</f>
        <v>13673.38105190989</v>
      </c>
      <c r="I132" s="1519">
        <f t="shared" si="71"/>
        <v>3833897.0885403813</v>
      </c>
      <c r="J132" s="1519">
        <f>VLOOKUP($C132,'01'!$C$7:$M$216,MATCH("P. Unit. EQ",'01'!$C$7:$M$7,0),0)</f>
        <v>256.8223600688724</v>
      </c>
      <c r="K132" s="1519">
        <f t="shared" si="72"/>
        <v>72010.755408779223</v>
      </c>
      <c r="L132" s="1519">
        <f t="shared" si="73"/>
        <v>7577438.368631402</v>
      </c>
      <c r="N132" s="1505"/>
      <c r="R132" s="1515"/>
      <c r="S132" s="1515"/>
      <c r="T132" s="1515"/>
      <c r="U132" s="1515"/>
      <c r="V132" s="1515"/>
      <c r="W132" s="1515"/>
      <c r="X132" s="1515"/>
      <c r="Y132" s="1515"/>
      <c r="Z132" s="1515"/>
      <c r="AA132" s="1515"/>
      <c r="AB132" s="1515"/>
      <c r="AC132" s="1515"/>
      <c r="AD132" s="1515"/>
      <c r="AE132" s="1515"/>
      <c r="AF132" s="1515"/>
      <c r="AG132" s="1515"/>
      <c r="AH132" s="1515"/>
      <c r="AI132" s="1515">
        <f t="shared" si="74"/>
        <v>0</v>
      </c>
    </row>
    <row r="133" spans="1:35" ht="10.5" outlineLevel="1" x14ac:dyDescent="0.25">
      <c r="A133" s="1683" t="s">
        <v>127</v>
      </c>
      <c r="B133" s="1516">
        <v>14.03</v>
      </c>
      <c r="C133" s="1574" t="s">
        <v>334</v>
      </c>
      <c r="D133" s="1584" t="s">
        <v>124</v>
      </c>
      <c r="E133" s="1518">
        <v>60.8</v>
      </c>
      <c r="F133" s="1519">
        <f>VLOOKUP($C133,'01'!$C$7:$M$216,MATCH("P. Unit. MAT",'01'!$C$7:$M$7,0),0)</f>
        <v>9357.531771197835</v>
      </c>
      <c r="G133" s="1519">
        <f t="shared" si="70"/>
        <v>568937.93168882839</v>
      </c>
      <c r="H133" s="1519">
        <f>VLOOKUP($C133,'01'!$C$7:$M$216,MATCH("P. Unit. MO",'01'!$C$7:$M$7,0),0)</f>
        <v>13673.38105190989</v>
      </c>
      <c r="I133" s="1519">
        <f t="shared" si="71"/>
        <v>831341.56795612129</v>
      </c>
      <c r="J133" s="1519">
        <f>VLOOKUP($C133,'01'!$C$7:$M$216,MATCH("P. Unit. EQ",'01'!$C$7:$M$7,0),0)</f>
        <v>256.8223600688724</v>
      </c>
      <c r="K133" s="1519">
        <f t="shared" si="72"/>
        <v>15614.799492187442</v>
      </c>
      <c r="L133" s="1519">
        <f t="shared" si="73"/>
        <v>1415894.2991371369</v>
      </c>
      <c r="N133" s="1505"/>
      <c r="R133" s="1515"/>
      <c r="S133" s="1515"/>
      <c r="T133" s="1515"/>
      <c r="U133" s="1515"/>
      <c r="V133" s="1515"/>
      <c r="W133" s="1515"/>
      <c r="X133" s="1515"/>
      <c r="Y133" s="1515"/>
      <c r="Z133" s="1515"/>
      <c r="AA133" s="1515"/>
      <c r="AB133" s="1515"/>
      <c r="AC133" s="1515"/>
      <c r="AD133" s="1515"/>
      <c r="AE133" s="1515"/>
      <c r="AF133" s="1515"/>
      <c r="AG133" s="1515"/>
      <c r="AH133" s="1515"/>
      <c r="AI133" s="1515">
        <f t="shared" si="74"/>
        <v>0</v>
      </c>
    </row>
    <row r="134" spans="1:35" ht="10.5" outlineLevel="1" x14ac:dyDescent="0.25">
      <c r="A134" s="1683" t="s">
        <v>127</v>
      </c>
      <c r="B134" s="1516">
        <v>14.04</v>
      </c>
      <c r="C134" s="1574" t="s">
        <v>209</v>
      </c>
      <c r="D134" s="1584" t="s">
        <v>124</v>
      </c>
      <c r="E134" s="1518">
        <v>1058.3799999999997</v>
      </c>
      <c r="F134" s="1519">
        <f>VLOOKUP($C134,'01'!$C$7:$M$216,MATCH("P. Unit. MAT",'01'!$C$7:$M$7,0),0)</f>
        <v>1093.3011417</v>
      </c>
      <c r="G134" s="1519">
        <f t="shared" si="70"/>
        <v>1157128.0623524457</v>
      </c>
      <c r="H134" s="1519">
        <f>VLOOKUP($C134,'01'!$C$7:$M$216,MATCH("P. Unit. MO",'01'!$C$7:$M$7,0),0)</f>
        <v>5007.5365484381318</v>
      </c>
      <c r="I134" s="1519">
        <f t="shared" si="71"/>
        <v>5299876.5321359485</v>
      </c>
      <c r="J134" s="1519">
        <f>VLOOKUP($C134,'01'!$C$7:$M$216,MATCH("P. Unit. EQ",'01'!$C$7:$M$7,0),0)</f>
        <v>162.65416137695254</v>
      </c>
      <c r="K134" s="1519">
        <f t="shared" si="72"/>
        <v>172149.91131813897</v>
      </c>
      <c r="L134" s="1519">
        <f t="shared" si="73"/>
        <v>6629154.5058065336</v>
      </c>
      <c r="N134" s="1505"/>
      <c r="R134" s="1515"/>
      <c r="S134" s="1515"/>
      <c r="T134" s="1515"/>
      <c r="U134" s="1515"/>
      <c r="V134" s="1515"/>
      <c r="W134" s="1515"/>
      <c r="X134" s="1515"/>
      <c r="Y134" s="1515"/>
      <c r="Z134" s="1515"/>
      <c r="AA134" s="1515"/>
      <c r="AB134" s="1515"/>
      <c r="AC134" s="1515"/>
      <c r="AD134" s="1515"/>
      <c r="AE134" s="1515"/>
      <c r="AF134" s="1515"/>
      <c r="AG134" s="1515"/>
      <c r="AH134" s="1515"/>
      <c r="AI134" s="1515">
        <f t="shared" si="74"/>
        <v>0</v>
      </c>
    </row>
    <row r="135" spans="1:35" s="1556" customFormat="1" ht="10.5" outlineLevel="1" x14ac:dyDescent="0.25">
      <c r="A135" s="1683" t="s">
        <v>127</v>
      </c>
      <c r="B135" s="1516">
        <v>14.05</v>
      </c>
      <c r="C135" s="1574" t="s">
        <v>335</v>
      </c>
      <c r="D135" s="1584" t="s">
        <v>109</v>
      </c>
      <c r="E135" s="1518">
        <v>504.12220000000002</v>
      </c>
      <c r="F135" s="1519">
        <f>VLOOKUP($C135,'01'!$C$7:$M$216,MATCH("P. Unit. MAT",'01'!$C$7:$M$7,0),0)</f>
        <v>5770.2850618361972</v>
      </c>
      <c r="G135" s="1519">
        <f t="shared" si="70"/>
        <v>2908928.8</v>
      </c>
      <c r="H135" s="1519">
        <f>VLOOKUP($C135,'01'!$C$7:$M$216,MATCH("P. Unit. MO",'01'!$C$7:$M$7,0),0)</f>
        <v>12817.951531348474</v>
      </c>
      <c r="I135" s="1519">
        <f t="shared" si="71"/>
        <v>6461813.9254767615</v>
      </c>
      <c r="J135" s="1519">
        <f>VLOOKUP($C135,'01'!$C$7:$M$216,MATCH("P. Unit. EQ",'01'!$C$7:$M$7,0),0)</f>
        <v>0</v>
      </c>
      <c r="K135" s="1519">
        <f t="shared" si="72"/>
        <v>0</v>
      </c>
      <c r="L135" s="1519">
        <f t="shared" si="73"/>
        <v>9370742.7254767604</v>
      </c>
      <c r="M135" s="1566"/>
      <c r="N135" s="1505"/>
      <c r="R135" s="1515"/>
      <c r="S135" s="1515"/>
      <c r="T135" s="1515"/>
      <c r="U135" s="1515"/>
      <c r="V135" s="1515"/>
      <c r="W135" s="1515"/>
      <c r="X135" s="1515"/>
      <c r="Y135" s="1515"/>
      <c r="Z135" s="1515"/>
      <c r="AA135" s="1515"/>
      <c r="AB135" s="1515"/>
      <c r="AC135" s="1515"/>
      <c r="AD135" s="1515"/>
      <c r="AE135" s="1515"/>
      <c r="AF135" s="1515"/>
      <c r="AG135" s="1515"/>
      <c r="AH135" s="1515"/>
      <c r="AI135" s="1515">
        <f t="shared" si="74"/>
        <v>0</v>
      </c>
    </row>
    <row r="136" spans="1:35" s="1556" customFormat="1" ht="10.5" outlineLevel="1" x14ac:dyDescent="0.25">
      <c r="A136" s="1683" t="s">
        <v>127</v>
      </c>
      <c r="B136" s="1516">
        <v>14.06</v>
      </c>
      <c r="C136" s="1574" t="s">
        <v>336</v>
      </c>
      <c r="D136" s="1584" t="s">
        <v>124</v>
      </c>
      <c r="E136" s="1518">
        <v>555.99</v>
      </c>
      <c r="F136" s="1519">
        <f>VLOOKUP($C136,'01'!$C$7:$M$216,MATCH("P. Unit. MAT",'01'!$C$7:$M$7,0),0)</f>
        <v>0</v>
      </c>
      <c r="G136" s="1519">
        <f t="shared" si="70"/>
        <v>0</v>
      </c>
      <c r="H136" s="1519">
        <f>VLOOKUP($C136,'01'!$C$7:$M$216,MATCH("P. Unit. MO",'01'!$C$7:$M$7,0),0)</f>
        <v>10160.57133582501</v>
      </c>
      <c r="I136" s="1519">
        <f t="shared" si="71"/>
        <v>5649176.0570053477</v>
      </c>
      <c r="J136" s="1519">
        <f>VLOOKUP($C136,'01'!$C$7:$M$216,MATCH("P. Unit. EQ",'01'!$C$7:$M$7,0),0)</f>
        <v>0</v>
      </c>
      <c r="K136" s="1519">
        <f t="shared" si="72"/>
        <v>0</v>
      </c>
      <c r="L136" s="1519">
        <f t="shared" si="73"/>
        <v>5649176.0570053477</v>
      </c>
      <c r="M136" s="1566"/>
      <c r="N136" s="1505"/>
      <c r="R136" s="1515"/>
      <c r="S136" s="1515"/>
      <c r="T136" s="1515"/>
      <c r="U136" s="1515"/>
      <c r="V136" s="1515"/>
      <c r="W136" s="1515"/>
      <c r="X136" s="1515"/>
      <c r="Y136" s="1515"/>
      <c r="Z136" s="1515"/>
      <c r="AA136" s="1515"/>
      <c r="AB136" s="1515"/>
      <c r="AC136" s="1515"/>
      <c r="AD136" s="1515"/>
      <c r="AE136" s="1515"/>
      <c r="AF136" s="1515"/>
      <c r="AG136" s="1515"/>
      <c r="AH136" s="1515"/>
      <c r="AI136" s="1515">
        <f t="shared" si="74"/>
        <v>0</v>
      </c>
    </row>
    <row r="137" spans="1:35" ht="10.5" outlineLevel="1" x14ac:dyDescent="0.25">
      <c r="A137" s="1683" t="s">
        <v>113</v>
      </c>
      <c r="B137" s="1516">
        <v>14.07</v>
      </c>
      <c r="C137" s="1659" t="s">
        <v>337</v>
      </c>
      <c r="D137" s="1588" t="s">
        <v>109</v>
      </c>
      <c r="E137" s="1524">
        <v>429.07780000000002</v>
      </c>
      <c r="F137" s="1519">
        <f>VLOOKUP($C137,'01'!$C$7:$M$216,MATCH("P. Unit. MAT",'01'!$C$7:$M$7,0),0)</f>
        <v>699.17390272812986</v>
      </c>
      <c r="G137" s="1519">
        <f t="shared" si="70"/>
        <v>300000</v>
      </c>
      <c r="H137" s="1519">
        <f>VLOOKUP($C137,'01'!$C$7:$M$216,MATCH("P. Unit. MO",'01'!$C$7:$M$7,0),0)</f>
        <v>2914.3266198611054</v>
      </c>
      <c r="I137" s="1519">
        <f t="shared" si="71"/>
        <v>1250472.8545314395</v>
      </c>
      <c r="J137" s="1519">
        <f>VLOOKUP($C137,'01'!$C$7:$M$216,MATCH("P. Unit. EQ",'01'!$C$7:$M$7,0),0)</f>
        <v>54.202507838838528</v>
      </c>
      <c r="K137" s="1519">
        <f t="shared" si="72"/>
        <v>23257.092817971592</v>
      </c>
      <c r="L137" s="1519">
        <f t="shared" si="73"/>
        <v>1573729.947349411</v>
      </c>
      <c r="N137" s="1505"/>
      <c r="R137" s="1515"/>
      <c r="S137" s="1515"/>
      <c r="T137" s="1515"/>
      <c r="U137" s="1515"/>
      <c r="V137" s="1515"/>
      <c r="W137" s="1515"/>
      <c r="X137" s="1515"/>
      <c r="Y137" s="1515"/>
      <c r="Z137" s="1515"/>
      <c r="AA137" s="1515"/>
      <c r="AB137" s="1515"/>
      <c r="AC137" s="1515"/>
      <c r="AD137" s="1515"/>
      <c r="AE137" s="1515"/>
      <c r="AF137" s="1515"/>
      <c r="AG137" s="1515"/>
      <c r="AH137" s="1515"/>
      <c r="AI137" s="1515">
        <f t="shared" si="74"/>
        <v>0</v>
      </c>
    </row>
    <row r="138" spans="1:35" ht="10.5" x14ac:dyDescent="0.25">
      <c r="A138" s="1681"/>
      <c r="B138" s="1500">
        <v>15</v>
      </c>
      <c r="C138" s="1590" t="s">
        <v>133</v>
      </c>
      <c r="D138" s="1501"/>
      <c r="E138" s="1502"/>
      <c r="F138" s="1502"/>
      <c r="G138" s="1526">
        <f>SUM(G139:G147)</f>
        <v>0</v>
      </c>
      <c r="H138" s="1502"/>
      <c r="I138" s="1527">
        <f>SUM(I139:I147)</f>
        <v>0</v>
      </c>
      <c r="J138" s="1502"/>
      <c r="K138" s="1508">
        <f>SUM(K139:K147)</f>
        <v>0</v>
      </c>
      <c r="L138" s="1503">
        <f>SUM(L139:L147)</f>
        <v>0</v>
      </c>
      <c r="M138" s="1504">
        <f>SUM(D138:K138)</f>
        <v>0</v>
      </c>
      <c r="N138" s="895">
        <f>M138-'01'!T115</f>
        <v>0</v>
      </c>
      <c r="R138" s="1506"/>
      <c r="S138" s="1506"/>
      <c r="T138" s="1506"/>
      <c r="U138" s="1506"/>
      <c r="V138" s="1506"/>
      <c r="W138" s="1507"/>
      <c r="X138" s="1507"/>
      <c r="Y138" s="1507"/>
      <c r="Z138" s="1507"/>
      <c r="AA138" s="1507"/>
      <c r="AB138" s="1507"/>
      <c r="AC138" s="1507"/>
      <c r="AD138" s="1507"/>
      <c r="AE138" s="1507"/>
      <c r="AF138" s="1507"/>
      <c r="AG138" s="1507"/>
      <c r="AH138" s="1507"/>
      <c r="AI138" s="1507"/>
    </row>
    <row r="139" spans="1:35" ht="10.5" outlineLevel="1" x14ac:dyDescent="0.25">
      <c r="A139" s="1683" t="s">
        <v>134</v>
      </c>
      <c r="B139" s="1516">
        <v>15.01</v>
      </c>
      <c r="C139" s="1574" t="s">
        <v>338</v>
      </c>
      <c r="D139" s="1579" t="s">
        <v>109</v>
      </c>
      <c r="E139" s="1530">
        <v>2670</v>
      </c>
      <c r="F139" s="1519">
        <v>0</v>
      </c>
      <c r="G139" s="1519">
        <f t="shared" ref="G139:G147" si="76">F139*$E139</f>
        <v>0</v>
      </c>
      <c r="H139" s="1519">
        <v>0</v>
      </c>
      <c r="I139" s="1519">
        <f t="shared" ref="I139:I147" si="77">H139*$E139</f>
        <v>0</v>
      </c>
      <c r="J139" s="1519">
        <v>0</v>
      </c>
      <c r="K139" s="1519">
        <f t="shared" ref="K139:K147" si="78">J139*$E139</f>
        <v>0</v>
      </c>
      <c r="L139" s="1519">
        <f t="shared" ref="L139:L147" si="79">SUM(G139,I139,K139)</f>
        <v>0</v>
      </c>
      <c r="N139" s="1505"/>
      <c r="R139" s="1515"/>
      <c r="S139" s="1515"/>
      <c r="T139" s="1515"/>
      <c r="U139" s="1515"/>
      <c r="V139" s="1515"/>
      <c r="W139" s="1515"/>
      <c r="X139" s="1515"/>
      <c r="Y139" s="1515"/>
      <c r="Z139" s="1515"/>
      <c r="AA139" s="1515"/>
      <c r="AB139" s="1515"/>
      <c r="AC139" s="1515"/>
      <c r="AD139" s="1515"/>
      <c r="AE139" s="1515"/>
      <c r="AF139" s="1515"/>
      <c r="AG139" s="1515"/>
      <c r="AH139" s="1515"/>
      <c r="AI139" s="1515">
        <f t="shared" ref="AI139:AI149" si="80">SUM(S139:AH139)</f>
        <v>0</v>
      </c>
    </row>
    <row r="140" spans="1:35" ht="10.5" outlineLevel="1" x14ac:dyDescent="0.25">
      <c r="A140" s="1683" t="s">
        <v>134</v>
      </c>
      <c r="B140" s="1516">
        <v>15.02</v>
      </c>
      <c r="C140" s="1574" t="s">
        <v>339</v>
      </c>
      <c r="D140" s="1579" t="s">
        <v>109</v>
      </c>
      <c r="E140" s="1530">
        <v>961</v>
      </c>
      <c r="F140" s="1519">
        <v>0</v>
      </c>
      <c r="G140" s="1519">
        <f t="shared" si="76"/>
        <v>0</v>
      </c>
      <c r="H140" s="1519">
        <v>0</v>
      </c>
      <c r="I140" s="1519">
        <f t="shared" si="77"/>
        <v>0</v>
      </c>
      <c r="J140" s="1519">
        <v>0</v>
      </c>
      <c r="K140" s="1519">
        <f t="shared" si="78"/>
        <v>0</v>
      </c>
      <c r="L140" s="1519">
        <f t="shared" si="79"/>
        <v>0</v>
      </c>
      <c r="N140" s="1505"/>
      <c r="R140" s="1515"/>
      <c r="S140" s="1515"/>
      <c r="T140" s="1515"/>
      <c r="U140" s="1515"/>
      <c r="V140" s="1515"/>
      <c r="W140" s="1515"/>
      <c r="X140" s="1515"/>
      <c r="Y140" s="1515"/>
      <c r="Z140" s="1515"/>
      <c r="AA140" s="1515"/>
      <c r="AB140" s="1515"/>
      <c r="AC140" s="1515"/>
      <c r="AD140" s="1515"/>
      <c r="AE140" s="1515"/>
      <c r="AF140" s="1515"/>
      <c r="AG140" s="1515"/>
      <c r="AH140" s="1515"/>
      <c r="AI140" s="1515">
        <f t="shared" si="80"/>
        <v>0</v>
      </c>
    </row>
    <row r="141" spans="1:35" ht="10.5" outlineLevel="1" x14ac:dyDescent="0.25">
      <c r="A141" s="1683" t="s">
        <v>134</v>
      </c>
      <c r="B141" s="1516">
        <v>15.03</v>
      </c>
      <c r="C141" s="1574" t="s">
        <v>340</v>
      </c>
      <c r="D141" s="1579" t="s">
        <v>109</v>
      </c>
      <c r="E141" s="1530">
        <v>518</v>
      </c>
      <c r="F141" s="1519">
        <v>0</v>
      </c>
      <c r="G141" s="1519">
        <f t="shared" si="76"/>
        <v>0</v>
      </c>
      <c r="H141" s="1519">
        <v>0</v>
      </c>
      <c r="I141" s="1519">
        <f t="shared" si="77"/>
        <v>0</v>
      </c>
      <c r="J141" s="1519">
        <v>0</v>
      </c>
      <c r="K141" s="1519">
        <f t="shared" si="78"/>
        <v>0</v>
      </c>
      <c r="L141" s="1519">
        <f t="shared" si="79"/>
        <v>0</v>
      </c>
      <c r="N141" s="1505"/>
      <c r="R141" s="1515"/>
      <c r="S141" s="1515"/>
      <c r="T141" s="1515"/>
      <c r="U141" s="1515"/>
      <c r="V141" s="1515"/>
      <c r="W141" s="1515"/>
      <c r="X141" s="1515"/>
      <c r="Y141" s="1515"/>
      <c r="Z141" s="1515"/>
      <c r="AA141" s="1515"/>
      <c r="AB141" s="1515"/>
      <c r="AC141" s="1515"/>
      <c r="AD141" s="1515"/>
      <c r="AE141" s="1515"/>
      <c r="AF141" s="1515"/>
      <c r="AG141" s="1515"/>
      <c r="AH141" s="1515"/>
      <c r="AI141" s="1515">
        <f t="shared" si="80"/>
        <v>0</v>
      </c>
    </row>
    <row r="142" spans="1:35" ht="10.5" outlineLevel="1" x14ac:dyDescent="0.25">
      <c r="A142" s="1683" t="s">
        <v>134</v>
      </c>
      <c r="B142" s="1516">
        <v>15.04</v>
      </c>
      <c r="C142" s="1574" t="s">
        <v>341</v>
      </c>
      <c r="D142" s="1579" t="s">
        <v>109</v>
      </c>
      <c r="E142" s="1530">
        <v>612</v>
      </c>
      <c r="F142" s="1519">
        <v>0</v>
      </c>
      <c r="G142" s="1519">
        <f t="shared" si="76"/>
        <v>0</v>
      </c>
      <c r="H142" s="1519">
        <v>0</v>
      </c>
      <c r="I142" s="1519">
        <f t="shared" si="77"/>
        <v>0</v>
      </c>
      <c r="J142" s="1519">
        <v>0</v>
      </c>
      <c r="K142" s="1519">
        <f t="shared" si="78"/>
        <v>0</v>
      </c>
      <c r="L142" s="1519">
        <f t="shared" si="79"/>
        <v>0</v>
      </c>
      <c r="N142" s="1505"/>
      <c r="R142" s="1515"/>
      <c r="S142" s="1515"/>
      <c r="T142" s="1515"/>
      <c r="U142" s="1515"/>
      <c r="V142" s="1515"/>
      <c r="W142" s="1515"/>
      <c r="X142" s="1515"/>
      <c r="Y142" s="1515"/>
      <c r="Z142" s="1515"/>
      <c r="AA142" s="1515"/>
      <c r="AB142" s="1515"/>
      <c r="AC142" s="1515"/>
      <c r="AD142" s="1515"/>
      <c r="AE142" s="1515"/>
      <c r="AF142" s="1515"/>
      <c r="AG142" s="1515"/>
      <c r="AH142" s="1515"/>
      <c r="AI142" s="1515">
        <f t="shared" si="80"/>
        <v>0</v>
      </c>
    </row>
    <row r="143" spans="1:35" ht="10.5" outlineLevel="1" x14ac:dyDescent="0.25">
      <c r="A143" s="1683" t="s">
        <v>134</v>
      </c>
      <c r="B143" s="1516">
        <v>15.05</v>
      </c>
      <c r="C143" s="1574" t="s">
        <v>342</v>
      </c>
      <c r="D143" s="1579" t="s">
        <v>109</v>
      </c>
      <c r="E143" s="1530">
        <v>422</v>
      </c>
      <c r="F143" s="1519">
        <v>0</v>
      </c>
      <c r="G143" s="1519">
        <f t="shared" si="76"/>
        <v>0</v>
      </c>
      <c r="H143" s="1519">
        <v>0</v>
      </c>
      <c r="I143" s="1519">
        <f t="shared" si="77"/>
        <v>0</v>
      </c>
      <c r="J143" s="1519">
        <v>0</v>
      </c>
      <c r="K143" s="1519">
        <f t="shared" si="78"/>
        <v>0</v>
      </c>
      <c r="L143" s="1519">
        <f t="shared" si="79"/>
        <v>0</v>
      </c>
      <c r="N143" s="1505"/>
      <c r="R143" s="1515"/>
      <c r="S143" s="1515"/>
      <c r="T143" s="1515"/>
      <c r="U143" s="1515"/>
      <c r="V143" s="1515"/>
      <c r="W143" s="1515"/>
      <c r="X143" s="1515"/>
      <c r="Y143" s="1515"/>
      <c r="Z143" s="1515"/>
      <c r="AA143" s="1515"/>
      <c r="AB143" s="1515"/>
      <c r="AC143" s="1515"/>
      <c r="AD143" s="1515"/>
      <c r="AE143" s="1515"/>
      <c r="AF143" s="1515"/>
      <c r="AG143" s="1515"/>
      <c r="AH143" s="1515"/>
      <c r="AI143" s="1515">
        <f t="shared" si="80"/>
        <v>0</v>
      </c>
    </row>
    <row r="144" spans="1:35" ht="10.5" outlineLevel="1" x14ac:dyDescent="0.25">
      <c r="A144" s="1683" t="s">
        <v>134</v>
      </c>
      <c r="B144" s="1516">
        <v>15.07</v>
      </c>
      <c r="C144" s="1574" t="s">
        <v>343</v>
      </c>
      <c r="D144" s="1579" t="s">
        <v>109</v>
      </c>
      <c r="E144" s="1530">
        <v>678.25199999999995</v>
      </c>
      <c r="F144" s="1519">
        <v>0</v>
      </c>
      <c r="G144" s="1519">
        <f t="shared" si="76"/>
        <v>0</v>
      </c>
      <c r="H144" s="1519">
        <v>0</v>
      </c>
      <c r="I144" s="1519">
        <f t="shared" si="77"/>
        <v>0</v>
      </c>
      <c r="J144" s="1519">
        <v>0</v>
      </c>
      <c r="K144" s="1519">
        <f t="shared" si="78"/>
        <v>0</v>
      </c>
      <c r="L144" s="1519">
        <f t="shared" si="79"/>
        <v>0</v>
      </c>
      <c r="N144" s="1505"/>
      <c r="R144" s="1515"/>
      <c r="S144" s="1515"/>
      <c r="T144" s="1515"/>
      <c r="U144" s="1515"/>
      <c r="V144" s="1515"/>
      <c r="W144" s="1515"/>
      <c r="X144" s="1515"/>
      <c r="Y144" s="1515"/>
      <c r="Z144" s="1515"/>
      <c r="AA144" s="1515"/>
      <c r="AB144" s="1515"/>
      <c r="AC144" s="1515"/>
      <c r="AD144" s="1515"/>
      <c r="AE144" s="1515"/>
      <c r="AF144" s="1515"/>
      <c r="AG144" s="1515"/>
      <c r="AH144" s="1515"/>
      <c r="AI144" s="1515">
        <f t="shared" si="80"/>
        <v>0</v>
      </c>
    </row>
    <row r="145" spans="1:35" ht="10.5" outlineLevel="1" x14ac:dyDescent="0.25">
      <c r="A145" s="1683" t="s">
        <v>134</v>
      </c>
      <c r="B145" s="1516">
        <v>15.08</v>
      </c>
      <c r="C145" s="1574" t="s">
        <v>344</v>
      </c>
      <c r="D145" s="1579" t="s">
        <v>109</v>
      </c>
      <c r="E145" s="1530">
        <v>728.48019999999985</v>
      </c>
      <c r="F145" s="1519">
        <v>0</v>
      </c>
      <c r="G145" s="1519">
        <f t="shared" si="76"/>
        <v>0</v>
      </c>
      <c r="H145" s="1519">
        <v>0</v>
      </c>
      <c r="I145" s="1519">
        <f t="shared" si="77"/>
        <v>0</v>
      </c>
      <c r="J145" s="1519">
        <v>0</v>
      </c>
      <c r="K145" s="1519">
        <f t="shared" si="78"/>
        <v>0</v>
      </c>
      <c r="L145" s="1519">
        <f t="shared" si="79"/>
        <v>0</v>
      </c>
      <c r="N145" s="1505"/>
      <c r="R145" s="1515"/>
      <c r="S145" s="1515"/>
      <c r="T145" s="1515"/>
      <c r="U145" s="1515"/>
      <c r="V145" s="1515"/>
      <c r="W145" s="1515"/>
      <c r="X145" s="1515"/>
      <c r="Y145" s="1515"/>
      <c r="Z145" s="1515"/>
      <c r="AA145" s="1515"/>
      <c r="AB145" s="1515"/>
      <c r="AC145" s="1515"/>
      <c r="AD145" s="1515"/>
      <c r="AE145" s="1515"/>
      <c r="AF145" s="1515"/>
      <c r="AG145" s="1515"/>
      <c r="AH145" s="1515"/>
      <c r="AI145" s="1515">
        <f t="shared" si="80"/>
        <v>0</v>
      </c>
    </row>
    <row r="146" spans="1:35" ht="10.5" outlineLevel="1" x14ac:dyDescent="0.25">
      <c r="A146" s="1683" t="s">
        <v>134</v>
      </c>
      <c r="B146" s="1516">
        <v>15.09</v>
      </c>
      <c r="C146" s="1574" t="s">
        <v>345</v>
      </c>
      <c r="D146" s="1579" t="s">
        <v>104</v>
      </c>
      <c r="E146" s="1530">
        <v>76</v>
      </c>
      <c r="F146" s="1519">
        <v>0</v>
      </c>
      <c r="G146" s="1519">
        <f t="shared" si="76"/>
        <v>0</v>
      </c>
      <c r="H146" s="1519">
        <v>0</v>
      </c>
      <c r="I146" s="1519">
        <f t="shared" si="77"/>
        <v>0</v>
      </c>
      <c r="J146" s="1519">
        <v>0</v>
      </c>
      <c r="K146" s="1519">
        <f t="shared" si="78"/>
        <v>0</v>
      </c>
      <c r="L146" s="1519">
        <f t="shared" si="79"/>
        <v>0</v>
      </c>
      <c r="N146" s="1505"/>
      <c r="R146" s="1515"/>
      <c r="S146" s="1515"/>
      <c r="T146" s="1515"/>
      <c r="U146" s="1515"/>
      <c r="V146" s="1515"/>
      <c r="W146" s="1515"/>
      <c r="X146" s="1515"/>
      <c r="Y146" s="1515"/>
      <c r="Z146" s="1515"/>
      <c r="AA146" s="1515"/>
      <c r="AB146" s="1515"/>
      <c r="AC146" s="1515"/>
      <c r="AD146" s="1515"/>
      <c r="AE146" s="1515"/>
      <c r="AF146" s="1515"/>
      <c r="AG146" s="1515"/>
      <c r="AH146" s="1515"/>
      <c r="AI146" s="1515">
        <f t="shared" si="80"/>
        <v>0</v>
      </c>
    </row>
    <row r="147" spans="1:35" ht="10.5" outlineLevel="1" x14ac:dyDescent="0.25">
      <c r="A147" s="1683" t="s">
        <v>134</v>
      </c>
      <c r="B147" s="1516">
        <v>15.1</v>
      </c>
      <c r="C147" s="1589" t="s">
        <v>1033</v>
      </c>
      <c r="D147" s="1586" t="s">
        <v>107</v>
      </c>
      <c r="E147" s="1537">
        <v>1</v>
      </c>
      <c r="F147" s="1519">
        <v>0</v>
      </c>
      <c r="G147" s="1519">
        <f t="shared" si="76"/>
        <v>0</v>
      </c>
      <c r="H147" s="1519">
        <v>0</v>
      </c>
      <c r="I147" s="1519">
        <f t="shared" si="77"/>
        <v>0</v>
      </c>
      <c r="J147" s="1519">
        <v>0</v>
      </c>
      <c r="K147" s="1519">
        <f t="shared" si="78"/>
        <v>0</v>
      </c>
      <c r="L147" s="1519">
        <f t="shared" si="79"/>
        <v>0</v>
      </c>
      <c r="N147" s="1505"/>
      <c r="R147" s="1515"/>
      <c r="S147" s="1515"/>
      <c r="T147" s="1515"/>
      <c r="U147" s="1515"/>
      <c r="V147" s="1515"/>
      <c r="W147" s="1515"/>
      <c r="X147" s="1515"/>
      <c r="Y147" s="1515"/>
      <c r="Z147" s="1515"/>
      <c r="AA147" s="1515"/>
      <c r="AB147" s="1515"/>
      <c r="AC147" s="1515"/>
      <c r="AD147" s="1515"/>
      <c r="AE147" s="1515"/>
      <c r="AF147" s="1515"/>
      <c r="AG147" s="1515"/>
      <c r="AH147" s="1515"/>
      <c r="AI147" s="1515">
        <f t="shared" si="80"/>
        <v>0</v>
      </c>
    </row>
    <row r="148" spans="1:35" ht="10.5" x14ac:dyDescent="0.25">
      <c r="A148" s="1681"/>
      <c r="B148" s="1500">
        <v>16</v>
      </c>
      <c r="C148" s="1590" t="s">
        <v>346</v>
      </c>
      <c r="D148" s="1501"/>
      <c r="E148" s="1502"/>
      <c r="F148" s="1502"/>
      <c r="G148" s="1502"/>
      <c r="H148" s="1502"/>
      <c r="I148" s="1502"/>
      <c r="J148" s="1502"/>
      <c r="K148" s="1502"/>
      <c r="L148" s="1591"/>
      <c r="M148" s="1504"/>
      <c r="N148" s="1505"/>
      <c r="R148" s="1506"/>
      <c r="S148" s="1506"/>
      <c r="T148" s="1506"/>
      <c r="U148" s="1506"/>
      <c r="V148" s="1506"/>
      <c r="W148" s="1507"/>
      <c r="X148" s="1507"/>
      <c r="Y148" s="1507"/>
      <c r="Z148" s="1507"/>
      <c r="AA148" s="1507"/>
      <c r="AB148" s="1507"/>
      <c r="AC148" s="1507"/>
      <c r="AD148" s="1507"/>
      <c r="AE148" s="1507"/>
      <c r="AF148" s="1507"/>
      <c r="AG148" s="1507"/>
      <c r="AH148" s="1507"/>
      <c r="AI148" s="1507"/>
    </row>
    <row r="149" spans="1:35" s="1556" customFormat="1" ht="10.5" outlineLevel="1" x14ac:dyDescent="0.25">
      <c r="A149" s="1682"/>
      <c r="B149" s="1510"/>
      <c r="C149" s="1658"/>
      <c r="D149" s="1553"/>
      <c r="E149" s="1554"/>
      <c r="F149" s="1592"/>
      <c r="G149" s="1519"/>
      <c r="H149" s="1592"/>
      <c r="I149" s="1519"/>
      <c r="J149" s="1519"/>
      <c r="K149" s="1519"/>
      <c r="L149" s="1593"/>
      <c r="M149" s="1562"/>
      <c r="N149" s="1576"/>
      <c r="R149" s="1515"/>
      <c r="S149" s="1515"/>
      <c r="T149" s="1515"/>
      <c r="U149" s="1515"/>
      <c r="V149" s="1515"/>
      <c r="W149" s="1515"/>
      <c r="X149" s="1515"/>
      <c r="Y149" s="1515"/>
      <c r="Z149" s="1515"/>
      <c r="AA149" s="1515"/>
      <c r="AB149" s="1515"/>
      <c r="AC149" s="1515"/>
      <c r="AD149" s="1515"/>
      <c r="AE149" s="1515"/>
      <c r="AF149" s="1515"/>
      <c r="AG149" s="1515"/>
      <c r="AH149" s="1515"/>
      <c r="AI149" s="1515">
        <f t="shared" si="80"/>
        <v>0</v>
      </c>
    </row>
    <row r="150" spans="1:35" s="1556" customFormat="1" ht="10.5" x14ac:dyDescent="0.25">
      <c r="A150" s="1681"/>
      <c r="B150" s="1500">
        <v>17</v>
      </c>
      <c r="C150" s="1590" t="s">
        <v>347</v>
      </c>
      <c r="D150" s="1501"/>
      <c r="E150" s="1502"/>
      <c r="F150" s="1502"/>
      <c r="G150" s="1526">
        <f>SUM(G151:G154)</f>
        <v>365054.15705220005</v>
      </c>
      <c r="H150" s="1502"/>
      <c r="I150" s="1527">
        <f>SUM(I151:I154)</f>
        <v>5369217.8191443682</v>
      </c>
      <c r="J150" s="1502"/>
      <c r="K150" s="1508">
        <f>SUM(K151:K154)</f>
        <v>40479.941246637471</v>
      </c>
      <c r="L150" s="1503">
        <f>SUM(L151:L154)</f>
        <v>5774751.9174432056</v>
      </c>
      <c r="M150" s="1504">
        <f>SUM(D150:K150)</f>
        <v>5774751.9174432056</v>
      </c>
      <c r="N150" s="895">
        <f>M150-'01'!T127</f>
        <v>0</v>
      </c>
      <c r="R150" s="1506"/>
      <c r="S150" s="1506"/>
      <c r="T150" s="1506"/>
      <c r="U150" s="1506"/>
      <c r="V150" s="1506"/>
      <c r="W150" s="1507"/>
      <c r="X150" s="1507"/>
      <c r="Y150" s="1507"/>
      <c r="Z150" s="1507"/>
      <c r="AA150" s="1507"/>
      <c r="AB150" s="1507"/>
      <c r="AC150" s="1507"/>
      <c r="AD150" s="1507"/>
      <c r="AE150" s="1507"/>
      <c r="AF150" s="1507"/>
      <c r="AG150" s="1507"/>
      <c r="AH150" s="1507"/>
      <c r="AI150" s="1507"/>
    </row>
    <row r="151" spans="1:35" s="1556" customFormat="1" ht="10.5" outlineLevel="1" x14ac:dyDescent="0.25">
      <c r="A151" s="1682" t="s">
        <v>113</v>
      </c>
      <c r="B151" s="1510">
        <f>+B150+0.01</f>
        <v>17.010000000000002</v>
      </c>
      <c r="C151" s="1666" t="s">
        <v>1034</v>
      </c>
      <c r="D151" s="1594" t="s">
        <v>111</v>
      </c>
      <c r="E151" s="1554">
        <v>47</v>
      </c>
      <c r="F151" s="1519">
        <f>VLOOKUP($C151,'01'!$C$7:$M$216,MATCH("P. Unit. MAT",'01'!$C$7:$M$7,0),0)</f>
        <v>3816.1086480000004</v>
      </c>
      <c r="G151" s="1519">
        <f t="shared" ref="G151:G154" si="81">F151*$E151</f>
        <v>179357.10645600001</v>
      </c>
      <c r="H151" s="1519">
        <f>VLOOKUP($C151,'01'!$C$7:$M$216,MATCH("P. Unit. MO",'01'!$C$7:$M$7,0),0)</f>
        <v>46892.732044928976</v>
      </c>
      <c r="I151" s="1519">
        <f t="shared" ref="I151:I154" si="82">H151*$E151</f>
        <v>2203958.4061116618</v>
      </c>
      <c r="J151" s="1519">
        <f>VLOOKUP($C151,'01'!$C$7:$M$216,MATCH("P. Unit. EQ",'01'!$C$7:$M$7,0),0)</f>
        <v>394.92625606475576</v>
      </c>
      <c r="K151" s="1519">
        <f t="shared" ref="K151:K154" si="83">J151*$E151</f>
        <v>18561.534035043522</v>
      </c>
      <c r="L151" s="1519">
        <f t="shared" ref="L151:L154" si="84">SUM(G151,I151,K151)</f>
        <v>2401877.046602705</v>
      </c>
      <c r="M151" s="1566"/>
      <c r="N151" s="1505"/>
      <c r="R151" s="1515"/>
      <c r="S151" s="1515"/>
      <c r="T151" s="1515"/>
      <c r="U151" s="1515"/>
      <c r="V151" s="1515"/>
      <c r="W151" s="1515"/>
      <c r="X151" s="1515"/>
      <c r="Y151" s="1515"/>
      <c r="Z151" s="1515"/>
      <c r="AA151" s="1515"/>
      <c r="AB151" s="1515"/>
      <c r="AC151" s="1515"/>
      <c r="AD151" s="1515"/>
      <c r="AE151" s="1515"/>
      <c r="AF151" s="1515"/>
      <c r="AG151" s="1515"/>
      <c r="AH151" s="1515"/>
      <c r="AI151" s="1515">
        <f t="shared" ref="AI151:AI154" si="85">SUM(S151:AH151)</f>
        <v>0</v>
      </c>
    </row>
    <row r="152" spans="1:35" s="1556" customFormat="1" ht="10.5" outlineLevel="1" x14ac:dyDescent="0.25">
      <c r="A152" s="1683" t="s">
        <v>113</v>
      </c>
      <c r="B152" s="1516">
        <v>17.02</v>
      </c>
      <c r="C152" s="1667" t="s">
        <v>1035</v>
      </c>
      <c r="D152" s="1595" t="s">
        <v>111</v>
      </c>
      <c r="E152" s="1530">
        <v>23</v>
      </c>
      <c r="F152" s="1519">
        <f>VLOOKUP($C152,'01'!$C$7:$M$216,MATCH("P. Unit. MAT",'01'!$C$7:$M$7,0),0)</f>
        <v>3816.1086480000004</v>
      </c>
      <c r="G152" s="1519">
        <f t="shared" si="81"/>
        <v>87770.498904000007</v>
      </c>
      <c r="H152" s="1519">
        <f>VLOOKUP($C152,'01'!$C$7:$M$216,MATCH("P. Unit. MO",'01'!$C$7:$M$7,0),0)</f>
        <v>46892.732044928976</v>
      </c>
      <c r="I152" s="1519">
        <f t="shared" si="82"/>
        <v>1078532.8370333666</v>
      </c>
      <c r="J152" s="1519">
        <f>VLOOKUP($C152,'01'!$C$7:$M$216,MATCH("P. Unit. EQ",'01'!$C$7:$M$7,0),0)</f>
        <v>394.92625606475576</v>
      </c>
      <c r="K152" s="1519">
        <f t="shared" si="83"/>
        <v>9083.3038894893834</v>
      </c>
      <c r="L152" s="1519">
        <f t="shared" si="84"/>
        <v>1175386.6398268561</v>
      </c>
      <c r="M152" s="1566"/>
      <c r="N152" s="1505"/>
      <c r="R152" s="1515"/>
      <c r="S152" s="1515"/>
      <c r="T152" s="1515"/>
      <c r="U152" s="1515"/>
      <c r="V152" s="1515"/>
      <c r="W152" s="1515"/>
      <c r="X152" s="1515"/>
      <c r="Y152" s="1515"/>
      <c r="Z152" s="1515"/>
      <c r="AA152" s="1515"/>
      <c r="AB152" s="1515"/>
      <c r="AC152" s="1515"/>
      <c r="AD152" s="1515"/>
      <c r="AE152" s="1515"/>
      <c r="AF152" s="1515"/>
      <c r="AG152" s="1515"/>
      <c r="AH152" s="1515"/>
      <c r="AI152" s="1515">
        <f t="shared" si="85"/>
        <v>0</v>
      </c>
    </row>
    <row r="153" spans="1:35" s="1556" customFormat="1" ht="10.5" outlineLevel="1" x14ac:dyDescent="0.25">
      <c r="A153" s="1683" t="s">
        <v>113</v>
      </c>
      <c r="B153" s="1516">
        <v>17.03</v>
      </c>
      <c r="C153" s="1667" t="s">
        <v>1036</v>
      </c>
      <c r="D153" s="1595" t="s">
        <v>111</v>
      </c>
      <c r="E153" s="1530">
        <v>51</v>
      </c>
      <c r="F153" s="1519">
        <f>VLOOKUP($C153,'01'!$C$7:$M$216,MATCH("P. Unit. MAT",'01'!$C$7:$M$7,0),0)</f>
        <v>1396.3488462000003</v>
      </c>
      <c r="G153" s="1519">
        <f t="shared" si="81"/>
        <v>71213.791156200008</v>
      </c>
      <c r="H153" s="1519">
        <f>VLOOKUP($C153,'01'!$C$7:$M$216,MATCH("P. Unit. MO",'01'!$C$7:$M$7,0),0)</f>
        <v>31261.821363285984</v>
      </c>
      <c r="I153" s="1519">
        <f t="shared" si="82"/>
        <v>1594352.8895275851</v>
      </c>
      <c r="J153" s="1519">
        <f>VLOOKUP($C153,'01'!$C$7:$M$216,MATCH("P. Unit. EQ",'01'!$C$7:$M$7,0),0)</f>
        <v>197.46312803237788</v>
      </c>
      <c r="K153" s="1519">
        <f t="shared" si="83"/>
        <v>10070.619529651272</v>
      </c>
      <c r="L153" s="1519">
        <f t="shared" si="84"/>
        <v>1675637.3002134364</v>
      </c>
      <c r="M153" s="1566"/>
      <c r="N153" s="1505"/>
      <c r="R153" s="1515"/>
      <c r="S153" s="1515"/>
      <c r="T153" s="1515"/>
      <c r="U153" s="1515"/>
      <c r="V153" s="1515"/>
      <c r="W153" s="1515"/>
      <c r="X153" s="1515"/>
      <c r="Y153" s="1515"/>
      <c r="Z153" s="1515"/>
      <c r="AA153" s="1515"/>
      <c r="AB153" s="1515"/>
      <c r="AC153" s="1515"/>
      <c r="AD153" s="1515"/>
      <c r="AE153" s="1515"/>
      <c r="AF153" s="1515"/>
      <c r="AG153" s="1515"/>
      <c r="AH153" s="1515"/>
      <c r="AI153" s="1515">
        <f t="shared" si="85"/>
        <v>0</v>
      </c>
    </row>
    <row r="154" spans="1:35" s="1556" customFormat="1" ht="31.5" outlineLevel="1" x14ac:dyDescent="0.25">
      <c r="A154" s="1687" t="s">
        <v>113</v>
      </c>
      <c r="B154" s="1573">
        <v>17.04</v>
      </c>
      <c r="C154" s="1659" t="s">
        <v>1037</v>
      </c>
      <c r="D154" s="1557" t="s">
        <v>111</v>
      </c>
      <c r="E154" s="1537">
        <v>7</v>
      </c>
      <c r="F154" s="1519">
        <f>VLOOKUP($C154,'01'!$C$7:$M$216,MATCH("P. Unit. MAT",'01'!$C$7:$M$7,0),0)</f>
        <v>3816.1086480000004</v>
      </c>
      <c r="G154" s="1519">
        <f t="shared" si="81"/>
        <v>26712.760536000002</v>
      </c>
      <c r="H154" s="1519">
        <f>VLOOKUP($C154,'01'!$C$7:$M$216,MATCH("P. Unit. MO",'01'!$C$7:$M$7,0),0)</f>
        <v>70339.098067393468</v>
      </c>
      <c r="I154" s="1519">
        <f t="shared" si="82"/>
        <v>492373.68647175428</v>
      </c>
      <c r="J154" s="1519">
        <f>VLOOKUP($C154,'01'!$C$7:$M$216,MATCH("P. Unit. EQ",'01'!$C$7:$M$7,0),0)</f>
        <v>394.92625606475576</v>
      </c>
      <c r="K154" s="1519">
        <f t="shared" si="83"/>
        <v>2764.4837924532903</v>
      </c>
      <c r="L154" s="1519">
        <f t="shared" si="84"/>
        <v>521850.9308002076</v>
      </c>
      <c r="M154" s="1566"/>
      <c r="N154" s="1505"/>
      <c r="R154" s="1515"/>
      <c r="S154" s="1515"/>
      <c r="T154" s="1515"/>
      <c r="U154" s="1515"/>
      <c r="V154" s="1515"/>
      <c r="W154" s="1515"/>
      <c r="X154" s="1515"/>
      <c r="Y154" s="1515"/>
      <c r="Z154" s="1515"/>
      <c r="AA154" s="1515"/>
      <c r="AB154" s="1515"/>
      <c r="AC154" s="1515"/>
      <c r="AD154" s="1515"/>
      <c r="AE154" s="1515"/>
      <c r="AF154" s="1515"/>
      <c r="AG154" s="1515"/>
      <c r="AH154" s="1515"/>
      <c r="AI154" s="1515">
        <f t="shared" si="85"/>
        <v>0</v>
      </c>
    </row>
    <row r="155" spans="1:35" ht="10.5" x14ac:dyDescent="0.25">
      <c r="A155" s="1681"/>
      <c r="B155" s="1500">
        <v>18</v>
      </c>
      <c r="C155" s="1590" t="s">
        <v>129</v>
      </c>
      <c r="D155" s="1501"/>
      <c r="E155" s="1502"/>
      <c r="F155" s="1502"/>
      <c r="G155" s="1526">
        <f>SUM(G156:G185)</f>
        <v>31495173.240417514</v>
      </c>
      <c r="H155" s="1502"/>
      <c r="I155" s="1527">
        <f>SUM(I156:I185)</f>
        <v>45473990.6439339</v>
      </c>
      <c r="J155" s="1502"/>
      <c r="K155" s="1508">
        <f>SUM(K156:K185)</f>
        <v>2017549.3871701437</v>
      </c>
      <c r="L155" s="1503">
        <f>SUM(L156:L185)</f>
        <v>78986713.271521568</v>
      </c>
      <c r="M155" s="1504">
        <f>SUM(D155:K155)</f>
        <v>78986713.271521568</v>
      </c>
      <c r="N155" s="895">
        <f>M155-'01'!T132</f>
        <v>0</v>
      </c>
      <c r="R155" s="1506"/>
      <c r="S155" s="1506"/>
      <c r="T155" s="1506"/>
      <c r="U155" s="1506"/>
      <c r="V155" s="1506"/>
      <c r="W155" s="1507"/>
      <c r="X155" s="1507"/>
      <c r="Y155" s="1507"/>
      <c r="Z155" s="1507"/>
      <c r="AA155" s="1507"/>
      <c r="AB155" s="1507"/>
      <c r="AC155" s="1507"/>
      <c r="AD155" s="1507"/>
      <c r="AE155" s="1507"/>
      <c r="AF155" s="1507"/>
      <c r="AG155" s="1507"/>
      <c r="AH155" s="1507"/>
      <c r="AI155" s="1507"/>
    </row>
    <row r="156" spans="1:35" ht="10.5" outlineLevel="1" x14ac:dyDescent="0.25">
      <c r="A156" s="1682" t="s">
        <v>130</v>
      </c>
      <c r="B156" s="1597">
        <f>+B155+0.01</f>
        <v>18.010000000000002</v>
      </c>
      <c r="C156" s="1668" t="s">
        <v>348</v>
      </c>
      <c r="D156" s="1598" t="s">
        <v>111</v>
      </c>
      <c r="E156" s="1599">
        <v>392</v>
      </c>
      <c r="F156" s="1519">
        <f>VLOOKUP($C156,'01'!$C$7:$M$216,MATCH("P. Unit. MAT",'01'!$C$7:$M$7,0),0)</f>
        <v>13184.711802349999</v>
      </c>
      <c r="G156" s="1519">
        <f t="shared" ref="G156:G185" si="86">F156*$E156</f>
        <v>5168407.0265211994</v>
      </c>
      <c r="H156" s="1519">
        <f>VLOOKUP($C156,'01'!$C$7:$M$216,MATCH("P. Unit. MO",'01'!$C$7:$M$7,0),0)</f>
        <v>32886.699999999997</v>
      </c>
      <c r="I156" s="1519">
        <f t="shared" ref="I156:I185" si="87">H156*$E156</f>
        <v>12891586.399999999</v>
      </c>
      <c r="J156" s="1519">
        <f>VLOOKUP($C156,'01'!$C$7:$M$216,MATCH("P. Unit. EQ",'01'!$C$7:$M$7,0),0)</f>
        <v>1623.6466772663525</v>
      </c>
      <c r="K156" s="1519">
        <f t="shared" ref="K156:K185" si="88">J156*$E156</f>
        <v>636469.49748841021</v>
      </c>
      <c r="L156" s="1519">
        <f t="shared" ref="L156:L185" si="89">SUM(G156,I156,K156)</f>
        <v>18696462.924009606</v>
      </c>
      <c r="N156" s="1505"/>
      <c r="R156" s="1515"/>
      <c r="S156" s="1515"/>
      <c r="T156" s="1515"/>
      <c r="U156" s="1515"/>
      <c r="V156" s="1515"/>
      <c r="W156" s="1515"/>
      <c r="X156" s="1515"/>
      <c r="Y156" s="1515"/>
      <c r="Z156" s="1515"/>
      <c r="AA156" s="1515"/>
      <c r="AB156" s="1515"/>
      <c r="AC156" s="1515"/>
      <c r="AD156" s="1515"/>
      <c r="AE156" s="1515"/>
      <c r="AF156" s="1515"/>
      <c r="AG156" s="1515"/>
      <c r="AH156" s="1515"/>
      <c r="AI156" s="1515">
        <f t="shared" ref="AI156:AI185" si="90">SUM(S156:AH156)</f>
        <v>0</v>
      </c>
    </row>
    <row r="157" spans="1:35" ht="10.5" outlineLevel="1" x14ac:dyDescent="0.25">
      <c r="A157" s="1683" t="s">
        <v>130</v>
      </c>
      <c r="B157" s="1600">
        <v>18.02</v>
      </c>
      <c r="C157" s="1543" t="s">
        <v>349</v>
      </c>
      <c r="D157" s="1601" t="s">
        <v>111</v>
      </c>
      <c r="E157" s="1602">
        <v>19</v>
      </c>
      <c r="F157" s="1519">
        <f>VLOOKUP($C157,'01'!$C$7:$M$216,MATCH("P. Unit. MAT",'01'!$C$7:$M$7,0),0)</f>
        <v>13184.711802349999</v>
      </c>
      <c r="G157" s="1519">
        <f t="shared" si="86"/>
        <v>250509.52424464998</v>
      </c>
      <c r="H157" s="1519">
        <f>VLOOKUP($C157,'01'!$C$7:$M$216,MATCH("P. Unit. MO",'01'!$C$7:$M$7,0),0)</f>
        <v>32886.699999999997</v>
      </c>
      <c r="I157" s="1519">
        <f t="shared" si="87"/>
        <v>624847.29999999993</v>
      </c>
      <c r="J157" s="1519">
        <f>VLOOKUP($C157,'01'!$C$7:$M$216,MATCH("P. Unit. EQ",'01'!$C$7:$M$7,0),0)</f>
        <v>1623.6466772663525</v>
      </c>
      <c r="K157" s="1519">
        <f t="shared" si="88"/>
        <v>30849.286868060699</v>
      </c>
      <c r="L157" s="1519">
        <f t="shared" si="89"/>
        <v>906206.11111271055</v>
      </c>
      <c r="N157" s="1505"/>
      <c r="R157" s="1515"/>
      <c r="S157" s="1515"/>
      <c r="T157" s="1515"/>
      <c r="U157" s="1515"/>
      <c r="V157" s="1515"/>
      <c r="W157" s="1515"/>
      <c r="X157" s="1515"/>
      <c r="Y157" s="1515"/>
      <c r="Z157" s="1515"/>
      <c r="AA157" s="1515"/>
      <c r="AB157" s="1515"/>
      <c r="AC157" s="1515"/>
      <c r="AD157" s="1515"/>
      <c r="AE157" s="1515"/>
      <c r="AF157" s="1515"/>
      <c r="AG157" s="1515"/>
      <c r="AH157" s="1515"/>
      <c r="AI157" s="1515">
        <f t="shared" si="90"/>
        <v>0</v>
      </c>
    </row>
    <row r="158" spans="1:35" ht="10.5" outlineLevel="1" x14ac:dyDescent="0.25">
      <c r="A158" s="1683" t="s">
        <v>130</v>
      </c>
      <c r="B158" s="1600">
        <v>18.03</v>
      </c>
      <c r="C158" s="1543" t="s">
        <v>350</v>
      </c>
      <c r="D158" s="1601" t="s">
        <v>111</v>
      </c>
      <c r="E158" s="1602">
        <v>349</v>
      </c>
      <c r="F158" s="1519">
        <f>VLOOKUP($C158,'01'!$C$7:$M$216,MATCH("P. Unit. MAT",'01'!$C$7:$M$7,0),0)</f>
        <v>11193.920501279999</v>
      </c>
      <c r="G158" s="1519">
        <f t="shared" si="86"/>
        <v>3906678.2549467199</v>
      </c>
      <c r="H158" s="1519">
        <f>VLOOKUP($C158,'01'!$C$7:$M$216,MATCH("P. Unit. MO",'01'!$C$7:$M$7,0),0)</f>
        <v>32886.699999999997</v>
      </c>
      <c r="I158" s="1519">
        <f t="shared" si="87"/>
        <v>11477458.299999999</v>
      </c>
      <c r="J158" s="1519">
        <f>VLOOKUP($C158,'01'!$C$7:$M$216,MATCH("P. Unit. EQ",'01'!$C$7:$M$7,0),0)</f>
        <v>1623.6466772663525</v>
      </c>
      <c r="K158" s="1519">
        <f t="shared" si="88"/>
        <v>566652.69036595698</v>
      </c>
      <c r="L158" s="1519">
        <f t="shared" si="89"/>
        <v>15950789.245312676</v>
      </c>
      <c r="N158" s="1505"/>
      <c r="R158" s="1515"/>
      <c r="S158" s="1515"/>
      <c r="T158" s="1515"/>
      <c r="U158" s="1515"/>
      <c r="V158" s="1515"/>
      <c r="W158" s="1515"/>
      <c r="X158" s="1515"/>
      <c r="Y158" s="1515"/>
      <c r="Z158" s="1515"/>
      <c r="AA158" s="1515"/>
      <c r="AB158" s="1515"/>
      <c r="AC158" s="1515"/>
      <c r="AD158" s="1515"/>
      <c r="AE158" s="1515"/>
      <c r="AF158" s="1515"/>
      <c r="AG158" s="1515"/>
      <c r="AH158" s="1515"/>
      <c r="AI158" s="1515">
        <f t="shared" si="90"/>
        <v>0</v>
      </c>
    </row>
    <row r="159" spans="1:35" ht="10.5" outlineLevel="1" x14ac:dyDescent="0.25">
      <c r="A159" s="1688" t="s">
        <v>130</v>
      </c>
      <c r="B159" s="1603">
        <v>18.04</v>
      </c>
      <c r="C159" s="1543" t="s">
        <v>351</v>
      </c>
      <c r="D159" s="1601" t="s">
        <v>111</v>
      </c>
      <c r="E159" s="1602">
        <v>35</v>
      </c>
      <c r="F159" s="1519">
        <f>VLOOKUP($C159,'01'!$C$7:$M$216,MATCH("P. Unit. MAT",'01'!$C$7:$M$7,0),0)</f>
        <v>16790.880751919998</v>
      </c>
      <c r="G159" s="1519">
        <f t="shared" si="86"/>
        <v>587680.82631719997</v>
      </c>
      <c r="H159" s="1519">
        <f>VLOOKUP($C159,'01'!$C$7:$M$216,MATCH("P. Unit. MO",'01'!$C$7:$M$7,0),0)</f>
        <v>32886.699999999997</v>
      </c>
      <c r="I159" s="1519">
        <f t="shared" si="87"/>
        <v>1151034.5</v>
      </c>
      <c r="J159" s="1519">
        <f>VLOOKUP($C159,'01'!$C$7:$M$216,MATCH("P. Unit. EQ",'01'!$C$7:$M$7,0),0)</f>
        <v>1623.6466772663525</v>
      </c>
      <c r="K159" s="1519">
        <f t="shared" si="88"/>
        <v>56827.633704322339</v>
      </c>
      <c r="L159" s="1519">
        <f t="shared" si="89"/>
        <v>1795542.9600215224</v>
      </c>
      <c r="N159" s="1505"/>
      <c r="R159" s="1515"/>
      <c r="S159" s="1515"/>
      <c r="T159" s="1515"/>
      <c r="U159" s="1515"/>
      <c r="V159" s="1515"/>
      <c r="W159" s="1515"/>
      <c r="X159" s="1515"/>
      <c r="Y159" s="1515"/>
      <c r="Z159" s="1515"/>
      <c r="AA159" s="1515"/>
      <c r="AB159" s="1515"/>
      <c r="AC159" s="1515"/>
      <c r="AD159" s="1515"/>
      <c r="AE159" s="1515"/>
      <c r="AF159" s="1515"/>
      <c r="AG159" s="1515"/>
      <c r="AH159" s="1515"/>
      <c r="AI159" s="1515">
        <f t="shared" si="90"/>
        <v>0</v>
      </c>
    </row>
    <row r="160" spans="1:35" ht="10.5" outlineLevel="1" x14ac:dyDescent="0.25">
      <c r="A160" s="1683" t="s">
        <v>130</v>
      </c>
      <c r="B160" s="1600">
        <v>18.05</v>
      </c>
      <c r="C160" s="1543" t="s">
        <v>352</v>
      </c>
      <c r="D160" s="1601" t="s">
        <v>111</v>
      </c>
      <c r="E160" s="1602">
        <v>16</v>
      </c>
      <c r="F160" s="1519">
        <f>VLOOKUP($C160,'01'!$C$7:$M$216,MATCH("P. Unit. MAT",'01'!$C$7:$M$7,0),0)</f>
        <v>11193.920501279999</v>
      </c>
      <c r="G160" s="1519">
        <f t="shared" si="86"/>
        <v>179102.72802047999</v>
      </c>
      <c r="H160" s="1519">
        <f>VLOOKUP($C160,'01'!$C$7:$M$216,MATCH("P. Unit. MO",'01'!$C$7:$M$7,0),0)</f>
        <v>32886.699999999997</v>
      </c>
      <c r="I160" s="1519">
        <f t="shared" si="87"/>
        <v>526187.19999999995</v>
      </c>
      <c r="J160" s="1519">
        <f>VLOOKUP($C160,'01'!$C$7:$M$216,MATCH("P. Unit. EQ",'01'!$C$7:$M$7,0),0)</f>
        <v>1623.6466772663525</v>
      </c>
      <c r="K160" s="1519">
        <f t="shared" si="88"/>
        <v>25978.34683626164</v>
      </c>
      <c r="L160" s="1519">
        <f t="shared" si="89"/>
        <v>731268.27485674166</v>
      </c>
      <c r="N160" s="1505"/>
      <c r="R160" s="1515"/>
      <c r="S160" s="1515"/>
      <c r="T160" s="1515"/>
      <c r="U160" s="1515"/>
      <c r="V160" s="1515"/>
      <c r="W160" s="1515"/>
      <c r="X160" s="1515"/>
      <c r="Y160" s="1515"/>
      <c r="Z160" s="1515"/>
      <c r="AA160" s="1515"/>
      <c r="AB160" s="1515"/>
      <c r="AC160" s="1515"/>
      <c r="AD160" s="1515"/>
      <c r="AE160" s="1515"/>
      <c r="AF160" s="1515"/>
      <c r="AG160" s="1515"/>
      <c r="AH160" s="1515"/>
      <c r="AI160" s="1515">
        <f t="shared" si="90"/>
        <v>0</v>
      </c>
    </row>
    <row r="161" spans="1:35" ht="10.5" outlineLevel="1" x14ac:dyDescent="0.25">
      <c r="A161" s="1688" t="s">
        <v>130</v>
      </c>
      <c r="B161" s="1603">
        <v>18.059999999999999</v>
      </c>
      <c r="C161" s="1543" t="s">
        <v>1038</v>
      </c>
      <c r="D161" s="1601" t="s">
        <v>111</v>
      </c>
      <c r="E161" s="1602">
        <v>16</v>
      </c>
      <c r="F161" s="1519">
        <f>VLOOKUP($C161,'01'!$C$7:$M$216,MATCH("P. Unit. MAT",'01'!$C$7:$M$7,0),0)</f>
        <v>11193.920501279999</v>
      </c>
      <c r="G161" s="1519">
        <f t="shared" si="86"/>
        <v>179102.72802047999</v>
      </c>
      <c r="H161" s="1519">
        <f>VLOOKUP($C161,'01'!$C$7:$M$216,MATCH("P. Unit. MO",'01'!$C$7:$M$7,0),0)</f>
        <v>32886.699999999997</v>
      </c>
      <c r="I161" s="1519">
        <f t="shared" si="87"/>
        <v>526187.19999999995</v>
      </c>
      <c r="J161" s="1519">
        <f>VLOOKUP($C161,'01'!$C$7:$M$216,MATCH("P. Unit. EQ",'01'!$C$7:$M$7,0),0)</f>
        <v>1623.6466772663525</v>
      </c>
      <c r="K161" s="1519">
        <f t="shared" si="88"/>
        <v>25978.34683626164</v>
      </c>
      <c r="L161" s="1519">
        <f t="shared" si="89"/>
        <v>731268.27485674166</v>
      </c>
      <c r="N161" s="1505"/>
      <c r="R161" s="1515"/>
      <c r="S161" s="1515"/>
      <c r="T161" s="1515"/>
      <c r="U161" s="1515"/>
      <c r="V161" s="1515"/>
      <c r="W161" s="1515"/>
      <c r="X161" s="1515"/>
      <c r="Y161" s="1515"/>
      <c r="Z161" s="1515"/>
      <c r="AA161" s="1515"/>
      <c r="AB161" s="1515"/>
      <c r="AC161" s="1515"/>
      <c r="AD161" s="1515"/>
      <c r="AE161" s="1515"/>
      <c r="AF161" s="1515"/>
      <c r="AG161" s="1515"/>
      <c r="AH161" s="1515"/>
      <c r="AI161" s="1515">
        <f t="shared" si="90"/>
        <v>0</v>
      </c>
    </row>
    <row r="162" spans="1:35" ht="10.5" outlineLevel="1" x14ac:dyDescent="0.25">
      <c r="A162" s="1683" t="s">
        <v>130</v>
      </c>
      <c r="B162" s="1600">
        <v>18.07</v>
      </c>
      <c r="C162" s="1543" t="s">
        <v>353</v>
      </c>
      <c r="D162" s="1601" t="s">
        <v>111</v>
      </c>
      <c r="E162" s="1602">
        <v>46</v>
      </c>
      <c r="F162" s="1519">
        <f>VLOOKUP($C162,'01'!$C$7:$M$216,MATCH("P. Unit. MAT",'01'!$C$7:$M$7,0),0)</f>
        <v>9888.5338517624987</v>
      </c>
      <c r="G162" s="1519">
        <f t="shared" si="86"/>
        <v>454872.55718107492</v>
      </c>
      <c r="H162" s="1519">
        <f>VLOOKUP($C162,'01'!$C$7:$M$216,MATCH("P. Unit. MO",'01'!$C$7:$M$7,0),0)</f>
        <v>22868.3</v>
      </c>
      <c r="I162" s="1519">
        <f t="shared" si="87"/>
        <v>1051941.8</v>
      </c>
      <c r="J162" s="1519">
        <f>VLOOKUP($C162,'01'!$C$7:$M$216,MATCH("P. Unit. EQ",'01'!$C$7:$M$7,0),0)</f>
        <v>1623.6466772663525</v>
      </c>
      <c r="K162" s="1519">
        <f t="shared" si="88"/>
        <v>74687.747154252211</v>
      </c>
      <c r="L162" s="1519">
        <f t="shared" si="89"/>
        <v>1581502.1043353272</v>
      </c>
      <c r="N162" s="1505"/>
      <c r="R162" s="1515"/>
      <c r="S162" s="1515"/>
      <c r="T162" s="1515"/>
      <c r="U162" s="1515"/>
      <c r="V162" s="1515"/>
      <c r="W162" s="1515"/>
      <c r="X162" s="1515"/>
      <c r="Y162" s="1515"/>
      <c r="Z162" s="1515"/>
      <c r="AA162" s="1515"/>
      <c r="AB162" s="1515"/>
      <c r="AC162" s="1515"/>
      <c r="AD162" s="1515"/>
      <c r="AE162" s="1515"/>
      <c r="AF162" s="1515"/>
      <c r="AG162" s="1515"/>
      <c r="AH162" s="1515"/>
      <c r="AI162" s="1515">
        <f t="shared" si="90"/>
        <v>0</v>
      </c>
    </row>
    <row r="163" spans="1:35" ht="10.5" outlineLevel="1" x14ac:dyDescent="0.25">
      <c r="A163" s="1688" t="s">
        <v>130</v>
      </c>
      <c r="B163" s="1603">
        <v>18.079999999999998</v>
      </c>
      <c r="C163" s="1543" t="s">
        <v>354</v>
      </c>
      <c r="D163" s="1601" t="s">
        <v>111</v>
      </c>
      <c r="E163" s="1602">
        <v>17</v>
      </c>
      <c r="F163" s="1519">
        <f>VLOOKUP($C163,'01'!$C$7:$M$216,MATCH("P. Unit. MAT",'01'!$C$7:$M$7,0),0)</f>
        <v>9888.5338517624987</v>
      </c>
      <c r="G163" s="1519">
        <f t="shared" si="86"/>
        <v>168105.07547996248</v>
      </c>
      <c r="H163" s="1519">
        <f>VLOOKUP($C163,'01'!$C$7:$M$216,MATCH("P. Unit. MO",'01'!$C$7:$M$7,0),0)</f>
        <v>22868.3</v>
      </c>
      <c r="I163" s="1519">
        <f t="shared" si="87"/>
        <v>388761.1</v>
      </c>
      <c r="J163" s="1519">
        <f>VLOOKUP($C163,'01'!$C$7:$M$216,MATCH("P. Unit. EQ",'01'!$C$7:$M$7,0),0)</f>
        <v>1623.6466772663525</v>
      </c>
      <c r="K163" s="1519">
        <f t="shared" si="88"/>
        <v>27601.993513527992</v>
      </c>
      <c r="L163" s="1519">
        <f t="shared" si="89"/>
        <v>584468.16899349052</v>
      </c>
      <c r="N163" s="1505"/>
      <c r="R163" s="1515"/>
      <c r="S163" s="1515"/>
      <c r="T163" s="1515"/>
      <c r="U163" s="1515"/>
      <c r="V163" s="1515"/>
      <c r="W163" s="1515"/>
      <c r="X163" s="1515"/>
      <c r="Y163" s="1515"/>
      <c r="Z163" s="1515"/>
      <c r="AA163" s="1515"/>
      <c r="AB163" s="1515"/>
      <c r="AC163" s="1515"/>
      <c r="AD163" s="1515"/>
      <c r="AE163" s="1515"/>
      <c r="AF163" s="1515"/>
      <c r="AG163" s="1515"/>
      <c r="AH163" s="1515"/>
      <c r="AI163" s="1515">
        <f t="shared" si="90"/>
        <v>0</v>
      </c>
    </row>
    <row r="164" spans="1:35" ht="10.5" outlineLevel="1" x14ac:dyDescent="0.25">
      <c r="A164" s="1683" t="s">
        <v>130</v>
      </c>
      <c r="B164" s="1600">
        <v>18.09</v>
      </c>
      <c r="C164" s="1543" t="s">
        <v>355</v>
      </c>
      <c r="D164" s="1601" t="s">
        <v>111</v>
      </c>
      <c r="E164" s="1602">
        <v>11</v>
      </c>
      <c r="F164" s="1519">
        <f>VLOOKUP($C164,'01'!$C$7:$M$216,MATCH("P. Unit. MAT",'01'!$C$7:$M$7,0),0)</f>
        <v>9888.5338517624987</v>
      </c>
      <c r="G164" s="1519">
        <f t="shared" si="86"/>
        <v>108773.87236938748</v>
      </c>
      <c r="H164" s="1519">
        <f>VLOOKUP($C164,'01'!$C$7:$M$216,MATCH("P. Unit. MO",'01'!$C$7:$M$7,0),0)</f>
        <v>22868.3</v>
      </c>
      <c r="I164" s="1519">
        <f t="shared" si="87"/>
        <v>251551.3</v>
      </c>
      <c r="J164" s="1519">
        <f>VLOOKUP($C164,'01'!$C$7:$M$216,MATCH("P. Unit. EQ",'01'!$C$7:$M$7,0),0)</f>
        <v>1623.6466772663525</v>
      </c>
      <c r="K164" s="1519">
        <f t="shared" si="88"/>
        <v>17860.113449929879</v>
      </c>
      <c r="L164" s="1519">
        <f t="shared" si="89"/>
        <v>378185.28581931733</v>
      </c>
      <c r="N164" s="1505"/>
      <c r="R164" s="1515"/>
      <c r="S164" s="1515"/>
      <c r="T164" s="1515"/>
      <c r="U164" s="1515"/>
      <c r="V164" s="1515"/>
      <c r="W164" s="1515"/>
      <c r="X164" s="1515"/>
      <c r="Y164" s="1515"/>
      <c r="Z164" s="1515"/>
      <c r="AA164" s="1515"/>
      <c r="AB164" s="1515"/>
      <c r="AC164" s="1515"/>
      <c r="AD164" s="1515"/>
      <c r="AE164" s="1515"/>
      <c r="AF164" s="1515"/>
      <c r="AG164" s="1515"/>
      <c r="AH164" s="1515"/>
      <c r="AI164" s="1515">
        <f t="shared" si="90"/>
        <v>0</v>
      </c>
    </row>
    <row r="165" spans="1:35" ht="10.5" outlineLevel="1" x14ac:dyDescent="0.25">
      <c r="A165" s="1688" t="s">
        <v>130</v>
      </c>
      <c r="B165" s="1603">
        <v>18.100000000000001</v>
      </c>
      <c r="C165" s="1543" t="s">
        <v>356</v>
      </c>
      <c r="D165" s="1601" t="s">
        <v>111</v>
      </c>
      <c r="E165" s="1602">
        <v>1</v>
      </c>
      <c r="F165" s="1519">
        <f>VLOOKUP($C165,'01'!$C$7:$M$216,MATCH("P. Unit. MAT",'01'!$C$7:$M$7,0),0)</f>
        <v>1524162.9241119854</v>
      </c>
      <c r="G165" s="1519">
        <f t="shared" si="86"/>
        <v>1524162.9241119854</v>
      </c>
      <c r="H165" s="1519">
        <f>VLOOKUP($C165,'01'!$C$7:$M$216,MATCH("P. Unit. MO",'01'!$C$7:$M$7,0),0)</f>
        <v>329747.40000000002</v>
      </c>
      <c r="I165" s="1519">
        <f t="shared" si="87"/>
        <v>329747.40000000002</v>
      </c>
      <c r="J165" s="1519">
        <f>VLOOKUP($C165,'01'!$C$7:$M$216,MATCH("P. Unit. EQ",'01'!$C$7:$M$7,0),0)</f>
        <v>27808.654861679781</v>
      </c>
      <c r="K165" s="1519">
        <f t="shared" si="88"/>
        <v>27808.654861679781</v>
      </c>
      <c r="L165" s="1519">
        <f t="shared" si="89"/>
        <v>1881718.9789736653</v>
      </c>
      <c r="N165" s="1505"/>
      <c r="R165" s="1515"/>
      <c r="S165" s="1515"/>
      <c r="T165" s="1515"/>
      <c r="U165" s="1515"/>
      <c r="V165" s="1515"/>
      <c r="W165" s="1515"/>
      <c r="X165" s="1515"/>
      <c r="Y165" s="1515"/>
      <c r="Z165" s="1515"/>
      <c r="AA165" s="1515"/>
      <c r="AB165" s="1515"/>
      <c r="AC165" s="1515"/>
      <c r="AD165" s="1515"/>
      <c r="AE165" s="1515"/>
      <c r="AF165" s="1515"/>
      <c r="AG165" s="1515"/>
      <c r="AH165" s="1515"/>
      <c r="AI165" s="1515">
        <f t="shared" si="90"/>
        <v>0</v>
      </c>
    </row>
    <row r="166" spans="1:35" ht="10.5" outlineLevel="1" x14ac:dyDescent="0.25">
      <c r="A166" s="1683" t="s">
        <v>130</v>
      </c>
      <c r="B166" s="1600">
        <v>18.11</v>
      </c>
      <c r="C166" s="1543" t="s">
        <v>357</v>
      </c>
      <c r="D166" s="1601" t="s">
        <v>111</v>
      </c>
      <c r="E166" s="1602">
        <v>1</v>
      </c>
      <c r="F166" s="1519">
        <f>VLOOKUP($C166,'01'!$C$7:$M$216,MATCH("P. Unit. MAT",'01'!$C$7:$M$7,0),0)</f>
        <v>651921.59563010593</v>
      </c>
      <c r="G166" s="1519">
        <f t="shared" si="86"/>
        <v>651921.59563010593</v>
      </c>
      <c r="H166" s="1519">
        <f>VLOOKUP($C166,'01'!$C$7:$M$216,MATCH("P. Unit. MO",'01'!$C$7:$M$7,0),0)</f>
        <v>219841.65</v>
      </c>
      <c r="I166" s="1519">
        <f t="shared" si="87"/>
        <v>219841.65</v>
      </c>
      <c r="J166" s="1519">
        <f>VLOOKUP($C166,'01'!$C$7:$M$216,MATCH("P. Unit. EQ",'01'!$C$7:$M$7,0),0)</f>
        <v>13076.448684451589</v>
      </c>
      <c r="K166" s="1519">
        <f t="shared" si="88"/>
        <v>13076.448684451589</v>
      </c>
      <c r="L166" s="1519">
        <f t="shared" si="89"/>
        <v>884839.69431455759</v>
      </c>
      <c r="N166" s="1505"/>
      <c r="R166" s="1515"/>
      <c r="S166" s="1515"/>
      <c r="T166" s="1515"/>
      <c r="U166" s="1515"/>
      <c r="V166" s="1515"/>
      <c r="W166" s="1515"/>
      <c r="X166" s="1515"/>
      <c r="Y166" s="1515"/>
      <c r="Z166" s="1515"/>
      <c r="AA166" s="1515"/>
      <c r="AB166" s="1515"/>
      <c r="AC166" s="1515"/>
      <c r="AD166" s="1515"/>
      <c r="AE166" s="1515"/>
      <c r="AF166" s="1515"/>
      <c r="AG166" s="1515"/>
      <c r="AH166" s="1515"/>
      <c r="AI166" s="1515">
        <f t="shared" si="90"/>
        <v>0</v>
      </c>
    </row>
    <row r="167" spans="1:35" ht="10.5" outlineLevel="1" x14ac:dyDescent="0.25">
      <c r="A167" s="1688" t="s">
        <v>130</v>
      </c>
      <c r="B167" s="1603">
        <v>18.12</v>
      </c>
      <c r="C167" s="1543" t="s">
        <v>358</v>
      </c>
      <c r="D167" s="1601" t="s">
        <v>111</v>
      </c>
      <c r="E167" s="1602">
        <v>1</v>
      </c>
      <c r="F167" s="1519">
        <f>VLOOKUP($C167,'01'!$C$7:$M$216,MATCH("P. Unit. MAT",'01'!$C$7:$M$7,0),0)</f>
        <v>304564.37296813715</v>
      </c>
      <c r="G167" s="1519">
        <f t="shared" si="86"/>
        <v>304564.37296813715</v>
      </c>
      <c r="H167" s="1519">
        <f>VLOOKUP($C167,'01'!$C$7:$M$216,MATCH("P. Unit. MO",'01'!$C$7:$M$7,0),0)</f>
        <v>219841.65</v>
      </c>
      <c r="I167" s="1519">
        <f t="shared" si="87"/>
        <v>219841.65</v>
      </c>
      <c r="J167" s="1519">
        <f>VLOOKUP($C167,'01'!$C$7:$M$216,MATCH("P. Unit. EQ",'01'!$C$7:$M$7,0),0)</f>
        <v>7866.0903445220574</v>
      </c>
      <c r="K167" s="1519">
        <f t="shared" si="88"/>
        <v>7866.0903445220574</v>
      </c>
      <c r="L167" s="1519">
        <f t="shared" si="89"/>
        <v>532272.1133126592</v>
      </c>
      <c r="N167" s="1505"/>
      <c r="R167" s="1515"/>
      <c r="S167" s="1515"/>
      <c r="T167" s="1515"/>
      <c r="U167" s="1515"/>
      <c r="V167" s="1515"/>
      <c r="W167" s="1515"/>
      <c r="X167" s="1515"/>
      <c r="Y167" s="1515"/>
      <c r="Z167" s="1515"/>
      <c r="AA167" s="1515"/>
      <c r="AB167" s="1515"/>
      <c r="AC167" s="1515"/>
      <c r="AD167" s="1515"/>
      <c r="AE167" s="1515"/>
      <c r="AF167" s="1515"/>
      <c r="AG167" s="1515"/>
      <c r="AH167" s="1515"/>
      <c r="AI167" s="1515">
        <f t="shared" si="90"/>
        <v>0</v>
      </c>
    </row>
    <row r="168" spans="1:35" s="1604" customFormat="1" ht="10.5" outlineLevel="1" x14ac:dyDescent="0.25">
      <c r="A168" s="1683" t="s">
        <v>130</v>
      </c>
      <c r="B168" s="1600">
        <v>18.13</v>
      </c>
      <c r="C168" s="1543" t="s">
        <v>359</v>
      </c>
      <c r="D168" s="1601" t="s">
        <v>111</v>
      </c>
      <c r="E168" s="1602">
        <v>1</v>
      </c>
      <c r="F168" s="1519">
        <f>VLOOKUP($C168,'01'!$C$7:$M$216,MATCH("P. Unit. MAT",'01'!$C$7:$M$7,0),0)</f>
        <v>540706.66411583603</v>
      </c>
      <c r="G168" s="1519">
        <f t="shared" si="86"/>
        <v>540706.66411583603</v>
      </c>
      <c r="H168" s="1519">
        <f>VLOOKUP($C168,'01'!$C$7:$M$216,MATCH("P. Unit. MO",'01'!$C$7:$M$7,0),0)</f>
        <v>219841.65</v>
      </c>
      <c r="I168" s="1519">
        <f t="shared" si="87"/>
        <v>219841.65</v>
      </c>
      <c r="J168" s="1519">
        <f>VLOOKUP($C168,'01'!$C$7:$M$216,MATCH("P. Unit. EQ",'01'!$C$7:$M$7,0),0)</f>
        <v>11408.224711737541</v>
      </c>
      <c r="K168" s="1519">
        <f t="shared" si="88"/>
        <v>11408.224711737541</v>
      </c>
      <c r="L168" s="1519">
        <f t="shared" si="89"/>
        <v>771956.53882757365</v>
      </c>
      <c r="M168" s="1477"/>
      <c r="N168" s="1505"/>
      <c r="O168" s="1471"/>
      <c r="P168" s="1471"/>
      <c r="Q168" s="1471"/>
      <c r="R168" s="1515"/>
      <c r="S168" s="1515"/>
      <c r="T168" s="1515"/>
      <c r="U168" s="1515"/>
      <c r="V168" s="1515"/>
      <c r="W168" s="1515"/>
      <c r="X168" s="1515"/>
      <c r="Y168" s="1515"/>
      <c r="Z168" s="1515"/>
      <c r="AA168" s="1515"/>
      <c r="AB168" s="1515"/>
      <c r="AC168" s="1515"/>
      <c r="AD168" s="1515"/>
      <c r="AE168" s="1515"/>
      <c r="AF168" s="1515"/>
      <c r="AG168" s="1515"/>
      <c r="AH168" s="1515"/>
      <c r="AI168" s="1515">
        <f t="shared" si="90"/>
        <v>0</v>
      </c>
    </row>
    <row r="169" spans="1:35" s="1604" customFormat="1" ht="10.5" outlineLevel="1" x14ac:dyDescent="0.25">
      <c r="A169" s="1688" t="s">
        <v>130</v>
      </c>
      <c r="B169" s="1603">
        <v>18.14</v>
      </c>
      <c r="C169" s="1543" t="s">
        <v>360</v>
      </c>
      <c r="D169" s="1601" t="s">
        <v>111</v>
      </c>
      <c r="E169" s="1602">
        <v>1</v>
      </c>
      <c r="F169" s="1519">
        <f>VLOOKUP($C169,'01'!$C$7:$M$216,MATCH("P. Unit. MAT",'01'!$C$7:$M$7,0),0)</f>
        <v>178279.69798522911</v>
      </c>
      <c r="G169" s="1519">
        <f t="shared" si="86"/>
        <v>178279.69798522911</v>
      </c>
      <c r="H169" s="1519">
        <f>VLOOKUP($C169,'01'!$C$7:$M$216,MATCH("P. Unit. MO",'01'!$C$7:$M$7,0),0)</f>
        <v>219841.65</v>
      </c>
      <c r="I169" s="1519">
        <f t="shared" si="87"/>
        <v>219841.65</v>
      </c>
      <c r="J169" s="1519">
        <f>VLOOKUP($C169,'01'!$C$7:$M$216,MATCH("P. Unit. EQ",'01'!$C$7:$M$7,0),0)</f>
        <v>5971.8202197784367</v>
      </c>
      <c r="K169" s="1519">
        <f t="shared" si="88"/>
        <v>5971.8202197784367</v>
      </c>
      <c r="L169" s="1519">
        <f t="shared" si="89"/>
        <v>404093.16820500756</v>
      </c>
      <c r="M169" s="1477"/>
      <c r="N169" s="1505"/>
      <c r="O169" s="1471"/>
      <c r="P169" s="1471"/>
      <c r="Q169" s="1471"/>
      <c r="R169" s="1515"/>
      <c r="S169" s="1515"/>
      <c r="T169" s="1515"/>
      <c r="U169" s="1515"/>
      <c r="V169" s="1515"/>
      <c r="W169" s="1515"/>
      <c r="X169" s="1515"/>
      <c r="Y169" s="1515"/>
      <c r="Z169" s="1515"/>
      <c r="AA169" s="1515"/>
      <c r="AB169" s="1515"/>
      <c r="AC169" s="1515"/>
      <c r="AD169" s="1515"/>
      <c r="AE169" s="1515"/>
      <c r="AF169" s="1515"/>
      <c r="AG169" s="1515"/>
      <c r="AH169" s="1515"/>
      <c r="AI169" s="1515">
        <f t="shared" si="90"/>
        <v>0</v>
      </c>
    </row>
    <row r="170" spans="1:35" s="1604" customFormat="1" ht="10.5" outlineLevel="1" x14ac:dyDescent="0.25">
      <c r="A170" s="1683" t="s">
        <v>130</v>
      </c>
      <c r="B170" s="1600">
        <v>18.149999999999999</v>
      </c>
      <c r="C170" s="1543" t="s">
        <v>361</v>
      </c>
      <c r="D170" s="1601" t="s">
        <v>111</v>
      </c>
      <c r="E170" s="1602">
        <v>7</v>
      </c>
      <c r="F170" s="1519">
        <f>VLOOKUP($C170,'01'!$C$7:$M$216,MATCH("P. Unit. MAT",'01'!$C$7:$M$7,0),0)</f>
        <v>178279.69798522911</v>
      </c>
      <c r="G170" s="1519">
        <f t="shared" si="86"/>
        <v>1247957.8858966038</v>
      </c>
      <c r="H170" s="1519">
        <f>VLOOKUP($C170,'01'!$C$7:$M$216,MATCH("P. Unit. MO",'01'!$C$7:$M$7,0),0)</f>
        <v>219841.65</v>
      </c>
      <c r="I170" s="1519">
        <f t="shared" si="87"/>
        <v>1538891.55</v>
      </c>
      <c r="J170" s="1519">
        <f>VLOOKUP($C170,'01'!$C$7:$M$216,MATCH("P. Unit. EQ",'01'!$C$7:$M$7,0),0)</f>
        <v>5971.8202197784367</v>
      </c>
      <c r="K170" s="1519">
        <f t="shared" si="88"/>
        <v>41802.74153844906</v>
      </c>
      <c r="L170" s="1519">
        <f t="shared" si="89"/>
        <v>2828652.177435053</v>
      </c>
      <c r="M170" s="1477"/>
      <c r="N170" s="1505"/>
      <c r="O170" s="1471"/>
      <c r="P170" s="1471"/>
      <c r="Q170" s="1471"/>
      <c r="R170" s="1515"/>
      <c r="S170" s="1515"/>
      <c r="T170" s="1515"/>
      <c r="U170" s="1515"/>
      <c r="V170" s="1515"/>
      <c r="W170" s="1515"/>
      <c r="X170" s="1515"/>
      <c r="Y170" s="1515"/>
      <c r="Z170" s="1515"/>
      <c r="AA170" s="1515"/>
      <c r="AB170" s="1515"/>
      <c r="AC170" s="1515"/>
      <c r="AD170" s="1515"/>
      <c r="AE170" s="1515"/>
      <c r="AF170" s="1515"/>
      <c r="AG170" s="1515"/>
      <c r="AH170" s="1515"/>
      <c r="AI170" s="1515">
        <f t="shared" si="90"/>
        <v>0</v>
      </c>
    </row>
    <row r="171" spans="1:35" s="1604" customFormat="1" ht="10.5" outlineLevel="1" x14ac:dyDescent="0.25">
      <c r="A171" s="1688" t="s">
        <v>130</v>
      </c>
      <c r="B171" s="1603">
        <v>18.16</v>
      </c>
      <c r="C171" s="1543" t="s">
        <v>362</v>
      </c>
      <c r="D171" s="1601" t="s">
        <v>111</v>
      </c>
      <c r="E171" s="1602">
        <v>9</v>
      </c>
      <c r="F171" s="1519">
        <f>VLOOKUP($C171,'01'!$C$7:$M$216,MATCH("P. Unit. MAT",'01'!$C$7:$M$7,0),0)</f>
        <v>246945.70801345402</v>
      </c>
      <c r="G171" s="1519">
        <f t="shared" si="86"/>
        <v>2222511.3721210863</v>
      </c>
      <c r="H171" s="1519">
        <f>VLOOKUP($C171,'01'!$C$7:$M$216,MATCH("P. Unit. MO",'01'!$C$7:$M$7,0),0)</f>
        <v>219841.65</v>
      </c>
      <c r="I171" s="1519">
        <f t="shared" si="87"/>
        <v>1978574.8499999999</v>
      </c>
      <c r="J171" s="1519">
        <f>VLOOKUP($C171,'01'!$C$7:$M$216,MATCH("P. Unit. EQ",'01'!$C$7:$M$7,0),0)</f>
        <v>7001.8103702018097</v>
      </c>
      <c r="K171" s="1519">
        <f t="shared" si="88"/>
        <v>63016.29333181629</v>
      </c>
      <c r="L171" s="1519">
        <f t="shared" si="89"/>
        <v>4264102.5154529018</v>
      </c>
      <c r="M171" s="1477"/>
      <c r="N171" s="1505"/>
      <c r="O171" s="1471"/>
      <c r="P171" s="1471"/>
      <c r="Q171" s="1471"/>
      <c r="R171" s="1515"/>
      <c r="S171" s="1515"/>
      <c r="T171" s="1515"/>
      <c r="U171" s="1515"/>
      <c r="V171" s="1515"/>
      <c r="W171" s="1515"/>
      <c r="X171" s="1515"/>
      <c r="Y171" s="1515"/>
      <c r="Z171" s="1515"/>
      <c r="AA171" s="1515"/>
      <c r="AB171" s="1515"/>
      <c r="AC171" s="1515"/>
      <c r="AD171" s="1515"/>
      <c r="AE171" s="1515"/>
      <c r="AF171" s="1515"/>
      <c r="AG171" s="1515"/>
      <c r="AH171" s="1515"/>
      <c r="AI171" s="1515">
        <f t="shared" si="90"/>
        <v>0</v>
      </c>
    </row>
    <row r="172" spans="1:35" s="1604" customFormat="1" ht="10.5" outlineLevel="1" x14ac:dyDescent="0.25">
      <c r="A172" s="1683" t="s">
        <v>130</v>
      </c>
      <c r="B172" s="1600">
        <v>18.170000000000002</v>
      </c>
      <c r="C172" s="1543" t="s">
        <v>363</v>
      </c>
      <c r="D172" s="1601" t="s">
        <v>107</v>
      </c>
      <c r="E172" s="1602">
        <v>1</v>
      </c>
      <c r="F172" s="1519">
        <f>VLOOKUP($C172,'01'!$C$7:$M$216,MATCH("P. Unit. MAT",'01'!$C$7:$M$7,0),0)</f>
        <v>5500000</v>
      </c>
      <c r="G172" s="1519">
        <f t="shared" si="86"/>
        <v>5500000</v>
      </c>
      <c r="H172" s="1519">
        <f>VLOOKUP($C172,'01'!$C$7:$M$216,MATCH("P. Unit. MO",'01'!$C$7:$M$7,0),0)</f>
        <v>1948456.7998971592</v>
      </c>
      <c r="I172" s="1519">
        <f t="shared" si="87"/>
        <v>1948456.7998971592</v>
      </c>
      <c r="J172" s="1519">
        <f>VLOOKUP($C172,'01'!$C$7:$M$216,MATCH("P. Unit. EQ",'01'!$C$7:$M$7,0),0)</f>
        <v>111726.85199845739</v>
      </c>
      <c r="K172" s="1519">
        <f t="shared" si="88"/>
        <v>111726.85199845739</v>
      </c>
      <c r="L172" s="1519">
        <f t="shared" si="89"/>
        <v>7560183.6518956171</v>
      </c>
      <c r="M172" s="1477"/>
      <c r="N172" s="1505"/>
      <c r="O172" s="1471"/>
      <c r="P172" s="1471"/>
      <c r="Q172" s="1471"/>
      <c r="R172" s="1515"/>
      <c r="S172" s="1515"/>
      <c r="T172" s="1515"/>
      <c r="U172" s="1515"/>
      <c r="V172" s="1515"/>
      <c r="W172" s="1515"/>
      <c r="X172" s="1515"/>
      <c r="Y172" s="1515"/>
      <c r="Z172" s="1515"/>
      <c r="AA172" s="1515"/>
      <c r="AB172" s="1515"/>
      <c r="AC172" s="1515"/>
      <c r="AD172" s="1515"/>
      <c r="AE172" s="1515"/>
      <c r="AF172" s="1515"/>
      <c r="AG172" s="1515"/>
      <c r="AH172" s="1515"/>
      <c r="AI172" s="1515">
        <f t="shared" si="90"/>
        <v>0</v>
      </c>
    </row>
    <row r="173" spans="1:35" s="1604" customFormat="1" ht="10.5" outlineLevel="1" x14ac:dyDescent="0.25">
      <c r="A173" s="1688" t="s">
        <v>130</v>
      </c>
      <c r="B173" s="1603">
        <v>18.18</v>
      </c>
      <c r="C173" s="1543" t="s">
        <v>364</v>
      </c>
      <c r="D173" s="1601" t="s">
        <v>107</v>
      </c>
      <c r="E173" s="1602">
        <v>1</v>
      </c>
      <c r="F173" s="1519">
        <f>VLOOKUP($C173,'01'!$C$7:$M$216,MATCH("P. Unit. MAT",'01'!$C$7:$M$7,0),0)</f>
        <v>607800.87756291637</v>
      </c>
      <c r="G173" s="1519">
        <f t="shared" si="86"/>
        <v>607800.87756291637</v>
      </c>
      <c r="H173" s="1519">
        <f>VLOOKUP($C173,'01'!$C$7:$M$216,MATCH("P. Unit. MO",'01'!$C$7:$M$7,0),0)</f>
        <v>864708.64149857964</v>
      </c>
      <c r="I173" s="1519">
        <f t="shared" si="87"/>
        <v>864708.64149857964</v>
      </c>
      <c r="J173" s="1519">
        <f>VLOOKUP($C173,'01'!$C$7:$M$216,MATCH("P. Unit. EQ",'01'!$C$7:$M$7,0),0)</f>
        <v>22087.642785922439</v>
      </c>
      <c r="K173" s="1519">
        <f t="shared" si="88"/>
        <v>22087.642785922439</v>
      </c>
      <c r="L173" s="1519">
        <f t="shared" si="89"/>
        <v>1494597.1618474184</v>
      </c>
      <c r="M173" s="1477"/>
      <c r="N173" s="1505"/>
      <c r="O173" s="1471"/>
      <c r="P173" s="1471"/>
      <c r="Q173" s="1471"/>
      <c r="R173" s="1515"/>
      <c r="S173" s="1515"/>
      <c r="T173" s="1515"/>
      <c r="U173" s="1515"/>
      <c r="V173" s="1515"/>
      <c r="W173" s="1515"/>
      <c r="X173" s="1515"/>
      <c r="Y173" s="1515"/>
      <c r="Z173" s="1515"/>
      <c r="AA173" s="1515"/>
      <c r="AB173" s="1515"/>
      <c r="AC173" s="1515"/>
      <c r="AD173" s="1515"/>
      <c r="AE173" s="1515"/>
      <c r="AF173" s="1515"/>
      <c r="AG173" s="1515"/>
      <c r="AH173" s="1515"/>
      <c r="AI173" s="1515">
        <f t="shared" si="90"/>
        <v>0</v>
      </c>
    </row>
    <row r="174" spans="1:35" s="1604" customFormat="1" ht="10.5" outlineLevel="1" x14ac:dyDescent="0.25">
      <c r="A174" s="1683" t="s">
        <v>130</v>
      </c>
      <c r="B174" s="1600">
        <v>18.190000000000001</v>
      </c>
      <c r="C174" s="1543" t="s">
        <v>365</v>
      </c>
      <c r="D174" s="1601" t="s">
        <v>107</v>
      </c>
      <c r="E174" s="1602">
        <v>1</v>
      </c>
      <c r="F174" s="1519">
        <f>VLOOKUP($C174,'01'!$C$7:$M$216,MATCH("P. Unit. MAT",'01'!$C$7:$M$7,0),0)</f>
        <v>607800.87756291637</v>
      </c>
      <c r="G174" s="1519">
        <f t="shared" si="86"/>
        <v>607800.87756291637</v>
      </c>
      <c r="H174" s="1519">
        <f>VLOOKUP($C174,'01'!$C$7:$M$216,MATCH("P. Unit. MO",'01'!$C$7:$M$7,0),0)</f>
        <v>864708.64149857964</v>
      </c>
      <c r="I174" s="1519">
        <f t="shared" si="87"/>
        <v>864708.64149857964</v>
      </c>
      <c r="J174" s="1519">
        <f>VLOOKUP($C174,'01'!$C$7:$M$216,MATCH("P. Unit. EQ",'01'!$C$7:$M$7,0),0)</f>
        <v>22087.642785922439</v>
      </c>
      <c r="K174" s="1519">
        <f t="shared" si="88"/>
        <v>22087.642785922439</v>
      </c>
      <c r="L174" s="1519">
        <f t="shared" si="89"/>
        <v>1494597.1618474184</v>
      </c>
      <c r="M174" s="1477"/>
      <c r="N174" s="1505"/>
      <c r="O174" s="1471"/>
      <c r="P174" s="1471"/>
      <c r="Q174" s="1471"/>
      <c r="R174" s="1515"/>
      <c r="S174" s="1515"/>
      <c r="T174" s="1515"/>
      <c r="U174" s="1515"/>
      <c r="V174" s="1515"/>
      <c r="W174" s="1515"/>
      <c r="X174" s="1515"/>
      <c r="Y174" s="1515"/>
      <c r="Z174" s="1515"/>
      <c r="AA174" s="1515"/>
      <c r="AB174" s="1515"/>
      <c r="AC174" s="1515"/>
      <c r="AD174" s="1515"/>
      <c r="AE174" s="1515"/>
      <c r="AF174" s="1515"/>
      <c r="AG174" s="1515"/>
      <c r="AH174" s="1515"/>
      <c r="AI174" s="1515">
        <f t="shared" si="90"/>
        <v>0</v>
      </c>
    </row>
    <row r="175" spans="1:35" s="1604" customFormat="1" ht="10.5" outlineLevel="1" x14ac:dyDescent="0.25">
      <c r="A175" s="1688" t="s">
        <v>130</v>
      </c>
      <c r="B175" s="1603">
        <v>18.2</v>
      </c>
      <c r="C175" s="1543" t="s">
        <v>1039</v>
      </c>
      <c r="D175" s="1601" t="s">
        <v>111</v>
      </c>
      <c r="E175" s="1602">
        <v>33</v>
      </c>
      <c r="F175" s="1519">
        <f>VLOOKUP($C175,'01'!$C$7:$M$216,MATCH("P. Unit. MAT",'01'!$C$7:$M$7,0),0)</f>
        <v>0</v>
      </c>
      <c r="G175" s="1519">
        <f t="shared" si="86"/>
        <v>0</v>
      </c>
      <c r="H175" s="1519">
        <f>VLOOKUP($C175,'01'!$C$7:$M$216,MATCH("P. Unit. MO",'01'!$C$7:$M$7,0),0)</f>
        <v>11158</v>
      </c>
      <c r="I175" s="1519">
        <f t="shared" si="87"/>
        <v>368214</v>
      </c>
      <c r="J175" s="1519">
        <f>VLOOKUP($C175,'01'!$C$7:$M$216,MATCH("P. Unit. EQ",'01'!$C$7:$M$7,0),0)</f>
        <v>167.37</v>
      </c>
      <c r="K175" s="1519">
        <f t="shared" si="88"/>
        <v>5523.21</v>
      </c>
      <c r="L175" s="1519">
        <f t="shared" si="89"/>
        <v>373737.21</v>
      </c>
      <c r="M175" s="1477"/>
      <c r="N175" s="1505"/>
      <c r="O175" s="1471"/>
      <c r="P175" s="1471"/>
      <c r="Q175" s="1471"/>
      <c r="R175" s="1515"/>
      <c r="S175" s="1515"/>
      <c r="T175" s="1515"/>
      <c r="U175" s="1515"/>
      <c r="V175" s="1515"/>
      <c r="W175" s="1515"/>
      <c r="X175" s="1515"/>
      <c r="Y175" s="1515"/>
      <c r="Z175" s="1515"/>
      <c r="AA175" s="1515"/>
      <c r="AB175" s="1515"/>
      <c r="AC175" s="1515"/>
      <c r="AD175" s="1515"/>
      <c r="AE175" s="1515"/>
      <c r="AF175" s="1515"/>
      <c r="AG175" s="1515"/>
      <c r="AH175" s="1515"/>
      <c r="AI175" s="1515">
        <f t="shared" si="90"/>
        <v>0</v>
      </c>
    </row>
    <row r="176" spans="1:35" s="1604" customFormat="1" ht="10.5" outlineLevel="1" x14ac:dyDescent="0.25">
      <c r="A176" s="1683" t="s">
        <v>130</v>
      </c>
      <c r="B176" s="1600">
        <v>18.21</v>
      </c>
      <c r="C176" s="1543" t="s">
        <v>1040</v>
      </c>
      <c r="D176" s="1601" t="s">
        <v>111</v>
      </c>
      <c r="E176" s="1602">
        <v>150</v>
      </c>
      <c r="F176" s="1519">
        <f>VLOOKUP($C176,'01'!$C$7:$M$216,MATCH("P. Unit. MAT",'01'!$C$7:$M$7,0),0)</f>
        <v>0</v>
      </c>
      <c r="G176" s="1519">
        <f t="shared" si="86"/>
        <v>0</v>
      </c>
      <c r="H176" s="1519">
        <f>VLOOKUP($C176,'01'!$C$7:$M$216,MATCH("P. Unit. MO",'01'!$C$7:$M$7,0),0)</f>
        <v>7270.9</v>
      </c>
      <c r="I176" s="1519">
        <f t="shared" si="87"/>
        <v>1090635</v>
      </c>
      <c r="J176" s="1519">
        <f>VLOOKUP($C176,'01'!$C$7:$M$216,MATCH("P. Unit. EQ",'01'!$C$7:$M$7,0),0)</f>
        <v>109.06349999999999</v>
      </c>
      <c r="K176" s="1519">
        <f t="shared" si="88"/>
        <v>16359.524999999998</v>
      </c>
      <c r="L176" s="1519">
        <f t="shared" si="89"/>
        <v>1106994.5249999999</v>
      </c>
      <c r="M176" s="1477"/>
      <c r="N176" s="1505"/>
      <c r="O176" s="1471"/>
      <c r="P176" s="1471"/>
      <c r="Q176" s="1471"/>
      <c r="R176" s="1515"/>
      <c r="S176" s="1515"/>
      <c r="T176" s="1515"/>
      <c r="U176" s="1515"/>
      <c r="V176" s="1515"/>
      <c r="W176" s="1515"/>
      <c r="X176" s="1515"/>
      <c r="Y176" s="1515"/>
      <c r="Z176" s="1515"/>
      <c r="AA176" s="1515"/>
      <c r="AB176" s="1515"/>
      <c r="AC176" s="1515"/>
      <c r="AD176" s="1515"/>
      <c r="AE176" s="1515"/>
      <c r="AF176" s="1515"/>
      <c r="AG176" s="1515"/>
      <c r="AH176" s="1515"/>
      <c r="AI176" s="1515">
        <f t="shared" si="90"/>
        <v>0</v>
      </c>
    </row>
    <row r="177" spans="1:35" s="1604" customFormat="1" ht="10.5" outlineLevel="1" x14ac:dyDescent="0.25">
      <c r="A177" s="1688" t="s">
        <v>130</v>
      </c>
      <c r="B177" s="1603">
        <v>18.22</v>
      </c>
      <c r="C177" s="1543" t="s">
        <v>1041</v>
      </c>
      <c r="D177" s="1601" t="s">
        <v>111</v>
      </c>
      <c r="E177" s="1602">
        <v>16</v>
      </c>
      <c r="F177" s="1519">
        <f>VLOOKUP($C177,'01'!$C$7:$M$216,MATCH("P. Unit. MAT",'01'!$C$7:$M$7,0),0)</f>
        <v>0</v>
      </c>
      <c r="G177" s="1519">
        <f t="shared" si="86"/>
        <v>0</v>
      </c>
      <c r="H177" s="1519">
        <f>VLOOKUP($C177,'01'!$C$7:$M$216,MATCH("P. Unit. MO",'01'!$C$7:$M$7,0),0)</f>
        <v>7270.9</v>
      </c>
      <c r="I177" s="1519">
        <f t="shared" si="87"/>
        <v>116334.39999999999</v>
      </c>
      <c r="J177" s="1519">
        <f>VLOOKUP($C177,'01'!$C$7:$M$216,MATCH("P. Unit. EQ",'01'!$C$7:$M$7,0),0)</f>
        <v>109.06349999999999</v>
      </c>
      <c r="K177" s="1519">
        <f t="shared" si="88"/>
        <v>1745.0159999999998</v>
      </c>
      <c r="L177" s="1519">
        <f t="shared" si="89"/>
        <v>118079.416</v>
      </c>
      <c r="M177" s="1477"/>
      <c r="N177" s="1505"/>
      <c r="O177" s="1471"/>
      <c r="P177" s="1471"/>
      <c r="Q177" s="1471"/>
      <c r="R177" s="1515"/>
      <c r="S177" s="1515"/>
      <c r="T177" s="1515"/>
      <c r="U177" s="1515"/>
      <c r="V177" s="1515"/>
      <c r="W177" s="1515"/>
      <c r="X177" s="1515"/>
      <c r="Y177" s="1515"/>
      <c r="Z177" s="1515"/>
      <c r="AA177" s="1515"/>
      <c r="AB177" s="1515"/>
      <c r="AC177" s="1515"/>
      <c r="AD177" s="1515"/>
      <c r="AE177" s="1515"/>
      <c r="AF177" s="1515"/>
      <c r="AG177" s="1515"/>
      <c r="AH177" s="1515"/>
      <c r="AI177" s="1515">
        <f t="shared" si="90"/>
        <v>0</v>
      </c>
    </row>
    <row r="178" spans="1:35" s="1604" customFormat="1" ht="10.5" outlineLevel="1" x14ac:dyDescent="0.25">
      <c r="A178" s="1683" t="s">
        <v>130</v>
      </c>
      <c r="B178" s="1600">
        <v>18.23</v>
      </c>
      <c r="C178" s="1543" t="s">
        <v>1042</v>
      </c>
      <c r="D178" s="1601" t="s">
        <v>111</v>
      </c>
      <c r="E178" s="1602">
        <v>349</v>
      </c>
      <c r="F178" s="1519">
        <f>VLOOKUP($C178,'01'!$C$7:$M$216,MATCH("P. Unit. MAT",'01'!$C$7:$M$7,0),0)</f>
        <v>0</v>
      </c>
      <c r="G178" s="1519">
        <f t="shared" si="86"/>
        <v>0</v>
      </c>
      <c r="H178" s="1519">
        <f>VLOOKUP($C178,'01'!$C$7:$M$216,MATCH("P. Unit. MO",'01'!$C$7:$M$7,0),0)</f>
        <v>7270.9</v>
      </c>
      <c r="I178" s="1519">
        <f t="shared" si="87"/>
        <v>2537544.1</v>
      </c>
      <c r="J178" s="1519">
        <f>VLOOKUP($C178,'01'!$C$7:$M$216,MATCH("P. Unit. EQ",'01'!$C$7:$M$7,0),0)</f>
        <v>109.06349999999999</v>
      </c>
      <c r="K178" s="1519">
        <f t="shared" si="88"/>
        <v>38063.161499999995</v>
      </c>
      <c r="L178" s="1519">
        <f t="shared" si="89"/>
        <v>2575607.2615</v>
      </c>
      <c r="M178" s="1477"/>
      <c r="N178" s="1505"/>
      <c r="O178" s="1471"/>
      <c r="P178" s="1471"/>
      <c r="Q178" s="1471"/>
      <c r="R178" s="1515"/>
      <c r="S178" s="1515"/>
      <c r="T178" s="1515"/>
      <c r="U178" s="1515"/>
      <c r="V178" s="1515"/>
      <c r="W178" s="1515"/>
      <c r="X178" s="1515"/>
      <c r="Y178" s="1515"/>
      <c r="Z178" s="1515"/>
      <c r="AA178" s="1515"/>
      <c r="AB178" s="1515"/>
      <c r="AC178" s="1515"/>
      <c r="AD178" s="1515"/>
      <c r="AE178" s="1515"/>
      <c r="AF178" s="1515"/>
      <c r="AG178" s="1515"/>
      <c r="AH178" s="1515"/>
      <c r="AI178" s="1515">
        <f t="shared" si="90"/>
        <v>0</v>
      </c>
    </row>
    <row r="179" spans="1:35" s="1604" customFormat="1" ht="10.5" outlineLevel="1" x14ac:dyDescent="0.25">
      <c r="A179" s="1688" t="s">
        <v>130</v>
      </c>
      <c r="B179" s="1603">
        <v>18.239999999999998</v>
      </c>
      <c r="C179" s="1543" t="s">
        <v>1043</v>
      </c>
      <c r="D179" s="1601" t="s">
        <v>111</v>
      </c>
      <c r="E179" s="1602">
        <v>27</v>
      </c>
      <c r="F179" s="1519">
        <f>VLOOKUP($C179,'01'!$C$7:$M$216,MATCH("P. Unit. MAT",'01'!$C$7:$M$7,0),0)</f>
        <v>0</v>
      </c>
      <c r="G179" s="1519">
        <f t="shared" si="86"/>
        <v>0</v>
      </c>
      <c r="H179" s="1519">
        <f>VLOOKUP($C179,'01'!$C$7:$M$216,MATCH("P. Unit. MO",'01'!$C$7:$M$7,0),0)</f>
        <v>17500</v>
      </c>
      <c r="I179" s="1519">
        <f t="shared" si="87"/>
        <v>472500</v>
      </c>
      <c r="J179" s="1519">
        <f>VLOOKUP($C179,'01'!$C$7:$M$216,MATCH("P. Unit. EQ",'01'!$C$7:$M$7,0),0)</f>
        <v>262.5</v>
      </c>
      <c r="K179" s="1519">
        <f t="shared" si="88"/>
        <v>7087.5</v>
      </c>
      <c r="L179" s="1519">
        <f t="shared" si="89"/>
        <v>479587.5</v>
      </c>
      <c r="M179" s="1477"/>
      <c r="N179" s="1505"/>
      <c r="O179" s="1471"/>
      <c r="P179" s="1471"/>
      <c r="Q179" s="1471"/>
      <c r="R179" s="1515"/>
      <c r="S179" s="1515"/>
      <c r="T179" s="1515"/>
      <c r="U179" s="1515"/>
      <c r="V179" s="1515"/>
      <c r="W179" s="1515"/>
      <c r="X179" s="1515"/>
      <c r="Y179" s="1515"/>
      <c r="Z179" s="1515"/>
      <c r="AA179" s="1515"/>
      <c r="AB179" s="1515"/>
      <c r="AC179" s="1515"/>
      <c r="AD179" s="1515"/>
      <c r="AE179" s="1515"/>
      <c r="AF179" s="1515"/>
      <c r="AG179" s="1515"/>
      <c r="AH179" s="1515"/>
      <c r="AI179" s="1515">
        <f t="shared" si="90"/>
        <v>0</v>
      </c>
    </row>
    <row r="180" spans="1:35" s="1604" customFormat="1" ht="10.5" outlineLevel="1" x14ac:dyDescent="0.25">
      <c r="A180" s="1683" t="s">
        <v>130</v>
      </c>
      <c r="B180" s="1600">
        <v>18.25</v>
      </c>
      <c r="C180" s="1543" t="s">
        <v>1044</v>
      </c>
      <c r="D180" s="1601" t="s">
        <v>111</v>
      </c>
      <c r="E180" s="1602">
        <v>16</v>
      </c>
      <c r="F180" s="1519">
        <f>VLOOKUP($C180,'01'!$C$7:$M$216,MATCH("P. Unit. MAT",'01'!$C$7:$M$7,0),0)</f>
        <v>0</v>
      </c>
      <c r="G180" s="1519">
        <f t="shared" si="86"/>
        <v>0</v>
      </c>
      <c r="H180" s="1519">
        <f>VLOOKUP($C180,'01'!$C$7:$M$216,MATCH("P. Unit. MO",'01'!$C$7:$M$7,0),0)</f>
        <v>11158</v>
      </c>
      <c r="I180" s="1519">
        <f t="shared" si="87"/>
        <v>178528</v>
      </c>
      <c r="J180" s="1519">
        <f>VLOOKUP($C180,'01'!$C$7:$M$216,MATCH("P. Unit. EQ",'01'!$C$7:$M$7,0),0)</f>
        <v>167.37</v>
      </c>
      <c r="K180" s="1519">
        <f t="shared" si="88"/>
        <v>2677.92</v>
      </c>
      <c r="L180" s="1519">
        <f t="shared" si="89"/>
        <v>181205.92</v>
      </c>
      <c r="M180" s="1477"/>
      <c r="N180" s="1505"/>
      <c r="O180" s="1471"/>
      <c r="P180" s="1471"/>
      <c r="Q180" s="1471"/>
      <c r="R180" s="1515"/>
      <c r="S180" s="1515"/>
      <c r="T180" s="1515"/>
      <c r="U180" s="1515"/>
      <c r="V180" s="1515"/>
      <c r="W180" s="1515"/>
      <c r="X180" s="1515"/>
      <c r="Y180" s="1515"/>
      <c r="Z180" s="1515"/>
      <c r="AA180" s="1515"/>
      <c r="AB180" s="1515"/>
      <c r="AC180" s="1515"/>
      <c r="AD180" s="1515"/>
      <c r="AE180" s="1515"/>
      <c r="AF180" s="1515"/>
      <c r="AG180" s="1515"/>
      <c r="AH180" s="1515"/>
      <c r="AI180" s="1515">
        <f t="shared" si="90"/>
        <v>0</v>
      </c>
    </row>
    <row r="181" spans="1:35" s="1604" customFormat="1" ht="10.5" outlineLevel="1" x14ac:dyDescent="0.25">
      <c r="A181" s="1688" t="s">
        <v>130</v>
      </c>
      <c r="B181" s="1603">
        <v>18.260000000000002</v>
      </c>
      <c r="C181" s="1543" t="s">
        <v>1045</v>
      </c>
      <c r="D181" s="1601" t="s">
        <v>111</v>
      </c>
      <c r="E181" s="1602">
        <v>137</v>
      </c>
      <c r="F181" s="1519">
        <f>VLOOKUP($C181,'01'!$C$7:$M$216,MATCH("P. Unit. MAT",'01'!$C$7:$M$7,0),0)</f>
        <v>0</v>
      </c>
      <c r="G181" s="1519">
        <f t="shared" si="86"/>
        <v>0</v>
      </c>
      <c r="H181" s="1519">
        <f>VLOOKUP($C181,'01'!$C$7:$M$216,MATCH("P. Unit. MO",'01'!$C$7:$M$7,0),0)</f>
        <v>11158</v>
      </c>
      <c r="I181" s="1519">
        <f t="shared" si="87"/>
        <v>1528646</v>
      </c>
      <c r="J181" s="1519">
        <f>VLOOKUP($C181,'01'!$C$7:$M$216,MATCH("P. Unit. EQ",'01'!$C$7:$M$7,0),0)</f>
        <v>167.37</v>
      </c>
      <c r="K181" s="1519">
        <f t="shared" si="88"/>
        <v>22929.690000000002</v>
      </c>
      <c r="L181" s="1519">
        <f t="shared" si="89"/>
        <v>1551575.69</v>
      </c>
      <c r="M181" s="1477"/>
      <c r="N181" s="1505"/>
      <c r="O181" s="1471"/>
      <c r="P181" s="1471"/>
      <c r="Q181" s="1471"/>
      <c r="R181" s="1605"/>
      <c r="S181" s="1605"/>
      <c r="T181" s="1605"/>
      <c r="U181" s="1605"/>
      <c r="V181" s="1605"/>
      <c r="W181" s="1605"/>
      <c r="X181" s="1605"/>
      <c r="Y181" s="1605"/>
      <c r="Z181" s="1605"/>
      <c r="AA181" s="1605"/>
      <c r="AB181" s="1605"/>
      <c r="AC181" s="1605"/>
      <c r="AD181" s="1515"/>
      <c r="AE181" s="1515"/>
      <c r="AF181" s="1515"/>
      <c r="AG181" s="1515"/>
      <c r="AH181" s="1605"/>
      <c r="AI181" s="1605">
        <f t="shared" si="90"/>
        <v>0</v>
      </c>
    </row>
    <row r="182" spans="1:35" s="1604" customFormat="1" ht="10.5" outlineLevel="1" x14ac:dyDescent="0.25">
      <c r="A182" s="1683" t="s">
        <v>130</v>
      </c>
      <c r="B182" s="1600">
        <v>18.27</v>
      </c>
      <c r="C182" s="1543" t="s">
        <v>1046</v>
      </c>
      <c r="D182" s="1601" t="s">
        <v>111</v>
      </c>
      <c r="E182" s="1602">
        <v>1</v>
      </c>
      <c r="F182" s="1519">
        <f>VLOOKUP($C182,'01'!$C$7:$M$216,MATCH("P. Unit. MAT",'01'!$C$7:$M$7,0),0)</f>
        <v>0</v>
      </c>
      <c r="G182" s="1519">
        <f t="shared" si="86"/>
        <v>0</v>
      </c>
      <c r="H182" s="1519">
        <f>VLOOKUP($C182,'01'!$C$7:$M$216,MATCH("P. Unit. MO",'01'!$C$7:$M$7,0),0)</f>
        <v>11158</v>
      </c>
      <c r="I182" s="1519">
        <f t="shared" si="87"/>
        <v>11158</v>
      </c>
      <c r="J182" s="1519">
        <f>VLOOKUP($C182,'01'!$C$7:$M$216,MATCH("P. Unit. EQ",'01'!$C$7:$M$7,0),0)</f>
        <v>167.37</v>
      </c>
      <c r="K182" s="1519">
        <f t="shared" si="88"/>
        <v>167.37</v>
      </c>
      <c r="L182" s="1519">
        <f t="shared" si="89"/>
        <v>11325.37</v>
      </c>
      <c r="M182" s="1477"/>
      <c r="N182" s="1505"/>
      <c r="O182" s="1471"/>
      <c r="P182" s="1471"/>
      <c r="Q182" s="1471"/>
      <c r="R182" s="1515"/>
      <c r="S182" s="1515"/>
      <c r="T182" s="1515"/>
      <c r="U182" s="1515"/>
      <c r="V182" s="1515"/>
      <c r="W182" s="1515"/>
      <c r="X182" s="1515"/>
      <c r="Y182" s="1515"/>
      <c r="Z182" s="1515"/>
      <c r="AA182" s="1515"/>
      <c r="AB182" s="1515"/>
      <c r="AC182" s="1515"/>
      <c r="AD182" s="1515"/>
      <c r="AE182" s="1515"/>
      <c r="AF182" s="1515"/>
      <c r="AG182" s="1515"/>
      <c r="AH182" s="1515"/>
      <c r="AI182" s="1515">
        <f t="shared" si="90"/>
        <v>0</v>
      </c>
    </row>
    <row r="183" spans="1:35" s="1604" customFormat="1" ht="10.5" outlineLevel="1" x14ac:dyDescent="0.25">
      <c r="A183" s="1688" t="s">
        <v>130</v>
      </c>
      <c r="B183" s="1603">
        <v>18.28</v>
      </c>
      <c r="C183" s="1543" t="s">
        <v>366</v>
      </c>
      <c r="D183" s="1601" t="s">
        <v>107</v>
      </c>
      <c r="E183" s="1602">
        <v>1</v>
      </c>
      <c r="F183" s="1519">
        <f>VLOOKUP($C183,'01'!$C$7:$M$216,MATCH("P. Unit. MAT",'01'!$C$7:$M$7,0),0)</f>
        <v>5844722.2283497546</v>
      </c>
      <c r="G183" s="1519">
        <f t="shared" si="86"/>
        <v>5844722.2283497546</v>
      </c>
      <c r="H183" s="1519">
        <f>VLOOKUP($C183,'01'!$C$7:$M$216,MATCH("P. Unit. MO",'01'!$C$7:$M$7,0),0)</f>
        <v>1471041.5999999999</v>
      </c>
      <c r="I183" s="1519">
        <f t="shared" si="87"/>
        <v>1471041.5999999999</v>
      </c>
      <c r="J183" s="1519">
        <f>VLOOKUP($C183,'01'!$C$7:$M$216,MATCH("P. Unit. EQ",'01'!$C$7:$M$7,0),0)</f>
        <v>109736.45742524631</v>
      </c>
      <c r="K183" s="1519">
        <f t="shared" si="88"/>
        <v>109736.45742524631</v>
      </c>
      <c r="L183" s="1519">
        <f t="shared" si="89"/>
        <v>7425500.2857750002</v>
      </c>
      <c r="M183" s="1477"/>
      <c r="N183" s="1505"/>
      <c r="O183" s="1471"/>
      <c r="P183" s="1471"/>
      <c r="Q183" s="1471"/>
      <c r="R183" s="1515"/>
      <c r="S183" s="1515"/>
      <c r="T183" s="1515"/>
      <c r="U183" s="1515"/>
      <c r="V183" s="1515"/>
      <c r="W183" s="1515"/>
      <c r="X183" s="1515"/>
      <c r="Y183" s="1515"/>
      <c r="Z183" s="1515"/>
      <c r="AA183" s="1515"/>
      <c r="AB183" s="1515"/>
      <c r="AC183" s="1515"/>
      <c r="AD183" s="1515"/>
      <c r="AE183" s="1515"/>
      <c r="AF183" s="1515"/>
      <c r="AG183" s="1515"/>
      <c r="AH183" s="1515"/>
      <c r="AI183" s="1515">
        <f t="shared" si="90"/>
        <v>0</v>
      </c>
    </row>
    <row r="184" spans="1:35" ht="10.5" outlineLevel="1" x14ac:dyDescent="0.25">
      <c r="A184" s="1683" t="s">
        <v>130</v>
      </c>
      <c r="B184" s="1600">
        <v>18.29</v>
      </c>
      <c r="C184" s="1543" t="s">
        <v>367</v>
      </c>
      <c r="D184" s="1601" t="s">
        <v>107</v>
      </c>
      <c r="E184" s="1602">
        <v>1</v>
      </c>
      <c r="F184" s="1519">
        <f>VLOOKUP($C184,'01'!$C$7:$M$216,MATCH("P. Unit. MAT",'01'!$C$7:$M$7,0),0)</f>
        <v>1261512.1510117827</v>
      </c>
      <c r="G184" s="1519">
        <f t="shared" si="86"/>
        <v>1261512.1510117827</v>
      </c>
      <c r="H184" s="1519">
        <f>VLOOKUP($C184,'01'!$C$7:$M$216,MATCH("P. Unit. MO",'01'!$C$7:$M$7,0),0)</f>
        <v>305252.49999999994</v>
      </c>
      <c r="I184" s="1519">
        <f t="shared" si="87"/>
        <v>305252.49999999994</v>
      </c>
      <c r="J184" s="1519">
        <f>VLOOKUP($C184,'01'!$C$7:$M$216,MATCH("P. Unit. EQ",'01'!$C$7:$M$7,0),0)</f>
        <v>23501.469765176738</v>
      </c>
      <c r="K184" s="1519">
        <f t="shared" si="88"/>
        <v>23501.469765176738</v>
      </c>
      <c r="L184" s="1519">
        <f t="shared" si="89"/>
        <v>1590266.1207769595</v>
      </c>
      <c r="N184" s="1505"/>
      <c r="R184" s="1515"/>
      <c r="S184" s="1515"/>
      <c r="T184" s="1515"/>
      <c r="U184" s="1515"/>
      <c r="V184" s="1515"/>
      <c r="W184" s="1515"/>
      <c r="X184" s="1515"/>
      <c r="Y184" s="1515"/>
      <c r="Z184" s="1515"/>
      <c r="AA184" s="1515"/>
      <c r="AB184" s="1515"/>
      <c r="AC184" s="1515"/>
      <c r="AD184" s="1515"/>
      <c r="AE184" s="1515"/>
      <c r="AF184" s="1515"/>
      <c r="AG184" s="1515"/>
      <c r="AH184" s="1515"/>
      <c r="AI184" s="1515">
        <f t="shared" si="90"/>
        <v>0</v>
      </c>
    </row>
    <row r="185" spans="1:35" ht="10.5" outlineLevel="1" x14ac:dyDescent="0.25">
      <c r="A185" s="1683" t="s">
        <v>130</v>
      </c>
      <c r="B185" s="1600">
        <v>18.3</v>
      </c>
      <c r="C185" s="1669" t="s">
        <v>368</v>
      </c>
      <c r="D185" s="1606" t="s">
        <v>107</v>
      </c>
      <c r="E185" s="1607">
        <v>1</v>
      </c>
      <c r="F185" s="1519">
        <f>VLOOKUP($C185,'01'!$C$7:$M$216,MATCH("P. Unit. MAT",'01'!$C$7:$M$7,0),0)</f>
        <v>0</v>
      </c>
      <c r="G185" s="1519">
        <f t="shared" si="86"/>
        <v>0</v>
      </c>
      <c r="H185" s="1519">
        <f>VLOOKUP($C185,'01'!$C$7:$M$216,MATCH("P. Unit. MO",'01'!$C$7:$M$7,0),0)</f>
        <v>100127.46103958957</v>
      </c>
      <c r="I185" s="1519">
        <f t="shared" si="87"/>
        <v>100127.46103958957</v>
      </c>
      <c r="J185" s="1519">
        <f>VLOOKUP($C185,'01'!$C$7:$M$216,MATCH("P. Unit. EQ",'01'!$C$7:$M$7,0),0)</f>
        <v>0</v>
      </c>
      <c r="K185" s="1519">
        <f t="shared" si="88"/>
        <v>0</v>
      </c>
      <c r="L185" s="1519">
        <f t="shared" si="89"/>
        <v>100127.46103958957</v>
      </c>
      <c r="N185" s="1505"/>
      <c r="R185" s="1515"/>
      <c r="S185" s="1515"/>
      <c r="T185" s="1515"/>
      <c r="U185" s="1515"/>
      <c r="V185" s="1515"/>
      <c r="W185" s="1515"/>
      <c r="X185" s="1515"/>
      <c r="Y185" s="1515"/>
      <c r="Z185" s="1515"/>
      <c r="AA185" s="1515"/>
      <c r="AB185" s="1515"/>
      <c r="AC185" s="1515"/>
      <c r="AD185" s="1515"/>
      <c r="AE185" s="1515"/>
      <c r="AF185" s="1515"/>
      <c r="AG185" s="1515"/>
      <c r="AH185" s="1515"/>
      <c r="AI185" s="1515">
        <f t="shared" si="90"/>
        <v>0</v>
      </c>
    </row>
    <row r="186" spans="1:35" ht="10.5" x14ac:dyDescent="0.25">
      <c r="A186" s="1681"/>
      <c r="B186" s="1500">
        <v>19</v>
      </c>
      <c r="C186" s="1590" t="s">
        <v>210</v>
      </c>
      <c r="D186" s="1501"/>
      <c r="E186" s="1502"/>
      <c r="F186" s="1608"/>
      <c r="G186" s="1608"/>
      <c r="H186" s="1608"/>
      <c r="I186" s="1608"/>
      <c r="J186" s="1608"/>
      <c r="K186" s="1608"/>
      <c r="L186" s="1609"/>
      <c r="M186" s="1610"/>
      <c r="R186" s="1506"/>
      <c r="S186" s="1506"/>
      <c r="T186" s="1506"/>
      <c r="U186" s="1506"/>
      <c r="V186" s="1506"/>
      <c r="W186" s="1507"/>
      <c r="X186" s="1507"/>
      <c r="Y186" s="1507"/>
      <c r="Z186" s="1507"/>
      <c r="AA186" s="1507"/>
      <c r="AB186" s="1507"/>
      <c r="AC186" s="1507"/>
      <c r="AD186" s="1507"/>
      <c r="AE186" s="1507"/>
      <c r="AF186" s="1507"/>
      <c r="AG186" s="1507"/>
      <c r="AH186" s="1507"/>
      <c r="AI186" s="1507"/>
    </row>
    <row r="187" spans="1:35" ht="10.5" outlineLevel="1" x14ac:dyDescent="0.25">
      <c r="A187" s="1681"/>
      <c r="B187" s="1500"/>
      <c r="C187" s="1590" t="s">
        <v>369</v>
      </c>
      <c r="D187" s="1501"/>
      <c r="E187" s="1502"/>
      <c r="F187" s="1502"/>
      <c r="G187" s="1526">
        <f>SUM(G188:G191)</f>
        <v>6457663.5765476329</v>
      </c>
      <c r="H187" s="1502"/>
      <c r="I187" s="1527">
        <f>SUM(I188:I191)</f>
        <v>10129668.355368836</v>
      </c>
      <c r="J187" s="1502"/>
      <c r="K187" s="1508">
        <f>SUM(K188:K191)</f>
        <v>248809.97897874704</v>
      </c>
      <c r="L187" s="1503">
        <f>SUM(L188:L191)</f>
        <v>16836141.910895217</v>
      </c>
      <c r="M187" s="1504">
        <f>SUM(D187:K187)</f>
        <v>16836141.910895213</v>
      </c>
      <c r="N187" s="895">
        <f>M187-'01'!T164</f>
        <v>0</v>
      </c>
      <c r="R187" s="1506"/>
      <c r="S187" s="1506"/>
      <c r="T187" s="1506"/>
      <c r="U187" s="1506"/>
      <c r="V187" s="1506"/>
      <c r="W187" s="1507"/>
      <c r="X187" s="1507"/>
      <c r="Y187" s="1507"/>
      <c r="Z187" s="1507"/>
      <c r="AA187" s="1507"/>
      <c r="AB187" s="1507"/>
      <c r="AC187" s="1507"/>
      <c r="AD187" s="1507"/>
      <c r="AE187" s="1507"/>
      <c r="AF187" s="1507"/>
      <c r="AG187" s="1507"/>
      <c r="AH187" s="1507"/>
      <c r="AI187" s="1507"/>
    </row>
    <row r="188" spans="1:35" ht="10.5" outlineLevel="1" x14ac:dyDescent="0.25">
      <c r="A188" s="1682" t="s">
        <v>131</v>
      </c>
      <c r="B188" s="1510">
        <v>19.010000000000002</v>
      </c>
      <c r="C188" s="1670" t="s">
        <v>370</v>
      </c>
      <c r="D188" s="1611" t="s">
        <v>107</v>
      </c>
      <c r="E188" s="1612">
        <v>1</v>
      </c>
      <c r="F188" s="1519">
        <f>VLOOKUP($C188,'01'!$C$7:$M$216,MATCH("P. Unit. MAT",'01'!$C$7:$M$7,0),0)</f>
        <v>2127230.3546274551</v>
      </c>
      <c r="G188" s="1519">
        <f t="shared" ref="G188:G191" si="91">F188*$E188</f>
        <v>2127230.3546274551</v>
      </c>
      <c r="H188" s="1519">
        <f>VLOOKUP($C188,'01'!$C$7:$M$216,MATCH("P. Unit. MO",'01'!$C$7:$M$7,0),0)</f>
        <v>3545383.9243790922</v>
      </c>
      <c r="I188" s="1519">
        <f t="shared" ref="I188:I191" si="92">H188*$E188</f>
        <v>3545383.9243790922</v>
      </c>
      <c r="J188" s="1519">
        <f>VLOOKUP($C188,'01'!$C$7:$M$216,MATCH("P. Unit. EQ",'01'!$C$7:$M$7,0),0)</f>
        <v>85089.214185098201</v>
      </c>
      <c r="K188" s="1519">
        <f t="shared" ref="K188:K191" si="93">J188*$E188</f>
        <v>85089.214185098201</v>
      </c>
      <c r="L188" s="1519">
        <f t="shared" ref="L188:L191" si="94">SUM(G188,I188,K188)</f>
        <v>5757703.4931916455</v>
      </c>
      <c r="N188" s="1505"/>
      <c r="R188" s="1515"/>
      <c r="S188" s="1515"/>
      <c r="T188" s="1515"/>
      <c r="U188" s="1515"/>
      <c r="V188" s="1515"/>
      <c r="W188" s="1515"/>
      <c r="X188" s="1515"/>
      <c r="Y188" s="1515"/>
      <c r="Z188" s="1515"/>
      <c r="AA188" s="1515"/>
      <c r="AB188" s="1515"/>
      <c r="AC188" s="1515"/>
      <c r="AD188" s="1515"/>
      <c r="AE188" s="1515"/>
      <c r="AF188" s="1515"/>
      <c r="AG188" s="1515"/>
      <c r="AH188" s="1515"/>
      <c r="AI188" s="1515">
        <f t="shared" ref="AI188:AI191" si="95">SUM(S188:AH188)</f>
        <v>0</v>
      </c>
    </row>
    <row r="189" spans="1:35" ht="10.5" outlineLevel="1" x14ac:dyDescent="0.25">
      <c r="A189" s="1683" t="s">
        <v>131</v>
      </c>
      <c r="B189" s="1516">
        <v>19.02</v>
      </c>
      <c r="C189" s="1661" t="s">
        <v>371</v>
      </c>
      <c r="D189" s="1520" t="s">
        <v>107</v>
      </c>
      <c r="E189" s="1521">
        <v>1</v>
      </c>
      <c r="F189" s="1519">
        <f>VLOOKUP($C189,'01'!$C$7:$M$216,MATCH("P. Unit. MAT",'01'!$C$7:$M$7,0),0)</f>
        <v>278565.87977264303</v>
      </c>
      <c r="G189" s="1519">
        <f t="shared" si="91"/>
        <v>278565.87977264303</v>
      </c>
      <c r="H189" s="1519">
        <f>VLOOKUP($C189,'01'!$C$7:$M$216,MATCH("P. Unit. MO",'01'!$C$7:$M$7,0),0)</f>
        <v>506483.41776844184</v>
      </c>
      <c r="I189" s="1519">
        <f t="shared" si="92"/>
        <v>506483.41776844184</v>
      </c>
      <c r="J189" s="1519">
        <f>VLOOKUP($C189,'01'!$C$7:$M$216,MATCH("P. Unit. EQ",'01'!$C$7:$M$7,0),0)</f>
        <v>11775.739463116273</v>
      </c>
      <c r="K189" s="1519">
        <f t="shared" si="93"/>
        <v>11775.739463116273</v>
      </c>
      <c r="L189" s="1519">
        <f t="shared" si="94"/>
        <v>796825.03700420121</v>
      </c>
      <c r="N189" s="1505"/>
      <c r="R189" s="1515"/>
      <c r="S189" s="1515"/>
      <c r="T189" s="1515"/>
      <c r="U189" s="1515"/>
      <c r="V189" s="1515"/>
      <c r="W189" s="1515"/>
      <c r="X189" s="1515"/>
      <c r="Y189" s="1515"/>
      <c r="Z189" s="1515"/>
      <c r="AA189" s="1515"/>
      <c r="AB189" s="1515"/>
      <c r="AC189" s="1515"/>
      <c r="AD189" s="1515"/>
      <c r="AE189" s="1515"/>
      <c r="AF189" s="1515"/>
      <c r="AG189" s="1515"/>
      <c r="AH189" s="1515"/>
      <c r="AI189" s="1515">
        <f t="shared" si="95"/>
        <v>0</v>
      </c>
    </row>
    <row r="190" spans="1:35" ht="10.5" outlineLevel="1" x14ac:dyDescent="0.25">
      <c r="A190" s="1683" t="s">
        <v>131</v>
      </c>
      <c r="B190" s="1516">
        <v>19.03</v>
      </c>
      <c r="C190" s="1661" t="s">
        <v>372</v>
      </c>
      <c r="D190" s="1520" t="s">
        <v>107</v>
      </c>
      <c r="E190" s="1521">
        <v>1</v>
      </c>
      <c r="F190" s="1519">
        <f>VLOOKUP($C190,'01'!$C$7:$M$216,MATCH("P. Unit. MAT",'01'!$C$7:$M$7,0),0)</f>
        <v>2836307.1395032741</v>
      </c>
      <c r="G190" s="1519">
        <f t="shared" si="91"/>
        <v>2836307.1395032741</v>
      </c>
      <c r="H190" s="1519">
        <f>VLOOKUP($C190,'01'!$C$7:$M$216,MATCH("P. Unit. MO",'01'!$C$7:$M$7,0),0)</f>
        <v>4051867.3421475347</v>
      </c>
      <c r="I190" s="1519">
        <f t="shared" si="92"/>
        <v>4051867.3421475347</v>
      </c>
      <c r="J190" s="1519">
        <f>VLOOKUP($C190,'01'!$C$7:$M$216,MATCH("P. Unit. EQ",'01'!$C$7:$M$7,0),0)</f>
        <v>103322.61722476213</v>
      </c>
      <c r="K190" s="1519">
        <f t="shared" si="93"/>
        <v>103322.61722476213</v>
      </c>
      <c r="L190" s="1519">
        <f t="shared" si="94"/>
        <v>6991497.098875571</v>
      </c>
      <c r="N190" s="1505"/>
      <c r="R190" s="1515"/>
      <c r="S190" s="1515"/>
      <c r="T190" s="1515"/>
      <c r="U190" s="1515"/>
      <c r="V190" s="1515"/>
      <c r="W190" s="1515"/>
      <c r="X190" s="1515"/>
      <c r="Y190" s="1515"/>
      <c r="Z190" s="1515"/>
      <c r="AA190" s="1515"/>
      <c r="AB190" s="1515"/>
      <c r="AC190" s="1515"/>
      <c r="AD190" s="1515"/>
      <c r="AE190" s="1515"/>
      <c r="AF190" s="1515"/>
      <c r="AG190" s="1515"/>
      <c r="AH190" s="1515"/>
      <c r="AI190" s="1515">
        <f t="shared" si="95"/>
        <v>0</v>
      </c>
    </row>
    <row r="191" spans="1:35" ht="10.5" outlineLevel="1" x14ac:dyDescent="0.25">
      <c r="A191" s="1684" t="s">
        <v>131</v>
      </c>
      <c r="B191" s="1522">
        <v>19.04</v>
      </c>
      <c r="C191" s="1671" t="s">
        <v>373</v>
      </c>
      <c r="D191" s="1581" t="s">
        <v>107</v>
      </c>
      <c r="E191" s="1582">
        <v>1</v>
      </c>
      <c r="F191" s="1519">
        <f>VLOOKUP($C191,'01'!$C$7:$M$216,MATCH("P. Unit. MAT",'01'!$C$7:$M$7,0),0)</f>
        <v>1215560.2026442604</v>
      </c>
      <c r="G191" s="1519">
        <f t="shared" si="91"/>
        <v>1215560.2026442604</v>
      </c>
      <c r="H191" s="1519">
        <f>VLOOKUP($C191,'01'!$C$7:$M$216,MATCH("P. Unit. MO",'01'!$C$7:$M$7,0),0)</f>
        <v>2025933.6710737674</v>
      </c>
      <c r="I191" s="1519">
        <f t="shared" si="92"/>
        <v>2025933.6710737674</v>
      </c>
      <c r="J191" s="1519">
        <f>VLOOKUP($C191,'01'!$C$7:$M$216,MATCH("P. Unit. EQ",'01'!$C$7:$M$7,0),0)</f>
        <v>48622.408105770417</v>
      </c>
      <c r="K191" s="1519">
        <f t="shared" si="93"/>
        <v>48622.408105770417</v>
      </c>
      <c r="L191" s="1519">
        <f t="shared" si="94"/>
        <v>3290116.2818237985</v>
      </c>
      <c r="N191" s="1505"/>
      <c r="R191" s="1515"/>
      <c r="S191" s="1515"/>
      <c r="T191" s="1515"/>
      <c r="U191" s="1515"/>
      <c r="V191" s="1515"/>
      <c r="W191" s="1515"/>
      <c r="X191" s="1515"/>
      <c r="Y191" s="1515"/>
      <c r="Z191" s="1515"/>
      <c r="AA191" s="1515"/>
      <c r="AB191" s="1515"/>
      <c r="AC191" s="1515"/>
      <c r="AD191" s="1515"/>
      <c r="AE191" s="1515"/>
      <c r="AF191" s="1515"/>
      <c r="AG191" s="1515"/>
      <c r="AH191" s="1515"/>
      <c r="AI191" s="1515">
        <f t="shared" si="95"/>
        <v>0</v>
      </c>
    </row>
    <row r="192" spans="1:35" ht="10.5" outlineLevel="1" x14ac:dyDescent="0.25">
      <c r="A192" s="1689"/>
      <c r="B192" s="1613"/>
      <c r="C192" s="1672" t="s">
        <v>374</v>
      </c>
      <c r="D192" s="1488"/>
      <c r="E192" s="1489"/>
      <c r="F192" s="1502"/>
      <c r="G192" s="1526">
        <f>SUM(G193:G195)</f>
        <v>1711939.8591375258</v>
      </c>
      <c r="H192" s="1502"/>
      <c r="I192" s="1527">
        <f>SUM(I193:I195)</f>
        <v>3423879.7182750516</v>
      </c>
      <c r="J192" s="1502"/>
      <c r="K192" s="1508">
        <f>SUM(K193:K195)</f>
        <v>77037.293661188654</v>
      </c>
      <c r="L192" s="1503">
        <f>SUM(L193:L195)</f>
        <v>5212856.8710737657</v>
      </c>
      <c r="M192" s="1504">
        <f>SUM(D192:K192)</f>
        <v>5212856.8710737657</v>
      </c>
      <c r="N192" s="895">
        <f>M192-'01'!T169</f>
        <v>0</v>
      </c>
      <c r="R192" s="1506"/>
      <c r="S192" s="1506"/>
      <c r="T192" s="1506"/>
      <c r="U192" s="1506"/>
      <c r="V192" s="1506"/>
      <c r="W192" s="1507"/>
      <c r="X192" s="1507"/>
      <c r="Y192" s="1507"/>
      <c r="Z192" s="1507"/>
      <c r="AA192" s="1507"/>
      <c r="AB192" s="1507"/>
      <c r="AC192" s="1507"/>
      <c r="AD192" s="1507"/>
      <c r="AE192" s="1507"/>
      <c r="AF192" s="1507"/>
      <c r="AG192" s="1507"/>
      <c r="AH192" s="1507"/>
      <c r="AI192" s="1507"/>
    </row>
    <row r="193" spans="1:35" ht="10.5" outlineLevel="1" x14ac:dyDescent="0.25">
      <c r="A193" s="1682" t="s">
        <v>131</v>
      </c>
      <c r="B193" s="1510">
        <v>19.05</v>
      </c>
      <c r="C193" s="1670" t="s">
        <v>375</v>
      </c>
      <c r="D193" s="1611" t="s">
        <v>107</v>
      </c>
      <c r="E193" s="1612">
        <v>1</v>
      </c>
      <c r="F193" s="1519">
        <f>VLOOKUP($C193,'01'!$C$7:$M$216,MATCH("P. Unit. MAT",'01'!$C$7:$M$7,0),0)</f>
        <v>599178.95069813402</v>
      </c>
      <c r="G193" s="1519">
        <f t="shared" ref="G193:G195" si="96">F193*$E193</f>
        <v>599178.95069813402</v>
      </c>
      <c r="H193" s="1519">
        <f>VLOOKUP($C193,'01'!$C$7:$M$216,MATCH("P. Unit. MO",'01'!$C$7:$M$7,0),0)</f>
        <v>1497947.3767453351</v>
      </c>
      <c r="I193" s="1519">
        <f t="shared" ref="I193:I195" si="97">H193*$E193</f>
        <v>1497947.3767453351</v>
      </c>
      <c r="J193" s="1519">
        <f>VLOOKUP($C193,'01'!$C$7:$M$216,MATCH("P. Unit. EQ",'01'!$C$7:$M$7,0),0)</f>
        <v>31456.894911652034</v>
      </c>
      <c r="K193" s="1519">
        <f t="shared" ref="K193:K195" si="98">J193*$E193</f>
        <v>31456.894911652034</v>
      </c>
      <c r="L193" s="1519">
        <f t="shared" ref="L193:L195" si="99">SUM(G193,I193,K193)</f>
        <v>2128583.2223551213</v>
      </c>
      <c r="N193" s="1505"/>
      <c r="R193" s="1515"/>
      <c r="S193" s="1515"/>
      <c r="T193" s="1515"/>
      <c r="U193" s="1515"/>
      <c r="V193" s="1515"/>
      <c r="W193" s="1515"/>
      <c r="X193" s="1515"/>
      <c r="Y193" s="1515"/>
      <c r="Z193" s="1515"/>
      <c r="AA193" s="1515"/>
      <c r="AB193" s="1515"/>
      <c r="AC193" s="1515"/>
      <c r="AD193" s="1515"/>
      <c r="AE193" s="1515"/>
      <c r="AF193" s="1515"/>
      <c r="AG193" s="1515"/>
      <c r="AH193" s="1515"/>
      <c r="AI193" s="1515">
        <f t="shared" ref="AI193:AI208" si="100">SUM(S193:AH193)</f>
        <v>0</v>
      </c>
    </row>
    <row r="194" spans="1:35" ht="10.5" outlineLevel="1" x14ac:dyDescent="0.25">
      <c r="A194" s="1683" t="s">
        <v>131</v>
      </c>
      <c r="B194" s="1516">
        <v>19.059999999999999</v>
      </c>
      <c r="C194" s="1661" t="s">
        <v>376</v>
      </c>
      <c r="D194" s="1520" t="s">
        <v>107</v>
      </c>
      <c r="E194" s="1521">
        <v>1</v>
      </c>
      <c r="F194" s="1519">
        <f>VLOOKUP($C194,'01'!$C$7:$M$216,MATCH("P. Unit. MAT",'01'!$C$7:$M$7,0),0)</f>
        <v>898768.42604720104</v>
      </c>
      <c r="G194" s="1519">
        <f t="shared" si="96"/>
        <v>898768.42604720104</v>
      </c>
      <c r="H194" s="1519">
        <f>VLOOKUP($C194,'01'!$C$7:$M$216,MATCH("P. Unit. MO",'01'!$C$7:$M$7,0),0)</f>
        <v>1497947.3767453351</v>
      </c>
      <c r="I194" s="1519">
        <f t="shared" si="97"/>
        <v>1497947.3767453351</v>
      </c>
      <c r="J194" s="1519">
        <f>VLOOKUP($C194,'01'!$C$7:$M$216,MATCH("P. Unit. EQ",'01'!$C$7:$M$7,0),0)</f>
        <v>35950.737041888038</v>
      </c>
      <c r="K194" s="1519">
        <f t="shared" si="98"/>
        <v>35950.737041888038</v>
      </c>
      <c r="L194" s="1519">
        <f t="shared" si="99"/>
        <v>2432666.5398344239</v>
      </c>
      <c r="N194" s="1505"/>
      <c r="R194" s="1515"/>
      <c r="S194" s="1515"/>
      <c r="T194" s="1515"/>
      <c r="U194" s="1515"/>
      <c r="V194" s="1515"/>
      <c r="W194" s="1515"/>
      <c r="X194" s="1515"/>
      <c r="Y194" s="1515"/>
      <c r="Z194" s="1515"/>
      <c r="AA194" s="1515"/>
      <c r="AB194" s="1515"/>
      <c r="AC194" s="1515"/>
      <c r="AD194" s="1515"/>
      <c r="AE194" s="1515"/>
      <c r="AF194" s="1515"/>
      <c r="AG194" s="1515"/>
      <c r="AH194" s="1515"/>
      <c r="AI194" s="1515">
        <f t="shared" si="100"/>
        <v>0</v>
      </c>
    </row>
    <row r="195" spans="1:35" ht="10.5" outlineLevel="1" x14ac:dyDescent="0.25">
      <c r="A195" s="1684" t="s">
        <v>131</v>
      </c>
      <c r="B195" s="1522">
        <v>19.07</v>
      </c>
      <c r="C195" s="1671" t="s">
        <v>377</v>
      </c>
      <c r="D195" s="1581" t="s">
        <v>107</v>
      </c>
      <c r="E195" s="1582">
        <v>1</v>
      </c>
      <c r="F195" s="1519">
        <f>VLOOKUP($C195,'01'!$C$7:$M$216,MATCH("P. Unit. MAT",'01'!$C$7:$M$7,0),0)</f>
        <v>213992.48239219072</v>
      </c>
      <c r="G195" s="1519">
        <f t="shared" si="96"/>
        <v>213992.48239219072</v>
      </c>
      <c r="H195" s="1519">
        <f>VLOOKUP($C195,'01'!$C$7:$M$216,MATCH("P. Unit. MO",'01'!$C$7:$M$7,0),0)</f>
        <v>427984.96478438145</v>
      </c>
      <c r="I195" s="1519">
        <f t="shared" si="97"/>
        <v>427984.96478438145</v>
      </c>
      <c r="J195" s="1519">
        <f>VLOOKUP($C195,'01'!$C$7:$M$216,MATCH("P. Unit. EQ",'01'!$C$7:$M$7,0),0)</f>
        <v>9629.6617076485818</v>
      </c>
      <c r="K195" s="1519">
        <f t="shared" si="98"/>
        <v>9629.6617076485818</v>
      </c>
      <c r="L195" s="1519">
        <f t="shared" si="99"/>
        <v>651607.10888422071</v>
      </c>
      <c r="N195" s="1505"/>
      <c r="R195" s="1515"/>
      <c r="S195" s="1515"/>
      <c r="T195" s="1515"/>
      <c r="U195" s="1515"/>
      <c r="V195" s="1515"/>
      <c r="W195" s="1515"/>
      <c r="X195" s="1515"/>
      <c r="Y195" s="1515"/>
      <c r="Z195" s="1515"/>
      <c r="AA195" s="1515"/>
      <c r="AB195" s="1515"/>
      <c r="AC195" s="1515"/>
      <c r="AD195" s="1515"/>
      <c r="AE195" s="1515"/>
      <c r="AF195" s="1515"/>
      <c r="AG195" s="1515"/>
      <c r="AH195" s="1515"/>
      <c r="AI195" s="1515">
        <f t="shared" si="100"/>
        <v>0</v>
      </c>
    </row>
    <row r="196" spans="1:35" ht="10.5" outlineLevel="1" x14ac:dyDescent="0.25">
      <c r="A196" s="1681"/>
      <c r="B196" s="1500"/>
      <c r="C196" s="1590" t="s">
        <v>378</v>
      </c>
      <c r="D196" s="1501"/>
      <c r="E196" s="1502"/>
      <c r="F196" s="1502"/>
      <c r="G196" s="1526">
        <f>SUM(G197:G201)</f>
        <v>9407378.9595947098</v>
      </c>
      <c r="H196" s="1502"/>
      <c r="I196" s="1527">
        <f>SUM(I197:I201)</f>
        <v>19598706.165822312</v>
      </c>
      <c r="J196" s="1502"/>
      <c r="K196" s="1508">
        <f>SUM(K197:K201)</f>
        <v>435091.27688125538</v>
      </c>
      <c r="L196" s="1503">
        <f>SUM(L197:L201)</f>
        <v>29441176.402298279</v>
      </c>
      <c r="M196" s="1504">
        <f>SUM(D196:K196)</f>
        <v>29441176.402298279</v>
      </c>
      <c r="N196" s="895">
        <f>M196-'01'!T173</f>
        <v>0</v>
      </c>
      <c r="R196" s="1506"/>
      <c r="S196" s="1506"/>
      <c r="T196" s="1506"/>
      <c r="U196" s="1506"/>
      <c r="V196" s="1506"/>
      <c r="W196" s="1507"/>
      <c r="X196" s="1507"/>
      <c r="Y196" s="1507"/>
      <c r="Z196" s="1507"/>
      <c r="AA196" s="1507"/>
      <c r="AB196" s="1507"/>
      <c r="AC196" s="1507"/>
      <c r="AD196" s="1507"/>
      <c r="AE196" s="1507"/>
      <c r="AF196" s="1507"/>
      <c r="AG196" s="1507"/>
      <c r="AH196" s="1507"/>
      <c r="AI196" s="1507"/>
    </row>
    <row r="197" spans="1:35" ht="10.5" outlineLevel="1" x14ac:dyDescent="0.25">
      <c r="A197" s="1690" t="s">
        <v>131</v>
      </c>
      <c r="B197" s="1614">
        <v>19.079999999999998</v>
      </c>
      <c r="C197" s="1673" t="s">
        <v>379</v>
      </c>
      <c r="D197" s="1611" t="s">
        <v>107</v>
      </c>
      <c r="E197" s="1612">
        <v>1</v>
      </c>
      <c r="F197" s="1519">
        <f>VLOOKUP($C197,'01'!$C$7:$M$216,MATCH("P. Unit. MAT",'01'!$C$7:$M$7,0),0)</f>
        <v>979935.30829111568</v>
      </c>
      <c r="G197" s="1519">
        <f t="shared" ref="G197:G201" si="101">F197*$E197</f>
        <v>979935.30829111568</v>
      </c>
      <c r="H197" s="1519">
        <f>VLOOKUP($C197,'01'!$C$7:$M$216,MATCH("P. Unit. MO",'01'!$C$7:$M$7,0),0)</f>
        <v>1959870.6165822314</v>
      </c>
      <c r="I197" s="1519">
        <f t="shared" ref="I197:I201" si="102">H197*$E197</f>
        <v>1959870.6165822314</v>
      </c>
      <c r="J197" s="1519">
        <f>VLOOKUP($C197,'01'!$C$7:$M$216,MATCH("P. Unit. EQ",'01'!$C$7:$M$7,0),0)</f>
        <v>44097.088873100205</v>
      </c>
      <c r="K197" s="1519">
        <f t="shared" ref="K197:K201" si="103">J197*$E197</f>
        <v>44097.088873100205</v>
      </c>
      <c r="L197" s="1519">
        <f t="shared" ref="L197:L201" si="104">SUM(G197,I197,K197)</f>
        <v>2983903.0137464469</v>
      </c>
      <c r="N197" s="1505"/>
      <c r="R197" s="1515"/>
      <c r="S197" s="1515"/>
      <c r="T197" s="1515"/>
      <c r="U197" s="1515"/>
      <c r="V197" s="1515"/>
      <c r="W197" s="1515"/>
      <c r="X197" s="1515"/>
      <c r="Y197" s="1515"/>
      <c r="Z197" s="1515"/>
      <c r="AA197" s="1515"/>
      <c r="AB197" s="1515"/>
      <c r="AC197" s="1515"/>
      <c r="AD197" s="1515"/>
      <c r="AE197" s="1515"/>
      <c r="AF197" s="1515"/>
      <c r="AG197" s="1515"/>
      <c r="AH197" s="1515"/>
      <c r="AI197" s="1515">
        <f t="shared" si="100"/>
        <v>0</v>
      </c>
    </row>
    <row r="198" spans="1:35" ht="10.5" outlineLevel="1" x14ac:dyDescent="0.25">
      <c r="A198" s="1688" t="s">
        <v>131</v>
      </c>
      <c r="B198" s="1572">
        <v>19.09</v>
      </c>
      <c r="C198" s="1615" t="s">
        <v>380</v>
      </c>
      <c r="D198" s="1520" t="s">
        <v>107</v>
      </c>
      <c r="E198" s="1521">
        <v>1</v>
      </c>
      <c r="F198" s="1519">
        <f>VLOOKUP($C198,'01'!$C$7:$M$216,MATCH("P. Unit. MAT",'01'!$C$7:$M$7,0),0)</f>
        <v>1959870.6165822314</v>
      </c>
      <c r="G198" s="1519">
        <f t="shared" si="101"/>
        <v>1959870.6165822314</v>
      </c>
      <c r="H198" s="1519">
        <f>VLOOKUP($C198,'01'!$C$7:$M$216,MATCH("P. Unit. MO",'01'!$C$7:$M$7,0),0)</f>
        <v>3919741.2331644627</v>
      </c>
      <c r="I198" s="1519">
        <f t="shared" si="102"/>
        <v>3919741.2331644627</v>
      </c>
      <c r="J198" s="1519">
        <f>VLOOKUP($C198,'01'!$C$7:$M$216,MATCH("P. Unit. EQ",'01'!$C$7:$M$7,0),0)</f>
        <v>88194.17774620041</v>
      </c>
      <c r="K198" s="1519">
        <f t="shared" si="103"/>
        <v>88194.17774620041</v>
      </c>
      <c r="L198" s="1519">
        <f t="shared" si="104"/>
        <v>5967806.0274928939</v>
      </c>
      <c r="N198" s="1505"/>
      <c r="R198" s="1515"/>
      <c r="S198" s="1515"/>
      <c r="T198" s="1515"/>
      <c r="U198" s="1515"/>
      <c r="V198" s="1515"/>
      <c r="W198" s="1515"/>
      <c r="X198" s="1515"/>
      <c r="Y198" s="1515"/>
      <c r="Z198" s="1515"/>
      <c r="AA198" s="1515"/>
      <c r="AB198" s="1515"/>
      <c r="AC198" s="1515"/>
      <c r="AD198" s="1515"/>
      <c r="AE198" s="1515"/>
      <c r="AF198" s="1515"/>
      <c r="AG198" s="1515"/>
      <c r="AH198" s="1515"/>
      <c r="AI198" s="1515">
        <f t="shared" si="100"/>
        <v>0</v>
      </c>
    </row>
    <row r="199" spans="1:35" ht="10.5" outlineLevel="1" x14ac:dyDescent="0.25">
      <c r="A199" s="1688" t="s">
        <v>131</v>
      </c>
      <c r="B199" s="1572">
        <v>19.100000000000001</v>
      </c>
      <c r="C199" s="1615" t="s">
        <v>381</v>
      </c>
      <c r="D199" s="1520" t="s">
        <v>107</v>
      </c>
      <c r="E199" s="1521">
        <v>1</v>
      </c>
      <c r="F199" s="1519">
        <f>VLOOKUP($C199,'01'!$C$7:$M$216,MATCH("P. Unit. MAT",'01'!$C$7:$M$7,0),0)</f>
        <v>391974.12331644632</v>
      </c>
      <c r="G199" s="1519">
        <f t="shared" si="101"/>
        <v>391974.12331644632</v>
      </c>
      <c r="H199" s="1519">
        <f>VLOOKUP($C199,'01'!$C$7:$M$216,MATCH("P. Unit. MO",'01'!$C$7:$M$7,0),0)</f>
        <v>979935.30829111568</v>
      </c>
      <c r="I199" s="1519">
        <f t="shared" si="102"/>
        <v>979935.30829111568</v>
      </c>
      <c r="J199" s="1519">
        <f>VLOOKUP($C199,'01'!$C$7:$M$216,MATCH("P. Unit. EQ",'01'!$C$7:$M$7,0),0)</f>
        <v>20578.641474113432</v>
      </c>
      <c r="K199" s="1519">
        <f t="shared" si="103"/>
        <v>20578.641474113432</v>
      </c>
      <c r="L199" s="1519">
        <f t="shared" si="104"/>
        <v>1392488.0730816755</v>
      </c>
      <c r="N199" s="1505"/>
      <c r="R199" s="1515"/>
      <c r="S199" s="1515"/>
      <c r="T199" s="1515"/>
      <c r="U199" s="1515"/>
      <c r="V199" s="1515"/>
      <c r="W199" s="1515"/>
      <c r="X199" s="1515"/>
      <c r="Y199" s="1515"/>
      <c r="Z199" s="1515"/>
      <c r="AA199" s="1515"/>
      <c r="AB199" s="1515"/>
      <c r="AC199" s="1515"/>
      <c r="AD199" s="1515"/>
      <c r="AE199" s="1515"/>
      <c r="AF199" s="1515"/>
      <c r="AG199" s="1515"/>
      <c r="AH199" s="1515"/>
      <c r="AI199" s="1515">
        <f t="shared" si="100"/>
        <v>0</v>
      </c>
    </row>
    <row r="200" spans="1:35" ht="10.5" outlineLevel="1" x14ac:dyDescent="0.25">
      <c r="A200" s="1688" t="s">
        <v>131</v>
      </c>
      <c r="B200" s="1572">
        <v>19.11</v>
      </c>
      <c r="C200" s="1615" t="s">
        <v>382</v>
      </c>
      <c r="D200" s="1520" t="s">
        <v>107</v>
      </c>
      <c r="E200" s="1521">
        <v>1</v>
      </c>
      <c r="F200" s="1519">
        <f>VLOOKUP($C200,'01'!$C$7:$M$216,MATCH("P. Unit. MAT",'01'!$C$7:$M$7,0),0)</f>
        <v>3135792.9865315706</v>
      </c>
      <c r="G200" s="1519">
        <f t="shared" si="101"/>
        <v>3135792.9865315706</v>
      </c>
      <c r="H200" s="1519">
        <f>VLOOKUP($C200,'01'!$C$7:$M$216,MATCH("P. Unit. MO",'01'!$C$7:$M$7,0),0)</f>
        <v>7839482.4663289255</v>
      </c>
      <c r="I200" s="1519">
        <f t="shared" si="102"/>
        <v>7839482.4663289255</v>
      </c>
      <c r="J200" s="1519">
        <f>VLOOKUP($C200,'01'!$C$7:$M$216,MATCH("P. Unit. EQ",'01'!$C$7:$M$7,0),0)</f>
        <v>164629.13179290746</v>
      </c>
      <c r="K200" s="1519">
        <f t="shared" si="103"/>
        <v>164629.13179290746</v>
      </c>
      <c r="L200" s="1519">
        <f t="shared" si="104"/>
        <v>11139904.584653404</v>
      </c>
      <c r="N200" s="1505"/>
      <c r="R200" s="1515"/>
      <c r="S200" s="1515"/>
      <c r="T200" s="1515"/>
      <c r="U200" s="1515"/>
      <c r="V200" s="1515"/>
      <c r="W200" s="1515"/>
      <c r="X200" s="1515"/>
      <c r="Y200" s="1515"/>
      <c r="Z200" s="1515"/>
      <c r="AA200" s="1515"/>
      <c r="AB200" s="1515"/>
      <c r="AC200" s="1515"/>
      <c r="AD200" s="1515"/>
      <c r="AE200" s="1515"/>
      <c r="AF200" s="1515"/>
      <c r="AG200" s="1515"/>
      <c r="AH200" s="1515"/>
      <c r="AI200" s="1515">
        <f t="shared" si="100"/>
        <v>0</v>
      </c>
    </row>
    <row r="201" spans="1:35" ht="10.5" outlineLevel="1" x14ac:dyDescent="0.25">
      <c r="A201" s="1688" t="s">
        <v>131</v>
      </c>
      <c r="B201" s="1572">
        <v>19.12</v>
      </c>
      <c r="C201" s="1674" t="s">
        <v>1047</v>
      </c>
      <c r="D201" s="1581" t="s">
        <v>107</v>
      </c>
      <c r="E201" s="1582">
        <v>1</v>
      </c>
      <c r="F201" s="1519">
        <f>VLOOKUP($C201,'01'!$C$7:$M$216,MATCH("P. Unit. MAT",'01'!$C$7:$M$7,0),0)</f>
        <v>2939805.9248733469</v>
      </c>
      <c r="G201" s="1519">
        <f t="shared" si="101"/>
        <v>2939805.9248733469</v>
      </c>
      <c r="H201" s="1519">
        <f>VLOOKUP($C201,'01'!$C$7:$M$216,MATCH("P. Unit. MO",'01'!$C$7:$M$7,0),0)</f>
        <v>4899676.5414555781</v>
      </c>
      <c r="I201" s="1519">
        <f t="shared" si="102"/>
        <v>4899676.5414555781</v>
      </c>
      <c r="J201" s="1519">
        <f>VLOOKUP($C201,'01'!$C$7:$M$216,MATCH("P. Unit. EQ",'01'!$C$7:$M$7,0),0)</f>
        <v>117592.23699493386</v>
      </c>
      <c r="K201" s="1519">
        <f t="shared" si="103"/>
        <v>117592.23699493386</v>
      </c>
      <c r="L201" s="1519">
        <f t="shared" si="104"/>
        <v>7957074.7033238588</v>
      </c>
      <c r="N201" s="1505"/>
      <c r="R201" s="1515"/>
      <c r="S201" s="1515"/>
      <c r="T201" s="1515"/>
      <c r="U201" s="1515"/>
      <c r="V201" s="1515"/>
      <c r="W201" s="1515"/>
      <c r="X201" s="1515"/>
      <c r="Y201" s="1515"/>
      <c r="Z201" s="1515"/>
      <c r="AA201" s="1515"/>
      <c r="AB201" s="1515"/>
      <c r="AC201" s="1515"/>
      <c r="AD201" s="1515"/>
      <c r="AE201" s="1515"/>
      <c r="AF201" s="1515"/>
      <c r="AG201" s="1515"/>
      <c r="AH201" s="1515"/>
      <c r="AI201" s="1515">
        <f t="shared" si="100"/>
        <v>0</v>
      </c>
    </row>
    <row r="202" spans="1:35" ht="10.5" outlineLevel="1" x14ac:dyDescent="0.25">
      <c r="A202" s="1681"/>
      <c r="B202" s="1500"/>
      <c r="C202" s="1590" t="s">
        <v>383</v>
      </c>
      <c r="D202" s="1501"/>
      <c r="E202" s="1502"/>
      <c r="F202" s="1502"/>
      <c r="G202" s="1526">
        <f>SUM(G203:G203)</f>
        <v>534981.20598047681</v>
      </c>
      <c r="H202" s="1502"/>
      <c r="I202" s="1527">
        <f>SUM(I203:I203)</f>
        <v>1069962.4119609536</v>
      </c>
      <c r="J202" s="1502"/>
      <c r="K202" s="1508">
        <f>SUM(K203:K203)</f>
        <v>24074.154269121453</v>
      </c>
      <c r="L202" s="1503">
        <f>SUM(L203:L203)</f>
        <v>1629017.7722105517</v>
      </c>
      <c r="M202" s="1504">
        <f>SUM(D202:K202)</f>
        <v>1629017.7722105517</v>
      </c>
      <c r="N202" s="895">
        <f>M202-'01'!T179</f>
        <v>0</v>
      </c>
      <c r="R202" s="1506"/>
      <c r="S202" s="1506"/>
      <c r="T202" s="1506"/>
      <c r="U202" s="1506"/>
      <c r="V202" s="1506"/>
      <c r="W202" s="1507"/>
      <c r="X202" s="1507"/>
      <c r="Y202" s="1507"/>
      <c r="Z202" s="1507"/>
      <c r="AA202" s="1507"/>
      <c r="AB202" s="1507"/>
      <c r="AC202" s="1507"/>
      <c r="AD202" s="1507"/>
      <c r="AE202" s="1507"/>
      <c r="AF202" s="1507"/>
      <c r="AG202" s="1507"/>
      <c r="AH202" s="1507"/>
      <c r="AI202" s="1507"/>
    </row>
    <row r="203" spans="1:35" ht="10.5" outlineLevel="1" x14ac:dyDescent="0.25">
      <c r="A203" s="1688" t="s">
        <v>131</v>
      </c>
      <c r="B203" s="1516">
        <v>19.13</v>
      </c>
      <c r="C203" s="1661" t="s">
        <v>1048</v>
      </c>
      <c r="D203" s="1520" t="s">
        <v>107</v>
      </c>
      <c r="E203" s="1521">
        <v>1</v>
      </c>
      <c r="F203" s="1519">
        <f>VLOOKUP($C203,'01'!$C$7:$M$216,MATCH("P. Unit. MAT",'01'!$C$7:$M$7,0),0)</f>
        <v>534981.20598047681</v>
      </c>
      <c r="G203" s="1519">
        <f t="shared" ref="G203" si="105">F203*$E203</f>
        <v>534981.20598047681</v>
      </c>
      <c r="H203" s="1519">
        <f>VLOOKUP($C203,'01'!$C$7:$M$216,MATCH("P. Unit. MO",'01'!$C$7:$M$7,0),0)</f>
        <v>1069962.4119609536</v>
      </c>
      <c r="I203" s="1519">
        <f t="shared" ref="I203" si="106">H203*$E203</f>
        <v>1069962.4119609536</v>
      </c>
      <c r="J203" s="1519">
        <f>VLOOKUP($C203,'01'!$C$7:$M$216,MATCH("P. Unit. EQ",'01'!$C$7:$M$7,0),0)</f>
        <v>24074.154269121453</v>
      </c>
      <c r="K203" s="1519">
        <f t="shared" ref="K203" si="107">J203*$E203</f>
        <v>24074.154269121453</v>
      </c>
      <c r="L203" s="1519">
        <f t="shared" ref="L203" si="108">SUM(G203,I203,K203)</f>
        <v>1629017.7722105517</v>
      </c>
      <c r="N203" s="1505"/>
      <c r="R203" s="1515"/>
      <c r="S203" s="1515"/>
      <c r="T203" s="1515"/>
      <c r="U203" s="1515"/>
      <c r="V203" s="1515"/>
      <c r="W203" s="1515"/>
      <c r="X203" s="1515"/>
      <c r="Y203" s="1515"/>
      <c r="Z203" s="1515"/>
      <c r="AA203" s="1515"/>
      <c r="AB203" s="1515"/>
      <c r="AC203" s="1515"/>
      <c r="AD203" s="1515"/>
      <c r="AE203" s="1515"/>
      <c r="AF203" s="1515"/>
      <c r="AG203" s="1515"/>
      <c r="AH203" s="1515"/>
      <c r="AI203" s="1515">
        <f t="shared" si="100"/>
        <v>0</v>
      </c>
    </row>
    <row r="204" spans="1:35" ht="10.5" outlineLevel="1" x14ac:dyDescent="0.25">
      <c r="A204" s="1681"/>
      <c r="B204" s="1500"/>
      <c r="C204" s="1590" t="s">
        <v>384</v>
      </c>
      <c r="D204" s="1501"/>
      <c r="E204" s="1502"/>
      <c r="F204" s="1502"/>
      <c r="G204" s="1526">
        <f>SUM(G205:G208)</f>
        <v>5014143.5150893833</v>
      </c>
      <c r="H204" s="1502"/>
      <c r="I204" s="1527">
        <f>SUM(I205:I208)</f>
        <v>16174656.500288332</v>
      </c>
      <c r="J204" s="1502"/>
      <c r="K204" s="1508">
        <f>SUM(K205:K208)</f>
        <v>317832.00023066573</v>
      </c>
      <c r="L204" s="1503">
        <f>SUM(L205:L208)</f>
        <v>21506632.015608381</v>
      </c>
      <c r="M204" s="1504">
        <f>SUM(D204:K204)</f>
        <v>21506632.015608381</v>
      </c>
      <c r="N204" s="895">
        <f>M204-'01'!T181</f>
        <v>0</v>
      </c>
      <c r="R204" s="1506"/>
      <c r="S204" s="1506"/>
      <c r="T204" s="1506"/>
      <c r="U204" s="1506"/>
      <c r="V204" s="1506"/>
      <c r="W204" s="1507"/>
      <c r="X204" s="1507"/>
      <c r="Y204" s="1507"/>
      <c r="Z204" s="1507"/>
      <c r="AA204" s="1507"/>
      <c r="AB204" s="1507"/>
      <c r="AC204" s="1507"/>
      <c r="AD204" s="1507"/>
      <c r="AE204" s="1507"/>
      <c r="AF204" s="1507"/>
      <c r="AG204" s="1507"/>
      <c r="AH204" s="1507"/>
      <c r="AI204" s="1507"/>
    </row>
    <row r="205" spans="1:35" ht="10.5" outlineLevel="1" x14ac:dyDescent="0.25">
      <c r="A205" s="1688" t="s">
        <v>131</v>
      </c>
      <c r="B205" s="1510">
        <v>19.14</v>
      </c>
      <c r="C205" s="1670" t="s">
        <v>385</v>
      </c>
      <c r="D205" s="1611" t="s">
        <v>107</v>
      </c>
      <c r="E205" s="1612">
        <v>1</v>
      </c>
      <c r="F205" s="1519">
        <f>VLOOKUP($C205,'01'!$C$7:$M$216,MATCH("P. Unit. MAT",'01'!$C$7:$M$7,0),0)</f>
        <v>3558424.4300634335</v>
      </c>
      <c r="G205" s="1519">
        <f t="shared" ref="G205:G208" si="109">F205*$E205</f>
        <v>3558424.4300634335</v>
      </c>
      <c r="H205" s="1519">
        <f>VLOOKUP($C205,'01'!$C$7:$M$216,MATCH("P. Unit. MO",'01'!$C$7:$M$7,0),0)</f>
        <v>8896061.075158583</v>
      </c>
      <c r="I205" s="1519">
        <f t="shared" ref="I205:I208" si="110">H205*$E205</f>
        <v>8896061.075158583</v>
      </c>
      <c r="J205" s="1519">
        <f>VLOOKUP($C205,'01'!$C$7:$M$216,MATCH("P. Unit. EQ",'01'!$C$7:$M$7,0),0)</f>
        <v>186817.28257833025</v>
      </c>
      <c r="K205" s="1519">
        <f t="shared" ref="K205:K208" si="111">J205*$E205</f>
        <v>186817.28257833025</v>
      </c>
      <c r="L205" s="1519">
        <f t="shared" ref="L205:L208" si="112">SUM(G205,I205,K205)</f>
        <v>12641302.787800347</v>
      </c>
      <c r="N205" s="1505"/>
      <c r="R205" s="1515"/>
      <c r="S205" s="1515"/>
      <c r="T205" s="1515"/>
      <c r="U205" s="1515"/>
      <c r="V205" s="1515"/>
      <c r="W205" s="1515"/>
      <c r="X205" s="1515"/>
      <c r="Y205" s="1515"/>
      <c r="Z205" s="1515"/>
      <c r="AA205" s="1515"/>
      <c r="AB205" s="1515"/>
      <c r="AC205" s="1515"/>
      <c r="AD205" s="1515"/>
      <c r="AE205" s="1515"/>
      <c r="AF205" s="1515"/>
      <c r="AG205" s="1515"/>
      <c r="AH205" s="1515"/>
      <c r="AI205" s="1515">
        <f t="shared" si="100"/>
        <v>0</v>
      </c>
    </row>
    <row r="206" spans="1:35" ht="10.5" outlineLevel="1" x14ac:dyDescent="0.25">
      <c r="A206" s="1688" t="s">
        <v>131</v>
      </c>
      <c r="B206" s="1516">
        <v>19.149999999999999</v>
      </c>
      <c r="C206" s="1661" t="s">
        <v>1049</v>
      </c>
      <c r="D206" s="1520" t="s">
        <v>107</v>
      </c>
      <c r="E206" s="1521">
        <v>1</v>
      </c>
      <c r="F206" s="1519">
        <f>VLOOKUP($C206,'01'!$C$7:$M$216,MATCH("P. Unit. MAT",'01'!$C$7:$M$7,0),0)</f>
        <v>0</v>
      </c>
      <c r="G206" s="1519">
        <f t="shared" si="109"/>
        <v>0</v>
      </c>
      <c r="H206" s="1519">
        <f>VLOOKUP($C206,'01'!$C$7:$M$216,MATCH("P. Unit. MO",'01'!$C$7:$M$7,0),0)</f>
        <v>4852396.9500864996</v>
      </c>
      <c r="I206" s="1519">
        <f t="shared" si="110"/>
        <v>4852396.9500864996</v>
      </c>
      <c r="J206" s="1519">
        <f>VLOOKUP($C206,'01'!$C$7:$M$216,MATCH("P. Unit. EQ",'01'!$C$7:$M$7,0),0)</f>
        <v>72785.954251297488</v>
      </c>
      <c r="K206" s="1519">
        <f t="shared" si="111"/>
        <v>72785.954251297488</v>
      </c>
      <c r="L206" s="1519">
        <f t="shared" si="112"/>
        <v>4925182.9043377973</v>
      </c>
      <c r="N206" s="1505"/>
      <c r="R206" s="1515"/>
      <c r="S206" s="1515"/>
      <c r="T206" s="1515"/>
      <c r="U206" s="1515"/>
      <c r="V206" s="1515"/>
      <c r="W206" s="1515"/>
      <c r="X206" s="1515"/>
      <c r="Y206" s="1515"/>
      <c r="Z206" s="1515"/>
      <c r="AA206" s="1515"/>
      <c r="AB206" s="1515"/>
      <c r="AC206" s="1515"/>
      <c r="AD206" s="1515"/>
      <c r="AE206" s="1515"/>
      <c r="AF206" s="1515"/>
      <c r="AG206" s="1515"/>
      <c r="AH206" s="1515"/>
      <c r="AI206" s="1515">
        <f t="shared" si="100"/>
        <v>0</v>
      </c>
    </row>
    <row r="207" spans="1:35" ht="10.5" outlineLevel="1" x14ac:dyDescent="0.25">
      <c r="A207" s="1688" t="s">
        <v>131</v>
      </c>
      <c r="B207" s="1572">
        <v>19.16</v>
      </c>
      <c r="C207" s="1615" t="s">
        <v>1050</v>
      </c>
      <c r="D207" s="1520" t="s">
        <v>107</v>
      </c>
      <c r="E207" s="1521">
        <v>1</v>
      </c>
      <c r="F207" s="1519">
        <f>VLOOKUP($C207,'01'!$C$7:$M$216,MATCH("P. Unit. MAT",'01'!$C$7:$M$7,0),0)</f>
        <v>1455719.0850259499</v>
      </c>
      <c r="G207" s="1519">
        <f t="shared" si="109"/>
        <v>1455719.0850259499</v>
      </c>
      <c r="H207" s="1519">
        <f>VLOOKUP($C207,'01'!$C$7:$M$216,MATCH("P. Unit. MO",'01'!$C$7:$M$7,0),0)</f>
        <v>2426198.4750432498</v>
      </c>
      <c r="I207" s="1519">
        <f t="shared" si="110"/>
        <v>2426198.4750432498</v>
      </c>
      <c r="J207" s="1519">
        <f>VLOOKUP($C207,'01'!$C$7:$M$216,MATCH("P. Unit. EQ",'01'!$C$7:$M$7,0),0)</f>
        <v>58228.763401037992</v>
      </c>
      <c r="K207" s="1519">
        <f t="shared" si="111"/>
        <v>58228.763401037992</v>
      </c>
      <c r="L207" s="1519">
        <f t="shared" si="112"/>
        <v>3940146.3234702377</v>
      </c>
      <c r="N207" s="1505"/>
      <c r="R207" s="1515"/>
      <c r="S207" s="1515"/>
      <c r="T207" s="1515"/>
      <c r="U207" s="1515"/>
      <c r="V207" s="1515"/>
      <c r="W207" s="1515"/>
      <c r="X207" s="1515"/>
      <c r="Y207" s="1515"/>
      <c r="Z207" s="1515"/>
      <c r="AA207" s="1515"/>
      <c r="AB207" s="1515"/>
      <c r="AC207" s="1515"/>
      <c r="AD207" s="1515"/>
      <c r="AE207" s="1515"/>
      <c r="AF207" s="1515"/>
      <c r="AG207" s="1515"/>
      <c r="AH207" s="1515"/>
      <c r="AI207" s="1515">
        <f t="shared" si="100"/>
        <v>0</v>
      </c>
    </row>
    <row r="208" spans="1:35" ht="10.5" outlineLevel="1" x14ac:dyDescent="0.25">
      <c r="A208" s="1688" t="s">
        <v>131</v>
      </c>
      <c r="B208" s="1616">
        <v>19.170000000000002</v>
      </c>
      <c r="C208" s="1674" t="s">
        <v>1051</v>
      </c>
      <c r="D208" s="1581" t="s">
        <v>107</v>
      </c>
      <c r="E208" s="1582">
        <v>1</v>
      </c>
      <c r="F208" s="1519">
        <f>IFERROR(VLOOKUP($C208,'01'!$C$7:$M$216,MATCH("P. Unit. MAT",'01'!$C$7:$M$7,0),0),0)</f>
        <v>0</v>
      </c>
      <c r="G208" s="1519">
        <f t="shared" si="109"/>
        <v>0</v>
      </c>
      <c r="H208" s="1519">
        <f>IFERROR(VLOOKUP($C208,'01'!$C$7:$M$216,MATCH("P. Unit. MO",'01'!$C$7:$M$7,0),0),0)</f>
        <v>0</v>
      </c>
      <c r="I208" s="1519">
        <f t="shared" si="110"/>
        <v>0</v>
      </c>
      <c r="J208" s="1519">
        <f>IFERROR(VLOOKUP($C208,'01'!$C$7:$M$216,MATCH("P. Unit. EQ",'01'!$C$7:$M$7,0),0),0)</f>
        <v>0</v>
      </c>
      <c r="K208" s="1519">
        <f t="shared" si="111"/>
        <v>0</v>
      </c>
      <c r="L208" s="1519">
        <f t="shared" si="112"/>
        <v>0</v>
      </c>
      <c r="N208" s="1505"/>
      <c r="R208" s="1617"/>
      <c r="S208" s="1617"/>
      <c r="T208" s="1617"/>
      <c r="U208" s="1617"/>
      <c r="V208" s="1617"/>
      <c r="W208" s="1617"/>
      <c r="X208" s="1617"/>
      <c r="Y208" s="1617"/>
      <c r="Z208" s="1617"/>
      <c r="AA208" s="1617"/>
      <c r="AB208" s="1617"/>
      <c r="AC208" s="1617"/>
      <c r="AD208" s="1617"/>
      <c r="AE208" s="1617"/>
      <c r="AF208" s="1617"/>
      <c r="AG208" s="1617"/>
      <c r="AH208" s="1617"/>
      <c r="AI208" s="1515">
        <f t="shared" si="100"/>
        <v>0</v>
      </c>
    </row>
    <row r="209" spans="1:35" ht="10.5" outlineLevel="1" x14ac:dyDescent="0.25">
      <c r="A209" s="1681"/>
      <c r="B209" s="1500"/>
      <c r="C209" s="1590" t="s">
        <v>386</v>
      </c>
      <c r="D209" s="1501"/>
      <c r="E209" s="1502"/>
      <c r="F209" s="1502"/>
      <c r="G209" s="1526">
        <f>SUM(G210:G210)</f>
        <v>2093587.3781549993</v>
      </c>
      <c r="H209" s="1502"/>
      <c r="I209" s="1527">
        <f>SUM(I210:I210)</f>
        <v>1987743.7769768753</v>
      </c>
      <c r="J209" s="1502"/>
      <c r="K209" s="1508">
        <f>SUM(K210:K210)</f>
        <v>61219.96732697812</v>
      </c>
      <c r="L209" s="1503">
        <f>SUM(L210:L210)</f>
        <v>4142551.1224588528</v>
      </c>
      <c r="M209" s="1504">
        <f>SUM(D209:K209)</f>
        <v>4142551.1224588528</v>
      </c>
      <c r="N209" s="895">
        <f>M209-'01'!T185</f>
        <v>0</v>
      </c>
      <c r="R209" s="1506"/>
      <c r="S209" s="1506"/>
      <c r="T209" s="1506"/>
      <c r="U209" s="1506"/>
      <c r="V209" s="1506"/>
      <c r="W209" s="1507"/>
      <c r="X209" s="1507"/>
      <c r="Y209" s="1507"/>
      <c r="Z209" s="1507"/>
      <c r="AA209" s="1507"/>
      <c r="AB209" s="1507"/>
      <c r="AC209" s="1507"/>
      <c r="AD209" s="1507"/>
      <c r="AE209" s="1507"/>
      <c r="AF209" s="1507"/>
      <c r="AG209" s="1507"/>
      <c r="AH209" s="1507"/>
      <c r="AI209" s="1507"/>
    </row>
    <row r="210" spans="1:35" ht="10.5" outlineLevel="1" x14ac:dyDescent="0.25">
      <c r="A210" s="1683" t="s">
        <v>131</v>
      </c>
      <c r="B210" s="1516">
        <v>19.170000000000002</v>
      </c>
      <c r="C210" s="1543" t="s">
        <v>1052</v>
      </c>
      <c r="D210" s="1520" t="s">
        <v>107</v>
      </c>
      <c r="E210" s="1521">
        <v>1</v>
      </c>
      <c r="F210" s="1519">
        <f>VLOOKUP($C210,'01'!$C$7:$M$216,MATCH("P. Unit. MAT",'01'!$C$7:$M$7,0),0)</f>
        <v>2093587.3781549993</v>
      </c>
      <c r="G210" s="1519">
        <f t="shared" ref="G210" si="113">F210*$E210</f>
        <v>2093587.3781549993</v>
      </c>
      <c r="H210" s="1519">
        <f>VLOOKUP($C210,'01'!$C$7:$M$216,MATCH("P. Unit. MO",'01'!$C$7:$M$7,0),0)</f>
        <v>1987743.7769768753</v>
      </c>
      <c r="I210" s="1519">
        <f t="shared" ref="I210" si="114">H210*$E210</f>
        <v>1987743.7769768753</v>
      </c>
      <c r="J210" s="1519">
        <f>VLOOKUP($C210,'01'!$C$7:$M$216,MATCH("P. Unit. EQ",'01'!$C$7:$M$7,0),0)</f>
        <v>61219.96732697812</v>
      </c>
      <c r="K210" s="1519">
        <f t="shared" ref="K210" si="115">J210*$E210</f>
        <v>61219.96732697812</v>
      </c>
      <c r="L210" s="1519">
        <f t="shared" ref="L210" si="116">SUM(G210,I210,K210)</f>
        <v>4142551.1224588528</v>
      </c>
      <c r="N210" s="1505"/>
      <c r="R210" s="1515"/>
      <c r="S210" s="1515"/>
      <c r="T210" s="1515"/>
      <c r="U210" s="1515"/>
      <c r="V210" s="1515"/>
      <c r="W210" s="1515"/>
      <c r="X210" s="1515"/>
      <c r="Y210" s="1515"/>
      <c r="Z210" s="1515"/>
      <c r="AA210" s="1515"/>
      <c r="AB210" s="1515"/>
      <c r="AC210" s="1515"/>
      <c r="AD210" s="1515"/>
      <c r="AE210" s="1515"/>
      <c r="AF210" s="1515"/>
      <c r="AG210" s="1515"/>
      <c r="AH210" s="1515"/>
      <c r="AI210" s="1515">
        <f>SUM(S210:AH210)</f>
        <v>0</v>
      </c>
    </row>
    <row r="211" spans="1:35" ht="10.5" outlineLevel="1" x14ac:dyDescent="0.25">
      <c r="A211" s="1681"/>
      <c r="B211" s="1500"/>
      <c r="C211" s="1590" t="s">
        <v>387</v>
      </c>
      <c r="D211" s="1501"/>
      <c r="E211" s="1502"/>
      <c r="F211" s="1502"/>
      <c r="G211" s="1526">
        <f>SUM(G212:G213)</f>
        <v>6500000</v>
      </c>
      <c r="H211" s="1502"/>
      <c r="I211" s="1527">
        <f>SUM(I212:I213)</f>
        <v>9425000</v>
      </c>
      <c r="J211" s="1502"/>
      <c r="K211" s="1508">
        <f>SUM(K212:K213)</f>
        <v>195000</v>
      </c>
      <c r="L211" s="1503">
        <f>SUM(L212:L213)</f>
        <v>16120000</v>
      </c>
      <c r="M211" s="1504">
        <f>SUM(D211:K211)</f>
        <v>16120000</v>
      </c>
      <c r="N211" s="895">
        <f>M211-'01'!T187</f>
        <v>0</v>
      </c>
      <c r="R211" s="1506"/>
      <c r="S211" s="1506"/>
      <c r="T211" s="1506"/>
      <c r="U211" s="1506"/>
      <c r="V211" s="1506"/>
      <c r="W211" s="1507"/>
      <c r="X211" s="1507"/>
      <c r="Y211" s="1507"/>
      <c r="Z211" s="1507"/>
      <c r="AA211" s="1507"/>
      <c r="AB211" s="1507"/>
      <c r="AC211" s="1507"/>
      <c r="AD211" s="1507"/>
      <c r="AE211" s="1507"/>
      <c r="AF211" s="1507"/>
      <c r="AG211" s="1507"/>
      <c r="AH211" s="1507"/>
      <c r="AI211" s="1507"/>
    </row>
    <row r="212" spans="1:35" ht="10.5" outlineLevel="1" x14ac:dyDescent="0.25">
      <c r="A212" s="1691" t="s">
        <v>131</v>
      </c>
      <c r="B212" s="1516">
        <v>19.18</v>
      </c>
      <c r="C212" s="1615" t="s">
        <v>388</v>
      </c>
      <c r="D212" s="1520" t="s">
        <v>107</v>
      </c>
      <c r="E212" s="1521">
        <v>1</v>
      </c>
      <c r="F212" s="1519">
        <f>VLOOKUP($C212,'01'!$C$7:$M$216,MATCH("P. Unit. MAT",'01'!$C$7:$M$7,0),0)</f>
        <v>6500000</v>
      </c>
      <c r="G212" s="1519">
        <f t="shared" ref="G212:G213" si="117">F212*$E212</f>
        <v>6500000</v>
      </c>
      <c r="H212" s="1519">
        <f>VLOOKUP($C212,'01'!$C$7:$M$216,MATCH("P. Unit. MO",'01'!$C$7:$M$7,0),0)</f>
        <v>6500000</v>
      </c>
      <c r="I212" s="1519">
        <f t="shared" ref="I212:I213" si="118">H212*$E212</f>
        <v>6500000</v>
      </c>
      <c r="J212" s="1519">
        <f>VLOOKUP($C212,'01'!$C$7:$M$216,MATCH("P. Unit. EQ",'01'!$C$7:$M$7,0),0)</f>
        <v>195000</v>
      </c>
      <c r="K212" s="1519">
        <f t="shared" ref="K212:K213" si="119">J212*$E212</f>
        <v>195000</v>
      </c>
      <c r="L212" s="1519">
        <f t="shared" ref="L212:L213" si="120">SUM(G212,I212,K212)</f>
        <v>13195000</v>
      </c>
      <c r="N212" s="1505"/>
      <c r="R212" s="1515"/>
      <c r="S212" s="1515"/>
      <c r="T212" s="1515"/>
      <c r="U212" s="1515"/>
      <c r="V212" s="1515"/>
      <c r="W212" s="1515"/>
      <c r="X212" s="1515"/>
      <c r="Y212" s="1515"/>
      <c r="Z212" s="1515"/>
      <c r="AA212" s="1515"/>
      <c r="AB212" s="1515"/>
      <c r="AC212" s="1515"/>
      <c r="AD212" s="1515"/>
      <c r="AE212" s="1515"/>
      <c r="AF212" s="1515"/>
      <c r="AG212" s="1515"/>
      <c r="AH212" s="1515"/>
      <c r="AI212" s="1515">
        <f>SUM(S212:AH212)</f>
        <v>0</v>
      </c>
    </row>
    <row r="213" spans="1:35" ht="10.5" outlineLevel="1" x14ac:dyDescent="0.25">
      <c r="A213" s="1692" t="s">
        <v>131</v>
      </c>
      <c r="B213" s="1516">
        <v>19.190000000000001</v>
      </c>
      <c r="C213" s="1674" t="s">
        <v>389</v>
      </c>
      <c r="D213" s="1581" t="s">
        <v>107</v>
      </c>
      <c r="E213" s="1582">
        <v>1</v>
      </c>
      <c r="F213" s="1519">
        <f>VLOOKUP($C213,'01'!$C$7:$M$216,MATCH("P. Unit. MAT",'01'!$C$7:$M$7,0),0)</f>
        <v>0</v>
      </c>
      <c r="G213" s="1519">
        <f t="shared" si="117"/>
        <v>0</v>
      </c>
      <c r="H213" s="1519">
        <f>VLOOKUP($C213,'01'!$C$7:$M$216,MATCH("P. Unit. MO",'01'!$C$7:$M$7,0),0)</f>
        <v>2925000</v>
      </c>
      <c r="I213" s="1519">
        <f t="shared" si="118"/>
        <v>2925000</v>
      </c>
      <c r="J213" s="1519">
        <f>VLOOKUP($C213,'01'!$C$7:$M$216,MATCH("P. Unit. EQ",'01'!$C$7:$M$7,0),0)</f>
        <v>0</v>
      </c>
      <c r="K213" s="1519">
        <f t="shared" si="119"/>
        <v>0</v>
      </c>
      <c r="L213" s="1519">
        <f t="shared" si="120"/>
        <v>2925000</v>
      </c>
      <c r="N213" s="1505"/>
      <c r="R213" s="1515"/>
      <c r="S213" s="1515"/>
      <c r="T213" s="1515"/>
      <c r="U213" s="1515"/>
      <c r="V213" s="1515"/>
      <c r="W213" s="1515"/>
      <c r="X213" s="1515"/>
      <c r="Y213" s="1515"/>
      <c r="Z213" s="1515"/>
      <c r="AA213" s="1515"/>
      <c r="AB213" s="1515"/>
      <c r="AC213" s="1515"/>
      <c r="AD213" s="1515"/>
      <c r="AE213" s="1515"/>
      <c r="AF213" s="1515"/>
      <c r="AG213" s="1515"/>
      <c r="AH213" s="1515"/>
      <c r="AI213" s="1515">
        <f>SUM(S213:AH213)</f>
        <v>0</v>
      </c>
    </row>
    <row r="214" spans="1:35" ht="10.5" x14ac:dyDescent="0.25">
      <c r="A214" s="1681"/>
      <c r="B214" s="1500">
        <v>20</v>
      </c>
      <c r="C214" s="1590" t="s">
        <v>390</v>
      </c>
      <c r="D214" s="1501"/>
      <c r="E214" s="1502"/>
      <c r="F214" s="1502"/>
      <c r="G214" s="1526">
        <f>SUM(G215:G216)</f>
        <v>13500000</v>
      </c>
      <c r="H214" s="1502"/>
      <c r="I214" s="1527">
        <f>SUM(I215:I216)</f>
        <v>14504000</v>
      </c>
      <c r="J214" s="1502"/>
      <c r="K214" s="1508">
        <f>SUM(K215:K216)</f>
        <v>0</v>
      </c>
      <c r="L214" s="1503">
        <f>SUM(L215:L216)</f>
        <v>28004000</v>
      </c>
      <c r="M214" s="1504">
        <f>SUM(D214:K214)</f>
        <v>28004000</v>
      </c>
      <c r="N214" s="895">
        <f>M214-'01'!T190</f>
        <v>0</v>
      </c>
      <c r="R214" s="1506"/>
      <c r="S214" s="1506"/>
      <c r="T214" s="1506"/>
      <c r="U214" s="1506"/>
      <c r="V214" s="1506"/>
      <c r="W214" s="1507"/>
      <c r="X214" s="1507"/>
      <c r="Y214" s="1507"/>
      <c r="Z214" s="1507"/>
      <c r="AA214" s="1507"/>
      <c r="AB214" s="1507"/>
      <c r="AC214" s="1507"/>
      <c r="AD214" s="1507"/>
      <c r="AE214" s="1507"/>
      <c r="AF214" s="1507"/>
      <c r="AG214" s="1507"/>
      <c r="AH214" s="1507"/>
      <c r="AI214" s="1507"/>
    </row>
    <row r="215" spans="1:35" ht="10.5" outlineLevel="1" x14ac:dyDescent="0.25">
      <c r="A215" s="1685" t="s">
        <v>132</v>
      </c>
      <c r="B215" s="1539">
        <v>20.010000000000002</v>
      </c>
      <c r="C215" s="1587" t="s">
        <v>391</v>
      </c>
      <c r="D215" s="1620" t="s">
        <v>111</v>
      </c>
      <c r="E215" s="1542">
        <v>36</v>
      </c>
      <c r="F215" s="1519">
        <f>VLOOKUP($C215,'01'!$C$7:$M$216,MATCH("P. Unit. MAT",'01'!$C$7:$M$7,0),0)</f>
        <v>375000</v>
      </c>
      <c r="G215" s="1519">
        <f t="shared" ref="G215:G216" si="121">F215*$E215</f>
        <v>13500000</v>
      </c>
      <c r="H215" s="1519">
        <f>VLOOKUP($C215,'01'!$C$7:$M$216,MATCH("P. Unit. MO",'01'!$C$7:$M$7,0),0)</f>
        <v>213888.88888888888</v>
      </c>
      <c r="I215" s="1519">
        <f t="shared" ref="I215:I216" si="122">H215*$E215</f>
        <v>7700000</v>
      </c>
      <c r="J215" s="1519">
        <f>VLOOKUP($C215,'01'!$C$7:$M$216,MATCH("P. Unit. EQ",'01'!$C$7:$M$7,0),0)</f>
        <v>0</v>
      </c>
      <c r="K215" s="1519">
        <f t="shared" ref="K215:K216" si="123">J215*$E215</f>
        <v>0</v>
      </c>
      <c r="L215" s="1519">
        <f t="shared" ref="L215:L216" si="124">SUM(G215,I215,K215)</f>
        <v>21200000</v>
      </c>
      <c r="N215" s="1505"/>
      <c r="R215" s="1515"/>
      <c r="S215" s="1515"/>
      <c r="T215" s="1515"/>
      <c r="U215" s="1515"/>
      <c r="V215" s="1515"/>
      <c r="W215" s="1515"/>
      <c r="X215" s="1515"/>
      <c r="Y215" s="1515"/>
      <c r="Z215" s="1515"/>
      <c r="AA215" s="1515"/>
      <c r="AB215" s="1515"/>
      <c r="AC215" s="1515"/>
      <c r="AD215" s="1515"/>
      <c r="AE215" s="1515"/>
      <c r="AF215" s="1515"/>
      <c r="AG215" s="1515"/>
      <c r="AH215" s="1515"/>
      <c r="AI215" s="1515">
        <f>SUM(S215:AH215)</f>
        <v>0</v>
      </c>
    </row>
    <row r="216" spans="1:35" ht="10.5" outlineLevel="1" x14ac:dyDescent="0.25">
      <c r="A216" s="1683" t="s">
        <v>132</v>
      </c>
      <c r="B216" s="1516">
        <v>20.02</v>
      </c>
      <c r="C216" s="1574" t="s">
        <v>1053</v>
      </c>
      <c r="D216" s="1584" t="s">
        <v>111</v>
      </c>
      <c r="E216" s="1518">
        <v>36</v>
      </c>
      <c r="F216" s="1519">
        <f>VLOOKUP($C216,'01'!$C$7:$M$216,MATCH("P. Unit. MAT",'01'!$C$7:$M$7,0),0)</f>
        <v>0</v>
      </c>
      <c r="G216" s="1519">
        <f t="shared" si="121"/>
        <v>0</v>
      </c>
      <c r="H216" s="1519">
        <f>VLOOKUP($C216,'01'!$C$7:$M$216,MATCH("P. Unit. MO",'01'!$C$7:$M$7,0),0)</f>
        <v>189000</v>
      </c>
      <c r="I216" s="1519">
        <f t="shared" si="122"/>
        <v>6804000</v>
      </c>
      <c r="J216" s="1519">
        <f>VLOOKUP($C216,'01'!$C$7:$M$216,MATCH("P. Unit. EQ",'01'!$C$7:$M$7,0),0)</f>
        <v>0</v>
      </c>
      <c r="K216" s="1519">
        <f t="shared" si="123"/>
        <v>0</v>
      </c>
      <c r="L216" s="1519">
        <f t="shared" si="124"/>
        <v>6804000</v>
      </c>
      <c r="N216" s="1505"/>
      <c r="R216" s="1515"/>
      <c r="S216" s="1515"/>
      <c r="T216" s="1515"/>
      <c r="U216" s="1515"/>
      <c r="V216" s="1515"/>
      <c r="W216" s="1515"/>
      <c r="X216" s="1515"/>
      <c r="Y216" s="1515"/>
      <c r="Z216" s="1515"/>
      <c r="AA216" s="1515"/>
      <c r="AB216" s="1515"/>
      <c r="AC216" s="1515"/>
      <c r="AD216" s="1515"/>
      <c r="AE216" s="1515"/>
      <c r="AF216" s="1515"/>
      <c r="AG216" s="1515"/>
      <c r="AH216" s="1515"/>
      <c r="AI216" s="1515">
        <f>SUM(S216:AH216)</f>
        <v>0</v>
      </c>
    </row>
    <row r="217" spans="1:35" ht="10.5" x14ac:dyDescent="0.25">
      <c r="A217" s="1681"/>
      <c r="B217" s="1500">
        <v>21</v>
      </c>
      <c r="C217" s="1590" t="s">
        <v>392</v>
      </c>
      <c r="D217" s="1501"/>
      <c r="E217" s="1502"/>
      <c r="F217" s="1502"/>
      <c r="G217" s="1526">
        <f>SUM(G218:G218)</f>
        <v>0</v>
      </c>
      <c r="H217" s="1502"/>
      <c r="I217" s="1527">
        <f>SUM(I218:I218)</f>
        <v>0</v>
      </c>
      <c r="J217" s="1502"/>
      <c r="K217" s="1508">
        <f>SUM(K218:K218)</f>
        <v>0</v>
      </c>
      <c r="L217" s="1503">
        <f>SUM(L218:L218)</f>
        <v>0</v>
      </c>
      <c r="M217" s="1504">
        <f>SUM(D217:K217)</f>
        <v>0</v>
      </c>
      <c r="N217" s="895">
        <f>M217-'01'!T193</f>
        <v>0</v>
      </c>
      <c r="R217" s="1506"/>
      <c r="S217" s="1506"/>
      <c r="T217" s="1506"/>
      <c r="U217" s="1506"/>
      <c r="V217" s="1506"/>
      <c r="W217" s="1507"/>
      <c r="X217" s="1507"/>
      <c r="Y217" s="1507"/>
      <c r="Z217" s="1507"/>
      <c r="AA217" s="1507"/>
      <c r="AB217" s="1507"/>
      <c r="AC217" s="1507"/>
      <c r="AD217" s="1507"/>
      <c r="AE217" s="1507"/>
      <c r="AF217" s="1507"/>
      <c r="AG217" s="1507"/>
      <c r="AH217" s="1507"/>
      <c r="AI217" s="1507"/>
    </row>
    <row r="218" spans="1:35" s="1556" customFormat="1" ht="10.5" outlineLevel="1" x14ac:dyDescent="0.25">
      <c r="A218" s="1693" t="s">
        <v>113</v>
      </c>
      <c r="B218" s="1621">
        <v>21.01</v>
      </c>
      <c r="C218" s="1675" t="s">
        <v>1054</v>
      </c>
      <c r="D218" s="1622" t="s">
        <v>107</v>
      </c>
      <c r="E218" s="1623">
        <v>0</v>
      </c>
      <c r="F218" s="1519">
        <f>VLOOKUP($C218,'01'!$C$7:$M$216,MATCH("P. Unit. MAT",'01'!$C$7:$M$7,0),0)</f>
        <v>0</v>
      </c>
      <c r="G218" s="1519">
        <f t="shared" ref="G218" si="125">F218*$E218</f>
        <v>0</v>
      </c>
      <c r="H218" s="1519">
        <f>VLOOKUP($C218,'01'!$C$7:$M$216,MATCH("P. Unit. MO",'01'!$C$7:$M$7,0),0)</f>
        <v>0</v>
      </c>
      <c r="I218" s="1519">
        <f t="shared" ref="I218" si="126">H218*$E218</f>
        <v>0</v>
      </c>
      <c r="J218" s="1519">
        <f>VLOOKUP($C218,'01'!$C$7:$M$216,MATCH("P. Unit. EQ",'01'!$C$7:$M$7,0),0)</f>
        <v>0</v>
      </c>
      <c r="K218" s="1519">
        <f t="shared" ref="K218" si="127">J218*$E218</f>
        <v>0</v>
      </c>
      <c r="L218" s="1519">
        <f t="shared" ref="L218" si="128">SUM(G218,I218)</f>
        <v>0</v>
      </c>
      <c r="M218" s="1566"/>
      <c r="N218" s="1505"/>
      <c r="R218" s="1515"/>
      <c r="S218" s="1515"/>
      <c r="T218" s="1515"/>
      <c r="U218" s="1515"/>
      <c r="V218" s="1515"/>
      <c r="W218" s="1515"/>
      <c r="X218" s="1515"/>
      <c r="Y218" s="1515"/>
      <c r="Z218" s="1515"/>
      <c r="AA218" s="1515"/>
      <c r="AB218" s="1515"/>
      <c r="AC218" s="1515"/>
      <c r="AD218" s="1515"/>
      <c r="AE218" s="1515"/>
      <c r="AF218" s="1515"/>
      <c r="AG218" s="1515"/>
      <c r="AH218" s="1515"/>
      <c r="AI218" s="1515">
        <f>SUM(S218:AH218)</f>
        <v>0</v>
      </c>
    </row>
    <row r="219" spans="1:35" s="1556" customFormat="1" ht="10.5" x14ac:dyDescent="0.25">
      <c r="A219" s="1681"/>
      <c r="B219" s="1500">
        <v>22</v>
      </c>
      <c r="C219" s="1590" t="s">
        <v>393</v>
      </c>
      <c r="D219" s="1501"/>
      <c r="E219" s="1502"/>
      <c r="F219" s="1502"/>
      <c r="G219" s="1526">
        <f>SUM(G220:G221)</f>
        <v>0</v>
      </c>
      <c r="H219" s="1502"/>
      <c r="I219" s="1527">
        <f>SUM(I220:I221)</f>
        <v>2125199.9999999995</v>
      </c>
      <c r="J219" s="1502"/>
      <c r="K219" s="1508">
        <f>SUM(K220:K221)</f>
        <v>0</v>
      </c>
      <c r="L219" s="1503">
        <f>SUM(L220:L221)</f>
        <v>2125199.9999999995</v>
      </c>
      <c r="M219" s="1504">
        <f>SUM(D219:K219)</f>
        <v>2125199.9999999995</v>
      </c>
      <c r="N219" s="895">
        <f>M219-'01'!T195</f>
        <v>0</v>
      </c>
      <c r="R219" s="1506"/>
      <c r="S219" s="1506"/>
      <c r="T219" s="1506"/>
      <c r="U219" s="1506"/>
      <c r="V219" s="1506"/>
      <c r="W219" s="1507"/>
      <c r="X219" s="1507"/>
      <c r="Y219" s="1507"/>
      <c r="Z219" s="1507"/>
      <c r="AA219" s="1507"/>
      <c r="AB219" s="1507"/>
      <c r="AC219" s="1507"/>
      <c r="AD219" s="1507"/>
      <c r="AE219" s="1507"/>
      <c r="AF219" s="1507"/>
      <c r="AG219" s="1507"/>
      <c r="AH219" s="1507"/>
      <c r="AI219" s="1507"/>
    </row>
    <row r="220" spans="1:35" ht="10.5" outlineLevel="1" x14ac:dyDescent="0.25">
      <c r="A220" s="1682" t="s">
        <v>130</v>
      </c>
      <c r="B220" s="1596">
        <v>22.01</v>
      </c>
      <c r="C220" s="1668" t="s">
        <v>1055</v>
      </c>
      <c r="D220" s="1598" t="s">
        <v>111</v>
      </c>
      <c r="E220" s="1521">
        <v>16</v>
      </c>
      <c r="F220" s="1519">
        <f>VLOOKUP($C220,'01'!$C$7:$M$216,MATCH("P. Unit. MAT",'01'!$C$7:$M$7,0),0)</f>
        <v>0</v>
      </c>
      <c r="G220" s="1519">
        <f t="shared" ref="G220:G221" si="129">F220*$E220</f>
        <v>0</v>
      </c>
      <c r="H220" s="1519">
        <f>VLOOKUP($C220,'01'!$C$7:$M$216,MATCH("P. Unit. MO",'01'!$C$7:$M$7,0),0)</f>
        <v>64399.999999999993</v>
      </c>
      <c r="I220" s="1519">
        <f t="shared" ref="I220:I221" si="130">H220*$E220</f>
        <v>1030399.9999999999</v>
      </c>
      <c r="J220" s="1519">
        <f>VLOOKUP($C220,'01'!$C$7:$M$216,MATCH("P. Unit. EQ",'01'!$C$7:$M$7,0),0)</f>
        <v>0</v>
      </c>
      <c r="K220" s="1519">
        <f t="shared" ref="K220:K221" si="131">J220*$E220</f>
        <v>0</v>
      </c>
      <c r="L220" s="1519">
        <f t="shared" ref="L220:L221" si="132">SUM(G220,I220,K220)</f>
        <v>1030399.9999999999</v>
      </c>
      <c r="N220" s="1505"/>
      <c r="R220" s="1515"/>
      <c r="S220" s="1515"/>
      <c r="T220" s="1515"/>
      <c r="U220" s="1515"/>
      <c r="V220" s="1515"/>
      <c r="W220" s="1515"/>
      <c r="X220" s="1515"/>
      <c r="Y220" s="1515"/>
      <c r="Z220" s="1515"/>
      <c r="AA220" s="1515"/>
      <c r="AB220" s="1515"/>
      <c r="AC220" s="1515"/>
      <c r="AD220" s="1515"/>
      <c r="AE220" s="1515"/>
      <c r="AF220" s="1515"/>
      <c r="AG220" s="1515"/>
      <c r="AH220" s="1515"/>
      <c r="AI220" s="1515">
        <f>SUM(S220:AH220)</f>
        <v>0</v>
      </c>
    </row>
    <row r="221" spans="1:35" ht="10.5" outlineLevel="1" x14ac:dyDescent="0.25">
      <c r="A221" s="1683" t="s">
        <v>130</v>
      </c>
      <c r="B221" s="1568">
        <v>22.02</v>
      </c>
      <c r="C221" s="1543" t="s">
        <v>1056</v>
      </c>
      <c r="D221" s="1601" t="s">
        <v>111</v>
      </c>
      <c r="E221" s="1530">
        <v>17</v>
      </c>
      <c r="F221" s="1519">
        <f>VLOOKUP($C221,'01'!$C$7:$M$216,MATCH("P. Unit. MAT",'01'!$C$7:$M$7,0),0)</f>
        <v>0</v>
      </c>
      <c r="G221" s="1519">
        <f t="shared" si="129"/>
        <v>0</v>
      </c>
      <c r="H221" s="1519">
        <f>VLOOKUP($C221,'01'!$C$7:$M$216,MATCH("P. Unit. MO",'01'!$C$7:$M$7,0),0)</f>
        <v>64399.999999999993</v>
      </c>
      <c r="I221" s="1519">
        <f t="shared" si="130"/>
        <v>1094799.9999999998</v>
      </c>
      <c r="J221" s="1519">
        <f>VLOOKUP($C221,'01'!$C$7:$M$216,MATCH("P. Unit. EQ",'01'!$C$7:$M$7,0),0)</f>
        <v>0</v>
      </c>
      <c r="K221" s="1519">
        <f t="shared" si="131"/>
        <v>0</v>
      </c>
      <c r="L221" s="1519">
        <f t="shared" si="132"/>
        <v>1094799.9999999998</v>
      </c>
      <c r="N221" s="1505"/>
      <c r="R221" s="1515"/>
      <c r="S221" s="1515"/>
      <c r="T221" s="1515"/>
      <c r="U221" s="1515"/>
      <c r="V221" s="1515"/>
      <c r="W221" s="1515"/>
      <c r="X221" s="1515"/>
      <c r="Y221" s="1515"/>
      <c r="Z221" s="1515"/>
      <c r="AA221" s="1515"/>
      <c r="AB221" s="1515"/>
      <c r="AC221" s="1515"/>
      <c r="AD221" s="1515"/>
      <c r="AE221" s="1515"/>
      <c r="AF221" s="1515"/>
      <c r="AG221" s="1515"/>
      <c r="AH221" s="1515"/>
      <c r="AI221" s="1515">
        <f>SUM(S221:AH221)</f>
        <v>0</v>
      </c>
    </row>
    <row r="222" spans="1:35" ht="10.5" x14ac:dyDescent="0.25">
      <c r="A222" s="1681"/>
      <c r="B222" s="1500">
        <v>23</v>
      </c>
      <c r="C222" s="1590" t="s">
        <v>211</v>
      </c>
      <c r="D222" s="1501"/>
      <c r="E222" s="1502"/>
      <c r="F222" s="1502"/>
      <c r="G222" s="1526">
        <f>SUM(G223:G225)</f>
        <v>1173921.7177338868</v>
      </c>
      <c r="H222" s="1502"/>
      <c r="I222" s="1527">
        <f>SUM(I223:I225)</f>
        <v>2495526.0278579816</v>
      </c>
      <c r="J222" s="1502"/>
      <c r="K222" s="1508">
        <f>SUM(K223:K225)</f>
        <v>44643.309236857916</v>
      </c>
      <c r="L222" s="1503">
        <f>SUM(L223:L225)</f>
        <v>3714091.0548287267</v>
      </c>
      <c r="M222" s="1504">
        <f>SUM(D222:K222)</f>
        <v>3714091.0548287267</v>
      </c>
      <c r="N222" s="895">
        <f>M222-'01'!T198</f>
        <v>0</v>
      </c>
      <c r="R222" s="1506"/>
      <c r="S222" s="1506"/>
      <c r="T222" s="1506"/>
      <c r="U222" s="1506"/>
      <c r="V222" s="1506"/>
      <c r="W222" s="1507"/>
      <c r="X222" s="1507"/>
      <c r="Y222" s="1507"/>
      <c r="Z222" s="1507"/>
      <c r="AA222" s="1507"/>
      <c r="AB222" s="1507"/>
      <c r="AC222" s="1507"/>
      <c r="AD222" s="1507"/>
      <c r="AE222" s="1507"/>
      <c r="AF222" s="1507"/>
      <c r="AG222" s="1507"/>
      <c r="AH222" s="1507"/>
      <c r="AI222" s="1507"/>
    </row>
    <row r="223" spans="1:35" s="1556" customFormat="1" ht="31.5" outlineLevel="1" x14ac:dyDescent="0.25">
      <c r="A223" s="1690" t="s">
        <v>113</v>
      </c>
      <c r="B223" s="1614">
        <v>23.01</v>
      </c>
      <c r="C223" s="1658" t="s">
        <v>394</v>
      </c>
      <c r="D223" s="1553" t="s">
        <v>107</v>
      </c>
      <c r="E223" s="1554">
        <v>7</v>
      </c>
      <c r="F223" s="1519">
        <f>VLOOKUP($C223,'01'!$C$7:$M$216,MATCH("P. Unit. MAT",'01'!$C$7:$M$7,0),0)</f>
        <v>102857.44160864415</v>
      </c>
      <c r="G223" s="1519">
        <f t="shared" ref="G223:G225" si="133">F223*$E223</f>
        <v>720002.0912605091</v>
      </c>
      <c r="H223" s="1519">
        <f>VLOOKUP($C223,'01'!$C$7:$M$216,MATCH("P. Unit. MO",'01'!$C$7:$M$7,0),0)</f>
        <v>247059.61185673703</v>
      </c>
      <c r="I223" s="1519">
        <f t="shared" ref="I223:I225" si="134">H223*$E223</f>
        <v>1729417.2829971593</v>
      </c>
      <c r="J223" s="1519">
        <f>VLOOKUP($C223,'01'!$C$7:$M$216,MATCH("P. Unit. EQ",'01'!$C$7:$M$7,0),0)</f>
        <v>5248.7558019807175</v>
      </c>
      <c r="K223" s="1519">
        <f t="shared" ref="K223:K225" si="135">J223*$E223</f>
        <v>36741.290613865021</v>
      </c>
      <c r="L223" s="1519">
        <f t="shared" ref="L223:L225" si="136">SUM(G223,I223,K223)</f>
        <v>2486160.6648715334</v>
      </c>
      <c r="M223" s="1566"/>
      <c r="N223" s="1505"/>
      <c r="R223" s="1515"/>
      <c r="S223" s="1515"/>
      <c r="T223" s="1515"/>
      <c r="U223" s="1515"/>
      <c r="V223" s="1515"/>
      <c r="W223" s="1515"/>
      <c r="X223" s="1515"/>
      <c r="Y223" s="1515"/>
      <c r="Z223" s="1515"/>
      <c r="AA223" s="1515"/>
      <c r="AB223" s="1515"/>
      <c r="AC223" s="1515"/>
      <c r="AD223" s="1515"/>
      <c r="AE223" s="1515"/>
      <c r="AF223" s="1515"/>
      <c r="AG223" s="1515"/>
      <c r="AH223" s="1515"/>
      <c r="AI223" s="1515">
        <f>SUM(S223:AH223)</f>
        <v>0</v>
      </c>
    </row>
    <row r="224" spans="1:35" s="1556" customFormat="1" ht="31.5" outlineLevel="1" x14ac:dyDescent="0.25">
      <c r="A224" s="1688" t="s">
        <v>113</v>
      </c>
      <c r="B224" s="1572">
        <v>23.02</v>
      </c>
      <c r="C224" s="1574" t="s">
        <v>1057</v>
      </c>
      <c r="D224" s="1529" t="s">
        <v>107</v>
      </c>
      <c r="E224" s="1530">
        <v>1</v>
      </c>
      <c r="F224" s="1519">
        <f>VLOOKUP($C224,'01'!$C$7:$M$216,MATCH("P. Unit. MAT",'01'!$C$7:$M$7,0),0)</f>
        <v>200000</v>
      </c>
      <c r="G224" s="1519">
        <f t="shared" si="133"/>
        <v>200000</v>
      </c>
      <c r="H224" s="1519">
        <f>VLOOKUP($C224,'01'!$C$7:$M$216,MATCH("P. Unit. MO",'01'!$C$7:$M$7,0),0)</f>
        <v>326801.24153285986</v>
      </c>
      <c r="I224" s="1519">
        <f t="shared" si="134"/>
        <v>326801.24153285986</v>
      </c>
      <c r="J224" s="1519">
        <f>VLOOKUP($C224,'01'!$C$7:$M$216,MATCH("P. Unit. EQ",'01'!$C$7:$M$7,0),0)</f>
        <v>7902.0186229928977</v>
      </c>
      <c r="K224" s="1519">
        <f t="shared" si="135"/>
        <v>7902.0186229928977</v>
      </c>
      <c r="L224" s="1519">
        <f t="shared" si="136"/>
        <v>534703.26015585277</v>
      </c>
      <c r="M224" s="1566"/>
      <c r="N224" s="1505"/>
      <c r="R224" s="1515"/>
      <c r="S224" s="1515"/>
      <c r="T224" s="1515"/>
      <c r="U224" s="1515"/>
      <c r="V224" s="1515"/>
      <c r="W224" s="1515"/>
      <c r="X224" s="1515"/>
      <c r="Y224" s="1515"/>
      <c r="Z224" s="1515"/>
      <c r="AA224" s="1515"/>
      <c r="AB224" s="1515"/>
      <c r="AC224" s="1515"/>
      <c r="AD224" s="1515"/>
      <c r="AE224" s="1515"/>
      <c r="AF224" s="1515"/>
      <c r="AG224" s="1515"/>
      <c r="AH224" s="1515"/>
      <c r="AI224" s="1515">
        <f>SUM(S224:AH224)</f>
        <v>0</v>
      </c>
    </row>
    <row r="225" spans="1:35" ht="31.5" outlineLevel="1" x14ac:dyDescent="0.25">
      <c r="A225" s="1687" t="s">
        <v>113</v>
      </c>
      <c r="B225" s="1573">
        <v>23.03</v>
      </c>
      <c r="C225" s="1659" t="s">
        <v>395</v>
      </c>
      <c r="D225" s="1557" t="s">
        <v>107</v>
      </c>
      <c r="E225" s="1537">
        <v>1</v>
      </c>
      <c r="F225" s="1519">
        <f>VLOOKUP($C225,'01'!$C$7:$M$216,MATCH("P. Unit. MAT",'01'!$C$7:$M$7,0),0)</f>
        <v>253919.62647337769</v>
      </c>
      <c r="G225" s="1519">
        <f t="shared" si="133"/>
        <v>253919.62647337769</v>
      </c>
      <c r="H225" s="1519">
        <f>VLOOKUP($C225,'01'!$C$7:$M$216,MATCH("P. Unit. MO",'01'!$C$7:$M$7,0),0)</f>
        <v>439307.50332796259</v>
      </c>
      <c r="I225" s="1519">
        <f t="shared" si="134"/>
        <v>439307.50332796259</v>
      </c>
      <c r="J225" s="1519">
        <f>VLOOKUP($C225,'01'!$C$7:$M$216,MATCH("P. Unit. EQ",'01'!$C$7:$M$7,0),0)</f>
        <v>0</v>
      </c>
      <c r="K225" s="1519">
        <f t="shared" si="135"/>
        <v>0</v>
      </c>
      <c r="L225" s="1519">
        <f t="shared" si="136"/>
        <v>693227.12980134028</v>
      </c>
      <c r="N225" s="1505"/>
      <c r="R225" s="1515"/>
      <c r="S225" s="1515"/>
      <c r="T225" s="1515"/>
      <c r="U225" s="1515"/>
      <c r="V225" s="1515"/>
      <c r="W225" s="1515"/>
      <c r="X225" s="1515"/>
      <c r="Y225" s="1515"/>
      <c r="Z225" s="1515"/>
      <c r="AA225" s="1515"/>
      <c r="AB225" s="1515"/>
      <c r="AC225" s="1515"/>
      <c r="AD225" s="1515"/>
      <c r="AE225" s="1515"/>
      <c r="AF225" s="1515"/>
      <c r="AG225" s="1515"/>
      <c r="AH225" s="1515"/>
      <c r="AI225" s="1515">
        <f>SUM(S225:AH225)</f>
        <v>0</v>
      </c>
    </row>
    <row r="226" spans="1:35" ht="10.5" x14ac:dyDescent="0.25">
      <c r="A226" s="1681"/>
      <c r="B226" s="1500">
        <v>24</v>
      </c>
      <c r="C226" s="1590" t="s">
        <v>212</v>
      </c>
      <c r="D226" s="1501"/>
      <c r="E226" s="1502"/>
      <c r="F226" s="1502"/>
      <c r="G226" s="1526">
        <f>SUM(G227:G237)</f>
        <v>1650000</v>
      </c>
      <c r="H226" s="1502"/>
      <c r="I226" s="1527">
        <f>SUM(I227:I237)</f>
        <v>11246383.307519749</v>
      </c>
      <c r="J226" s="1502"/>
      <c r="K226" s="1508">
        <f>SUM(K227:K237)</f>
        <v>81022.692057707041</v>
      </c>
      <c r="L226" s="1503">
        <f>SUM(L227:L237)</f>
        <v>12977405.999577455</v>
      </c>
      <c r="M226" s="1504">
        <f>SUM(D226:K226)</f>
        <v>12977405.999577455</v>
      </c>
      <c r="N226" s="895">
        <f>M226+M43-'01'!T202</f>
        <v>0</v>
      </c>
      <c r="R226" s="1506"/>
      <c r="S226" s="1506"/>
      <c r="T226" s="1506"/>
      <c r="U226" s="1506"/>
      <c r="V226" s="1506"/>
      <c r="W226" s="1507"/>
      <c r="X226" s="1507"/>
      <c r="Y226" s="1507"/>
      <c r="Z226" s="1507"/>
      <c r="AA226" s="1507"/>
      <c r="AB226" s="1507"/>
      <c r="AC226" s="1507"/>
      <c r="AD226" s="1507"/>
      <c r="AE226" s="1507"/>
      <c r="AF226" s="1507"/>
      <c r="AG226" s="1507"/>
      <c r="AH226" s="1507"/>
      <c r="AI226" s="1507"/>
    </row>
    <row r="227" spans="1:35" ht="10.5" outlineLevel="1" x14ac:dyDescent="0.25">
      <c r="A227" s="1682" t="s">
        <v>113</v>
      </c>
      <c r="B227" s="1510">
        <v>24.01</v>
      </c>
      <c r="C227" s="1538" t="s">
        <v>135</v>
      </c>
      <c r="D227" s="1511" t="s">
        <v>101</v>
      </c>
      <c r="E227" s="1512">
        <v>6</v>
      </c>
      <c r="F227" s="1519">
        <f>VLOOKUP($C227,'01'!$C$7:$M$216,MATCH("P. Unit. MAT",'01'!$C$7:$M$7,0),0)</f>
        <v>0</v>
      </c>
      <c r="G227" s="1519">
        <f t="shared" ref="G227:G237" si="137">F227*$E227</f>
        <v>0</v>
      </c>
      <c r="H227" s="1519">
        <f>VLOOKUP($C227,'01'!$C$7:$M$216,MATCH("P. Unit. MO",'01'!$C$7:$M$7,0),0)</f>
        <v>599210.84671886358</v>
      </c>
      <c r="I227" s="1519">
        <f t="shared" ref="I227:I237" si="138">H227*$E227</f>
        <v>3595265.0803131815</v>
      </c>
      <c r="J227" s="1519">
        <f>VLOOKUP($C227,'01'!$C$7:$M$216,MATCH("P. Unit. EQ",'01'!$C$7:$M$7,0),0)</f>
        <v>0</v>
      </c>
      <c r="K227" s="1519">
        <f t="shared" ref="K227:K237" si="139">J227*$E227</f>
        <v>0</v>
      </c>
      <c r="L227" s="1519">
        <f t="shared" ref="L227:L237" si="140">SUM(G227,I227,K227)</f>
        <v>3595265.0803131815</v>
      </c>
      <c r="R227" s="1515"/>
      <c r="S227" s="1515"/>
      <c r="T227" s="1515"/>
      <c r="U227" s="1515"/>
      <c r="V227" s="1515"/>
      <c r="W227" s="1515"/>
      <c r="X227" s="1515"/>
      <c r="Y227" s="1515"/>
      <c r="Z227" s="1515"/>
      <c r="AA227" s="1515"/>
      <c r="AB227" s="1515"/>
      <c r="AC227" s="1515"/>
      <c r="AD227" s="1515"/>
      <c r="AE227" s="1515"/>
      <c r="AF227" s="1515"/>
      <c r="AG227" s="1515"/>
      <c r="AH227" s="1515"/>
      <c r="AI227" s="1515">
        <f t="shared" ref="AI227:AI237" si="141">SUM(S227:AH227)</f>
        <v>0</v>
      </c>
    </row>
    <row r="228" spans="1:35" ht="10.5" outlineLevel="1" x14ac:dyDescent="0.25">
      <c r="A228" s="1685" t="s">
        <v>221</v>
      </c>
      <c r="B228" s="1539">
        <v>24.02</v>
      </c>
      <c r="C228" s="1540" t="s">
        <v>295</v>
      </c>
      <c r="D228" s="1541" t="s">
        <v>101</v>
      </c>
      <c r="E228" s="1542"/>
      <c r="F228" s="1519">
        <f>VLOOKUP($C228,'01'!$C$7:$M$216,MATCH("P. Unit. MAT",'01'!$C$7:$M$7,0),0)</f>
        <v>0</v>
      </c>
      <c r="G228" s="1519">
        <f t="shared" si="137"/>
        <v>0</v>
      </c>
      <c r="H228" s="1519">
        <f>VLOOKUP($C228,'01'!$C$7:$M$216,MATCH("P. Unit. MO",'01'!$C$7:$M$7,0),0)</f>
        <v>1547376.3491999998</v>
      </c>
      <c r="I228" s="1519">
        <f t="shared" si="138"/>
        <v>0</v>
      </c>
      <c r="J228" s="1519">
        <f>VLOOKUP($C228,'01'!$C$7:$M$216,MATCH("P. Unit. EQ",'01'!$C$7:$M$7,0),0)</f>
        <v>0</v>
      </c>
      <c r="K228" s="1519">
        <f t="shared" si="139"/>
        <v>0</v>
      </c>
      <c r="L228" s="1519">
        <f t="shared" si="140"/>
        <v>0</v>
      </c>
      <c r="R228" s="1515"/>
      <c r="S228" s="1515"/>
      <c r="T228" s="1515"/>
      <c r="U228" s="1515"/>
      <c r="V228" s="1515"/>
      <c r="W228" s="1515"/>
      <c r="X228" s="1515"/>
      <c r="Y228" s="1515"/>
      <c r="Z228" s="1515"/>
      <c r="AA228" s="1515"/>
      <c r="AB228" s="1515"/>
      <c r="AC228" s="1515"/>
      <c r="AD228" s="1515"/>
      <c r="AE228" s="1515"/>
      <c r="AF228" s="1515"/>
      <c r="AG228" s="1515"/>
      <c r="AH228" s="1515"/>
      <c r="AI228" s="1515">
        <f t="shared" si="141"/>
        <v>0</v>
      </c>
    </row>
    <row r="229" spans="1:35" ht="10.5" outlineLevel="1" x14ac:dyDescent="0.25">
      <c r="A229" s="1683" t="s">
        <v>221</v>
      </c>
      <c r="B229" s="1516">
        <v>24.03</v>
      </c>
      <c r="C229" s="1543" t="s">
        <v>213</v>
      </c>
      <c r="D229" s="1517" t="s">
        <v>101</v>
      </c>
      <c r="E229" s="1518">
        <v>6</v>
      </c>
      <c r="F229" s="1519">
        <f>VLOOKUP($C229,'01'!$C$7:$M$216,MATCH("P. Unit. MAT",'01'!$C$7:$M$7,0),0)</f>
        <v>0</v>
      </c>
      <c r="G229" s="1519">
        <f t="shared" si="137"/>
        <v>0</v>
      </c>
      <c r="H229" s="1519">
        <f>VLOOKUP($C229,'01'!$C$7:$M$216,MATCH("P. Unit. MO",'01'!$C$7:$M$7,0),0)</f>
        <v>150000</v>
      </c>
      <c r="I229" s="1519">
        <f t="shared" si="138"/>
        <v>900000</v>
      </c>
      <c r="J229" s="1519">
        <f>VLOOKUP($C229,'01'!$C$7:$M$216,MATCH("P. Unit. EQ",'01'!$C$7:$M$7,0),0)</f>
        <v>0</v>
      </c>
      <c r="K229" s="1519">
        <f t="shared" si="139"/>
        <v>0</v>
      </c>
      <c r="L229" s="1519">
        <f t="shared" si="140"/>
        <v>900000</v>
      </c>
      <c r="R229" s="1515"/>
      <c r="S229" s="1515"/>
      <c r="T229" s="1515"/>
      <c r="U229" s="1515"/>
      <c r="V229" s="1515"/>
      <c r="W229" s="1515"/>
      <c r="X229" s="1515"/>
      <c r="Y229" s="1515"/>
      <c r="Z229" s="1515"/>
      <c r="AA229" s="1515"/>
      <c r="AB229" s="1515"/>
      <c r="AC229" s="1515"/>
      <c r="AD229" s="1515"/>
      <c r="AE229" s="1515"/>
      <c r="AF229" s="1515"/>
      <c r="AG229" s="1515"/>
      <c r="AH229" s="1515"/>
      <c r="AI229" s="1515">
        <f t="shared" si="141"/>
        <v>0</v>
      </c>
    </row>
    <row r="230" spans="1:35" ht="10.5" outlineLevel="1" x14ac:dyDescent="0.25">
      <c r="A230" s="1685" t="s">
        <v>113</v>
      </c>
      <c r="B230" s="1539">
        <v>24.04</v>
      </c>
      <c r="C230" s="1543" t="s">
        <v>214</v>
      </c>
      <c r="D230" s="1517" t="s">
        <v>107</v>
      </c>
      <c r="E230" s="1518"/>
      <c r="F230" s="1519">
        <f>VLOOKUP($C230,'01'!$C$7:$M$216,MATCH("P. Unit. MAT",'01'!$C$7:$M$7,0),0)</f>
        <v>2388097.2693333332</v>
      </c>
      <c r="G230" s="1519">
        <f t="shared" si="137"/>
        <v>0</v>
      </c>
      <c r="H230" s="1519">
        <f>VLOOKUP($C230,'01'!$C$7:$M$216,MATCH("P. Unit. MO",'01'!$C$7:$M$7,0),0)</f>
        <v>1222808.0771714395</v>
      </c>
      <c r="I230" s="1519">
        <f t="shared" si="138"/>
        <v>0</v>
      </c>
      <c r="J230" s="1519">
        <f>VLOOKUP($C230,'01'!$C$7:$M$216,MATCH("P. Unit. EQ",'01'!$C$7:$M$7,0),0)</f>
        <v>54163.580197571595</v>
      </c>
      <c r="K230" s="1519">
        <f t="shared" si="139"/>
        <v>0</v>
      </c>
      <c r="L230" s="1519">
        <f t="shared" si="140"/>
        <v>0</v>
      </c>
      <c r="R230" s="1515"/>
      <c r="S230" s="1515"/>
      <c r="T230" s="1515"/>
      <c r="U230" s="1515"/>
      <c r="V230" s="1515"/>
      <c r="W230" s="1515"/>
      <c r="X230" s="1515"/>
      <c r="Y230" s="1515"/>
      <c r="Z230" s="1515"/>
      <c r="AA230" s="1515"/>
      <c r="AB230" s="1515"/>
      <c r="AC230" s="1515"/>
      <c r="AD230" s="1515"/>
      <c r="AE230" s="1515"/>
      <c r="AF230" s="1515"/>
      <c r="AG230" s="1515"/>
      <c r="AH230" s="1515"/>
      <c r="AI230" s="1515">
        <f t="shared" si="141"/>
        <v>0</v>
      </c>
    </row>
    <row r="231" spans="1:35" s="1546" customFormat="1" ht="10.5" outlineLevel="1" x14ac:dyDescent="0.25">
      <c r="A231" s="1683" t="s">
        <v>113</v>
      </c>
      <c r="B231" s="1516">
        <v>24.05</v>
      </c>
      <c r="C231" s="1438" t="s">
        <v>546</v>
      </c>
      <c r="D231" s="1544" t="s">
        <v>101</v>
      </c>
      <c r="E231" s="1518">
        <v>6</v>
      </c>
      <c r="F231" s="1519">
        <f>VLOOKUP($C231,'01'!$C$7:$M$216,MATCH("P. Unit. MAT",'01'!$C$7:$M$7,0),0)</f>
        <v>50000</v>
      </c>
      <c r="G231" s="1519">
        <f t="shared" si="137"/>
        <v>300000</v>
      </c>
      <c r="H231" s="1519">
        <f>VLOOKUP($C231,'01'!$C$7:$M$216,MATCH("P. Unit. MO",'01'!$C$7:$M$7,0),0)</f>
        <v>495686.16827914771</v>
      </c>
      <c r="I231" s="1519">
        <f t="shared" si="138"/>
        <v>2974117.0096748862</v>
      </c>
      <c r="J231" s="1519">
        <f>VLOOKUP($C231,'01'!$C$7:$M$216,MATCH("P. Unit. EQ",'01'!$C$7:$M$7,0),0)</f>
        <v>8185.2925241872153</v>
      </c>
      <c r="K231" s="1519">
        <f t="shared" si="139"/>
        <v>49111.755145123294</v>
      </c>
      <c r="L231" s="1519">
        <f t="shared" si="140"/>
        <v>3323228.7648200095</v>
      </c>
      <c r="M231" s="1545"/>
      <c r="N231" s="1505"/>
      <c r="R231" s="1515"/>
      <c r="S231" s="1515"/>
      <c r="T231" s="1515"/>
      <c r="U231" s="1515"/>
      <c r="V231" s="1515"/>
      <c r="W231" s="1515"/>
      <c r="X231" s="1515"/>
      <c r="Y231" s="1515"/>
      <c r="Z231" s="1515"/>
      <c r="AA231" s="1515"/>
      <c r="AB231" s="1515"/>
      <c r="AC231" s="1515"/>
      <c r="AD231" s="1515"/>
      <c r="AE231" s="1515"/>
      <c r="AF231" s="1515"/>
      <c r="AG231" s="1515"/>
      <c r="AH231" s="1515"/>
      <c r="AI231" s="1515">
        <f t="shared" si="141"/>
        <v>0</v>
      </c>
    </row>
    <row r="232" spans="1:35" s="1546" customFormat="1" ht="10.5" outlineLevel="1" x14ac:dyDescent="0.25">
      <c r="A232" s="1685" t="s">
        <v>113</v>
      </c>
      <c r="B232" s="1539">
        <v>24.06</v>
      </c>
      <c r="C232" s="1543" t="s">
        <v>114</v>
      </c>
      <c r="D232" s="1544" t="s">
        <v>101</v>
      </c>
      <c r="E232" s="1518">
        <v>6</v>
      </c>
      <c r="F232" s="1519">
        <f>VLOOKUP($C232,'01'!$C$7:$M$216,MATCH("P. Unit. MAT",'01'!$C$7:$M$7,0),0)</f>
        <v>25000</v>
      </c>
      <c r="G232" s="1519">
        <f t="shared" si="137"/>
        <v>150000</v>
      </c>
      <c r="H232" s="1519">
        <f>VLOOKUP($C232,'01'!$C$7:$M$216,MATCH("P. Unit. MO",'01'!$C$7:$M$7,0),0)</f>
        <v>329565.96569537499</v>
      </c>
      <c r="I232" s="1519">
        <f t="shared" si="138"/>
        <v>1977395.79417225</v>
      </c>
      <c r="J232" s="1519">
        <f>VLOOKUP($C232,'01'!$C$7:$M$216,MATCH("P. Unit. EQ",'01'!$C$7:$M$7,0),0)</f>
        <v>5318.4894854306249</v>
      </c>
      <c r="K232" s="1519">
        <f t="shared" si="139"/>
        <v>31910.936912583747</v>
      </c>
      <c r="L232" s="1519">
        <f t="shared" si="140"/>
        <v>2159306.7310848334</v>
      </c>
      <c r="M232" s="1545"/>
      <c r="N232" s="1505"/>
      <c r="R232" s="1515"/>
      <c r="S232" s="1515"/>
      <c r="T232" s="1515"/>
      <c r="U232" s="1515"/>
      <c r="V232" s="1515"/>
      <c r="W232" s="1515"/>
      <c r="X232" s="1515"/>
      <c r="Y232" s="1515"/>
      <c r="Z232" s="1515"/>
      <c r="AA232" s="1515"/>
      <c r="AB232" s="1515"/>
      <c r="AC232" s="1515"/>
      <c r="AD232" s="1515"/>
      <c r="AE232" s="1515"/>
      <c r="AF232" s="1515"/>
      <c r="AG232" s="1515"/>
      <c r="AH232" s="1515"/>
      <c r="AI232" s="1515">
        <f t="shared" si="141"/>
        <v>0</v>
      </c>
    </row>
    <row r="233" spans="1:35" s="1546" customFormat="1" ht="10.5" outlineLevel="1" x14ac:dyDescent="0.25">
      <c r="A233" s="1683" t="s">
        <v>113</v>
      </c>
      <c r="B233" s="1516">
        <v>24.07</v>
      </c>
      <c r="C233" s="1543" t="s">
        <v>297</v>
      </c>
      <c r="D233" s="1544" t="s">
        <v>107</v>
      </c>
      <c r="E233" s="1518">
        <v>0</v>
      </c>
      <c r="F233" s="1519">
        <f>VLOOKUP($C233,'01'!$C$7:$M$216,MATCH("P. Unit. MAT",'01'!$C$7:$M$7,0),0)</f>
        <v>0</v>
      </c>
      <c r="G233" s="1519">
        <f t="shared" si="137"/>
        <v>0</v>
      </c>
      <c r="H233" s="1519">
        <f>VLOOKUP($C233,'01'!$C$7:$M$216,MATCH("P. Unit. MO",'01'!$C$7:$M$7,0),0)</f>
        <v>0</v>
      </c>
      <c r="I233" s="1519">
        <f t="shared" si="138"/>
        <v>0</v>
      </c>
      <c r="J233" s="1519">
        <f>VLOOKUP($C233,'01'!$C$7:$M$216,MATCH("P. Unit. EQ",'01'!$C$7:$M$7,0),0)</f>
        <v>0</v>
      </c>
      <c r="K233" s="1519">
        <f t="shared" si="139"/>
        <v>0</v>
      </c>
      <c r="L233" s="1519">
        <f t="shared" si="140"/>
        <v>0</v>
      </c>
      <c r="M233" s="1545"/>
      <c r="N233" s="1505"/>
      <c r="R233" s="1515"/>
      <c r="S233" s="1515"/>
      <c r="T233" s="1515"/>
      <c r="U233" s="1515"/>
      <c r="V233" s="1515"/>
      <c r="W233" s="1515"/>
      <c r="X233" s="1515"/>
      <c r="Y233" s="1515"/>
      <c r="Z233" s="1515"/>
      <c r="AA233" s="1515"/>
      <c r="AB233" s="1515"/>
      <c r="AC233" s="1515"/>
      <c r="AD233" s="1515"/>
      <c r="AE233" s="1515"/>
      <c r="AF233" s="1515"/>
      <c r="AG233" s="1515"/>
      <c r="AH233" s="1515"/>
      <c r="AI233" s="1515">
        <f t="shared" si="141"/>
        <v>0</v>
      </c>
    </row>
    <row r="234" spans="1:35" s="1546" customFormat="1" ht="10.5" outlineLevel="1" x14ac:dyDescent="0.25">
      <c r="A234" s="1685" t="s">
        <v>218</v>
      </c>
      <c r="B234" s="1539">
        <v>24.08</v>
      </c>
      <c r="C234" s="1543" t="s">
        <v>115</v>
      </c>
      <c r="D234" s="1544" t="s">
        <v>101</v>
      </c>
      <c r="E234" s="1518">
        <v>6</v>
      </c>
      <c r="F234" s="1519">
        <f>VLOOKUP($C234,'01'!$C$7:$M$216,MATCH("P. Unit. MAT",'01'!$C$7:$M$7,0),0)</f>
        <v>0</v>
      </c>
      <c r="G234" s="1519">
        <f t="shared" si="137"/>
        <v>0</v>
      </c>
      <c r="H234" s="1519">
        <f>VLOOKUP($C234,'01'!$C$7:$M$216,MATCH("P. Unit. MO",'01'!$C$7:$M$7,0),0)</f>
        <v>250000</v>
      </c>
      <c r="I234" s="1519">
        <f t="shared" si="138"/>
        <v>1500000</v>
      </c>
      <c r="J234" s="1519">
        <f>VLOOKUP($C234,'01'!$C$7:$M$216,MATCH("P. Unit. EQ",'01'!$C$7:$M$7,0),0)</f>
        <v>0</v>
      </c>
      <c r="K234" s="1519">
        <f t="shared" si="139"/>
        <v>0</v>
      </c>
      <c r="L234" s="1519">
        <f t="shared" si="140"/>
        <v>1500000</v>
      </c>
      <c r="M234" s="1545"/>
      <c r="N234" s="1505"/>
      <c r="R234" s="1515"/>
      <c r="S234" s="1515"/>
      <c r="T234" s="1515"/>
      <c r="U234" s="1515"/>
      <c r="V234" s="1515"/>
      <c r="W234" s="1515"/>
      <c r="X234" s="1515"/>
      <c r="Y234" s="1515"/>
      <c r="Z234" s="1515"/>
      <c r="AA234" s="1515"/>
      <c r="AB234" s="1515"/>
      <c r="AC234" s="1515"/>
      <c r="AD234" s="1515"/>
      <c r="AE234" s="1515"/>
      <c r="AF234" s="1515"/>
      <c r="AG234" s="1515"/>
      <c r="AH234" s="1515"/>
      <c r="AI234" s="1515">
        <f t="shared" si="141"/>
        <v>0</v>
      </c>
    </row>
    <row r="235" spans="1:35" s="1547" customFormat="1" ht="10.5" outlineLevel="1" x14ac:dyDescent="0.25">
      <c r="A235" s="1683" t="s">
        <v>177</v>
      </c>
      <c r="B235" s="1516">
        <v>24.09</v>
      </c>
      <c r="C235" s="1543" t="s">
        <v>298</v>
      </c>
      <c r="D235" s="1544" t="s">
        <v>101</v>
      </c>
      <c r="E235" s="1518">
        <v>4</v>
      </c>
      <c r="F235" s="1519">
        <f>VLOOKUP($C235,'01'!$C$7:$M$216,MATCH("P. Unit. MAT",'01'!$C$7:$M$7,0),0)</f>
        <v>0</v>
      </c>
      <c r="G235" s="1519">
        <f t="shared" si="137"/>
        <v>0</v>
      </c>
      <c r="H235" s="1519">
        <f>VLOOKUP($C235,'01'!$C$7:$M$216,MATCH("P. Unit. MO",'01'!$C$7:$M$7,0),0)</f>
        <v>0</v>
      </c>
      <c r="I235" s="1519">
        <f t="shared" si="138"/>
        <v>0</v>
      </c>
      <c r="J235" s="1519">
        <f>VLOOKUP($C235,'01'!$C$7:$M$216,MATCH("P. Unit. EQ",'01'!$C$7:$M$7,0),0)</f>
        <v>0</v>
      </c>
      <c r="K235" s="1519">
        <f t="shared" si="139"/>
        <v>0</v>
      </c>
      <c r="L235" s="1519">
        <f t="shared" si="140"/>
        <v>0</v>
      </c>
      <c r="M235" s="1545"/>
      <c r="N235" s="1505"/>
      <c r="R235" s="1515"/>
      <c r="S235" s="1515"/>
      <c r="T235" s="1515"/>
      <c r="U235" s="1515"/>
      <c r="V235" s="1515"/>
      <c r="W235" s="1515"/>
      <c r="X235" s="1515"/>
      <c r="Y235" s="1515"/>
      <c r="Z235" s="1515"/>
      <c r="AA235" s="1515"/>
      <c r="AB235" s="1515"/>
      <c r="AC235" s="1515"/>
      <c r="AD235" s="1515"/>
      <c r="AE235" s="1515"/>
      <c r="AF235" s="1515"/>
      <c r="AG235" s="1515"/>
      <c r="AH235" s="1515"/>
      <c r="AI235" s="1515">
        <f t="shared" si="141"/>
        <v>0</v>
      </c>
    </row>
    <row r="236" spans="1:35" s="1547" customFormat="1" ht="10.5" outlineLevel="1" x14ac:dyDescent="0.25">
      <c r="A236" s="1685" t="s">
        <v>113</v>
      </c>
      <c r="B236" s="1539">
        <v>24.1</v>
      </c>
      <c r="C236" s="1543" t="s">
        <v>116</v>
      </c>
      <c r="D236" s="1544" t="s">
        <v>101</v>
      </c>
      <c r="E236" s="1518">
        <v>6</v>
      </c>
      <c r="F236" s="1519">
        <v>0</v>
      </c>
      <c r="G236" s="1519">
        <f t="shared" si="137"/>
        <v>0</v>
      </c>
      <c r="H236" s="1519">
        <f>VLOOKUP($C237,'01'!$C$7:$M$216,MATCH("P. Unit. MO",'01'!$C$7:$M$7,0),0)</f>
        <v>49934.237226571968</v>
      </c>
      <c r="I236" s="1519">
        <f t="shared" si="138"/>
        <v>299605.42335943179</v>
      </c>
      <c r="J236" s="1519">
        <f>VLOOKUP($C236,'01'!$C$7:$M$216,MATCH("P. Unit. EQ",'01'!$C$7:$M$7,0),0)</f>
        <v>0</v>
      </c>
      <c r="K236" s="1519">
        <f t="shared" ref="K236" si="142">J236*$E236</f>
        <v>0</v>
      </c>
      <c r="L236" s="1519">
        <f t="shared" si="140"/>
        <v>299605.42335943179</v>
      </c>
      <c r="M236" s="1624">
        <f>+I236/SUM(L236:L237)</f>
        <v>0.1997895037537625</v>
      </c>
      <c r="N236" s="1505"/>
      <c r="R236" s="1515"/>
      <c r="S236" s="1515"/>
      <c r="T236" s="1515"/>
      <c r="U236" s="1515"/>
      <c r="V236" s="1515"/>
      <c r="W236" s="1515"/>
      <c r="X236" s="1515"/>
      <c r="Y236" s="1515"/>
      <c r="Z236" s="1515"/>
      <c r="AA236" s="1515"/>
      <c r="AB236" s="1515"/>
      <c r="AC236" s="1515"/>
      <c r="AD236" s="1515"/>
      <c r="AE236" s="1515"/>
      <c r="AF236" s="1515"/>
      <c r="AG236" s="1515"/>
      <c r="AH236" s="1515"/>
      <c r="AI236" s="1515"/>
    </row>
    <row r="237" spans="1:35" s="1547" customFormat="1" ht="10.5" outlineLevel="1" x14ac:dyDescent="0.25">
      <c r="A237" s="1685" t="s">
        <v>103</v>
      </c>
      <c r="B237" s="1539">
        <v>24.1</v>
      </c>
      <c r="C237" s="1551" t="s">
        <v>116</v>
      </c>
      <c r="D237" s="1552" t="s">
        <v>101</v>
      </c>
      <c r="E237" s="1524">
        <v>6</v>
      </c>
      <c r="F237" s="1519">
        <f>VLOOKUP($C237,'01'!$C$7:$M$216,MATCH("P. Unit. MAT",'01'!$C$7:$M$7,0),0)</f>
        <v>200000</v>
      </c>
      <c r="G237" s="1519">
        <f t="shared" si="137"/>
        <v>1200000</v>
      </c>
      <c r="H237" s="1519">
        <v>0</v>
      </c>
      <c r="I237" s="1519">
        <f t="shared" si="138"/>
        <v>0</v>
      </c>
      <c r="J237" s="1519">
        <f>VLOOKUP($C237,'01'!$C$7:$M$216,MATCH("P. Unit. EQ",'01'!$C$7:$M$7,0),0)</f>
        <v>0</v>
      </c>
      <c r="K237" s="1519">
        <f t="shared" si="139"/>
        <v>0</v>
      </c>
      <c r="L237" s="1519">
        <f t="shared" si="140"/>
        <v>1200000</v>
      </c>
      <c r="M237" s="1624">
        <f>+G237/SUM(L236:L237)</f>
        <v>0.80021049624623752</v>
      </c>
      <c r="N237" s="1505"/>
      <c r="R237" s="1515"/>
      <c r="S237" s="1515"/>
      <c r="T237" s="1515"/>
      <c r="U237" s="1515"/>
      <c r="V237" s="1515"/>
      <c r="W237" s="1515"/>
      <c r="X237" s="1515"/>
      <c r="Y237" s="1515"/>
      <c r="Z237" s="1515"/>
      <c r="AA237" s="1515"/>
      <c r="AB237" s="1515"/>
      <c r="AC237" s="1515"/>
      <c r="AD237" s="1515"/>
      <c r="AE237" s="1515"/>
      <c r="AF237" s="1515"/>
      <c r="AG237" s="1515"/>
      <c r="AH237" s="1515"/>
      <c r="AI237" s="1515">
        <f t="shared" si="141"/>
        <v>0</v>
      </c>
    </row>
    <row r="238" spans="1:35" ht="10.5" x14ac:dyDescent="0.25">
      <c r="A238" s="1681"/>
      <c r="B238" s="1500">
        <v>25</v>
      </c>
      <c r="C238" s="1590" t="s">
        <v>215</v>
      </c>
      <c r="D238" s="1501"/>
      <c r="E238" s="1502"/>
      <c r="F238" s="1502"/>
      <c r="G238" s="1526">
        <f>SUM(G239:G240)</f>
        <v>0</v>
      </c>
      <c r="H238" s="1502"/>
      <c r="I238" s="1527">
        <f>SUM(I239:I240)</f>
        <v>25790223.491999999</v>
      </c>
      <c r="J238" s="1502"/>
      <c r="K238" s="1508">
        <f>SUM(K239:K240)</f>
        <v>0</v>
      </c>
      <c r="L238" s="1503">
        <f>SUM(L239:L240)</f>
        <v>25790223.491999999</v>
      </c>
      <c r="M238" s="1504">
        <f>SUM(D238:K238)</f>
        <v>25790223.491999999</v>
      </c>
      <c r="N238" s="895">
        <f>M238+M55-'01'!T213</f>
        <v>0</v>
      </c>
      <c r="R238" s="1506"/>
      <c r="S238" s="1506"/>
      <c r="T238" s="1506"/>
      <c r="U238" s="1506"/>
      <c r="V238" s="1506"/>
      <c r="W238" s="1507"/>
      <c r="X238" s="1507"/>
      <c r="Y238" s="1507"/>
      <c r="Z238" s="1507"/>
      <c r="AA238" s="1507"/>
      <c r="AB238" s="1507"/>
      <c r="AC238" s="1507"/>
      <c r="AD238" s="1507"/>
      <c r="AE238" s="1507"/>
      <c r="AF238" s="1507"/>
      <c r="AG238" s="1507"/>
      <c r="AH238" s="1507"/>
      <c r="AI238" s="1507"/>
    </row>
    <row r="239" spans="1:35" s="1556" customFormat="1" ht="10.5" outlineLevel="1" x14ac:dyDescent="0.25">
      <c r="A239" s="1682" t="s">
        <v>100</v>
      </c>
      <c r="B239" s="1510">
        <v>25.01</v>
      </c>
      <c r="C239" s="1658" t="s">
        <v>299</v>
      </c>
      <c r="D239" s="1553" t="s">
        <v>101</v>
      </c>
      <c r="E239" s="1554">
        <v>6</v>
      </c>
      <c r="F239" s="1519">
        <f>VLOOKUP($C239,'01'!$C$7:$M$216,MATCH("P. Unit. MAT",'01'!$C$7:$M$7,0),0)</f>
        <v>0</v>
      </c>
      <c r="G239" s="1519">
        <f t="shared" ref="G239:G240" si="143">F239*$E239</f>
        <v>0</v>
      </c>
      <c r="H239" s="1519">
        <f>VLOOKUP($C239,'01'!$C$7:$M$216,MATCH("P. Unit. MO",'01'!$C$7:$M$7,0),0)</f>
        <v>3798370.5819999999</v>
      </c>
      <c r="I239" s="1519">
        <f t="shared" ref="I239:I240" si="144">H239*$E239</f>
        <v>22790223.491999999</v>
      </c>
      <c r="J239" s="1519">
        <f>VLOOKUP($C239,'01'!$C$7:$M$216,MATCH("P. Unit. EQ",'01'!$C$7:$M$7,0),0)</f>
        <v>0</v>
      </c>
      <c r="K239" s="1519">
        <f t="shared" ref="K239:K240" si="145">J239*$E239</f>
        <v>0</v>
      </c>
      <c r="L239" s="1519">
        <f t="shared" ref="L239:L240" si="146">SUM(G239,I239,K239)</f>
        <v>22790223.491999999</v>
      </c>
      <c r="M239" s="1570"/>
      <c r="R239" s="1515"/>
      <c r="S239" s="1515"/>
      <c r="T239" s="1515"/>
      <c r="U239" s="1515"/>
      <c r="V239" s="1515"/>
      <c r="W239" s="1515"/>
      <c r="X239" s="1515"/>
      <c r="Y239" s="1515"/>
      <c r="Z239" s="1515"/>
      <c r="AA239" s="1515"/>
      <c r="AB239" s="1515"/>
      <c r="AC239" s="1515"/>
      <c r="AD239" s="1515"/>
      <c r="AE239" s="1515"/>
      <c r="AF239" s="1515"/>
      <c r="AG239" s="1515"/>
      <c r="AH239" s="1515"/>
      <c r="AI239" s="1515">
        <f>SUM(S239:AH239)</f>
        <v>0</v>
      </c>
    </row>
    <row r="240" spans="1:35" s="1556" customFormat="1" ht="10.5" outlineLevel="1" x14ac:dyDescent="0.25">
      <c r="A240" s="1684" t="s">
        <v>218</v>
      </c>
      <c r="B240" s="1522">
        <v>25.02</v>
      </c>
      <c r="C240" s="1659" t="s">
        <v>102</v>
      </c>
      <c r="D240" s="1557" t="s">
        <v>101</v>
      </c>
      <c r="E240" s="1537">
        <v>6</v>
      </c>
      <c r="F240" s="1519">
        <f>VLOOKUP($C240,'01'!$C$7:$M$216,MATCH("P. Unit. MAT",'01'!$C$7:$M$7,0),0)</f>
        <v>0</v>
      </c>
      <c r="G240" s="1519">
        <f t="shared" si="143"/>
        <v>0</v>
      </c>
      <c r="H240" s="1519">
        <f>VLOOKUP($C240,'01'!$C$7:$M$216,MATCH("P. Unit. MO",'01'!$C$7:$M$7,0),0)</f>
        <v>500000</v>
      </c>
      <c r="I240" s="1519">
        <f t="shared" si="144"/>
        <v>3000000</v>
      </c>
      <c r="J240" s="1519">
        <f>VLOOKUP($C240,'01'!$C$7:$M$216,MATCH("P. Unit. EQ",'01'!$C$7:$M$7,0),0)</f>
        <v>0</v>
      </c>
      <c r="K240" s="1525">
        <f t="shared" si="145"/>
        <v>0</v>
      </c>
      <c r="L240" s="1519">
        <f t="shared" si="146"/>
        <v>3000000</v>
      </c>
      <c r="M240" s="1562"/>
      <c r="R240" s="1515"/>
      <c r="S240" s="1515"/>
      <c r="T240" s="1515"/>
      <c r="U240" s="1515"/>
      <c r="V240" s="1515"/>
      <c r="W240" s="1515"/>
      <c r="X240" s="1515"/>
      <c r="Y240" s="1515"/>
      <c r="Z240" s="1515"/>
      <c r="AA240" s="1515"/>
      <c r="AB240" s="1515"/>
      <c r="AC240" s="1515"/>
      <c r="AD240" s="1515"/>
      <c r="AE240" s="1515"/>
      <c r="AF240" s="1515"/>
      <c r="AG240" s="1515"/>
      <c r="AH240" s="1515"/>
      <c r="AI240" s="1515">
        <f>SUM(S240:AH240)</f>
        <v>0</v>
      </c>
    </row>
    <row r="241" spans="1:42" s="1546" customFormat="1" ht="10.5" x14ac:dyDescent="0.25">
      <c r="A241" s="1681"/>
      <c r="B241" s="1500"/>
      <c r="C241" s="1590" t="s">
        <v>396</v>
      </c>
      <c r="D241" s="1501"/>
      <c r="E241" s="1502"/>
      <c r="F241" s="1502"/>
      <c r="G241" s="1502">
        <f>SUMIF($A64:$A240,"",G64:G240)</f>
        <v>193294252.52667606</v>
      </c>
      <c r="H241" s="1502"/>
      <c r="I241" s="1502">
        <f>SUMIF($A64:$A240,"",I64:I240)</f>
        <v>379192338.19766551</v>
      </c>
      <c r="J241" s="1502">
        <f>SUMIF($A64:$A240,"",K64:K240)</f>
        <v>8515663.8929975666</v>
      </c>
      <c r="K241" s="1625"/>
      <c r="L241" s="1502"/>
      <c r="M241" s="1502">
        <f>SUM(M64:M240)</f>
        <v>581002255.61733902</v>
      </c>
      <c r="N241" s="1505"/>
      <c r="R241" s="1626">
        <v>0.4</v>
      </c>
      <c r="S241" s="1626">
        <f t="shared" ref="S241:AH241" si="147">+SUMPRODUCT(S$65:S$240,$K$65:$K$240)</f>
        <v>0</v>
      </c>
      <c r="T241" s="1626">
        <f t="shared" si="147"/>
        <v>0</v>
      </c>
      <c r="U241" s="1626">
        <f t="shared" si="147"/>
        <v>0</v>
      </c>
      <c r="V241" s="1626">
        <f t="shared" si="147"/>
        <v>0</v>
      </c>
      <c r="W241" s="1626">
        <f t="shared" si="147"/>
        <v>0</v>
      </c>
      <c r="X241" s="1626">
        <f t="shared" si="147"/>
        <v>0</v>
      </c>
      <c r="Y241" s="1626">
        <f t="shared" si="147"/>
        <v>0</v>
      </c>
      <c r="Z241" s="1626">
        <f t="shared" si="147"/>
        <v>0</v>
      </c>
      <c r="AA241" s="1626">
        <f t="shared" si="147"/>
        <v>0</v>
      </c>
      <c r="AB241" s="1626">
        <f t="shared" si="147"/>
        <v>0</v>
      </c>
      <c r="AC241" s="1626">
        <f t="shared" si="147"/>
        <v>0</v>
      </c>
      <c r="AD241" s="1626">
        <f t="shared" si="147"/>
        <v>0</v>
      </c>
      <c r="AE241" s="1626">
        <f t="shared" si="147"/>
        <v>0</v>
      </c>
      <c r="AF241" s="1626">
        <f t="shared" si="147"/>
        <v>0</v>
      </c>
      <c r="AG241" s="1626">
        <f t="shared" si="147"/>
        <v>0</v>
      </c>
      <c r="AH241" s="1626">
        <f t="shared" si="147"/>
        <v>0</v>
      </c>
      <c r="AI241" s="1561"/>
    </row>
    <row r="242" spans="1:42" s="1546" customFormat="1" ht="10.5" x14ac:dyDescent="0.25">
      <c r="A242" s="1694"/>
      <c r="B242" s="1627"/>
      <c r="C242" s="1676"/>
      <c r="D242" s="1628"/>
      <c r="E242" s="1629"/>
      <c r="F242" s="1630"/>
      <c r="G242" s="1630"/>
      <c r="H242" s="1630"/>
      <c r="I242" s="1630"/>
      <c r="J242" s="1630"/>
      <c r="K242" s="1630"/>
      <c r="L242" s="1630"/>
      <c r="M242" s="1630"/>
      <c r="N242" s="1505"/>
      <c r="AM242" s="1471"/>
    </row>
    <row r="243" spans="1:42" ht="12.75" customHeight="1" x14ac:dyDescent="0.25">
      <c r="A243" s="1695"/>
      <c r="B243" s="1631"/>
      <c r="C243" s="1677"/>
      <c r="R243" s="1491" t="s">
        <v>397</v>
      </c>
      <c r="S243" s="1491"/>
      <c r="T243" s="1491"/>
      <c r="U243" s="1491"/>
      <c r="V243" s="1491"/>
      <c r="W243" s="1491"/>
      <c r="X243" s="1491"/>
      <c r="Y243" s="1491"/>
      <c r="Z243" s="1491"/>
      <c r="AA243" s="1491"/>
      <c r="AB243" s="1491"/>
      <c r="AC243" s="1491"/>
      <c r="AD243" s="1491"/>
      <c r="AE243" s="1491"/>
      <c r="AF243" s="1491"/>
      <c r="AG243" s="1491"/>
      <c r="AH243" s="1491"/>
      <c r="AI243" s="1491"/>
      <c r="AJ243" s="1491"/>
      <c r="AK243" s="1632" t="s">
        <v>398</v>
      </c>
      <c r="AL243" s="1633" t="s">
        <v>399</v>
      </c>
      <c r="AN243" s="1546" t="s">
        <v>398</v>
      </c>
      <c r="AO243" s="1546" t="s">
        <v>399</v>
      </c>
    </row>
    <row r="244" spans="1:42" s="1636" customFormat="1" ht="10.5" x14ac:dyDescent="0.25">
      <c r="A244" s="1680"/>
      <c r="B244" s="1492"/>
      <c r="C244" s="1643" t="str">
        <f>C8</f>
        <v>PRESUPUESTO 01 - PRELIMINARES + MOV SUELO + HORMIGON</v>
      </c>
      <c r="D244" s="1501"/>
      <c r="E244" s="1634"/>
      <c r="F244" s="1634"/>
      <c r="G244" s="1634"/>
      <c r="H244" s="1634"/>
      <c r="I244" s="1634"/>
      <c r="J244" s="1634"/>
      <c r="K244" s="1634"/>
      <c r="L244" s="1634"/>
      <c r="M244" s="1635">
        <f>M58</f>
        <v>316040633.57781059</v>
      </c>
      <c r="N244" s="1471"/>
      <c r="R244" s="1637">
        <f>+M244*AK244</f>
        <v>63208126.71556212</v>
      </c>
      <c r="S244" s="1638">
        <f t="shared" ref="S244:AH244" si="148">+S58*$AL$244</f>
        <v>0</v>
      </c>
      <c r="T244" s="1638">
        <f t="shared" si="148"/>
        <v>0</v>
      </c>
      <c r="U244" s="1638">
        <f t="shared" si="148"/>
        <v>0</v>
      </c>
      <c r="V244" s="1638">
        <f t="shared" si="148"/>
        <v>0</v>
      </c>
      <c r="W244" s="1638">
        <f t="shared" si="148"/>
        <v>0</v>
      </c>
      <c r="X244" s="1638">
        <f t="shared" si="148"/>
        <v>0</v>
      </c>
      <c r="Y244" s="1638">
        <f t="shared" si="148"/>
        <v>0</v>
      </c>
      <c r="Z244" s="1638">
        <f t="shared" si="148"/>
        <v>0</v>
      </c>
      <c r="AA244" s="1638">
        <f t="shared" si="148"/>
        <v>0</v>
      </c>
      <c r="AB244" s="1638">
        <f t="shared" si="148"/>
        <v>0</v>
      </c>
      <c r="AC244" s="1638">
        <f t="shared" si="148"/>
        <v>0</v>
      </c>
      <c r="AD244" s="1638">
        <f t="shared" si="148"/>
        <v>0</v>
      </c>
      <c r="AE244" s="1638">
        <f t="shared" si="148"/>
        <v>0</v>
      </c>
      <c r="AF244" s="1638">
        <f t="shared" si="148"/>
        <v>0</v>
      </c>
      <c r="AG244" s="1638">
        <f t="shared" si="148"/>
        <v>0</v>
      </c>
      <c r="AH244" s="1638">
        <f t="shared" si="148"/>
        <v>0</v>
      </c>
      <c r="AI244" s="1639"/>
      <c r="AJ244" s="1638">
        <f>SUM(R244:AI244)</f>
        <v>63208126.71556212</v>
      </c>
      <c r="AK244" s="1640">
        <v>0.2</v>
      </c>
      <c r="AL244" s="1640">
        <f t="shared" ref="AL244" si="149">1-AK244</f>
        <v>0.8</v>
      </c>
      <c r="AM244" s="1471">
        <v>1</v>
      </c>
      <c r="AN244" s="1641">
        <f>+AJ244*AK244</f>
        <v>12641625.343112424</v>
      </c>
      <c r="AO244" s="1641">
        <f>+AL244*AJ244</f>
        <v>50566501.372449696</v>
      </c>
      <c r="AP244" s="1642">
        <f>SUM(AN244:AO244)</f>
        <v>63208126.71556212</v>
      </c>
    </row>
    <row r="245" spans="1:42" s="1636" customFormat="1" ht="10.5" x14ac:dyDescent="0.25">
      <c r="A245" s="1680"/>
      <c r="B245" s="1492"/>
      <c r="C245" s="1643" t="str">
        <f>C63</f>
        <v>PRESUPUESTO 02 - ALBANILERIA + INSTALACIONES + TERMINACIONES</v>
      </c>
      <c r="D245" s="1501"/>
      <c r="E245" s="1634"/>
      <c r="F245" s="1634"/>
      <c r="G245" s="1634"/>
      <c r="H245" s="1634"/>
      <c r="I245" s="1634"/>
      <c r="J245" s="1634"/>
      <c r="K245" s="1634"/>
      <c r="L245" s="1634"/>
      <c r="M245" s="1635">
        <f>M241</f>
        <v>581002255.61733902</v>
      </c>
      <c r="N245" s="1471"/>
      <c r="R245" s="1638"/>
      <c r="S245" s="1638"/>
      <c r="T245" s="1638"/>
      <c r="U245" s="1638"/>
      <c r="V245" s="1637">
        <f>+M245*AK245</f>
        <v>232400902.24693561</v>
      </c>
      <c r="W245" s="1638">
        <f>+W241*$AL$245</f>
        <v>0</v>
      </c>
      <c r="X245" s="1638">
        <f>+X241*$AL$245</f>
        <v>0</v>
      </c>
      <c r="Y245" s="1638">
        <f t="shared" ref="Y245:AH245" si="150">+Y241*$AL$245</f>
        <v>0</v>
      </c>
      <c r="Z245" s="1638">
        <f t="shared" si="150"/>
        <v>0</v>
      </c>
      <c r="AA245" s="1638">
        <f t="shared" si="150"/>
        <v>0</v>
      </c>
      <c r="AB245" s="1638">
        <f t="shared" si="150"/>
        <v>0</v>
      </c>
      <c r="AC245" s="1638">
        <f t="shared" si="150"/>
        <v>0</v>
      </c>
      <c r="AD245" s="1638">
        <f t="shared" si="150"/>
        <v>0</v>
      </c>
      <c r="AE245" s="1638">
        <f t="shared" si="150"/>
        <v>0</v>
      </c>
      <c r="AF245" s="1638">
        <f t="shared" si="150"/>
        <v>0</v>
      </c>
      <c r="AG245" s="1638">
        <f t="shared" si="150"/>
        <v>0</v>
      </c>
      <c r="AH245" s="1638">
        <f t="shared" si="150"/>
        <v>0</v>
      </c>
      <c r="AI245" s="1639"/>
      <c r="AJ245" s="1638">
        <f>SUM(R245:AI245)</f>
        <v>232400902.24693561</v>
      </c>
      <c r="AK245" s="1640">
        <v>0.4</v>
      </c>
      <c r="AL245" s="1640">
        <f>1-AK245</f>
        <v>0.6</v>
      </c>
      <c r="AM245" s="1471">
        <v>2</v>
      </c>
      <c r="AN245" s="1641">
        <f>+AJ245*AK245</f>
        <v>92960360.898774251</v>
      </c>
      <c r="AO245" s="1641">
        <f>+AL245*AJ245</f>
        <v>139440541.34816137</v>
      </c>
      <c r="AP245" s="1642">
        <f>SUM(AN245:AO245)</f>
        <v>232400902.24693561</v>
      </c>
    </row>
    <row r="246" spans="1:42" s="1649" customFormat="1" ht="10.5" x14ac:dyDescent="0.25">
      <c r="A246" s="1680"/>
      <c r="B246" s="1492"/>
      <c r="C246" s="1643" t="s">
        <v>400</v>
      </c>
      <c r="D246" s="1644"/>
      <c r="E246" s="1645"/>
      <c r="F246" s="1646"/>
      <c r="G246" s="1646"/>
      <c r="H246" s="1646"/>
      <c r="I246" s="1646"/>
      <c r="J246" s="1646"/>
      <c r="K246" s="1647"/>
      <c r="L246" s="1647"/>
      <c r="M246" s="1648">
        <f>SUM(M244:M245)</f>
        <v>897042889.19514966</v>
      </c>
      <c r="N246" s="1471"/>
      <c r="R246" s="1638">
        <f t="shared" ref="R246:AH246" si="151">SUM(R244:R245)</f>
        <v>63208126.71556212</v>
      </c>
      <c r="S246" s="1638">
        <f t="shared" si="151"/>
        <v>0</v>
      </c>
      <c r="T246" s="1638">
        <f t="shared" si="151"/>
        <v>0</v>
      </c>
      <c r="U246" s="1638">
        <f t="shared" si="151"/>
        <v>0</v>
      </c>
      <c r="V246" s="1638">
        <f t="shared" si="151"/>
        <v>232400902.24693561</v>
      </c>
      <c r="W246" s="1638">
        <f t="shared" si="151"/>
        <v>0</v>
      </c>
      <c r="X246" s="1638">
        <f t="shared" si="151"/>
        <v>0</v>
      </c>
      <c r="Y246" s="1638">
        <f t="shared" si="151"/>
        <v>0</v>
      </c>
      <c r="Z246" s="1638">
        <f t="shared" si="151"/>
        <v>0</v>
      </c>
      <c r="AA246" s="1638">
        <f t="shared" si="151"/>
        <v>0</v>
      </c>
      <c r="AB246" s="1638">
        <f t="shared" si="151"/>
        <v>0</v>
      </c>
      <c r="AC246" s="1638">
        <f t="shared" si="151"/>
        <v>0</v>
      </c>
      <c r="AD246" s="1638">
        <f t="shared" si="151"/>
        <v>0</v>
      </c>
      <c r="AE246" s="1638">
        <f t="shared" si="151"/>
        <v>0</v>
      </c>
      <c r="AF246" s="1638">
        <f t="shared" si="151"/>
        <v>0</v>
      </c>
      <c r="AG246" s="1638">
        <f t="shared" si="151"/>
        <v>0</v>
      </c>
      <c r="AH246" s="1638">
        <f t="shared" si="151"/>
        <v>0</v>
      </c>
      <c r="AI246" s="1639"/>
      <c r="AJ246" s="1650">
        <f>SUM(R246:AI246)</f>
        <v>295609028.96249771</v>
      </c>
      <c r="AK246" s="1640"/>
      <c r="AL246" s="1640"/>
      <c r="AM246" s="1651"/>
      <c r="AN246" s="1641"/>
      <c r="AO246" s="1641"/>
      <c r="AP246" s="1641">
        <f>SUM(AP244:AP245)</f>
        <v>295609028.96249771</v>
      </c>
    </row>
    <row r="247" spans="1:42" ht="12.75" customHeight="1" x14ac:dyDescent="0.25">
      <c r="C247" s="1676" t="s">
        <v>401</v>
      </c>
      <c r="R247" s="1638">
        <f>+R246</f>
        <v>63208126.71556212</v>
      </c>
      <c r="S247" s="1638">
        <f>+S246+R247</f>
        <v>63208126.71556212</v>
      </c>
      <c r="T247" s="1638">
        <f>+T246+S247</f>
        <v>63208126.71556212</v>
      </c>
      <c r="U247" s="1638">
        <f t="shared" ref="U247:AH247" si="152">+U246+T247</f>
        <v>63208126.71556212</v>
      </c>
      <c r="V247" s="1638">
        <f t="shared" si="152"/>
        <v>295609028.96249771</v>
      </c>
      <c r="W247" s="1638">
        <f t="shared" si="152"/>
        <v>295609028.96249771</v>
      </c>
      <c r="X247" s="1638">
        <f t="shared" si="152"/>
        <v>295609028.96249771</v>
      </c>
      <c r="Y247" s="1638">
        <f t="shared" si="152"/>
        <v>295609028.96249771</v>
      </c>
      <c r="Z247" s="1638">
        <f t="shared" si="152"/>
        <v>295609028.96249771</v>
      </c>
      <c r="AA247" s="1638">
        <f t="shared" si="152"/>
        <v>295609028.96249771</v>
      </c>
      <c r="AB247" s="1638">
        <f t="shared" si="152"/>
        <v>295609028.96249771</v>
      </c>
      <c r="AC247" s="1638">
        <f t="shared" si="152"/>
        <v>295609028.96249771</v>
      </c>
      <c r="AD247" s="1638">
        <f t="shared" si="152"/>
        <v>295609028.96249771</v>
      </c>
      <c r="AE247" s="1638">
        <f t="shared" si="152"/>
        <v>295609028.96249771</v>
      </c>
      <c r="AF247" s="1638">
        <f t="shared" si="152"/>
        <v>295609028.96249771</v>
      </c>
      <c r="AG247" s="1638">
        <f t="shared" si="152"/>
        <v>295609028.96249771</v>
      </c>
      <c r="AH247" s="1638">
        <f t="shared" si="152"/>
        <v>295609028.96249771</v>
      </c>
      <c r="AI247" s="1639"/>
      <c r="AJ247" s="1638"/>
      <c r="AK247" s="1640"/>
      <c r="AL247" s="1640"/>
      <c r="AM247" s="1604"/>
      <c r="AN247" s="1652"/>
      <c r="AO247" s="1652"/>
      <c r="AP247" s="1604"/>
    </row>
    <row r="248" spans="1:42" ht="12.75" customHeight="1" x14ac:dyDescent="0.25">
      <c r="R248" s="1617">
        <f>+R246/$M$246</f>
        <v>7.046276992650162E-2</v>
      </c>
      <c r="S248" s="1617">
        <f t="shared" ref="S248:AH248" si="153">+S246/$M$246</f>
        <v>0</v>
      </c>
      <c r="T248" s="1617">
        <f t="shared" si="153"/>
        <v>0</v>
      </c>
      <c r="U248" s="1617">
        <f t="shared" si="153"/>
        <v>0</v>
      </c>
      <c r="V248" s="1617">
        <f t="shared" si="153"/>
        <v>0.25907446014699675</v>
      </c>
      <c r="W248" s="1617">
        <f t="shared" si="153"/>
        <v>0</v>
      </c>
      <c r="X248" s="1617">
        <f t="shared" si="153"/>
        <v>0</v>
      </c>
      <c r="Y248" s="1617">
        <f t="shared" si="153"/>
        <v>0</v>
      </c>
      <c r="Z248" s="1617">
        <f t="shared" si="153"/>
        <v>0</v>
      </c>
      <c r="AA248" s="1617">
        <f t="shared" si="153"/>
        <v>0</v>
      </c>
      <c r="AB248" s="1617">
        <f t="shared" si="153"/>
        <v>0</v>
      </c>
      <c r="AC248" s="1617">
        <f t="shared" si="153"/>
        <v>0</v>
      </c>
      <c r="AD248" s="1617">
        <f t="shared" si="153"/>
        <v>0</v>
      </c>
      <c r="AE248" s="1617">
        <f t="shared" si="153"/>
        <v>0</v>
      </c>
      <c r="AF248" s="1617">
        <f t="shared" si="153"/>
        <v>0</v>
      </c>
      <c r="AG248" s="1617">
        <f t="shared" si="153"/>
        <v>0</v>
      </c>
      <c r="AH248" s="1617">
        <f t="shared" si="153"/>
        <v>0</v>
      </c>
      <c r="AI248" s="1639"/>
      <c r="AN248" s="1546"/>
      <c r="AO248" s="1546"/>
    </row>
    <row r="249" spans="1:42" ht="12.75" customHeight="1" x14ac:dyDescent="0.25">
      <c r="M249" s="1477">
        <v>30000000</v>
      </c>
      <c r="R249" s="1617">
        <f>+R248</f>
        <v>7.046276992650162E-2</v>
      </c>
      <c r="S249" s="1617">
        <f>+S248+R249</f>
        <v>7.046276992650162E-2</v>
      </c>
      <c r="T249" s="1617">
        <f t="shared" ref="T249:AH249" si="154">+T248+S249</f>
        <v>7.046276992650162E-2</v>
      </c>
      <c r="U249" s="1617">
        <f t="shared" si="154"/>
        <v>7.046276992650162E-2</v>
      </c>
      <c r="V249" s="1617">
        <f t="shared" si="154"/>
        <v>0.32953723007349839</v>
      </c>
      <c r="W249" s="1617">
        <f t="shared" si="154"/>
        <v>0.32953723007349839</v>
      </c>
      <c r="X249" s="1617">
        <f t="shared" si="154"/>
        <v>0.32953723007349839</v>
      </c>
      <c r="Y249" s="1617">
        <f t="shared" si="154"/>
        <v>0.32953723007349839</v>
      </c>
      <c r="Z249" s="1617">
        <f t="shared" si="154"/>
        <v>0.32953723007349839</v>
      </c>
      <c r="AA249" s="1617">
        <f t="shared" si="154"/>
        <v>0.32953723007349839</v>
      </c>
      <c r="AB249" s="1617">
        <f t="shared" si="154"/>
        <v>0.32953723007349839</v>
      </c>
      <c r="AC249" s="1617">
        <f t="shared" si="154"/>
        <v>0.32953723007349839</v>
      </c>
      <c r="AD249" s="1617">
        <f t="shared" si="154"/>
        <v>0.32953723007349839</v>
      </c>
      <c r="AE249" s="1617">
        <f t="shared" si="154"/>
        <v>0.32953723007349839</v>
      </c>
      <c r="AF249" s="1617">
        <f t="shared" si="154"/>
        <v>0.32953723007349839</v>
      </c>
      <c r="AG249" s="1617">
        <f t="shared" si="154"/>
        <v>0.32953723007349839</v>
      </c>
      <c r="AH249" s="1617">
        <f t="shared" si="154"/>
        <v>0.32953723007349839</v>
      </c>
      <c r="AI249" s="1639"/>
      <c r="AN249" s="1546"/>
      <c r="AO249" s="1546"/>
    </row>
    <row r="250" spans="1:42" ht="12.75" customHeight="1" x14ac:dyDescent="0.25">
      <c r="M250" s="1653">
        <f>+M249/M246</f>
        <v>3.3443216998149089E-2</v>
      </c>
      <c r="AI250" s="1639"/>
      <c r="AJ250" s="1638"/>
      <c r="AK250" s="1649"/>
      <c r="AL250" s="1649"/>
    </row>
    <row r="251" spans="1:42" ht="12.75" customHeight="1" x14ac:dyDescent="0.25">
      <c r="AI251" s="1639"/>
      <c r="AJ251" s="1636"/>
      <c r="AK251" s="1636"/>
      <c r="AL251" s="1636"/>
      <c r="AN251" s="1654"/>
    </row>
    <row r="252" spans="1:42" ht="12.75" customHeight="1" x14ac:dyDescent="0.25">
      <c r="AI252" s="1639"/>
      <c r="AJ252" s="1636"/>
      <c r="AK252" s="1636"/>
      <c r="AL252" s="1636"/>
    </row>
  </sheetData>
  <mergeCells count="3">
    <mergeCell ref="F8:G8"/>
    <mergeCell ref="H8:I8"/>
    <mergeCell ref="J8:K8"/>
  </mergeCells>
  <conditionalFormatting sqref="D3:D12 D20:D30 D79:D90 D101:D107 D111:D115 D119:D125 D128 D186:D217 D219 D226:D238">
    <cfRule type="cellIs" dxfId="100" priority="6" operator="equal">
      <formula>"x"</formula>
    </cfRule>
  </conditionalFormatting>
  <conditionalFormatting sqref="D43:D55">
    <cfRule type="cellIs" dxfId="99" priority="5" operator="equal">
      <formula>"x"</formula>
    </cfRule>
  </conditionalFormatting>
  <conditionalFormatting sqref="D58">
    <cfRule type="cellIs" dxfId="98" priority="2" operator="equal">
      <formula>"x"</formula>
    </cfRule>
  </conditionalFormatting>
  <conditionalFormatting sqref="D63:D64">
    <cfRule type="cellIs" dxfId="97" priority="4" operator="equal">
      <formula>"x"</formula>
    </cfRule>
  </conditionalFormatting>
  <conditionalFormatting sqref="D73">
    <cfRule type="cellIs" dxfId="96" priority="7" operator="equal">
      <formula>"x"</formula>
    </cfRule>
  </conditionalFormatting>
  <conditionalFormatting sqref="D92:D93">
    <cfRule type="cellIs" dxfId="95" priority="8" operator="equal">
      <formula>"x"</formula>
    </cfRule>
  </conditionalFormatting>
  <conditionalFormatting sqref="D130">
    <cfRule type="cellIs" dxfId="94" priority="9" operator="equal">
      <formula>"x"</formula>
    </cfRule>
  </conditionalFormatting>
  <conditionalFormatting sqref="D138">
    <cfRule type="cellIs" dxfId="93" priority="10" operator="equal">
      <formula>"x"</formula>
    </cfRule>
  </conditionalFormatting>
  <conditionalFormatting sqref="D148">
    <cfRule type="cellIs" dxfId="92" priority="11" operator="equal">
      <formula>"x"</formula>
    </cfRule>
  </conditionalFormatting>
  <conditionalFormatting sqref="D150">
    <cfRule type="cellIs" dxfId="91" priority="12" operator="equal">
      <formula>"x"</formula>
    </cfRule>
  </conditionalFormatting>
  <conditionalFormatting sqref="D155">
    <cfRule type="cellIs" dxfId="90" priority="13" operator="equal">
      <formula>"x"</formula>
    </cfRule>
  </conditionalFormatting>
  <conditionalFormatting sqref="D222">
    <cfRule type="cellIs" dxfId="89" priority="14" operator="equal">
      <formula>"x"</formula>
    </cfRule>
  </conditionalFormatting>
  <conditionalFormatting sqref="D241:D242">
    <cfRule type="cellIs" dxfId="88" priority="1" operator="equal">
      <formula>"x"</formula>
    </cfRule>
  </conditionalFormatting>
  <conditionalFormatting sqref="D244:D245">
    <cfRule type="cellIs" dxfId="87" priority="3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63" min="1" max="23" man="1"/>
    <brk id="154" min="1" max="23" man="1"/>
  </rowBreaks>
  <ignoredErrors>
    <ignoredError sqref="H10:H19 G20 K20:L20 H26:H42 G25 K25:L25 I25 I20 J10:J19 J23:J24 J26:J42 J54 G43 I43 K43:L43 H65:H72 J65:J72 H56:H57 J56:J57 G55 I55 K55:L55 G73 H74:H80 I73 J74:J80 K73 G81:K81 H82:J82 G83 H84:H91 I83 J84:J91 K83 G92:J138 K92:K150 K155 J21 H21:H24 H44:H47 J44:J47 G238:K240 G139:G147 I139:I147 G148:J235 K192:K235 G237 I237:K237 H236 J236 J48:J53 H48:H53 L192 L111 L73 L92 L81 L83 L101 L106 L119 L125 L130 L138 L196 L202 L204 L209 L211 L214 L217:L219 L222 L226 L238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FF01-341F-408C-B30A-6AF23F2E5E5B}">
  <dimension ref="A1:AH254"/>
  <sheetViews>
    <sheetView topLeftCell="A5" workbookViewId="0">
      <pane ySplit="3" topLeftCell="A8" activePane="bottomLeft" state="frozen"/>
      <selection activeCell="A5" sqref="A5"/>
      <selection pane="bottomLeft" activeCell="A8" sqref="A8:XFD254"/>
    </sheetView>
  </sheetViews>
  <sheetFormatPr defaultColWidth="11.54296875" defaultRowHeight="12.75" customHeight="1" outlineLevelRow="1" outlineLevelCol="2" x14ac:dyDescent="0.25"/>
  <cols>
    <col min="1" max="1" width="6.54296875" style="1343" bestFit="1" customWidth="1"/>
    <col min="2" max="2" width="4.453125" style="1343" hidden="1" customWidth="1" outlineLevel="1"/>
    <col min="3" max="3" width="25.36328125" style="1710" customWidth="1" collapsed="1"/>
    <col min="4" max="4" width="4" style="1344" bestFit="1" customWidth="1"/>
    <col min="5" max="5" width="6.26953125" style="1345" bestFit="1" customWidth="1"/>
    <col min="6" max="6" width="9.90625" style="1711" bestFit="1" customWidth="1" outlineLevel="2"/>
    <col min="7" max="7" width="11.08984375" style="1711" customWidth="1" outlineLevel="2"/>
    <col min="8" max="8" width="9.6328125" style="1711" bestFit="1" customWidth="1" outlineLevel="2"/>
    <col min="9" max="9" width="8.81640625" style="1775" bestFit="1" customWidth="1" outlineLevel="2"/>
    <col min="10" max="10" width="8" style="1775" bestFit="1" customWidth="1" outlineLevel="2"/>
    <col min="11" max="11" width="9" style="1711" bestFit="1" customWidth="1" outlineLevel="2"/>
    <col min="12" max="12" width="8.453125" style="1713" bestFit="1" customWidth="1" outlineLevel="2"/>
    <col min="13" max="14" width="9.6328125" style="1711" bestFit="1" customWidth="1" outlineLevel="1"/>
    <col min="15" max="15" width="8.81640625" style="1711" bestFit="1" customWidth="1" outlineLevel="1"/>
    <col min="16" max="17" width="9.6328125" style="1711" bestFit="1" customWidth="1" outlineLevel="1"/>
    <col min="18" max="18" width="8.81640625" style="1711" bestFit="1" customWidth="1" outlineLevel="1"/>
    <col min="19" max="19" width="9.6328125" style="1711" bestFit="1" customWidth="1" outlineLevel="1"/>
    <col min="20" max="20" width="9.90625" style="1715" bestFit="1" customWidth="1" outlineLevel="1"/>
    <col min="21" max="21" width="9.90625" style="1348" bestFit="1" customWidth="1"/>
    <col min="22" max="22" width="10.90625" style="1348" bestFit="1" customWidth="1"/>
    <col min="23" max="23" width="11.1796875" style="1359" bestFit="1" customWidth="1"/>
    <col min="24" max="24" width="5.26953125" style="1717" bestFit="1" customWidth="1"/>
    <col min="25" max="25" width="16.26953125" style="1711" bestFit="1" customWidth="1"/>
    <col min="26" max="26" width="15.81640625" style="1717" bestFit="1" customWidth="1"/>
    <col min="27" max="27" width="14.453125" style="1717" bestFit="1" customWidth="1"/>
    <col min="28" max="28" width="13.453125" style="1711" bestFit="1" customWidth="1"/>
    <col min="29" max="30" width="13.453125" style="1717" bestFit="1" customWidth="1"/>
    <col min="31" max="31" width="11.54296875" style="1717"/>
    <col min="32" max="32" width="12.453125" style="1717" bestFit="1" customWidth="1"/>
    <col min="33" max="16384" width="11.54296875" style="1717"/>
  </cols>
  <sheetData>
    <row r="1" spans="1:28" ht="12.75" customHeight="1" x14ac:dyDescent="0.25">
      <c r="F1" s="1346" t="s">
        <v>75</v>
      </c>
      <c r="G1" s="1347" t="s">
        <v>76</v>
      </c>
      <c r="I1" s="1712"/>
      <c r="J1" s="1712"/>
      <c r="N1" s="1714"/>
      <c r="O1" s="1714"/>
      <c r="P1" s="1465"/>
      <c r="Q1" s="1714"/>
      <c r="R1" s="1714"/>
      <c r="V1" s="1716" t="s">
        <v>77</v>
      </c>
      <c r="W1" s="1716" t="s">
        <v>78</v>
      </c>
    </row>
    <row r="2" spans="1:28" ht="10.5" x14ac:dyDescent="0.25">
      <c r="F2" s="1349" t="s">
        <v>79</v>
      </c>
      <c r="G2" s="1347" t="s">
        <v>80</v>
      </c>
      <c r="I2" s="1712"/>
      <c r="J2" s="1712"/>
      <c r="N2" s="1714"/>
      <c r="O2" s="1714"/>
      <c r="P2" s="1465"/>
      <c r="Q2" s="1714"/>
      <c r="R2" s="1714"/>
      <c r="V2" s="1718">
        <v>1005</v>
      </c>
      <c r="W2" s="1718">
        <v>1170</v>
      </c>
    </row>
    <row r="3" spans="1:28" s="1726" customFormat="1" ht="10.5" x14ac:dyDescent="0.25">
      <c r="A3" s="1719"/>
      <c r="B3" s="1719"/>
      <c r="C3" s="1720"/>
      <c r="D3" s="1721"/>
      <c r="E3" s="1722"/>
      <c r="F3" s="1350" t="s">
        <v>81</v>
      </c>
      <c r="G3" s="1347" t="s">
        <v>82</v>
      </c>
      <c r="H3" s="1345"/>
      <c r="I3" s="1345"/>
      <c r="J3" s="1345"/>
      <c r="K3" s="1345"/>
      <c r="L3" s="1723"/>
      <c r="M3" s="1345"/>
      <c r="N3" s="1722"/>
      <c r="O3" s="1722"/>
      <c r="P3" s="1722"/>
      <c r="Q3" s="1724"/>
      <c r="R3" s="1724"/>
      <c r="S3" s="1345"/>
      <c r="T3" s="1725"/>
      <c r="U3" s="1722"/>
      <c r="V3" s="1722"/>
      <c r="W3" s="1389"/>
      <c r="Y3" s="1727"/>
      <c r="AB3" s="1727"/>
    </row>
    <row r="4" spans="1:28" s="1726" customFormat="1" ht="10.5" x14ac:dyDescent="0.25">
      <c r="A4" s="1719"/>
      <c r="B4" s="1719"/>
      <c r="C4" s="1720"/>
      <c r="D4" s="1721"/>
      <c r="E4" s="1722"/>
      <c r="F4" s="1351" t="s">
        <v>83</v>
      </c>
      <c r="G4" s="1352" t="s">
        <v>84</v>
      </c>
      <c r="H4" s="1345"/>
      <c r="I4" s="1345"/>
      <c r="J4" s="1345"/>
      <c r="K4" s="1345"/>
      <c r="L4" s="1723"/>
      <c r="M4" s="1345"/>
      <c r="N4" s="1345"/>
      <c r="O4" s="1345"/>
      <c r="P4" s="1722"/>
      <c r="Q4" s="1727"/>
      <c r="R4" s="1727"/>
      <c r="S4" s="1345"/>
      <c r="T4" s="1728">
        <v>1</v>
      </c>
      <c r="U4" s="1722"/>
      <c r="V4" s="1729">
        <v>45590</v>
      </c>
      <c r="W4" s="1389"/>
      <c r="Y4" s="1727"/>
      <c r="AB4" s="1727"/>
    </row>
    <row r="5" spans="1:28" s="1726" customFormat="1" ht="10.5" x14ac:dyDescent="0.25">
      <c r="A5" s="1719"/>
      <c r="B5" s="1719"/>
      <c r="C5" s="1353" t="s">
        <v>245</v>
      </c>
      <c r="D5" s="1721"/>
      <c r="E5" s="1722"/>
      <c r="F5" s="1919" t="s">
        <v>85</v>
      </c>
      <c r="G5" s="1920"/>
      <c r="H5" s="1921"/>
      <c r="I5" s="1919" t="s">
        <v>86</v>
      </c>
      <c r="J5" s="1920"/>
      <c r="K5" s="1921"/>
      <c r="L5" s="1733"/>
      <c r="M5" s="1345"/>
      <c r="N5" s="1919" t="s">
        <v>85</v>
      </c>
      <c r="O5" s="1921"/>
      <c r="P5" s="1919" t="s">
        <v>86</v>
      </c>
      <c r="Q5" s="1921"/>
      <c r="R5" s="1734"/>
      <c r="S5" s="1345"/>
      <c r="T5" s="1735">
        <v>1.2568825695365058</v>
      </c>
      <c r="U5" s="1345"/>
      <c r="V5" s="1345"/>
      <c r="W5" s="1389"/>
      <c r="Y5" s="1727"/>
      <c r="AB5" s="1727"/>
    </row>
    <row r="6" spans="1:28" s="1726" customFormat="1" ht="10.5" x14ac:dyDescent="0.25">
      <c r="A6" s="1719"/>
      <c r="B6" s="1719"/>
      <c r="C6" s="1353" t="s">
        <v>87</v>
      </c>
      <c r="D6" s="1736"/>
      <c r="E6" s="1737"/>
      <c r="F6" s="1730"/>
      <c r="G6" s="1731"/>
      <c r="H6" s="1732"/>
      <c r="I6" s="1730"/>
      <c r="J6" s="1731"/>
      <c r="K6" s="1732"/>
      <c r="L6" s="1733"/>
      <c r="M6" s="1345"/>
      <c r="N6" s="1730"/>
      <c r="O6" s="1731"/>
      <c r="P6" s="1730"/>
      <c r="Q6" s="1732"/>
      <c r="R6" s="1734"/>
      <c r="S6" s="1734"/>
      <c r="T6" s="1738">
        <v>1.1000000000000001</v>
      </c>
      <c r="U6" s="1452"/>
      <c r="V6" s="1452"/>
      <c r="W6" s="1389"/>
      <c r="Y6" s="1727"/>
      <c r="AB6" s="1727"/>
    </row>
    <row r="7" spans="1:28" ht="10.5" x14ac:dyDescent="0.25">
      <c r="A7" s="1360" t="s">
        <v>88</v>
      </c>
      <c r="B7" s="1361"/>
      <c r="C7" s="1739" t="s">
        <v>90</v>
      </c>
      <c r="D7" s="1740" t="s">
        <v>91</v>
      </c>
      <c r="E7" s="1354" t="s">
        <v>92</v>
      </c>
      <c r="F7" s="1355" t="s">
        <v>93</v>
      </c>
      <c r="G7" s="1354" t="s">
        <v>94</v>
      </c>
      <c r="H7" s="1356" t="s">
        <v>484</v>
      </c>
      <c r="I7" s="1354" t="s">
        <v>93</v>
      </c>
      <c r="J7" s="1354" t="s">
        <v>95</v>
      </c>
      <c r="K7" s="1356" t="s">
        <v>483</v>
      </c>
      <c r="L7" s="1354" t="s">
        <v>486</v>
      </c>
      <c r="M7" s="1356" t="s">
        <v>97</v>
      </c>
      <c r="N7" s="1354" t="s">
        <v>93</v>
      </c>
      <c r="O7" s="1354" t="s">
        <v>94</v>
      </c>
      <c r="P7" s="1354" t="s">
        <v>93</v>
      </c>
      <c r="Q7" s="1354" t="s">
        <v>95</v>
      </c>
      <c r="R7" s="1354" t="s">
        <v>96</v>
      </c>
      <c r="S7" s="1357" t="s">
        <v>52</v>
      </c>
      <c r="T7" s="1358" t="s">
        <v>98</v>
      </c>
      <c r="U7" s="1358" t="s">
        <v>99</v>
      </c>
      <c r="V7" s="1358" t="s">
        <v>98</v>
      </c>
    </row>
    <row r="8" spans="1:28" ht="10.5" x14ac:dyDescent="0.25">
      <c r="A8" s="1360">
        <v>1</v>
      </c>
      <c r="B8" s="1361" t="s">
        <v>89</v>
      </c>
      <c r="C8" s="1411" t="s">
        <v>105</v>
      </c>
      <c r="D8" s="1741"/>
      <c r="E8" s="1742"/>
      <c r="F8" s="1742"/>
      <c r="G8" s="1742"/>
      <c r="H8" s="1742"/>
      <c r="I8" s="1742"/>
      <c r="J8" s="1742"/>
      <c r="K8" s="1742"/>
      <c r="L8" s="1742"/>
      <c r="M8" s="1743"/>
      <c r="N8" s="1742"/>
      <c r="O8" s="1742"/>
      <c r="P8" s="1742"/>
      <c r="Q8" s="1742"/>
      <c r="R8" s="1742"/>
      <c r="S8" s="1742"/>
      <c r="T8" s="1456">
        <f>SUM(S9:S18)</f>
        <v>19718746.954284195</v>
      </c>
      <c r="U8" s="1742"/>
      <c r="V8" s="1742"/>
      <c r="W8" s="1355">
        <f>SUM(V9:V18)</f>
        <v>24784163</v>
      </c>
      <c r="X8" s="1744">
        <f>+W8/$W$216</f>
        <v>2.198341526460176E-2</v>
      </c>
      <c r="Y8" s="1711">
        <f>+W8</f>
        <v>24784163</v>
      </c>
    </row>
    <row r="9" spans="1:28" ht="10.5" outlineLevel="1" x14ac:dyDescent="0.25">
      <c r="A9" s="1362">
        <v>1.01</v>
      </c>
      <c r="B9" s="1363" t="s">
        <v>75</v>
      </c>
      <c r="C9" s="1745" t="s">
        <v>951</v>
      </c>
      <c r="D9" s="1364" t="s">
        <v>107</v>
      </c>
      <c r="E9" s="1363">
        <v>0</v>
      </c>
      <c r="F9" s="1388"/>
      <c r="G9" s="1388"/>
      <c r="H9" s="1746">
        <f>F9+G9</f>
        <v>0</v>
      </c>
      <c r="I9" s="1388"/>
      <c r="J9" s="1388"/>
      <c r="K9" s="1746">
        <f>I9+J9</f>
        <v>0</v>
      </c>
      <c r="L9" s="1388"/>
      <c r="M9" s="1746">
        <f>H9+K9+L9</f>
        <v>0</v>
      </c>
      <c r="N9" s="1747">
        <f>F9*E9</f>
        <v>0</v>
      </c>
      <c r="O9" s="1747">
        <f>G9*E9</f>
        <v>0</v>
      </c>
      <c r="P9" s="1747">
        <f>I9*E9</f>
        <v>0</v>
      </c>
      <c r="Q9" s="1747">
        <f>J9*E9</f>
        <v>0</v>
      </c>
      <c r="R9" s="1747">
        <f>+L9*E9</f>
        <v>0</v>
      </c>
      <c r="S9" s="1748">
        <f>SUM(N9:R9)</f>
        <v>0</v>
      </c>
      <c r="T9" s="1358"/>
      <c r="U9" s="1365">
        <f t="shared" ref="U9:U18" si="0">+ROUNDUP(M9*$T$5,0)</f>
        <v>0</v>
      </c>
      <c r="V9" s="1365">
        <f t="shared" ref="V9:V18" si="1">+U9*E9</f>
        <v>0</v>
      </c>
      <c r="X9" s="1744"/>
    </row>
    <row r="10" spans="1:28" ht="10.5" outlineLevel="1" x14ac:dyDescent="0.25">
      <c r="A10" s="1366">
        <v>1.02</v>
      </c>
      <c r="B10" s="1370" t="s">
        <v>75</v>
      </c>
      <c r="C10" s="1396" t="s">
        <v>267</v>
      </c>
      <c r="D10" s="1367" t="s">
        <v>104</v>
      </c>
      <c r="E10" s="1368">
        <v>3</v>
      </c>
      <c r="F10" s="1749">
        <v>0</v>
      </c>
      <c r="G10" s="1749">
        <v>41666.666666666664</v>
      </c>
      <c r="H10" s="1750">
        <f>F10+G10</f>
        <v>41666.666666666664</v>
      </c>
      <c r="I10" s="1749">
        <v>172653.20827272726</v>
      </c>
      <c r="J10" s="1749">
        <v>83223.728710953277</v>
      </c>
      <c r="K10" s="1750">
        <f>I10+J10</f>
        <v>255876.93698368053</v>
      </c>
      <c r="L10" s="1749">
        <f>+(H10+K10)*0.015</f>
        <v>4463.1540547552077</v>
      </c>
      <c r="M10" s="1750">
        <f>H10+K10+L10</f>
        <v>302006.75770510244</v>
      </c>
      <c r="N10" s="1751">
        <f t="shared" ref="N10" si="2">F10*E10</f>
        <v>0</v>
      </c>
      <c r="O10" s="1751">
        <f t="shared" ref="O10" si="3">G10*E10</f>
        <v>125000</v>
      </c>
      <c r="P10" s="1751">
        <f t="shared" ref="P10:P18" si="4">I10*E10</f>
        <v>517959.62481818179</v>
      </c>
      <c r="Q10" s="1751">
        <f t="shared" ref="Q10:Q18" si="5">J10*E10</f>
        <v>249671.18613285985</v>
      </c>
      <c r="R10" s="1751">
        <f t="shared" ref="R10:R18" si="6">+L10*E10</f>
        <v>13389.462164265624</v>
      </c>
      <c r="S10" s="1752">
        <f t="shared" ref="S10" si="7">SUM(N10:R10)</f>
        <v>906020.27311530733</v>
      </c>
      <c r="T10" s="1753"/>
      <c r="U10" s="1369">
        <f t="shared" si="0"/>
        <v>379588</v>
      </c>
      <c r="V10" s="1369">
        <f t="shared" si="1"/>
        <v>1138764</v>
      </c>
      <c r="X10" s="1744"/>
    </row>
    <row r="11" spans="1:28" ht="10.5" outlineLevel="1" x14ac:dyDescent="0.25">
      <c r="A11" s="1366">
        <v>1.03</v>
      </c>
      <c r="B11" s="1368" t="s">
        <v>75</v>
      </c>
      <c r="C11" s="1396" t="s">
        <v>952</v>
      </c>
      <c r="D11" s="1754" t="s">
        <v>107</v>
      </c>
      <c r="E11" s="1377">
        <v>0</v>
      </c>
      <c r="F11" s="1377"/>
      <c r="G11" s="1377"/>
      <c r="H11" s="1750">
        <f t="shared" ref="H11:H18" si="8">F11+G11</f>
        <v>0</v>
      </c>
      <c r="I11" s="1377"/>
      <c r="J11" s="1377"/>
      <c r="K11" s="1750">
        <f t="shared" ref="K11:K18" si="9">I11+J11</f>
        <v>0</v>
      </c>
      <c r="L11" s="1377"/>
      <c r="M11" s="1750">
        <f t="shared" ref="M11:M18" si="10">H11+K11+L11</f>
        <v>0</v>
      </c>
      <c r="N11" s="1751">
        <f>F11*E11</f>
        <v>0</v>
      </c>
      <c r="O11" s="1751">
        <f>G11*E11</f>
        <v>0</v>
      </c>
      <c r="P11" s="1751">
        <f t="shared" si="4"/>
        <v>0</v>
      </c>
      <c r="Q11" s="1751">
        <f t="shared" si="5"/>
        <v>0</v>
      </c>
      <c r="R11" s="1751">
        <f t="shared" si="6"/>
        <v>0</v>
      </c>
      <c r="S11" s="1752">
        <f t="shared" ref="S11:S136" si="11">SUM(N11:R11)</f>
        <v>0</v>
      </c>
      <c r="T11" s="1753"/>
      <c r="U11" s="1369">
        <f t="shared" si="0"/>
        <v>0</v>
      </c>
      <c r="V11" s="1369">
        <f t="shared" si="1"/>
        <v>0</v>
      </c>
      <c r="X11" s="1744"/>
    </row>
    <row r="12" spans="1:28" ht="10.5" outlineLevel="1" x14ac:dyDescent="0.25">
      <c r="A12" s="1366">
        <v>1.04</v>
      </c>
      <c r="B12" s="1368" t="s">
        <v>75</v>
      </c>
      <c r="C12" s="1396" t="s">
        <v>953</v>
      </c>
      <c r="D12" s="1367" t="s">
        <v>124</v>
      </c>
      <c r="E12" s="1368">
        <v>11</v>
      </c>
      <c r="F12" s="1749">
        <v>79773.18271975957</v>
      </c>
      <c r="G12" s="1749">
        <v>0</v>
      </c>
      <c r="H12" s="1750">
        <f t="shared" si="8"/>
        <v>79773.18271975957</v>
      </c>
      <c r="I12" s="1749">
        <v>0</v>
      </c>
      <c r="J12" s="1749">
        <v>30923.374054493801</v>
      </c>
      <c r="K12" s="1750">
        <f t="shared" si="9"/>
        <v>30923.374054493801</v>
      </c>
      <c r="L12" s="1749">
        <f>+(H12+K12)*0.015</f>
        <v>1660.4483516138005</v>
      </c>
      <c r="M12" s="1750">
        <f t="shared" si="10"/>
        <v>112357.00512586717</v>
      </c>
      <c r="N12" s="1751">
        <f>F12*E12</f>
        <v>877505.00991735526</v>
      </c>
      <c r="O12" s="1751">
        <f>G12*E12</f>
        <v>0</v>
      </c>
      <c r="P12" s="1751">
        <f t="shared" si="4"/>
        <v>0</v>
      </c>
      <c r="Q12" s="1751">
        <f t="shared" si="5"/>
        <v>340157.11459943181</v>
      </c>
      <c r="R12" s="1751">
        <f t="shared" si="6"/>
        <v>18264.931867751806</v>
      </c>
      <c r="S12" s="1752">
        <f t="shared" si="11"/>
        <v>1235927.0563845388</v>
      </c>
      <c r="T12" s="1753"/>
      <c r="U12" s="1369">
        <f t="shared" si="0"/>
        <v>141220</v>
      </c>
      <c r="V12" s="1369">
        <f t="shared" si="1"/>
        <v>1553420</v>
      </c>
      <c r="X12" s="1744"/>
    </row>
    <row r="13" spans="1:28" ht="10.5" outlineLevel="1" x14ac:dyDescent="0.25">
      <c r="A13" s="1366">
        <v>1.05</v>
      </c>
      <c r="B13" s="1368" t="s">
        <v>75</v>
      </c>
      <c r="C13" s="1396" t="s">
        <v>270</v>
      </c>
      <c r="D13" s="1367" t="s">
        <v>107</v>
      </c>
      <c r="E13" s="1368">
        <v>1</v>
      </c>
      <c r="F13" s="1755">
        <v>2300856.6973553719</v>
      </c>
      <c r="G13" s="1755">
        <v>100000</v>
      </c>
      <c r="H13" s="1750">
        <f t="shared" si="8"/>
        <v>2400856.6973553719</v>
      </c>
      <c r="I13" s="1749">
        <v>500000</v>
      </c>
      <c r="J13" s="1749">
        <v>3016332.5020954548</v>
      </c>
      <c r="K13" s="1750">
        <f t="shared" si="9"/>
        <v>3516332.5020954548</v>
      </c>
      <c r="L13" s="1749">
        <f>+(H13+K13)*0.015</f>
        <v>88757.837991762397</v>
      </c>
      <c r="M13" s="1750">
        <f t="shared" si="10"/>
        <v>6005947.0374425882</v>
      </c>
      <c r="N13" s="1751">
        <f t="shared" ref="N13:N18" si="12">F13*E13</f>
        <v>2300856.6973553719</v>
      </c>
      <c r="O13" s="1751">
        <f t="shared" ref="O13:O16" si="13">G13*E13</f>
        <v>100000</v>
      </c>
      <c r="P13" s="1751">
        <f t="shared" si="4"/>
        <v>500000</v>
      </c>
      <c r="Q13" s="1751">
        <f t="shared" si="5"/>
        <v>3016332.5020954548</v>
      </c>
      <c r="R13" s="1751">
        <f t="shared" si="6"/>
        <v>88757.837991762397</v>
      </c>
      <c r="S13" s="1752">
        <f t="shared" si="11"/>
        <v>6005947.0374425882</v>
      </c>
      <c r="T13" s="1753"/>
      <c r="U13" s="1369">
        <f t="shared" si="0"/>
        <v>7548771</v>
      </c>
      <c r="V13" s="1369">
        <f t="shared" si="1"/>
        <v>7548771</v>
      </c>
      <c r="X13" s="1744"/>
    </row>
    <row r="14" spans="1:28" ht="10.5" outlineLevel="1" x14ac:dyDescent="0.25">
      <c r="A14" s="1366">
        <v>1.06</v>
      </c>
      <c r="B14" s="1368" t="s">
        <v>75</v>
      </c>
      <c r="C14" s="1396" t="s">
        <v>271</v>
      </c>
      <c r="D14" s="1367" t="s">
        <v>101</v>
      </c>
      <c r="E14" s="1368">
        <v>3</v>
      </c>
      <c r="F14" s="1755"/>
      <c r="G14" s="1755"/>
      <c r="H14" s="1750">
        <f t="shared" si="8"/>
        <v>0</v>
      </c>
      <c r="I14" s="1420">
        <v>295488.55943097093</v>
      </c>
      <c r="J14" s="1420">
        <v>16416.031079498385</v>
      </c>
      <c r="K14" s="1750">
        <f t="shared" si="9"/>
        <v>311904.59051046934</v>
      </c>
      <c r="L14" s="1377"/>
      <c r="M14" s="1750">
        <f t="shared" si="10"/>
        <v>311904.59051046934</v>
      </c>
      <c r="N14" s="1751">
        <f t="shared" si="12"/>
        <v>0</v>
      </c>
      <c r="O14" s="1751">
        <f t="shared" si="13"/>
        <v>0</v>
      </c>
      <c r="P14" s="1751">
        <f t="shared" si="4"/>
        <v>886465.67829291278</v>
      </c>
      <c r="Q14" s="1751">
        <f t="shared" si="5"/>
        <v>49248.093238495159</v>
      </c>
      <c r="R14" s="1751">
        <f t="shared" si="6"/>
        <v>0</v>
      </c>
      <c r="S14" s="1752">
        <f t="shared" si="11"/>
        <v>935713.77153140795</v>
      </c>
      <c r="T14" s="1753"/>
      <c r="U14" s="1369">
        <f t="shared" si="0"/>
        <v>392028</v>
      </c>
      <c r="V14" s="1369">
        <f t="shared" si="1"/>
        <v>1176084</v>
      </c>
      <c r="X14" s="1744"/>
    </row>
    <row r="15" spans="1:28" ht="10.5" outlineLevel="1" x14ac:dyDescent="0.25">
      <c r="A15" s="1366">
        <v>1.07</v>
      </c>
      <c r="B15" s="1370" t="s">
        <v>75</v>
      </c>
      <c r="C15" s="1396" t="s">
        <v>272</v>
      </c>
      <c r="D15" s="1367" t="s">
        <v>107</v>
      </c>
      <c r="E15" s="1368">
        <v>1</v>
      </c>
      <c r="F15" s="1755">
        <v>795578.51239669416</v>
      </c>
      <c r="G15" s="1755">
        <v>50000</v>
      </c>
      <c r="H15" s="1750">
        <f t="shared" si="8"/>
        <v>845578.51239669416</v>
      </c>
      <c r="I15" s="1749">
        <v>0</v>
      </c>
      <c r="J15" s="1749">
        <v>511535.56413257582</v>
      </c>
      <c r="K15" s="1750">
        <f t="shared" si="9"/>
        <v>511535.56413257582</v>
      </c>
      <c r="L15" s="1749">
        <f>+(H15+K15)*0.015</f>
        <v>20356.711147939051</v>
      </c>
      <c r="M15" s="1750">
        <f t="shared" si="10"/>
        <v>1377470.7876772091</v>
      </c>
      <c r="N15" s="1751">
        <f t="shared" si="12"/>
        <v>795578.51239669416</v>
      </c>
      <c r="O15" s="1751">
        <f t="shared" si="13"/>
        <v>50000</v>
      </c>
      <c r="P15" s="1751">
        <f t="shared" si="4"/>
        <v>0</v>
      </c>
      <c r="Q15" s="1751">
        <f t="shared" si="5"/>
        <v>511535.56413257582</v>
      </c>
      <c r="R15" s="1751">
        <f t="shared" si="6"/>
        <v>20356.711147939051</v>
      </c>
      <c r="S15" s="1752">
        <f t="shared" si="11"/>
        <v>1377470.7876772091</v>
      </c>
      <c r="T15" s="1753"/>
      <c r="U15" s="1369">
        <f t="shared" si="0"/>
        <v>1731320</v>
      </c>
      <c r="V15" s="1369">
        <f t="shared" si="1"/>
        <v>1731320</v>
      </c>
      <c r="X15" s="1744"/>
    </row>
    <row r="16" spans="1:28" ht="10.5" outlineLevel="1" x14ac:dyDescent="0.25">
      <c r="A16" s="1366">
        <v>1.08</v>
      </c>
      <c r="B16" s="1370" t="s">
        <v>75</v>
      </c>
      <c r="C16" s="1396" t="s">
        <v>273</v>
      </c>
      <c r="D16" s="1367" t="s">
        <v>107</v>
      </c>
      <c r="E16" s="1368">
        <v>1</v>
      </c>
      <c r="F16" s="1755">
        <v>680400</v>
      </c>
      <c r="G16" s="1755">
        <v>0</v>
      </c>
      <c r="H16" s="1750">
        <f t="shared" si="8"/>
        <v>680400</v>
      </c>
      <c r="I16" s="1749">
        <v>0</v>
      </c>
      <c r="J16" s="1749">
        <v>421419.88959943189</v>
      </c>
      <c r="K16" s="1750">
        <f t="shared" si="9"/>
        <v>421419.88959943189</v>
      </c>
      <c r="L16" s="1749">
        <f>+(H16+K16)*0.015</f>
        <v>16527.298343991475</v>
      </c>
      <c r="M16" s="1750">
        <f t="shared" si="10"/>
        <v>1118347.1879434232</v>
      </c>
      <c r="N16" s="1751">
        <f t="shared" si="12"/>
        <v>680400</v>
      </c>
      <c r="O16" s="1751">
        <f t="shared" si="13"/>
        <v>0</v>
      </c>
      <c r="P16" s="1751">
        <f t="shared" si="4"/>
        <v>0</v>
      </c>
      <c r="Q16" s="1751">
        <f t="shared" si="5"/>
        <v>421419.88959943189</v>
      </c>
      <c r="R16" s="1751">
        <f t="shared" si="6"/>
        <v>16527.298343991475</v>
      </c>
      <c r="S16" s="1752">
        <f t="shared" si="11"/>
        <v>1118347.1879434232</v>
      </c>
      <c r="T16" s="1753"/>
      <c r="U16" s="1369">
        <f t="shared" si="0"/>
        <v>1405632</v>
      </c>
      <c r="V16" s="1369">
        <f t="shared" si="1"/>
        <v>1405632</v>
      </c>
      <c r="X16" s="1744"/>
    </row>
    <row r="17" spans="1:30" ht="10.5" outlineLevel="1" x14ac:dyDescent="0.25">
      <c r="A17" s="1366">
        <v>1.0900000000000001</v>
      </c>
      <c r="B17" s="1370" t="s">
        <v>75</v>
      </c>
      <c r="C17" s="1396" t="s">
        <v>274</v>
      </c>
      <c r="D17" s="1367" t="s">
        <v>107</v>
      </c>
      <c r="E17" s="1368">
        <v>1</v>
      </c>
      <c r="F17" s="1755">
        <v>0</v>
      </c>
      <c r="G17" s="1755">
        <v>0</v>
      </c>
      <c r="H17" s="1750">
        <f t="shared" si="8"/>
        <v>0</v>
      </c>
      <c r="I17" s="1749">
        <v>339320.84018972021</v>
      </c>
      <c r="J17" s="1749">
        <v>0</v>
      </c>
      <c r="K17" s="1750">
        <f t="shared" si="9"/>
        <v>339320.84018972021</v>
      </c>
      <c r="L17" s="1377"/>
      <c r="M17" s="1750">
        <f t="shared" si="10"/>
        <v>339320.84018972021</v>
      </c>
      <c r="N17" s="1751">
        <f t="shared" si="12"/>
        <v>0</v>
      </c>
      <c r="O17" s="1751">
        <f>G17*E17</f>
        <v>0</v>
      </c>
      <c r="P17" s="1751">
        <f t="shared" si="4"/>
        <v>339320.84018972021</v>
      </c>
      <c r="Q17" s="1751">
        <f t="shared" si="5"/>
        <v>0</v>
      </c>
      <c r="R17" s="1751">
        <f t="shared" si="6"/>
        <v>0</v>
      </c>
      <c r="S17" s="1752">
        <f t="shared" si="11"/>
        <v>339320.84018972021</v>
      </c>
      <c r="T17" s="1753"/>
      <c r="U17" s="1369">
        <f t="shared" si="0"/>
        <v>426487</v>
      </c>
      <c r="V17" s="1369">
        <f t="shared" si="1"/>
        <v>426487</v>
      </c>
      <c r="X17" s="1744"/>
    </row>
    <row r="18" spans="1:30" ht="10.5" outlineLevel="1" x14ac:dyDescent="0.25">
      <c r="A18" s="1371">
        <v>1.1000000000000001</v>
      </c>
      <c r="B18" s="1372" t="s">
        <v>75</v>
      </c>
      <c r="C18" s="1756" t="s">
        <v>275</v>
      </c>
      <c r="D18" s="1373" t="s">
        <v>107</v>
      </c>
      <c r="E18" s="1374">
        <v>1</v>
      </c>
      <c r="F18" s="1757"/>
      <c r="G18" s="1757"/>
      <c r="H18" s="1758">
        <f t="shared" si="8"/>
        <v>0</v>
      </c>
      <c r="I18" s="1759">
        <v>7800000</v>
      </c>
      <c r="J18" s="1760"/>
      <c r="K18" s="1758">
        <f t="shared" si="9"/>
        <v>7800000</v>
      </c>
      <c r="L18" s="1385"/>
      <c r="M18" s="1758">
        <f t="shared" si="10"/>
        <v>7800000</v>
      </c>
      <c r="N18" s="1761">
        <f t="shared" si="12"/>
        <v>0</v>
      </c>
      <c r="O18" s="1761">
        <f>G18*E18</f>
        <v>0</v>
      </c>
      <c r="P18" s="1761">
        <f t="shared" si="4"/>
        <v>7800000</v>
      </c>
      <c r="Q18" s="1761">
        <f t="shared" si="5"/>
        <v>0</v>
      </c>
      <c r="R18" s="1761">
        <f t="shared" si="6"/>
        <v>0</v>
      </c>
      <c r="S18" s="1762">
        <f t="shared" si="11"/>
        <v>7800000</v>
      </c>
      <c r="T18" s="1753"/>
      <c r="U18" s="1369">
        <f t="shared" si="0"/>
        <v>9803685</v>
      </c>
      <c r="V18" s="1369">
        <f t="shared" si="1"/>
        <v>9803685</v>
      </c>
      <c r="X18" s="1744"/>
    </row>
    <row r="19" spans="1:30" ht="10.5" x14ac:dyDescent="0.25">
      <c r="A19" s="1360">
        <v>2</v>
      </c>
      <c r="B19" s="1361"/>
      <c r="C19" s="1411" t="s">
        <v>196</v>
      </c>
      <c r="D19" s="1741"/>
      <c r="E19" s="1742"/>
      <c r="F19" s="1742"/>
      <c r="G19" s="1742"/>
      <c r="H19" s="1742"/>
      <c r="I19" s="1742"/>
      <c r="J19" s="1742"/>
      <c r="K19" s="1742"/>
      <c r="L19" s="1742"/>
      <c r="M19" s="1743"/>
      <c r="N19" s="1742"/>
      <c r="O19" s="1742"/>
      <c r="P19" s="1742"/>
      <c r="Q19" s="1742"/>
      <c r="R19" s="1742"/>
      <c r="S19" s="1742"/>
      <c r="T19" s="1456">
        <f>SUM(S20:S22)</f>
        <v>33429552.129877307</v>
      </c>
      <c r="U19" s="1742"/>
      <c r="V19" s="1742"/>
      <c r="W19" s="1355">
        <f>SUM(V20:V22)</f>
        <v>42017464</v>
      </c>
      <c r="X19" s="1744">
        <f>+W19/$W$216</f>
        <v>3.7269257770676176E-2</v>
      </c>
      <c r="Y19" s="1711">
        <f>+W19</f>
        <v>42017464</v>
      </c>
    </row>
    <row r="20" spans="1:30" ht="10.5" outlineLevel="1" x14ac:dyDescent="0.25">
      <c r="A20" s="1366">
        <v>2.0099999999999998</v>
      </c>
      <c r="B20" s="1368" t="s">
        <v>75</v>
      </c>
      <c r="C20" s="1375" t="s">
        <v>276</v>
      </c>
      <c r="D20" s="1376" t="s">
        <v>108</v>
      </c>
      <c r="E20" s="1377">
        <v>1266</v>
      </c>
      <c r="F20" s="1749">
        <v>0</v>
      </c>
      <c r="G20" s="1749">
        <v>0</v>
      </c>
      <c r="H20" s="1750">
        <f t="shared" ref="H20:H22" si="14">F20+G20</f>
        <v>0</v>
      </c>
      <c r="I20" s="1749">
        <v>18399.999999999996</v>
      </c>
      <c r="J20" s="1749">
        <v>7809.6200401747619</v>
      </c>
      <c r="K20" s="1750">
        <f t="shared" ref="K20:K22" si="15">I20+J20</f>
        <v>26209.620040174759</v>
      </c>
      <c r="L20" s="1749">
        <f>+J20*0.015</f>
        <v>117.14430060262143</v>
      </c>
      <c r="M20" s="1750">
        <f t="shared" ref="M20:M22" si="16">H20+K20+L20</f>
        <v>26326.764340777379</v>
      </c>
      <c r="N20" s="1751">
        <f t="shared" ref="N20:N22" si="17">F20*E20</f>
        <v>0</v>
      </c>
      <c r="O20" s="1751">
        <f t="shared" ref="O20:O22" si="18">G20*E20</f>
        <v>0</v>
      </c>
      <c r="P20" s="1751">
        <f t="shared" ref="P20:P22" si="19">I20*E20</f>
        <v>23294399.999999996</v>
      </c>
      <c r="Q20" s="1751">
        <f t="shared" ref="Q20:Q22" si="20">J20*E20</f>
        <v>9886978.9708612487</v>
      </c>
      <c r="R20" s="1751">
        <f t="shared" ref="R20:R22" si="21">+L20*E20</f>
        <v>148304.68456291873</v>
      </c>
      <c r="S20" s="1752">
        <f t="shared" ref="S20:S22" si="22">SUM(N20:R20)</f>
        <v>33329683.655424163</v>
      </c>
      <c r="T20" s="1753"/>
      <c r="U20" s="1369">
        <f t="shared" ref="U20:U22" si="23">+ROUNDUP(M20*$T$5,0)</f>
        <v>33090</v>
      </c>
      <c r="V20" s="1369">
        <f t="shared" ref="V20:V22" si="24">+U20*E20</f>
        <v>41891940</v>
      </c>
      <c r="X20" s="1744"/>
    </row>
    <row r="21" spans="1:30" ht="10.5" outlineLevel="1" x14ac:dyDescent="0.25">
      <c r="A21" s="1366">
        <v>2.02</v>
      </c>
      <c r="B21" s="1370" t="s">
        <v>75</v>
      </c>
      <c r="C21" s="1763" t="s">
        <v>954</v>
      </c>
      <c r="D21" s="1367" t="s">
        <v>107</v>
      </c>
      <c r="E21" s="1377">
        <v>0</v>
      </c>
      <c r="F21" s="1377"/>
      <c r="G21" s="1377"/>
      <c r="H21" s="1750">
        <f>F21+G21</f>
        <v>0</v>
      </c>
      <c r="I21" s="1377"/>
      <c r="J21" s="1377"/>
      <c r="K21" s="1750">
        <f t="shared" si="15"/>
        <v>0</v>
      </c>
      <c r="L21" s="1764"/>
      <c r="M21" s="1750">
        <f t="shared" si="16"/>
        <v>0</v>
      </c>
      <c r="N21" s="1751">
        <f t="shared" si="17"/>
        <v>0</v>
      </c>
      <c r="O21" s="1751">
        <f t="shared" si="18"/>
        <v>0</v>
      </c>
      <c r="P21" s="1751">
        <f t="shared" si="19"/>
        <v>0</v>
      </c>
      <c r="Q21" s="1751">
        <f t="shared" si="20"/>
        <v>0</v>
      </c>
      <c r="R21" s="1751">
        <f t="shared" si="21"/>
        <v>0</v>
      </c>
      <c r="S21" s="1752">
        <f t="shared" si="22"/>
        <v>0</v>
      </c>
      <c r="T21" s="1753"/>
      <c r="U21" s="1369">
        <f>+ROUNDUP(M21*$T$5,0)</f>
        <v>0</v>
      </c>
      <c r="V21" s="1369">
        <f>+U21*E21</f>
        <v>0</v>
      </c>
      <c r="X21" s="1744"/>
    </row>
    <row r="22" spans="1:30" ht="10.5" outlineLevel="1" x14ac:dyDescent="0.25">
      <c r="A22" s="1366">
        <v>2.0299999999999998</v>
      </c>
      <c r="B22" s="1368" t="s">
        <v>75</v>
      </c>
      <c r="C22" s="1375" t="s">
        <v>278</v>
      </c>
      <c r="D22" s="1376" t="s">
        <v>108</v>
      </c>
      <c r="E22" s="1377">
        <v>2</v>
      </c>
      <c r="F22" s="1749"/>
      <c r="G22" s="1749"/>
      <c r="H22" s="1750">
        <f t="shared" si="14"/>
        <v>0</v>
      </c>
      <c r="I22" s="1420"/>
      <c r="J22" s="1420">
        <v>49934.237226571968</v>
      </c>
      <c r="K22" s="1750">
        <f t="shared" si="15"/>
        <v>49934.237226571968</v>
      </c>
      <c r="L22" s="1749"/>
      <c r="M22" s="1750">
        <f t="shared" si="16"/>
        <v>49934.237226571968</v>
      </c>
      <c r="N22" s="1751">
        <f t="shared" si="17"/>
        <v>0</v>
      </c>
      <c r="O22" s="1751">
        <f t="shared" si="18"/>
        <v>0</v>
      </c>
      <c r="P22" s="1751">
        <f t="shared" si="19"/>
        <v>0</v>
      </c>
      <c r="Q22" s="1751">
        <f t="shared" si="20"/>
        <v>99868.474453143936</v>
      </c>
      <c r="R22" s="1751">
        <f t="shared" si="21"/>
        <v>0</v>
      </c>
      <c r="S22" s="1752">
        <f t="shared" si="22"/>
        <v>99868.474453143936</v>
      </c>
      <c r="T22" s="1753"/>
      <c r="U22" s="1369">
        <f t="shared" si="23"/>
        <v>62762</v>
      </c>
      <c r="V22" s="1369">
        <f t="shared" si="24"/>
        <v>125524</v>
      </c>
      <c r="X22" s="1744"/>
      <c r="AB22" s="1344" t="s">
        <v>108</v>
      </c>
      <c r="AC22" s="1711"/>
    </row>
    <row r="23" spans="1:30" ht="10.5" x14ac:dyDescent="0.25">
      <c r="A23" s="1360">
        <v>3</v>
      </c>
      <c r="B23" s="1361"/>
      <c r="C23" s="1411" t="s">
        <v>197</v>
      </c>
      <c r="D23" s="1741"/>
      <c r="E23" s="1742"/>
      <c r="F23" s="1742"/>
      <c r="G23" s="1742"/>
      <c r="H23" s="1742"/>
      <c r="I23" s="1742"/>
      <c r="J23" s="1742"/>
      <c r="K23" s="1742"/>
      <c r="L23" s="1742"/>
      <c r="M23" s="1743"/>
      <c r="N23" s="1765"/>
      <c r="O23" s="1742"/>
      <c r="P23" s="1742"/>
      <c r="Q23" s="1742"/>
      <c r="R23" s="1742"/>
      <c r="S23" s="1742"/>
      <c r="T23" s="1456">
        <f>SUM(S24:S40)</f>
        <v>201347587.51471001</v>
      </c>
      <c r="U23" s="1742"/>
      <c r="V23" s="1742"/>
      <c r="W23" s="1355">
        <f>SUM(V24:V40)</f>
        <v>253070783</v>
      </c>
      <c r="X23" s="1744">
        <f>+W23/$W$216</f>
        <v>0.2244723823849496</v>
      </c>
      <c r="Y23" s="1711">
        <f>+W23</f>
        <v>253070783</v>
      </c>
      <c r="AA23" s="1766">
        <f>+SUM(P24:Q39)+Q20</f>
        <v>158593535.06041524</v>
      </c>
      <c r="AB23" s="1717"/>
      <c r="AC23" s="1711"/>
    </row>
    <row r="24" spans="1:30" ht="10.5" outlineLevel="1" x14ac:dyDescent="0.25">
      <c r="A24" s="1366">
        <v>3.01</v>
      </c>
      <c r="B24" s="1368" t="s">
        <v>75</v>
      </c>
      <c r="C24" s="1767" t="s">
        <v>280</v>
      </c>
      <c r="D24" s="1754" t="s">
        <v>108</v>
      </c>
      <c r="E24" s="1377">
        <v>35</v>
      </c>
      <c r="F24" s="1420">
        <v>120430</v>
      </c>
      <c r="G24" s="1768">
        <v>76142.857142857145</v>
      </c>
      <c r="H24" s="1750">
        <f t="shared" ref="H24:H40" si="25">F24+G24</f>
        <v>196572.85714285716</v>
      </c>
      <c r="I24" s="1420"/>
      <c r="J24" s="1420">
        <v>49934.237226571968</v>
      </c>
      <c r="K24" s="1750">
        <f t="shared" ref="K24:K40" si="26">I24+J24</f>
        <v>49934.237226571968</v>
      </c>
      <c r="L24" s="1749">
        <f t="shared" ref="L24:L35" si="27">+(H24+K24)*0.015</f>
        <v>3697.6064155414369</v>
      </c>
      <c r="M24" s="1750">
        <f t="shared" ref="M24:M40" si="28">H24+K24+L24</f>
        <v>250204.70078497057</v>
      </c>
      <c r="N24" s="1751">
        <f t="shared" ref="N24:N40" si="29">F24*E24</f>
        <v>4215050</v>
      </c>
      <c r="O24" s="1751">
        <f t="shared" ref="O24:O40" si="30">G24*E24</f>
        <v>2665000</v>
      </c>
      <c r="P24" s="1751">
        <f t="shared" ref="P24:P40" si="31">I24*E24</f>
        <v>0</v>
      </c>
      <c r="Q24" s="1751">
        <f t="shared" ref="Q24:Q40" si="32">J24*E24</f>
        <v>1747698.3029300189</v>
      </c>
      <c r="R24" s="1751">
        <f t="shared" ref="R24:R40" si="33">+L24*E24</f>
        <v>129416.22454395029</v>
      </c>
      <c r="S24" s="1752">
        <f t="shared" ref="S24:S40" si="34">SUM(N24:R24)</f>
        <v>8757164.5274739694</v>
      </c>
      <c r="T24" s="1753"/>
      <c r="U24" s="1369">
        <f t="shared" ref="U24:U40" si="35">+ROUNDUP(M24*$T$5,0)</f>
        <v>314478</v>
      </c>
      <c r="V24" s="1369">
        <f t="shared" ref="V24:V40" si="36">+U24*E24</f>
        <v>11006730</v>
      </c>
      <c r="X24" s="1744"/>
      <c r="Z24" s="1378" t="s">
        <v>406</v>
      </c>
      <c r="AA24" s="1766">
        <f>+AA23/Z25</f>
        <v>105729023.37361015</v>
      </c>
      <c r="AB24" s="1717">
        <v>607</v>
      </c>
      <c r="AC24" s="1711">
        <f>+AA24/AB24</f>
        <v>174182.90506360817</v>
      </c>
      <c r="AD24" s="1769">
        <f>+AC24/AC26</f>
        <v>0.76640478227987596</v>
      </c>
    </row>
    <row r="25" spans="1:30" ht="10.5" outlineLevel="1" x14ac:dyDescent="0.25">
      <c r="A25" s="1366">
        <v>3.02</v>
      </c>
      <c r="B25" s="1368" t="s">
        <v>75</v>
      </c>
      <c r="C25" s="1767" t="s">
        <v>281</v>
      </c>
      <c r="D25" s="1754" t="s">
        <v>108</v>
      </c>
      <c r="E25" s="1377">
        <v>40</v>
      </c>
      <c r="F25" s="1420">
        <v>70843.445714285714</v>
      </c>
      <c r="G25" s="1768"/>
      <c r="H25" s="1750">
        <f t="shared" si="25"/>
        <v>70843.445714285714</v>
      </c>
      <c r="I25" s="1420">
        <v>307690.19241546135</v>
      </c>
      <c r="J25" s="1420"/>
      <c r="K25" s="1750">
        <f t="shared" si="26"/>
        <v>307690.19241546135</v>
      </c>
      <c r="L25" s="1749">
        <f t="shared" si="27"/>
        <v>5678.0045719462059</v>
      </c>
      <c r="M25" s="1750">
        <f t="shared" si="28"/>
        <v>384211.64270169329</v>
      </c>
      <c r="N25" s="1751">
        <f t="shared" si="29"/>
        <v>2833737.8285714285</v>
      </c>
      <c r="O25" s="1751">
        <f t="shared" si="30"/>
        <v>0</v>
      </c>
      <c r="P25" s="1751">
        <f t="shared" si="31"/>
        <v>12307607.696618455</v>
      </c>
      <c r="Q25" s="1751">
        <f t="shared" si="32"/>
        <v>0</v>
      </c>
      <c r="R25" s="1751">
        <f t="shared" si="33"/>
        <v>227120.18287784824</v>
      </c>
      <c r="S25" s="1752">
        <f t="shared" si="34"/>
        <v>15368465.708067732</v>
      </c>
      <c r="T25" s="1753"/>
      <c r="U25" s="1369">
        <f t="shared" si="35"/>
        <v>482909</v>
      </c>
      <c r="V25" s="1379">
        <f t="shared" si="36"/>
        <v>19316360</v>
      </c>
      <c r="X25" s="1744"/>
      <c r="Z25" s="1378">
        <v>1.5</v>
      </c>
      <c r="AB25" s="1717"/>
      <c r="AC25" s="1711"/>
    </row>
    <row r="26" spans="1:30" ht="10.5" outlineLevel="1" x14ac:dyDescent="0.25">
      <c r="A26" s="1366">
        <v>3.03</v>
      </c>
      <c r="B26" s="1368" t="s">
        <v>75</v>
      </c>
      <c r="C26" s="1767" t="s">
        <v>282</v>
      </c>
      <c r="D26" s="1754" t="s">
        <v>108</v>
      </c>
      <c r="E26" s="1377">
        <v>28</v>
      </c>
      <c r="F26" s="1420">
        <v>55068.821745306559</v>
      </c>
      <c r="G26" s="1768"/>
      <c r="H26" s="1750">
        <f t="shared" si="25"/>
        <v>55068.821745306559</v>
      </c>
      <c r="I26" s="1420">
        <v>253994.14283025966</v>
      </c>
      <c r="J26" s="1420"/>
      <c r="K26" s="1750">
        <f t="shared" si="26"/>
        <v>253994.14283025966</v>
      </c>
      <c r="L26" s="1749">
        <f t="shared" si="27"/>
        <v>4635.9444686334937</v>
      </c>
      <c r="M26" s="1750">
        <f t="shared" si="28"/>
        <v>313698.90904419974</v>
      </c>
      <c r="N26" s="1751">
        <f t="shared" si="29"/>
        <v>1541927.0088685837</v>
      </c>
      <c r="O26" s="1751">
        <f t="shared" si="30"/>
        <v>0</v>
      </c>
      <c r="P26" s="1751">
        <f t="shared" si="31"/>
        <v>7111835.9992472706</v>
      </c>
      <c r="Q26" s="1751">
        <f t="shared" si="32"/>
        <v>0</v>
      </c>
      <c r="R26" s="1751">
        <f t="shared" si="33"/>
        <v>129806.44512173782</v>
      </c>
      <c r="S26" s="1752">
        <f t="shared" si="34"/>
        <v>8783569.4532375913</v>
      </c>
      <c r="T26" s="1753"/>
      <c r="U26" s="1369">
        <f t="shared" si="35"/>
        <v>394283</v>
      </c>
      <c r="V26" s="1379">
        <f t="shared" si="36"/>
        <v>11039924</v>
      </c>
      <c r="X26" s="1744"/>
      <c r="Z26" s="1378" t="s">
        <v>407</v>
      </c>
      <c r="AA26" s="1766">
        <v>75000000</v>
      </c>
      <c r="AB26" s="1717">
        <v>330</v>
      </c>
      <c r="AC26" s="1711">
        <f>+AA26/AB26</f>
        <v>227272.72727272726</v>
      </c>
    </row>
    <row r="27" spans="1:30" ht="10.5" outlineLevel="1" x14ac:dyDescent="0.25">
      <c r="A27" s="1366">
        <v>3.04</v>
      </c>
      <c r="B27" s="1368" t="s">
        <v>75</v>
      </c>
      <c r="C27" s="1767" t="s">
        <v>283</v>
      </c>
      <c r="D27" s="1754" t="s">
        <v>108</v>
      </c>
      <c r="E27" s="1377">
        <v>179</v>
      </c>
      <c r="F27" s="1420">
        <v>2471.4097794822628</v>
      </c>
      <c r="G27" s="1768"/>
      <c r="H27" s="1750">
        <f t="shared" si="25"/>
        <v>2471.4097794822628</v>
      </c>
      <c r="I27" s="1770">
        <v>148967.56476994729</v>
      </c>
      <c r="J27" s="1420"/>
      <c r="K27" s="1750">
        <f t="shared" si="26"/>
        <v>148967.56476994729</v>
      </c>
      <c r="L27" s="1749">
        <f t="shared" si="27"/>
        <v>2271.584618241443</v>
      </c>
      <c r="M27" s="1750">
        <f t="shared" si="28"/>
        <v>153710.55916767099</v>
      </c>
      <c r="N27" s="1751">
        <f t="shared" si="29"/>
        <v>442382.35052732506</v>
      </c>
      <c r="O27" s="1751">
        <f t="shared" si="30"/>
        <v>0</v>
      </c>
      <c r="P27" s="1751">
        <f t="shared" si="31"/>
        <v>26665194.093820564</v>
      </c>
      <c r="Q27" s="1751">
        <f t="shared" si="32"/>
        <v>0</v>
      </c>
      <c r="R27" s="1751">
        <f t="shared" si="33"/>
        <v>406613.64666521829</v>
      </c>
      <c r="S27" s="1752">
        <f t="shared" si="34"/>
        <v>27514190.091013107</v>
      </c>
      <c r="T27" s="1753"/>
      <c r="U27" s="1369">
        <f t="shared" si="35"/>
        <v>193197</v>
      </c>
      <c r="V27" s="1379">
        <f t="shared" si="36"/>
        <v>34582263</v>
      </c>
      <c r="X27" s="1744"/>
    </row>
    <row r="28" spans="1:30" ht="10.5" outlineLevel="1" x14ac:dyDescent="0.25">
      <c r="A28" s="1366">
        <v>3.05</v>
      </c>
      <c r="B28" s="1368" t="s">
        <v>75</v>
      </c>
      <c r="C28" s="1767" t="s">
        <v>284</v>
      </c>
      <c r="D28" s="1754" t="s">
        <v>108</v>
      </c>
      <c r="E28" s="1377">
        <v>10</v>
      </c>
      <c r="F28" s="1420">
        <v>40150.005369127517</v>
      </c>
      <c r="G28" s="1768"/>
      <c r="H28" s="1750">
        <f t="shared" si="25"/>
        <v>40150.005369127517</v>
      </c>
      <c r="I28" s="1420">
        <v>191068.28444151493</v>
      </c>
      <c r="J28" s="1770">
        <f>+I28*0.5</f>
        <v>95534.142220757465</v>
      </c>
      <c r="K28" s="1750">
        <f t="shared" si="26"/>
        <v>286602.42666227242</v>
      </c>
      <c r="L28" s="1749">
        <f t="shared" si="27"/>
        <v>4901.2864804709989</v>
      </c>
      <c r="M28" s="1750">
        <f t="shared" si="28"/>
        <v>331653.71851187095</v>
      </c>
      <c r="N28" s="1751">
        <f t="shared" si="29"/>
        <v>401500.05369127518</v>
      </c>
      <c r="O28" s="1751">
        <f t="shared" si="30"/>
        <v>0</v>
      </c>
      <c r="P28" s="1751">
        <f t="shared" si="31"/>
        <v>1910682.8444151492</v>
      </c>
      <c r="Q28" s="1751">
        <f t="shared" si="32"/>
        <v>955341.42220757459</v>
      </c>
      <c r="R28" s="1751">
        <f t="shared" si="33"/>
        <v>49012.864804709985</v>
      </c>
      <c r="S28" s="1752">
        <f t="shared" si="34"/>
        <v>3316537.1851187083</v>
      </c>
      <c r="T28" s="1753"/>
      <c r="U28" s="1369">
        <f t="shared" si="35"/>
        <v>416850</v>
      </c>
      <c r="V28" s="1379">
        <f t="shared" si="36"/>
        <v>4168500</v>
      </c>
      <c r="X28" s="1744"/>
    </row>
    <row r="29" spans="1:30" ht="10.5" outlineLevel="1" x14ac:dyDescent="0.25">
      <c r="A29" s="1366">
        <v>3.06</v>
      </c>
      <c r="B29" s="1370" t="s">
        <v>75</v>
      </c>
      <c r="C29" s="1396" t="s">
        <v>285</v>
      </c>
      <c r="D29" s="1376" t="s">
        <v>108</v>
      </c>
      <c r="E29" s="1368">
        <v>177</v>
      </c>
      <c r="F29" s="1420">
        <v>32975.501438159154</v>
      </c>
      <c r="G29" s="1420"/>
      <c r="H29" s="1750">
        <f t="shared" si="25"/>
        <v>32975.501438159154</v>
      </c>
      <c r="I29" s="1420">
        <v>191068.28444151493</v>
      </c>
      <c r="J29" s="1420"/>
      <c r="K29" s="1750">
        <f t="shared" si="26"/>
        <v>191068.28444151493</v>
      </c>
      <c r="L29" s="1749">
        <f t="shared" si="27"/>
        <v>3360.6567881951109</v>
      </c>
      <c r="M29" s="1750">
        <f t="shared" si="28"/>
        <v>227404.44266786918</v>
      </c>
      <c r="N29" s="1751">
        <f t="shared" si="29"/>
        <v>5836663.7545541702</v>
      </c>
      <c r="O29" s="1751">
        <f t="shared" si="30"/>
        <v>0</v>
      </c>
      <c r="P29" s="1751">
        <f t="shared" si="31"/>
        <v>33819086.346148141</v>
      </c>
      <c r="Q29" s="1751">
        <f t="shared" si="32"/>
        <v>0</v>
      </c>
      <c r="R29" s="1751">
        <f t="shared" si="33"/>
        <v>594836.25151053467</v>
      </c>
      <c r="S29" s="1752">
        <f t="shared" si="34"/>
        <v>40250586.352212846</v>
      </c>
      <c r="T29" s="1753"/>
      <c r="U29" s="1369">
        <f t="shared" si="35"/>
        <v>285821</v>
      </c>
      <c r="V29" s="1379">
        <f t="shared" si="36"/>
        <v>50590317</v>
      </c>
      <c r="X29" s="1744"/>
    </row>
    <row r="30" spans="1:30" ht="11.25" customHeight="1" outlineLevel="1" x14ac:dyDescent="0.25">
      <c r="A30" s="1366">
        <v>3.07</v>
      </c>
      <c r="B30" s="1370" t="s">
        <v>75</v>
      </c>
      <c r="C30" s="1396" t="s">
        <v>286</v>
      </c>
      <c r="D30" s="1376" t="s">
        <v>108</v>
      </c>
      <c r="E30" s="1368">
        <v>65</v>
      </c>
      <c r="F30" s="1420">
        <v>94228.958133589011</v>
      </c>
      <c r="G30" s="1420"/>
      <c r="H30" s="1750">
        <f t="shared" si="25"/>
        <v>94228.958133589011</v>
      </c>
      <c r="I30" s="1420">
        <v>462949.29028534138</v>
      </c>
      <c r="J30" s="1420"/>
      <c r="K30" s="1750">
        <f t="shared" si="26"/>
        <v>462949.29028534138</v>
      </c>
      <c r="L30" s="1749">
        <f t="shared" si="27"/>
        <v>8357.6737262839561</v>
      </c>
      <c r="M30" s="1750">
        <f t="shared" si="28"/>
        <v>565535.9221452144</v>
      </c>
      <c r="N30" s="1751">
        <f t="shared" si="29"/>
        <v>6124882.2786832862</v>
      </c>
      <c r="O30" s="1751">
        <f t="shared" si="30"/>
        <v>0</v>
      </c>
      <c r="P30" s="1751">
        <f t="shared" si="31"/>
        <v>30091703.86854719</v>
      </c>
      <c r="Q30" s="1751">
        <f t="shared" si="32"/>
        <v>0</v>
      </c>
      <c r="R30" s="1751">
        <f t="shared" si="33"/>
        <v>543248.79220845713</v>
      </c>
      <c r="S30" s="1752">
        <f t="shared" si="34"/>
        <v>36759834.939438932</v>
      </c>
      <c r="T30" s="1753"/>
      <c r="U30" s="1369">
        <f t="shared" si="35"/>
        <v>710813</v>
      </c>
      <c r="V30" s="1379">
        <f t="shared" si="36"/>
        <v>46202845</v>
      </c>
      <c r="X30" s="1744"/>
    </row>
    <row r="31" spans="1:30" ht="10.5" outlineLevel="1" x14ac:dyDescent="0.25">
      <c r="A31" s="1366">
        <v>3.08</v>
      </c>
      <c r="B31" s="1370" t="s">
        <v>75</v>
      </c>
      <c r="C31" s="1396" t="s">
        <v>287</v>
      </c>
      <c r="D31" s="1376" t="s">
        <v>108</v>
      </c>
      <c r="E31" s="1368">
        <v>12</v>
      </c>
      <c r="F31" s="1420">
        <v>92072.316554809833</v>
      </c>
      <c r="G31" s="1420"/>
      <c r="H31" s="1750">
        <f t="shared" si="25"/>
        <v>92072.316554809833</v>
      </c>
      <c r="I31" s="1420">
        <v>462949.29028534138</v>
      </c>
      <c r="J31" s="1770">
        <f>+I31*0.2</f>
        <v>92589.858057068283</v>
      </c>
      <c r="K31" s="1750">
        <f t="shared" si="26"/>
        <v>555539.14834240964</v>
      </c>
      <c r="L31" s="1749">
        <f t="shared" si="27"/>
        <v>9714.1719734582912</v>
      </c>
      <c r="M31" s="1750">
        <f t="shared" si="28"/>
        <v>657325.6368706777</v>
      </c>
      <c r="N31" s="1751">
        <f t="shared" si="29"/>
        <v>1104867.7986577181</v>
      </c>
      <c r="O31" s="1751">
        <f t="shared" si="30"/>
        <v>0</v>
      </c>
      <c r="P31" s="1751">
        <f t="shared" si="31"/>
        <v>5555391.4834240964</v>
      </c>
      <c r="Q31" s="1751">
        <f t="shared" si="32"/>
        <v>1111078.2966848193</v>
      </c>
      <c r="R31" s="1751">
        <f t="shared" si="33"/>
        <v>116570.06368149949</v>
      </c>
      <c r="S31" s="1752">
        <f t="shared" si="34"/>
        <v>7887907.6424481329</v>
      </c>
      <c r="T31" s="1753"/>
      <c r="U31" s="1369">
        <f t="shared" si="35"/>
        <v>826182</v>
      </c>
      <c r="V31" s="1379">
        <f t="shared" si="36"/>
        <v>9914184</v>
      </c>
      <c r="X31" s="1744"/>
    </row>
    <row r="32" spans="1:30" ht="10.5" outlineLevel="1" x14ac:dyDescent="0.25">
      <c r="A32" s="1366">
        <v>3.09</v>
      </c>
      <c r="B32" s="1370" t="s">
        <v>75</v>
      </c>
      <c r="C32" s="1396" t="s">
        <v>288</v>
      </c>
      <c r="D32" s="1376" t="s">
        <v>108</v>
      </c>
      <c r="E32" s="1368">
        <v>28</v>
      </c>
      <c r="F32" s="1420">
        <v>70843.445714285714</v>
      </c>
      <c r="G32" s="1420"/>
      <c r="H32" s="1750">
        <f t="shared" si="25"/>
        <v>70843.445714285714</v>
      </c>
      <c r="I32" s="1420">
        <v>307690.19241546135</v>
      </c>
      <c r="J32" s="1420"/>
      <c r="K32" s="1750">
        <f t="shared" si="26"/>
        <v>307690.19241546135</v>
      </c>
      <c r="L32" s="1749">
        <f t="shared" si="27"/>
        <v>5678.0045719462059</v>
      </c>
      <c r="M32" s="1750">
        <f t="shared" si="28"/>
        <v>384211.64270169329</v>
      </c>
      <c r="N32" s="1751">
        <f t="shared" si="29"/>
        <v>1983616.48</v>
      </c>
      <c r="O32" s="1751">
        <f t="shared" si="30"/>
        <v>0</v>
      </c>
      <c r="P32" s="1751">
        <f t="shared" si="31"/>
        <v>8615325.3876329176</v>
      </c>
      <c r="Q32" s="1751">
        <f t="shared" si="32"/>
        <v>0</v>
      </c>
      <c r="R32" s="1751">
        <f t="shared" si="33"/>
        <v>158984.12801449376</v>
      </c>
      <c r="S32" s="1752">
        <f t="shared" si="34"/>
        <v>10757925.995647412</v>
      </c>
      <c r="T32" s="1753"/>
      <c r="U32" s="1369">
        <f t="shared" si="35"/>
        <v>482909</v>
      </c>
      <c r="V32" s="1379">
        <f t="shared" si="36"/>
        <v>13521452</v>
      </c>
      <c r="X32" s="1744"/>
    </row>
    <row r="33" spans="1:28" ht="10.5" outlineLevel="1" x14ac:dyDescent="0.25">
      <c r="A33" s="1366">
        <v>3.1</v>
      </c>
      <c r="B33" s="1370" t="s">
        <v>75</v>
      </c>
      <c r="C33" s="1396" t="s">
        <v>289</v>
      </c>
      <c r="D33" s="1376" t="s">
        <v>108</v>
      </c>
      <c r="E33" s="1368">
        <v>54</v>
      </c>
      <c r="F33" s="1420">
        <v>60951.378715244486</v>
      </c>
      <c r="G33" s="1420"/>
      <c r="H33" s="1750">
        <f t="shared" si="25"/>
        <v>60951.378715244486</v>
      </c>
      <c r="I33" s="1420">
        <v>273658.44999334484</v>
      </c>
      <c r="J33" s="1420"/>
      <c r="K33" s="1750">
        <f t="shared" si="26"/>
        <v>273658.44999334484</v>
      </c>
      <c r="L33" s="1749">
        <f t="shared" si="27"/>
        <v>5019.1474306288392</v>
      </c>
      <c r="M33" s="1750">
        <f t="shared" si="28"/>
        <v>339628.97613921814</v>
      </c>
      <c r="N33" s="1751">
        <f t="shared" si="29"/>
        <v>3291374.4506232021</v>
      </c>
      <c r="O33" s="1751">
        <f t="shared" si="30"/>
        <v>0</v>
      </c>
      <c r="P33" s="1751">
        <f t="shared" si="31"/>
        <v>14777556.299640622</v>
      </c>
      <c r="Q33" s="1751">
        <f t="shared" si="32"/>
        <v>0</v>
      </c>
      <c r="R33" s="1751">
        <f t="shared" si="33"/>
        <v>271033.9612539573</v>
      </c>
      <c r="S33" s="1752">
        <f t="shared" si="34"/>
        <v>18339964.711517781</v>
      </c>
      <c r="T33" s="1753"/>
      <c r="U33" s="1369">
        <f t="shared" si="35"/>
        <v>426874</v>
      </c>
      <c r="V33" s="1379">
        <f t="shared" si="36"/>
        <v>23051196</v>
      </c>
      <c r="X33" s="1744"/>
    </row>
    <row r="34" spans="1:28" ht="10.5" outlineLevel="1" x14ac:dyDescent="0.25">
      <c r="A34" s="1366">
        <v>3.11</v>
      </c>
      <c r="B34" s="1370" t="s">
        <v>75</v>
      </c>
      <c r="C34" s="1396" t="s">
        <v>290</v>
      </c>
      <c r="D34" s="1376" t="s">
        <v>108</v>
      </c>
      <c r="E34" s="1368">
        <v>11</v>
      </c>
      <c r="F34" s="1420">
        <v>68185.041030872468</v>
      </c>
      <c r="G34" s="1420"/>
      <c r="H34" s="1750">
        <f t="shared" si="25"/>
        <v>68185.041030872468</v>
      </c>
      <c r="I34" s="1420">
        <v>283180.31554461533</v>
      </c>
      <c r="J34" s="1420"/>
      <c r="K34" s="1750">
        <f t="shared" si="26"/>
        <v>283180.31554461533</v>
      </c>
      <c r="L34" s="1749">
        <f t="shared" si="27"/>
        <v>5270.4803486323162</v>
      </c>
      <c r="M34" s="1750">
        <f t="shared" si="28"/>
        <v>356635.83692412009</v>
      </c>
      <c r="N34" s="1751">
        <f t="shared" si="29"/>
        <v>750035.45133959712</v>
      </c>
      <c r="O34" s="1751">
        <f t="shared" si="30"/>
        <v>0</v>
      </c>
      <c r="P34" s="1751">
        <f t="shared" si="31"/>
        <v>3114983.4709907686</v>
      </c>
      <c r="Q34" s="1751">
        <f t="shared" si="32"/>
        <v>0</v>
      </c>
      <c r="R34" s="1751">
        <f t="shared" si="33"/>
        <v>57975.28383495548</v>
      </c>
      <c r="S34" s="1752">
        <f t="shared" si="34"/>
        <v>3922994.2061653212</v>
      </c>
      <c r="T34" s="1753"/>
      <c r="U34" s="1369">
        <f t="shared" si="35"/>
        <v>448250</v>
      </c>
      <c r="V34" s="1379">
        <f t="shared" si="36"/>
        <v>4930750</v>
      </c>
      <c r="X34" s="1744"/>
    </row>
    <row r="35" spans="1:28" ht="10.5" outlineLevel="1" x14ac:dyDescent="0.25">
      <c r="A35" s="1366">
        <v>3.12</v>
      </c>
      <c r="B35" s="1370" t="s">
        <v>75</v>
      </c>
      <c r="C35" s="1396" t="s">
        <v>291</v>
      </c>
      <c r="D35" s="1376" t="s">
        <v>108</v>
      </c>
      <c r="E35" s="1368">
        <v>3</v>
      </c>
      <c r="F35" s="1420">
        <v>70843.445714285714</v>
      </c>
      <c r="G35" s="1420"/>
      <c r="H35" s="1750">
        <f t="shared" si="25"/>
        <v>70843.445714285714</v>
      </c>
      <c r="I35" s="1420">
        <v>307690.19241546135</v>
      </c>
      <c r="J35" s="1420"/>
      <c r="K35" s="1750">
        <f t="shared" si="26"/>
        <v>307690.19241546135</v>
      </c>
      <c r="L35" s="1749">
        <f t="shared" si="27"/>
        <v>5678.0045719462059</v>
      </c>
      <c r="M35" s="1750">
        <f t="shared" si="28"/>
        <v>384211.64270169329</v>
      </c>
      <c r="N35" s="1751">
        <f t="shared" si="29"/>
        <v>212530.33714285714</v>
      </c>
      <c r="O35" s="1751">
        <f t="shared" si="30"/>
        <v>0</v>
      </c>
      <c r="P35" s="1751">
        <f t="shared" si="31"/>
        <v>923070.577246384</v>
      </c>
      <c r="Q35" s="1751">
        <f t="shared" si="32"/>
        <v>0</v>
      </c>
      <c r="R35" s="1751">
        <f t="shared" si="33"/>
        <v>17034.013715838617</v>
      </c>
      <c r="S35" s="1752">
        <f t="shared" si="34"/>
        <v>1152634.9281050796</v>
      </c>
      <c r="T35" s="1753"/>
      <c r="U35" s="1369">
        <f t="shared" si="35"/>
        <v>482909</v>
      </c>
      <c r="V35" s="1379">
        <f t="shared" si="36"/>
        <v>1448727</v>
      </c>
      <c r="X35" s="1744"/>
    </row>
    <row r="36" spans="1:28" ht="10.5" outlineLevel="1" x14ac:dyDescent="0.25">
      <c r="A36" s="1366">
        <v>3.13</v>
      </c>
      <c r="B36" s="1370" t="s">
        <v>75</v>
      </c>
      <c r="C36" s="1396" t="s">
        <v>955</v>
      </c>
      <c r="D36" s="1376" t="s">
        <v>124</v>
      </c>
      <c r="E36" s="1368">
        <v>240</v>
      </c>
      <c r="F36" s="1420">
        <v>24772.727272727276</v>
      </c>
      <c r="G36" s="1420"/>
      <c r="H36" s="1750">
        <f t="shared" si="25"/>
        <v>24772.727272727276</v>
      </c>
      <c r="I36" s="1420"/>
      <c r="J36" s="1420"/>
      <c r="K36" s="1750">
        <f t="shared" si="26"/>
        <v>0</v>
      </c>
      <c r="L36" s="1749"/>
      <c r="M36" s="1750">
        <f t="shared" si="28"/>
        <v>24772.727272727276</v>
      </c>
      <c r="N36" s="1751">
        <f t="shared" si="29"/>
        <v>5945454.5454545459</v>
      </c>
      <c r="O36" s="1751">
        <f t="shared" si="30"/>
        <v>0</v>
      </c>
      <c r="P36" s="1751">
        <f t="shared" si="31"/>
        <v>0</v>
      </c>
      <c r="Q36" s="1751">
        <f t="shared" si="32"/>
        <v>0</v>
      </c>
      <c r="R36" s="1751">
        <f t="shared" si="33"/>
        <v>0</v>
      </c>
      <c r="S36" s="1752">
        <f t="shared" si="34"/>
        <v>5945454.5454545459</v>
      </c>
      <c r="T36" s="1753"/>
      <c r="U36" s="1369">
        <f t="shared" si="35"/>
        <v>31137</v>
      </c>
      <c r="V36" s="1369">
        <f t="shared" si="36"/>
        <v>7472880</v>
      </c>
      <c r="X36" s="1744"/>
    </row>
    <row r="37" spans="1:28" ht="10.5" outlineLevel="1" x14ac:dyDescent="0.25">
      <c r="A37" s="1366">
        <v>3.14</v>
      </c>
      <c r="B37" s="1370" t="s">
        <v>75</v>
      </c>
      <c r="C37" s="1380" t="s">
        <v>112</v>
      </c>
      <c r="D37" s="1376" t="s">
        <v>107</v>
      </c>
      <c r="E37" s="1377">
        <v>1</v>
      </c>
      <c r="F37" s="1771"/>
      <c r="G37" s="1420"/>
      <c r="H37" s="1750">
        <f t="shared" si="25"/>
        <v>0</v>
      </c>
      <c r="I37" s="1772"/>
      <c r="J37" s="1420"/>
      <c r="K37" s="1750">
        <f t="shared" si="26"/>
        <v>0</v>
      </c>
      <c r="L37" s="1420">
        <v>8822750</v>
      </c>
      <c r="M37" s="1750">
        <f t="shared" si="28"/>
        <v>8822750</v>
      </c>
      <c r="N37" s="1751">
        <f t="shared" si="29"/>
        <v>0</v>
      </c>
      <c r="O37" s="1751">
        <f t="shared" si="30"/>
        <v>0</v>
      </c>
      <c r="P37" s="1751">
        <f t="shared" si="31"/>
        <v>0</v>
      </c>
      <c r="Q37" s="1751">
        <f t="shared" si="32"/>
        <v>0</v>
      </c>
      <c r="R37" s="1751">
        <f t="shared" si="33"/>
        <v>8822750</v>
      </c>
      <c r="S37" s="1752">
        <f t="shared" si="34"/>
        <v>8822750</v>
      </c>
      <c r="T37" s="1753"/>
      <c r="U37" s="1369">
        <f t="shared" si="35"/>
        <v>11089161</v>
      </c>
      <c r="V37" s="1369">
        <f t="shared" si="36"/>
        <v>11089161</v>
      </c>
      <c r="X37" s="1744"/>
    </row>
    <row r="38" spans="1:28" ht="10.5" outlineLevel="1" x14ac:dyDescent="0.25">
      <c r="A38" s="1366">
        <v>3.15</v>
      </c>
      <c r="B38" s="1370" t="s">
        <v>75</v>
      </c>
      <c r="C38" s="1380" t="s">
        <v>198</v>
      </c>
      <c r="D38" s="1376" t="s">
        <v>111</v>
      </c>
      <c r="E38" s="1377">
        <v>14</v>
      </c>
      <c r="F38" s="1420">
        <v>123492.85714285714</v>
      </c>
      <c r="G38" s="1377"/>
      <c r="H38" s="1750">
        <f t="shared" si="25"/>
        <v>123492.85714285714</v>
      </c>
      <c r="I38" s="1772"/>
      <c r="J38" s="1377"/>
      <c r="K38" s="1750">
        <f t="shared" si="26"/>
        <v>0</v>
      </c>
      <c r="L38" s="1749"/>
      <c r="M38" s="1750">
        <f t="shared" si="28"/>
        <v>123492.85714285714</v>
      </c>
      <c r="N38" s="1751">
        <f t="shared" si="29"/>
        <v>1728900</v>
      </c>
      <c r="O38" s="1751">
        <f t="shared" si="30"/>
        <v>0</v>
      </c>
      <c r="P38" s="1751">
        <f t="shared" si="31"/>
        <v>0</v>
      </c>
      <c r="Q38" s="1751">
        <f t="shared" si="32"/>
        <v>0</v>
      </c>
      <c r="R38" s="1751">
        <f t="shared" si="33"/>
        <v>0</v>
      </c>
      <c r="S38" s="1752">
        <f t="shared" si="34"/>
        <v>1728900</v>
      </c>
      <c r="T38" s="1753"/>
      <c r="U38" s="1369">
        <f t="shared" si="35"/>
        <v>155217</v>
      </c>
      <c r="V38" s="1369">
        <f t="shared" si="36"/>
        <v>2173038</v>
      </c>
      <c r="X38" s="1744"/>
    </row>
    <row r="39" spans="1:28" ht="10.5" outlineLevel="1" x14ac:dyDescent="0.25">
      <c r="A39" s="1366">
        <v>3.16</v>
      </c>
      <c r="B39" s="1381" t="s">
        <v>75</v>
      </c>
      <c r="C39" s="1382" t="s">
        <v>293</v>
      </c>
      <c r="D39" s="1383" t="s">
        <v>107</v>
      </c>
      <c r="E39" s="1384">
        <v>4</v>
      </c>
      <c r="F39" s="1420">
        <v>55000</v>
      </c>
      <c r="G39" s="1377"/>
      <c r="H39" s="1750">
        <f t="shared" si="25"/>
        <v>55000</v>
      </c>
      <c r="I39" s="1772"/>
      <c r="J39" s="1377"/>
      <c r="K39" s="1750">
        <f t="shared" si="26"/>
        <v>0</v>
      </c>
      <c r="L39" s="1749"/>
      <c r="M39" s="1750">
        <f t="shared" si="28"/>
        <v>55000</v>
      </c>
      <c r="N39" s="1751">
        <f t="shared" si="29"/>
        <v>220000</v>
      </c>
      <c r="O39" s="1751">
        <f t="shared" si="30"/>
        <v>0</v>
      </c>
      <c r="P39" s="1751">
        <f t="shared" si="31"/>
        <v>0</v>
      </c>
      <c r="Q39" s="1751">
        <f t="shared" si="32"/>
        <v>0</v>
      </c>
      <c r="R39" s="1751">
        <f t="shared" si="33"/>
        <v>0</v>
      </c>
      <c r="S39" s="1752">
        <f t="shared" si="34"/>
        <v>220000</v>
      </c>
      <c r="T39" s="1753"/>
      <c r="U39" s="1369">
        <f t="shared" si="35"/>
        <v>69129</v>
      </c>
      <c r="V39" s="1369">
        <f t="shared" si="36"/>
        <v>276516</v>
      </c>
      <c r="X39" s="1744"/>
    </row>
    <row r="40" spans="1:28" ht="10.5" outlineLevel="1" x14ac:dyDescent="0.25">
      <c r="A40" s="1366">
        <v>3.17</v>
      </c>
      <c r="B40" s="1372" t="s">
        <v>75</v>
      </c>
      <c r="C40" s="1756" t="s">
        <v>956</v>
      </c>
      <c r="D40" s="1373" t="s">
        <v>109</v>
      </c>
      <c r="E40" s="1385">
        <v>93</v>
      </c>
      <c r="F40" s="1760">
        <v>3440.8602150537636</v>
      </c>
      <c r="G40" s="1760">
        <v>1612.9032258064517</v>
      </c>
      <c r="H40" s="1758">
        <f t="shared" si="25"/>
        <v>5053.7634408602153</v>
      </c>
      <c r="I40" s="1760">
        <v>0</v>
      </c>
      <c r="J40" s="1760">
        <v>14213.22346320137</v>
      </c>
      <c r="K40" s="1758">
        <f t="shared" si="26"/>
        <v>14213.22346320137</v>
      </c>
      <c r="L40" s="1760">
        <f>+(H40+K40)*0.015</f>
        <v>289.00480356092379</v>
      </c>
      <c r="M40" s="1750">
        <f t="shared" si="28"/>
        <v>19555.99170762251</v>
      </c>
      <c r="N40" s="1751">
        <f t="shared" si="29"/>
        <v>320000</v>
      </c>
      <c r="O40" s="1751">
        <f t="shared" si="30"/>
        <v>150000</v>
      </c>
      <c r="P40" s="1751">
        <f t="shared" si="31"/>
        <v>0</v>
      </c>
      <c r="Q40" s="1751">
        <f t="shared" si="32"/>
        <v>1321829.7820777274</v>
      </c>
      <c r="R40" s="1751">
        <f t="shared" si="33"/>
        <v>26877.446731165914</v>
      </c>
      <c r="S40" s="1752">
        <f t="shared" si="34"/>
        <v>1818707.2288088934</v>
      </c>
      <c r="T40" s="1753"/>
      <c r="U40" s="1369">
        <f t="shared" si="35"/>
        <v>24580</v>
      </c>
      <c r="V40" s="1369">
        <f t="shared" si="36"/>
        <v>2285940</v>
      </c>
      <c r="X40" s="1744"/>
    </row>
    <row r="41" spans="1:28" ht="10.5" x14ac:dyDescent="0.25">
      <c r="A41" s="1360">
        <v>4</v>
      </c>
      <c r="B41" s="1361"/>
      <c r="C41" s="1411" t="s">
        <v>125</v>
      </c>
      <c r="D41" s="1741"/>
      <c r="E41" s="1742"/>
      <c r="F41" s="1742"/>
      <c r="G41" s="1742"/>
      <c r="H41" s="1742"/>
      <c r="I41" s="1742"/>
      <c r="J41" s="1742"/>
      <c r="K41" s="1742"/>
      <c r="L41" s="1742"/>
      <c r="M41" s="1743"/>
      <c r="N41" s="1742"/>
      <c r="O41" s="1742"/>
      <c r="P41" s="1742"/>
      <c r="Q41" s="1742"/>
      <c r="R41" s="1742"/>
      <c r="S41" s="1742"/>
      <c r="T41" s="1456">
        <f>SUM(S42:S49)</f>
        <v>43203971.232858703</v>
      </c>
      <c r="U41" s="1742"/>
      <c r="V41" s="1742"/>
      <c r="W41" s="1355">
        <f>SUM(V42:V49)</f>
        <v>54302889.68</v>
      </c>
      <c r="X41" s="1744">
        <f>+W41/$W$216</f>
        <v>4.8166362281562521E-2</v>
      </c>
      <c r="Y41" s="1711">
        <f>+W41</f>
        <v>54302889.68</v>
      </c>
    </row>
    <row r="42" spans="1:28" s="1776" customFormat="1" ht="10.5" outlineLevel="1" x14ac:dyDescent="0.25">
      <c r="A42" s="1362">
        <v>4.01</v>
      </c>
      <c r="B42" s="1386" t="s">
        <v>75</v>
      </c>
      <c r="C42" s="1745" t="s">
        <v>302</v>
      </c>
      <c r="D42" s="1387" t="s">
        <v>109</v>
      </c>
      <c r="E42" s="1388">
        <v>819</v>
      </c>
      <c r="F42" s="1773"/>
      <c r="G42" s="1773">
        <v>6545.2009385010006</v>
      </c>
      <c r="H42" s="1746">
        <f t="shared" ref="H42:H49" si="37">F42+G42</f>
        <v>6545.2009385010006</v>
      </c>
      <c r="I42" s="1774"/>
      <c r="J42" s="1773">
        <v>8336.4856968762633</v>
      </c>
      <c r="K42" s="1746">
        <f t="shared" ref="K42" si="38">I42+J42</f>
        <v>8336.4856968762633</v>
      </c>
      <c r="L42" s="1773">
        <v>229.16796425864814</v>
      </c>
      <c r="M42" s="1746">
        <f>H42+K42+L42</f>
        <v>15110.854599635912</v>
      </c>
      <c r="N42" s="1747">
        <f t="shared" ref="N42:N68" si="39">F42*E42</f>
        <v>0</v>
      </c>
      <c r="O42" s="1747">
        <f t="shared" ref="O42" si="40">G42*E42</f>
        <v>5360519.5686323196</v>
      </c>
      <c r="P42" s="1747">
        <f t="shared" ref="P42:P68" si="41">I42*E42</f>
        <v>0</v>
      </c>
      <c r="Q42" s="1747">
        <f t="shared" ref="Q42:Q68" si="42">J42*E42</f>
        <v>6827581.7857416598</v>
      </c>
      <c r="R42" s="1747">
        <f t="shared" ref="R42:R68" si="43">+L42*E42</f>
        <v>187688.56272783282</v>
      </c>
      <c r="S42" s="1748">
        <f t="shared" ref="S42:S61" si="44">SUM(N42:R42)</f>
        <v>12375789.917101813</v>
      </c>
      <c r="T42" s="1465"/>
      <c r="U42" s="1365">
        <f t="shared" ref="U42:U49" si="45">+ROUNDUP(M42*$T$5,0)</f>
        <v>18993</v>
      </c>
      <c r="V42" s="1365">
        <f t="shared" ref="V42:V49" si="46">+U42*E42</f>
        <v>15555267</v>
      </c>
      <c r="W42" s="1389"/>
      <c r="X42" s="1744"/>
      <c r="Y42" s="1775"/>
      <c r="AB42" s="1775"/>
    </row>
    <row r="43" spans="1:28" s="1776" customFormat="1" ht="10.5" outlineLevel="1" x14ac:dyDescent="0.25">
      <c r="A43" s="1366">
        <v>4.0199999999999996</v>
      </c>
      <c r="B43" s="1370" t="s">
        <v>75</v>
      </c>
      <c r="C43" s="1777" t="s">
        <v>303</v>
      </c>
      <c r="D43" s="1376" t="s">
        <v>109</v>
      </c>
      <c r="E43" s="1377">
        <v>612</v>
      </c>
      <c r="F43" s="1778"/>
      <c r="G43" s="1778">
        <v>11461.565498830503</v>
      </c>
      <c r="H43" s="1750">
        <f t="shared" si="37"/>
        <v>11461.565498830503</v>
      </c>
      <c r="I43" s="1779"/>
      <c r="J43" s="1778">
        <v>8336.4856968762633</v>
      </c>
      <c r="K43" s="1750">
        <f>I43+J43</f>
        <v>8336.4856968762633</v>
      </c>
      <c r="L43" s="1778">
        <v>229.16796425864814</v>
      </c>
      <c r="M43" s="1750">
        <f>H43+K43+L43</f>
        <v>20027.219159965414</v>
      </c>
      <c r="N43" s="1751">
        <f>F43*E43</f>
        <v>0</v>
      </c>
      <c r="O43" s="1751">
        <f>G43*E43</f>
        <v>7014478.0852842676</v>
      </c>
      <c r="P43" s="1751">
        <f>I43*E43</f>
        <v>0</v>
      </c>
      <c r="Q43" s="1751">
        <f>J43*E43</f>
        <v>5101929.2464882731</v>
      </c>
      <c r="R43" s="1751">
        <f>+L43*E43</f>
        <v>140250.79412629266</v>
      </c>
      <c r="S43" s="1752">
        <f>SUM(N43:R43)</f>
        <v>12256658.125898832</v>
      </c>
      <c r="T43" s="1465"/>
      <c r="U43" s="1390">
        <f>+ROUNDUP(M43*$T$5,0)</f>
        <v>25172</v>
      </c>
      <c r="V43" s="1369">
        <f>+U43*E43</f>
        <v>15405264</v>
      </c>
      <c r="W43" s="1389"/>
      <c r="X43" s="1744"/>
      <c r="Y43" s="1775"/>
      <c r="AB43" s="1775"/>
    </row>
    <row r="44" spans="1:28" s="1776" customFormat="1" ht="10.5" outlineLevel="1" x14ac:dyDescent="0.25">
      <c r="A44" s="1366">
        <v>4.03</v>
      </c>
      <c r="B44" s="1370" t="s">
        <v>75</v>
      </c>
      <c r="C44" s="1396" t="s">
        <v>304</v>
      </c>
      <c r="D44" s="1376" t="s">
        <v>109</v>
      </c>
      <c r="E44" s="1377">
        <v>636</v>
      </c>
      <c r="F44" s="1778"/>
      <c r="G44" s="1778">
        <v>8229.0499349999991</v>
      </c>
      <c r="H44" s="1750">
        <f t="shared" si="37"/>
        <v>8229.0499349999991</v>
      </c>
      <c r="I44" s="1779"/>
      <c r="J44" s="1778">
        <v>8336.4856968762633</v>
      </c>
      <c r="K44" s="1750">
        <f>I44+J44</f>
        <v>8336.4856968762633</v>
      </c>
      <c r="L44" s="1778">
        <v>229.16796425864814</v>
      </c>
      <c r="M44" s="1750">
        <f>H44+K44+L44</f>
        <v>16794.703596134914</v>
      </c>
      <c r="N44" s="1751">
        <f>F44*E44</f>
        <v>0</v>
      </c>
      <c r="O44" s="1751">
        <f>G44*E44</f>
        <v>5233675.7586599998</v>
      </c>
      <c r="P44" s="1751">
        <f>I44*E44</f>
        <v>0</v>
      </c>
      <c r="Q44" s="1751">
        <f>J44*E44</f>
        <v>5302004.9032133035</v>
      </c>
      <c r="R44" s="1751">
        <f>+L44*E44</f>
        <v>145750.82526850022</v>
      </c>
      <c r="S44" s="1752">
        <f>SUM(N44:R44)</f>
        <v>10681431.487141803</v>
      </c>
      <c r="T44" s="1465"/>
      <c r="U44" s="1390">
        <f t="shared" si="45"/>
        <v>21109</v>
      </c>
      <c r="V44" s="1369">
        <f t="shared" si="46"/>
        <v>13425324</v>
      </c>
      <c r="W44" s="1389"/>
      <c r="X44" s="1744"/>
      <c r="Y44" s="1775"/>
      <c r="AB44" s="1775"/>
    </row>
    <row r="45" spans="1:28" s="1776" customFormat="1" ht="10.5" outlineLevel="1" x14ac:dyDescent="0.25">
      <c r="A45" s="1366">
        <v>4.04</v>
      </c>
      <c r="B45" s="1370" t="s">
        <v>75</v>
      </c>
      <c r="C45" s="1396" t="s">
        <v>957</v>
      </c>
      <c r="D45" s="1376" t="s">
        <v>109</v>
      </c>
      <c r="E45" s="1377">
        <v>195</v>
      </c>
      <c r="F45" s="1779"/>
      <c r="G45" s="1780">
        <v>5807.1589693347496</v>
      </c>
      <c r="H45" s="1750">
        <f t="shared" si="37"/>
        <v>5807.1589693347496</v>
      </c>
      <c r="I45" s="1778"/>
      <c r="J45" s="1780">
        <v>5954.6326406259022</v>
      </c>
      <c r="K45" s="1750">
        <f>I45+J45</f>
        <v>5954.6326406259022</v>
      </c>
      <c r="L45" s="1780">
        <v>245.5371045628373</v>
      </c>
      <c r="M45" s="1750">
        <f t="shared" ref="M45:M49" si="47">H45+K45+L45</f>
        <v>12007.32871452349</v>
      </c>
      <c r="N45" s="1751">
        <f t="shared" ref="N45:N49" si="48">F45*E45</f>
        <v>0</v>
      </c>
      <c r="O45" s="1751">
        <f t="shared" ref="O45:O49" si="49">G45*E45</f>
        <v>1132395.9990202761</v>
      </c>
      <c r="P45" s="1751">
        <f t="shared" ref="P45:P49" si="50">I45*E45</f>
        <v>0</v>
      </c>
      <c r="Q45" s="1751">
        <f t="shared" ref="Q45:Q49" si="51">J45*E45</f>
        <v>1161153.3649220509</v>
      </c>
      <c r="R45" s="1751">
        <f t="shared" ref="R45:R49" si="52">+L45*E45</f>
        <v>47879.735389753274</v>
      </c>
      <c r="S45" s="1752">
        <f t="shared" ref="S45:S49" si="53">SUM(N45:R45)</f>
        <v>2341429.0993320802</v>
      </c>
      <c r="T45" s="1465"/>
      <c r="U45" s="1390">
        <f t="shared" si="45"/>
        <v>15092</v>
      </c>
      <c r="V45" s="1369">
        <f t="shared" si="46"/>
        <v>2942940</v>
      </c>
      <c r="W45" s="1389"/>
      <c r="X45" s="1744"/>
      <c r="Y45" s="1775"/>
      <c r="AB45" s="1775"/>
    </row>
    <row r="46" spans="1:28" s="1776" customFormat="1" ht="10.5" outlineLevel="1" x14ac:dyDescent="0.25">
      <c r="A46" s="1366">
        <v>4.05</v>
      </c>
      <c r="B46" s="1370" t="s">
        <v>79</v>
      </c>
      <c r="C46" s="1396" t="s">
        <v>305</v>
      </c>
      <c r="D46" s="1376" t="s">
        <v>109</v>
      </c>
      <c r="E46" s="1377">
        <v>30.053999999999998</v>
      </c>
      <c r="F46" s="1780">
        <f>+G46*0.5</f>
        <v>5807.1589693347496</v>
      </c>
      <c r="G46" s="1778">
        <v>11614.317938669499</v>
      </c>
      <c r="H46" s="1750">
        <f t="shared" si="37"/>
        <v>17421.47690800425</v>
      </c>
      <c r="I46" s="1780">
        <f>+J46</f>
        <v>17863.897921877706</v>
      </c>
      <c r="J46" s="1778">
        <v>17863.897921877706</v>
      </c>
      <c r="K46" s="1750">
        <f>I46+J46</f>
        <v>35727.795843755412</v>
      </c>
      <c r="L46" s="1778">
        <v>491.0742091256746</v>
      </c>
      <c r="M46" s="1750">
        <f t="shared" si="47"/>
        <v>53640.346960885341</v>
      </c>
      <c r="N46" s="1751">
        <f t="shared" si="48"/>
        <v>174528.35566438656</v>
      </c>
      <c r="O46" s="1751">
        <f t="shared" si="49"/>
        <v>349056.71132877312</v>
      </c>
      <c r="P46" s="1751">
        <f t="shared" si="50"/>
        <v>536881.58814411249</v>
      </c>
      <c r="Q46" s="1751">
        <f t="shared" si="51"/>
        <v>536881.58814411249</v>
      </c>
      <c r="R46" s="1751">
        <f t="shared" si="52"/>
        <v>14758.744281063024</v>
      </c>
      <c r="S46" s="1752">
        <f t="shared" si="53"/>
        <v>1612106.9875624476</v>
      </c>
      <c r="T46" s="1465"/>
      <c r="U46" s="1390">
        <f t="shared" si="45"/>
        <v>67420</v>
      </c>
      <c r="V46" s="1369">
        <f t="shared" si="46"/>
        <v>2026240.68</v>
      </c>
      <c r="W46" s="1389"/>
      <c r="X46" s="1744"/>
      <c r="Y46" s="1775"/>
      <c r="AB46" s="1775"/>
    </row>
    <row r="47" spans="1:28" s="1776" customFormat="1" ht="10.5" outlineLevel="1" x14ac:dyDescent="0.25">
      <c r="A47" s="1366">
        <v>4.0599999999999996</v>
      </c>
      <c r="B47" s="1370" t="s">
        <v>79</v>
      </c>
      <c r="C47" s="1396" t="s">
        <v>306</v>
      </c>
      <c r="D47" s="1376" t="s">
        <v>109</v>
      </c>
      <c r="E47" s="1377">
        <v>24</v>
      </c>
      <c r="F47" s="1780">
        <f>+G47</f>
        <v>14352.049965449041</v>
      </c>
      <c r="G47" s="1778">
        <v>14352.049965449041</v>
      </c>
      <c r="H47" s="1750">
        <f t="shared" si="37"/>
        <v>28704.099930898083</v>
      </c>
      <c r="I47" s="1780">
        <f>+J47*0.5</f>
        <v>4894.0750498478674</v>
      </c>
      <c r="J47" s="1778">
        <v>9788.1500996957348</v>
      </c>
      <c r="K47" s="1750">
        <f>I47+J47</f>
        <v>14682.225149543603</v>
      </c>
      <c r="L47" s="1778">
        <v>298.91473598954104</v>
      </c>
      <c r="M47" s="1750">
        <f t="shared" si="47"/>
        <v>43685.239816431233</v>
      </c>
      <c r="N47" s="1751">
        <f t="shared" si="48"/>
        <v>344449.19917077699</v>
      </c>
      <c r="O47" s="1751">
        <f t="shared" si="49"/>
        <v>344449.19917077699</v>
      </c>
      <c r="P47" s="1751">
        <f t="shared" si="50"/>
        <v>117457.80119634882</v>
      </c>
      <c r="Q47" s="1751">
        <f t="shared" si="51"/>
        <v>234915.60239269765</v>
      </c>
      <c r="R47" s="1751">
        <f t="shared" si="52"/>
        <v>7173.9536637489855</v>
      </c>
      <c r="S47" s="1752">
        <f t="shared" si="53"/>
        <v>1048445.7555943496</v>
      </c>
      <c r="T47" s="1465"/>
      <c r="U47" s="1390">
        <f t="shared" si="45"/>
        <v>54908</v>
      </c>
      <c r="V47" s="1369">
        <f t="shared" si="46"/>
        <v>1317792</v>
      </c>
      <c r="W47" s="1389"/>
      <c r="X47" s="1744"/>
      <c r="Y47" s="1775"/>
      <c r="AB47" s="1775"/>
    </row>
    <row r="48" spans="1:28" s="1776" customFormat="1" ht="10.5" outlineLevel="1" x14ac:dyDescent="0.25">
      <c r="A48" s="1366">
        <v>4.07</v>
      </c>
      <c r="B48" s="1370" t="s">
        <v>79</v>
      </c>
      <c r="C48" s="1396" t="s">
        <v>307</v>
      </c>
      <c r="D48" s="1376" t="s">
        <v>124</v>
      </c>
      <c r="E48" s="1377">
        <f>9*9</f>
        <v>81</v>
      </c>
      <c r="F48" s="1749">
        <v>17364.127814814812</v>
      </c>
      <c r="G48" s="1749">
        <v>0</v>
      </c>
      <c r="H48" s="1750">
        <f t="shared" si="37"/>
        <v>17364.127814814812</v>
      </c>
      <c r="I48" s="1749">
        <v>0</v>
      </c>
      <c r="J48" s="1749">
        <v>6926.4989701940704</v>
      </c>
      <c r="K48" s="1750">
        <f t="shared" ref="K48:K49" si="54">I48+J48</f>
        <v>6926.4989701940704</v>
      </c>
      <c r="L48" s="1749">
        <f>+(H48+K48)*0.015</f>
        <v>364.35940177513328</v>
      </c>
      <c r="M48" s="1750">
        <f t="shared" si="47"/>
        <v>24654.986186784019</v>
      </c>
      <c r="N48" s="1751">
        <f t="shared" si="48"/>
        <v>1406494.3529999999</v>
      </c>
      <c r="O48" s="1751">
        <f t="shared" si="49"/>
        <v>0</v>
      </c>
      <c r="P48" s="1751">
        <f t="shared" si="50"/>
        <v>0</v>
      </c>
      <c r="Q48" s="1751">
        <f t="shared" si="51"/>
        <v>561046.41658571968</v>
      </c>
      <c r="R48" s="1751">
        <f t="shared" si="52"/>
        <v>29513.111543785795</v>
      </c>
      <c r="S48" s="1752">
        <f t="shared" si="53"/>
        <v>1997053.8811295053</v>
      </c>
      <c r="T48" s="1465"/>
      <c r="U48" s="1390">
        <f t="shared" si="45"/>
        <v>30989</v>
      </c>
      <c r="V48" s="1369">
        <f t="shared" si="46"/>
        <v>2510109</v>
      </c>
      <c r="W48" s="1389"/>
      <c r="X48" s="1744"/>
      <c r="Y48" s="1775"/>
      <c r="AB48" s="1775"/>
    </row>
    <row r="49" spans="1:28" s="1776" customFormat="1" ht="10.5" outlineLevel="1" x14ac:dyDescent="0.25">
      <c r="A49" s="1366">
        <v>4.08</v>
      </c>
      <c r="B49" s="1370" t="s">
        <v>79</v>
      </c>
      <c r="C49" s="1396" t="s">
        <v>308</v>
      </c>
      <c r="D49" s="1376" t="s">
        <v>107</v>
      </c>
      <c r="E49" s="1377">
        <v>1</v>
      </c>
      <c r="F49" s="1749">
        <v>451217.9481498308</v>
      </c>
      <c r="G49" s="1749">
        <v>0</v>
      </c>
      <c r="H49" s="1750">
        <f t="shared" si="37"/>
        <v>451217.9481498308</v>
      </c>
      <c r="I49" s="1749">
        <v>0</v>
      </c>
      <c r="J49" s="1749">
        <v>426669.71598600381</v>
      </c>
      <c r="K49" s="1750">
        <f t="shared" si="54"/>
        <v>426669.71598600381</v>
      </c>
      <c r="L49" s="1760">
        <f>+(H49+K49)*0.015</f>
        <v>13168.314962037519</v>
      </c>
      <c r="M49" s="1750">
        <f t="shared" si="47"/>
        <v>891055.97909787216</v>
      </c>
      <c r="N49" s="1751">
        <f t="shared" si="48"/>
        <v>451217.9481498308</v>
      </c>
      <c r="O49" s="1751">
        <f t="shared" si="49"/>
        <v>0</v>
      </c>
      <c r="P49" s="1751">
        <f t="shared" si="50"/>
        <v>0</v>
      </c>
      <c r="Q49" s="1751">
        <f t="shared" si="51"/>
        <v>426669.71598600381</v>
      </c>
      <c r="R49" s="1751">
        <f t="shared" si="52"/>
        <v>13168.314962037519</v>
      </c>
      <c r="S49" s="1752">
        <f t="shared" si="53"/>
        <v>891055.97909787216</v>
      </c>
      <c r="T49" s="1465"/>
      <c r="U49" s="1390">
        <f t="shared" si="45"/>
        <v>1119953</v>
      </c>
      <c r="V49" s="1369">
        <f t="shared" si="46"/>
        <v>1119953</v>
      </c>
      <c r="W49" s="1389"/>
      <c r="X49" s="1744"/>
      <c r="Y49" s="1775"/>
      <c r="AB49" s="1775"/>
    </row>
    <row r="50" spans="1:28" ht="10.5" x14ac:dyDescent="0.25">
      <c r="A50" s="1360">
        <v>5</v>
      </c>
      <c r="B50" s="1361"/>
      <c r="C50" s="1411" t="s">
        <v>121</v>
      </c>
      <c r="D50" s="1741"/>
      <c r="E50" s="1742"/>
      <c r="F50" s="1742"/>
      <c r="G50" s="1742"/>
      <c r="H50" s="1742"/>
      <c r="I50" s="1742"/>
      <c r="J50" s="1742"/>
      <c r="K50" s="1742"/>
      <c r="L50" s="1742"/>
      <c r="M50" s="1742"/>
      <c r="N50" s="1742"/>
      <c r="O50" s="1742"/>
      <c r="P50" s="1742"/>
      <c r="Q50" s="1742"/>
      <c r="R50" s="1742"/>
      <c r="S50" s="1742"/>
      <c r="T50" s="1456">
        <f>SUM(S51:S57)</f>
        <v>28614596.531481914</v>
      </c>
      <c r="U50" s="1742"/>
      <c r="V50" s="1742"/>
      <c r="W50" s="1355">
        <f>SUM(V51:V57)</f>
        <v>35966419</v>
      </c>
      <c r="X50" s="1744">
        <f>+W50/$W$216</f>
        <v>3.1902014381428284E-2</v>
      </c>
      <c r="Y50" s="1711">
        <f>+W50</f>
        <v>35966419</v>
      </c>
    </row>
    <row r="51" spans="1:28" s="1776" customFormat="1" ht="10.5" outlineLevel="1" x14ac:dyDescent="0.25">
      <c r="A51" s="1366">
        <v>5.01</v>
      </c>
      <c r="B51" s="1370" t="s">
        <v>75</v>
      </c>
      <c r="C51" s="1396" t="s">
        <v>958</v>
      </c>
      <c r="D51" s="1376" t="s">
        <v>109</v>
      </c>
      <c r="E51" s="1377">
        <v>139.05000000000001</v>
      </c>
      <c r="F51" s="1749"/>
      <c r="G51" s="1778">
        <v>9809.5604040679573</v>
      </c>
      <c r="H51" s="1750">
        <f>F51+G51</f>
        <v>9809.5604040679573</v>
      </c>
      <c r="I51" s="1780">
        <f>+J51*0.5</f>
        <v>2500.9457090628789</v>
      </c>
      <c r="J51" s="1778">
        <v>5001.8914181257578</v>
      </c>
      <c r="K51" s="1750">
        <f t="shared" ref="K51:K57" si="55">I51+J51</f>
        <v>7502.8371271886372</v>
      </c>
      <c r="L51" s="1778">
        <v>31.337344543287259</v>
      </c>
      <c r="M51" s="1750">
        <f>H51+K51+L51</f>
        <v>17343.734875799884</v>
      </c>
      <c r="N51" s="1751">
        <f t="shared" si="39"/>
        <v>0</v>
      </c>
      <c r="O51" s="1751">
        <f>G51*E51</f>
        <v>1364019.3741856497</v>
      </c>
      <c r="P51" s="1751">
        <f t="shared" si="41"/>
        <v>347756.50084519334</v>
      </c>
      <c r="Q51" s="1751">
        <f t="shared" si="42"/>
        <v>695513.00169038668</v>
      </c>
      <c r="R51" s="1751">
        <f t="shared" si="43"/>
        <v>4357.4577587440936</v>
      </c>
      <c r="S51" s="1752">
        <f t="shared" si="44"/>
        <v>2411646.3344799741</v>
      </c>
      <c r="T51" s="1753"/>
      <c r="U51" s="1391">
        <f>+ROUNDUP(M51*$T$5,0)</f>
        <v>21800</v>
      </c>
      <c r="V51" s="1390">
        <f t="shared" ref="V51:V57" si="56">+U51*E51</f>
        <v>3031290.0000000005</v>
      </c>
      <c r="W51" s="1389"/>
      <c r="X51" s="1744"/>
      <c r="Y51" s="1775"/>
      <c r="AB51" s="1775"/>
    </row>
    <row r="52" spans="1:28" s="1776" customFormat="1" ht="10.5" outlineLevel="1" x14ac:dyDescent="0.25">
      <c r="A52" s="1366">
        <v>5.0199999999999996</v>
      </c>
      <c r="B52" s="1370" t="s">
        <v>75</v>
      </c>
      <c r="C52" s="1396" t="s">
        <v>959</v>
      </c>
      <c r="D52" s="1376" t="s">
        <v>109</v>
      </c>
      <c r="E52" s="1377">
        <v>300</v>
      </c>
      <c r="F52" s="1779"/>
      <c r="G52" s="1778">
        <v>758.10738300000003</v>
      </c>
      <c r="H52" s="1750">
        <f>F52+G52</f>
        <v>758.10738300000003</v>
      </c>
      <c r="I52" s="1779"/>
      <c r="J52" s="1778">
        <v>3395.9551113285988</v>
      </c>
      <c r="K52" s="1750">
        <f t="shared" si="55"/>
        <v>3395.9551113285988</v>
      </c>
      <c r="L52" s="1778">
        <v>122.76855228141865</v>
      </c>
      <c r="M52" s="1750">
        <f>H52+K52+L52</f>
        <v>4276.8310466100174</v>
      </c>
      <c r="N52" s="1751">
        <f>F52*E52</f>
        <v>0</v>
      </c>
      <c r="O52" s="1751">
        <f>G52*E52</f>
        <v>227432.21490000002</v>
      </c>
      <c r="P52" s="1751">
        <f>I52*E52</f>
        <v>0</v>
      </c>
      <c r="Q52" s="1751">
        <f>J52*E52</f>
        <v>1018786.5333985797</v>
      </c>
      <c r="R52" s="1751">
        <f>+L52*E52</f>
        <v>36830.565684425594</v>
      </c>
      <c r="S52" s="1752">
        <f>SUM(N52:R52)</f>
        <v>1283049.3139830055</v>
      </c>
      <c r="T52" s="1753"/>
      <c r="U52" s="1391">
        <f t="shared" ref="U52:U57" si="57">+ROUNDUP(M52*$T$5,0)</f>
        <v>5376</v>
      </c>
      <c r="V52" s="1369">
        <f t="shared" si="56"/>
        <v>1612800</v>
      </c>
      <c r="W52" s="1389"/>
      <c r="X52" s="1744"/>
      <c r="Y52" s="1775"/>
      <c r="AB52" s="1775"/>
    </row>
    <row r="53" spans="1:28" s="1776" customFormat="1" ht="10.5" outlineLevel="1" x14ac:dyDescent="0.25">
      <c r="A53" s="1366">
        <v>5.03</v>
      </c>
      <c r="B53" s="1370" t="s">
        <v>75</v>
      </c>
      <c r="C53" s="1396" t="s">
        <v>960</v>
      </c>
      <c r="D53" s="1376" t="s">
        <v>109</v>
      </c>
      <c r="E53" s="1377">
        <v>48</v>
      </c>
      <c r="F53" s="1779"/>
      <c r="G53" s="1778">
        <v>758.10738300000003</v>
      </c>
      <c r="H53" s="1750">
        <f>F53+G53</f>
        <v>758.10738300000003</v>
      </c>
      <c r="I53" s="1779"/>
      <c r="J53" s="1778">
        <v>3395.9551113285988</v>
      </c>
      <c r="K53" s="1750">
        <f t="shared" si="55"/>
        <v>3395.9551113285988</v>
      </c>
      <c r="L53" s="1778">
        <v>122.76855228141865</v>
      </c>
      <c r="M53" s="1750">
        <f>H53+K53+L53</f>
        <v>4276.8310466100174</v>
      </c>
      <c r="N53" s="1751">
        <f>F53*E53</f>
        <v>0</v>
      </c>
      <c r="O53" s="1751">
        <f>G53*E53</f>
        <v>36389.154384000001</v>
      </c>
      <c r="P53" s="1751">
        <f>I53*E53</f>
        <v>0</v>
      </c>
      <c r="Q53" s="1751">
        <f>J53*E53</f>
        <v>163005.84534377273</v>
      </c>
      <c r="R53" s="1751">
        <f>+L53*E53</f>
        <v>5892.8905095080954</v>
      </c>
      <c r="S53" s="1752">
        <f>SUM(N53:R53)</f>
        <v>205287.89023728081</v>
      </c>
      <c r="T53" s="1753"/>
      <c r="U53" s="1391">
        <f t="shared" si="57"/>
        <v>5376</v>
      </c>
      <c r="V53" s="1369">
        <f t="shared" si="56"/>
        <v>258048</v>
      </c>
      <c r="W53" s="1389"/>
      <c r="X53" s="1744"/>
      <c r="Y53" s="1775"/>
      <c r="AB53" s="1775"/>
    </row>
    <row r="54" spans="1:28" s="1776" customFormat="1" ht="10.5" outlineLevel="1" x14ac:dyDescent="0.25">
      <c r="A54" s="1366">
        <v>5.04</v>
      </c>
      <c r="B54" s="1370" t="s">
        <v>75</v>
      </c>
      <c r="C54" s="1396" t="s">
        <v>309</v>
      </c>
      <c r="D54" s="1376" t="s">
        <v>109</v>
      </c>
      <c r="E54" s="1377">
        <v>262</v>
      </c>
      <c r="F54" s="1779"/>
      <c r="G54" s="1420">
        <v>3502.8</v>
      </c>
      <c r="H54" s="1750">
        <f t="shared" ref="H54:H56" si="58">F54+G54</f>
        <v>3502.8</v>
      </c>
      <c r="I54" s="1779"/>
      <c r="J54" s="1779"/>
      <c r="K54" s="1750">
        <f t="shared" si="55"/>
        <v>0</v>
      </c>
      <c r="L54" s="1779"/>
      <c r="M54" s="1750">
        <f t="shared" ref="M54:M56" si="59">H54+K54+L54</f>
        <v>3502.8</v>
      </c>
      <c r="N54" s="1751">
        <f t="shared" ref="N54:N56" si="60">F54*E54</f>
        <v>0</v>
      </c>
      <c r="O54" s="1751">
        <f t="shared" ref="O54:O57" si="61">G54*E54</f>
        <v>917733.60000000009</v>
      </c>
      <c r="P54" s="1751">
        <f t="shared" ref="P54:P57" si="62">I54*E54</f>
        <v>0</v>
      </c>
      <c r="Q54" s="1751">
        <f t="shared" ref="Q54:Q57" si="63">J54*E54</f>
        <v>0</v>
      </c>
      <c r="R54" s="1751">
        <f t="shared" ref="R54:R57" si="64">+L54*E54</f>
        <v>0</v>
      </c>
      <c r="S54" s="1752">
        <f t="shared" ref="S54:S56" si="65">SUM(N54:R54)</f>
        <v>917733.60000000009</v>
      </c>
      <c r="T54" s="1753"/>
      <c r="U54" s="1391">
        <f t="shared" si="57"/>
        <v>4403</v>
      </c>
      <c r="V54" s="1369">
        <f t="shared" si="56"/>
        <v>1153586</v>
      </c>
      <c r="W54" s="1389"/>
      <c r="X54" s="1744"/>
      <c r="Y54" s="1775"/>
      <c r="AB54" s="1775"/>
    </row>
    <row r="55" spans="1:28" s="1776" customFormat="1" ht="10.5" outlineLevel="1" x14ac:dyDescent="0.25">
      <c r="A55" s="1366">
        <v>5.05</v>
      </c>
      <c r="B55" s="1370" t="s">
        <v>75</v>
      </c>
      <c r="C55" s="1396" t="s">
        <v>199</v>
      </c>
      <c r="D55" s="1376" t="s">
        <v>109</v>
      </c>
      <c r="E55" s="1377">
        <v>510</v>
      </c>
      <c r="F55" s="1779"/>
      <c r="G55" s="1778">
        <v>1273.3407295555555</v>
      </c>
      <c r="H55" s="1750">
        <f t="shared" si="58"/>
        <v>1273.3407295555555</v>
      </c>
      <c r="I55" s="1779"/>
      <c r="J55" s="1778">
        <v>1563.0910681642993</v>
      </c>
      <c r="K55" s="1750">
        <f t="shared" si="55"/>
        <v>1563.0910681642993</v>
      </c>
      <c r="L55" s="1778">
        <v>9.7929201697772683</v>
      </c>
      <c r="M55" s="1750">
        <f t="shared" si="59"/>
        <v>2846.2247178896318</v>
      </c>
      <c r="N55" s="1751">
        <f t="shared" si="60"/>
        <v>0</v>
      </c>
      <c r="O55" s="1751">
        <f t="shared" si="61"/>
        <v>649403.77207333327</v>
      </c>
      <c r="P55" s="1751">
        <f t="shared" si="62"/>
        <v>0</v>
      </c>
      <c r="Q55" s="1751">
        <f t="shared" si="63"/>
        <v>797176.44476379268</v>
      </c>
      <c r="R55" s="1751">
        <f t="shared" si="64"/>
        <v>4994.3892865864073</v>
      </c>
      <c r="S55" s="1752">
        <f t="shared" si="65"/>
        <v>1451574.6061237121</v>
      </c>
      <c r="T55" s="1753"/>
      <c r="U55" s="1391">
        <f t="shared" si="57"/>
        <v>3578</v>
      </c>
      <c r="V55" s="1369">
        <f t="shared" si="56"/>
        <v>1824780</v>
      </c>
      <c r="W55" s="1389"/>
      <c r="X55" s="1744"/>
      <c r="Y55" s="1775"/>
      <c r="AB55" s="1775"/>
    </row>
    <row r="56" spans="1:28" s="1782" customFormat="1" ht="10.5" outlineLevel="1" x14ac:dyDescent="0.25">
      <c r="A56" s="1366">
        <v>5.0599999999999996</v>
      </c>
      <c r="B56" s="1370" t="s">
        <v>75</v>
      </c>
      <c r="C56" s="1396" t="s">
        <v>961</v>
      </c>
      <c r="D56" s="1392" t="s">
        <v>109</v>
      </c>
      <c r="E56" s="1377">
        <v>510</v>
      </c>
      <c r="F56" s="1749"/>
      <c r="G56" s="1778">
        <v>9809.5604040679573</v>
      </c>
      <c r="H56" s="1750">
        <f t="shared" si="58"/>
        <v>9809.5604040679573</v>
      </c>
      <c r="I56" s="1780">
        <f>+J56*0.5</f>
        <v>2500.9457090628789</v>
      </c>
      <c r="J56" s="1778">
        <v>5001.8914181257578</v>
      </c>
      <c r="K56" s="1750">
        <f t="shared" si="55"/>
        <v>7502.8371271886372</v>
      </c>
      <c r="L56" s="1778">
        <v>31.337344543287259</v>
      </c>
      <c r="M56" s="1750">
        <f t="shared" si="59"/>
        <v>17343.734875799884</v>
      </c>
      <c r="N56" s="1751">
        <f t="shared" si="60"/>
        <v>0</v>
      </c>
      <c r="O56" s="1751">
        <f t="shared" si="61"/>
        <v>5002875.8060746584</v>
      </c>
      <c r="P56" s="1751">
        <f t="shared" si="62"/>
        <v>1275482.3116220683</v>
      </c>
      <c r="Q56" s="1751">
        <f t="shared" si="63"/>
        <v>2550964.6232441366</v>
      </c>
      <c r="R56" s="1751">
        <f t="shared" si="64"/>
        <v>15982.045717076502</v>
      </c>
      <c r="S56" s="1752">
        <f t="shared" si="65"/>
        <v>8845304.7866579406</v>
      </c>
      <c r="T56" s="1753"/>
      <c r="U56" s="1391">
        <f t="shared" si="57"/>
        <v>21800</v>
      </c>
      <c r="V56" s="1369">
        <f t="shared" si="56"/>
        <v>11118000</v>
      </c>
      <c r="W56" s="1781"/>
      <c r="X56" s="1744"/>
      <c r="Y56" s="1714"/>
      <c r="AB56" s="1714"/>
    </row>
    <row r="57" spans="1:28" s="1782" customFormat="1" ht="10.5" outlineLevel="1" x14ac:dyDescent="0.25">
      <c r="A57" s="1366">
        <v>5.07</v>
      </c>
      <c r="B57" s="1370" t="s">
        <v>75</v>
      </c>
      <c r="C57" s="1396" t="s">
        <v>310</v>
      </c>
      <c r="D57" s="1392" t="s">
        <v>107</v>
      </c>
      <c r="E57" s="1377">
        <v>1</v>
      </c>
      <c r="F57" s="1783"/>
      <c r="G57" s="1783"/>
      <c r="H57" s="1750">
        <f>F57+G57</f>
        <v>0</v>
      </c>
      <c r="I57" s="1784">
        <v>13500000</v>
      </c>
      <c r="J57" s="1783"/>
      <c r="K57" s="1750">
        <f t="shared" si="55"/>
        <v>13500000</v>
      </c>
      <c r="L57" s="1785"/>
      <c r="M57" s="1750">
        <f>H57+K57+L57</f>
        <v>13500000</v>
      </c>
      <c r="N57" s="1751">
        <f>F57*E57</f>
        <v>0</v>
      </c>
      <c r="O57" s="1751">
        <f t="shared" si="61"/>
        <v>0</v>
      </c>
      <c r="P57" s="1751">
        <f t="shared" si="62"/>
        <v>13500000</v>
      </c>
      <c r="Q57" s="1751">
        <f t="shared" si="63"/>
        <v>0</v>
      </c>
      <c r="R57" s="1751">
        <f t="shared" si="64"/>
        <v>0</v>
      </c>
      <c r="S57" s="1752">
        <f>SUM(N57:R57)</f>
        <v>13500000</v>
      </c>
      <c r="T57" s="1753"/>
      <c r="U57" s="1391">
        <f t="shared" si="57"/>
        <v>16967915</v>
      </c>
      <c r="V57" s="1369">
        <f t="shared" si="56"/>
        <v>16967915</v>
      </c>
      <c r="W57" s="1465"/>
      <c r="X57" s="1744"/>
      <c r="Y57" s="1714"/>
      <c r="AB57" s="1714"/>
    </row>
    <row r="58" spans="1:28" ht="10.5" x14ac:dyDescent="0.25">
      <c r="A58" s="1360">
        <v>6</v>
      </c>
      <c r="B58" s="1361"/>
      <c r="C58" s="1411" t="s">
        <v>200</v>
      </c>
      <c r="D58" s="1741"/>
      <c r="E58" s="1742"/>
      <c r="F58" s="1742"/>
      <c r="G58" s="1742"/>
      <c r="H58" s="1742"/>
      <c r="I58" s="1742"/>
      <c r="J58" s="1742"/>
      <c r="K58" s="1742"/>
      <c r="L58" s="1742"/>
      <c r="M58" s="1743"/>
      <c r="N58" s="1742"/>
      <c r="O58" s="1742"/>
      <c r="P58" s="1742"/>
      <c r="Q58" s="1742"/>
      <c r="R58" s="1742"/>
      <c r="S58" s="1742"/>
      <c r="T58" s="1456">
        <f>SUM(S59:S59)</f>
        <v>1936418.4263133551</v>
      </c>
      <c r="U58" s="1742"/>
      <c r="V58" s="1742"/>
      <c r="W58" s="1355">
        <f>SUM(V59:V59)</f>
        <v>2433900</v>
      </c>
      <c r="X58" s="1744">
        <f>+W58/$W$216</f>
        <v>2.1588558150022748E-3</v>
      </c>
      <c r="Y58" s="1711">
        <f>+W58</f>
        <v>2433900</v>
      </c>
    </row>
    <row r="59" spans="1:28" s="1782" customFormat="1" ht="10.5" outlineLevel="1" x14ac:dyDescent="0.25">
      <c r="A59" s="1370">
        <v>6.02</v>
      </c>
      <c r="B59" s="1370" t="s">
        <v>75</v>
      </c>
      <c r="C59" s="1756" t="s">
        <v>201</v>
      </c>
      <c r="D59" s="1393" t="s">
        <v>124</v>
      </c>
      <c r="E59" s="1374">
        <v>60</v>
      </c>
      <c r="F59" s="1757">
        <v>13939.39393939394</v>
      </c>
      <c r="G59" s="1757">
        <v>0</v>
      </c>
      <c r="H59" s="1758">
        <f>F59+G59</f>
        <v>13939.39393939394</v>
      </c>
      <c r="I59" s="1757">
        <v>0</v>
      </c>
      <c r="J59" s="1757">
        <v>4329.9039997714654</v>
      </c>
      <c r="K59" s="1758">
        <f t="shared" ref="K59" si="66">I59+J59</f>
        <v>4329.9039997714654</v>
      </c>
      <c r="L59" s="1786">
        <f>+H59+K59*(0.015)</f>
        <v>14004.342499390512</v>
      </c>
      <c r="M59" s="1758">
        <f t="shared" ref="M59" si="67">H59+K59+L59</f>
        <v>32273.640438555914</v>
      </c>
      <c r="N59" s="1761">
        <f>F59*E59</f>
        <v>836363.63636363635</v>
      </c>
      <c r="O59" s="1761">
        <f>G59*E59</f>
        <v>0</v>
      </c>
      <c r="P59" s="1761">
        <f>I59*E59</f>
        <v>0</v>
      </c>
      <c r="Q59" s="1761">
        <f>J59*E59</f>
        <v>259794.23998628792</v>
      </c>
      <c r="R59" s="1761">
        <f>+L59*E59</f>
        <v>840260.54996343073</v>
      </c>
      <c r="S59" s="1762">
        <f>SUM(N59:R59)</f>
        <v>1936418.4263133551</v>
      </c>
      <c r="T59" s="1753"/>
      <c r="U59" s="1369">
        <f>+ROUNDUP(M59*$T$5,0)</f>
        <v>40565</v>
      </c>
      <c r="V59" s="1369">
        <f>+U59*E59</f>
        <v>2433900</v>
      </c>
      <c r="W59" s="1781"/>
      <c r="X59" s="1744"/>
      <c r="Y59" s="1714"/>
      <c r="AB59" s="1714"/>
    </row>
    <row r="60" spans="1:28" ht="10.5" x14ac:dyDescent="0.25">
      <c r="A60" s="1360">
        <v>7</v>
      </c>
      <c r="B60" s="1361"/>
      <c r="C60" s="1411" t="s">
        <v>122</v>
      </c>
      <c r="D60" s="1741"/>
      <c r="E60" s="1742"/>
      <c r="F60" s="1742"/>
      <c r="G60" s="1742"/>
      <c r="H60" s="1742"/>
      <c r="I60" s="1742"/>
      <c r="J60" s="1742"/>
      <c r="K60" s="1742"/>
      <c r="L60" s="1742"/>
      <c r="M60" s="1743"/>
      <c r="N60" s="1742"/>
      <c r="O60" s="1742"/>
      <c r="P60" s="1742"/>
      <c r="Q60" s="1742"/>
      <c r="R60" s="1742"/>
      <c r="S60" s="1742"/>
      <c r="T60" s="1456">
        <f>SUM(S61:S68)</f>
        <v>108511185.97251408</v>
      </c>
      <c r="U60" s="1742"/>
      <c r="V60" s="1742"/>
      <c r="W60" s="1355">
        <f>SUM(V61:V68)</f>
        <v>136390555.29860002</v>
      </c>
      <c r="X60" s="1744">
        <f>+W60/$W$216</f>
        <v>0.12097766687940012</v>
      </c>
      <c r="Y60" s="1711">
        <f>+W60</f>
        <v>136390555.29860002</v>
      </c>
    </row>
    <row r="61" spans="1:28" s="1776" customFormat="1" ht="10.5" outlineLevel="1" x14ac:dyDescent="0.25">
      <c r="A61" s="1362">
        <v>7.01</v>
      </c>
      <c r="B61" s="1386" t="s">
        <v>83</v>
      </c>
      <c r="C61" s="1787" t="s">
        <v>311</v>
      </c>
      <c r="D61" s="1387" t="s">
        <v>109</v>
      </c>
      <c r="E61" s="1388">
        <v>678.25199999999995</v>
      </c>
      <c r="F61" s="1773"/>
      <c r="G61" s="1773">
        <v>3747.8693230000003</v>
      </c>
      <c r="H61" s="1746">
        <f>F61+G61</f>
        <v>3747.8693230000003</v>
      </c>
      <c r="I61" s="1388"/>
      <c r="J61" s="1773">
        <v>9136.8339619578401</v>
      </c>
      <c r="K61" s="1746">
        <f>I61+J61</f>
        <v>9136.8339619578401</v>
      </c>
      <c r="L61" s="1773">
        <v>298.91473598954104</v>
      </c>
      <c r="M61" s="1746">
        <f>H61+K61+L61</f>
        <v>13183.618020947382</v>
      </c>
      <c r="N61" s="1747">
        <f t="shared" si="39"/>
        <v>0</v>
      </c>
      <c r="O61" s="1747">
        <f>G61*E61</f>
        <v>2541999.8640633961</v>
      </c>
      <c r="P61" s="1747">
        <f t="shared" si="41"/>
        <v>0</v>
      </c>
      <c r="Q61" s="1747">
        <f t="shared" si="42"/>
        <v>6197075.9083658289</v>
      </c>
      <c r="R61" s="1747">
        <f t="shared" si="43"/>
        <v>202739.51751437818</v>
      </c>
      <c r="S61" s="1748">
        <f t="shared" si="44"/>
        <v>8941815.2899436019</v>
      </c>
      <c r="T61" s="1753"/>
      <c r="U61" s="1365">
        <f t="shared" ref="U61:U68" si="68">+ROUNDUP(M61*$T$5,0)</f>
        <v>16571</v>
      </c>
      <c r="V61" s="1365">
        <f t="shared" ref="V61:V68" si="69">+U61*E61</f>
        <v>11239313.891999999</v>
      </c>
      <c r="W61" s="1788"/>
      <c r="X61" s="1744"/>
      <c r="Y61" s="1775"/>
      <c r="AB61" s="1775"/>
    </row>
    <row r="62" spans="1:28" s="1776" customFormat="1" ht="10.5" outlineLevel="1" x14ac:dyDescent="0.25">
      <c r="A62" s="1366">
        <v>7.02</v>
      </c>
      <c r="B62" s="1370" t="s">
        <v>83</v>
      </c>
      <c r="C62" s="1394" t="s">
        <v>962</v>
      </c>
      <c r="D62" s="1376" t="s">
        <v>109</v>
      </c>
      <c r="E62" s="1377">
        <v>876.08119999999985</v>
      </c>
      <c r="F62" s="1778"/>
      <c r="G62" s="1778">
        <v>3747.8693230000003</v>
      </c>
      <c r="H62" s="1750">
        <f>F62+G62</f>
        <v>3747.8693230000003</v>
      </c>
      <c r="I62" s="1749"/>
      <c r="J62" s="1778">
        <v>13134.198820314396</v>
      </c>
      <c r="K62" s="1750">
        <f>I62+J62</f>
        <v>13134.198820314396</v>
      </c>
      <c r="L62" s="1778">
        <v>766.41029483988711</v>
      </c>
      <c r="M62" s="1750">
        <f>H62+K62+L62</f>
        <v>17648.478438154281</v>
      </c>
      <c r="N62" s="1751">
        <f t="shared" si="39"/>
        <v>0</v>
      </c>
      <c r="O62" s="1751">
        <f t="shared" ref="O62:O68" si="70">G62*E62</f>
        <v>3283437.8539370275</v>
      </c>
      <c r="P62" s="1751">
        <f t="shared" si="41"/>
        <v>0</v>
      </c>
      <c r="Q62" s="1751">
        <f t="shared" si="42"/>
        <v>11506624.663539618</v>
      </c>
      <c r="R62" s="1751">
        <f t="shared" si="43"/>
        <v>671437.65079568198</v>
      </c>
      <c r="S62" s="1752">
        <f t="shared" ref="S62:S68" si="71">SUM(N62:R62)</f>
        <v>15461500.168272328</v>
      </c>
      <c r="T62" s="1753"/>
      <c r="U62" s="1369">
        <f t="shared" si="68"/>
        <v>22183</v>
      </c>
      <c r="V62" s="1369">
        <f t="shared" si="69"/>
        <v>19434109.259599999</v>
      </c>
      <c r="W62" s="1781"/>
      <c r="X62" s="1744"/>
      <c r="Y62" s="1775"/>
      <c r="AB62" s="1775"/>
    </row>
    <row r="63" spans="1:28" s="1776" customFormat="1" ht="10.5" outlineLevel="1" x14ac:dyDescent="0.25">
      <c r="A63" s="1370">
        <v>7.03</v>
      </c>
      <c r="B63" s="1370"/>
      <c r="C63" s="1394" t="s">
        <v>312</v>
      </c>
      <c r="D63" s="1376" t="s">
        <v>124</v>
      </c>
      <c r="E63" s="1377">
        <v>182</v>
      </c>
      <c r="F63" s="1778"/>
      <c r="G63" s="1778"/>
      <c r="H63" s="1750">
        <f t="shared" ref="H63:H68" si="72">F63+G63</f>
        <v>0</v>
      </c>
      <c r="I63" s="1749"/>
      <c r="J63" s="1420">
        <v>8597.4065149288563</v>
      </c>
      <c r="K63" s="1750">
        <f t="shared" ref="K63:K68" si="73">I63+J63</f>
        <v>8597.4065149288563</v>
      </c>
      <c r="L63" s="1778"/>
      <c r="M63" s="1750">
        <f t="shared" ref="M63:M68" si="74">H63+K63+L63</f>
        <v>8597.4065149288563</v>
      </c>
      <c r="N63" s="1751">
        <f t="shared" si="39"/>
        <v>0</v>
      </c>
      <c r="O63" s="1751">
        <f t="shared" si="70"/>
        <v>0</v>
      </c>
      <c r="P63" s="1751">
        <f t="shared" si="41"/>
        <v>0</v>
      </c>
      <c r="Q63" s="1751">
        <f t="shared" si="42"/>
        <v>1564727.9857170519</v>
      </c>
      <c r="R63" s="1751">
        <f t="shared" si="43"/>
        <v>0</v>
      </c>
      <c r="S63" s="1752">
        <f t="shared" ref="S63:S65" si="75">SUM(N63:R63)</f>
        <v>1564727.9857170519</v>
      </c>
      <c r="T63" s="1753"/>
      <c r="U63" s="1369">
        <f t="shared" si="68"/>
        <v>10806</v>
      </c>
      <c r="V63" s="1369">
        <f t="shared" si="69"/>
        <v>1966692</v>
      </c>
      <c r="W63" s="1781"/>
      <c r="X63" s="1744"/>
      <c r="Y63" s="1775"/>
      <c r="AB63" s="1775"/>
    </row>
    <row r="64" spans="1:28" s="1776" customFormat="1" ht="10.5" outlineLevel="1" x14ac:dyDescent="0.25">
      <c r="A64" s="1370">
        <v>7.04</v>
      </c>
      <c r="B64" s="1370" t="s">
        <v>83</v>
      </c>
      <c r="C64" s="1396" t="s">
        <v>202</v>
      </c>
      <c r="D64" s="1376" t="s">
        <v>109</v>
      </c>
      <c r="E64" s="1377">
        <v>995.85109999999997</v>
      </c>
      <c r="F64" s="1778"/>
      <c r="G64" s="1778">
        <v>2606.0755930000005</v>
      </c>
      <c r="H64" s="1750">
        <f t="shared" si="72"/>
        <v>2606.0755930000005</v>
      </c>
      <c r="I64" s="1377"/>
      <c r="J64" s="1778">
        <v>17928.383737307293</v>
      </c>
      <c r="K64" s="1750">
        <f t="shared" si="73"/>
        <v>17928.383737307293</v>
      </c>
      <c r="L64" s="1778">
        <v>572.91991064662034</v>
      </c>
      <c r="M64" s="1750">
        <f t="shared" si="74"/>
        <v>21107.379240953916</v>
      </c>
      <c r="N64" s="1751">
        <f t="shared" si="39"/>
        <v>0</v>
      </c>
      <c r="O64" s="1751">
        <f t="shared" si="70"/>
        <v>2595263.2459722026</v>
      </c>
      <c r="P64" s="1751">
        <f t="shared" si="41"/>
        <v>0</v>
      </c>
      <c r="Q64" s="1751">
        <f t="shared" si="42"/>
        <v>17854000.666019578</v>
      </c>
      <c r="R64" s="1751">
        <f t="shared" si="43"/>
        <v>570542.9232293386</v>
      </c>
      <c r="S64" s="1752">
        <f t="shared" si="75"/>
        <v>21019806.835221119</v>
      </c>
      <c r="T64" s="1753"/>
      <c r="U64" s="1369">
        <f t="shared" si="68"/>
        <v>26530</v>
      </c>
      <c r="V64" s="1369">
        <f t="shared" si="69"/>
        <v>26419929.682999998</v>
      </c>
      <c r="W64" s="1781"/>
      <c r="X64" s="1744"/>
      <c r="Y64" s="1775"/>
      <c r="AB64" s="1775"/>
    </row>
    <row r="65" spans="1:28" s="1776" customFormat="1" ht="10.5" outlineLevel="1" x14ac:dyDescent="0.25">
      <c r="A65" s="1370">
        <v>7.05</v>
      </c>
      <c r="B65" s="1370" t="s">
        <v>83</v>
      </c>
      <c r="C65" s="1396" t="s">
        <v>203</v>
      </c>
      <c r="D65" s="1376" t="s">
        <v>109</v>
      </c>
      <c r="E65" s="1377">
        <v>2514.8970000000013</v>
      </c>
      <c r="F65" s="1749">
        <v>0</v>
      </c>
      <c r="G65" s="1749">
        <v>5135.3398886713831</v>
      </c>
      <c r="H65" s="1750">
        <f t="shared" si="72"/>
        <v>5135.3398886713831</v>
      </c>
      <c r="I65" s="1749">
        <v>12817.951531348474</v>
      </c>
      <c r="J65" s="1749">
        <v>0</v>
      </c>
      <c r="K65" s="1750">
        <f t="shared" si="73"/>
        <v>12817.951531348474</v>
      </c>
      <c r="L65" s="1779"/>
      <c r="M65" s="1750">
        <f t="shared" si="74"/>
        <v>17953.291420019857</v>
      </c>
      <c r="N65" s="1751">
        <f t="shared" si="39"/>
        <v>0</v>
      </c>
      <c r="O65" s="1751">
        <f t="shared" si="70"/>
        <v>12914850.880000003</v>
      </c>
      <c r="P65" s="1751">
        <f t="shared" si="41"/>
        <v>32235827.852333698</v>
      </c>
      <c r="Q65" s="1751">
        <f t="shared" si="42"/>
        <v>0</v>
      </c>
      <c r="R65" s="1751">
        <f t="shared" si="43"/>
        <v>0</v>
      </c>
      <c r="S65" s="1752">
        <f t="shared" si="75"/>
        <v>45150678.732333705</v>
      </c>
      <c r="T65" s="1753"/>
      <c r="U65" s="1369">
        <f t="shared" si="68"/>
        <v>22566</v>
      </c>
      <c r="V65" s="1369">
        <f t="shared" si="69"/>
        <v>56751165.702000029</v>
      </c>
      <c r="W65" s="1781"/>
      <c r="X65" s="1744"/>
      <c r="Y65" s="1775"/>
      <c r="AB65" s="1775"/>
    </row>
    <row r="66" spans="1:28" s="1776" customFormat="1" ht="10.5" outlineLevel="1" x14ac:dyDescent="0.25">
      <c r="A66" s="1370">
        <v>7.06</v>
      </c>
      <c r="B66" s="1370" t="s">
        <v>83</v>
      </c>
      <c r="C66" s="1789" t="s">
        <v>313</v>
      </c>
      <c r="D66" s="1376" t="s">
        <v>124</v>
      </c>
      <c r="E66" s="1377">
        <v>509.9</v>
      </c>
      <c r="F66" s="1749">
        <v>0</v>
      </c>
      <c r="G66" s="1749">
        <v>0</v>
      </c>
      <c r="H66" s="1750">
        <f t="shared" si="72"/>
        <v>0</v>
      </c>
      <c r="I66" s="1749">
        <v>10160.57133582501</v>
      </c>
      <c r="J66" s="1749">
        <v>0</v>
      </c>
      <c r="K66" s="1750">
        <f t="shared" si="73"/>
        <v>10160.57133582501</v>
      </c>
      <c r="L66" s="1779"/>
      <c r="M66" s="1750">
        <f t="shared" si="74"/>
        <v>10160.57133582501</v>
      </c>
      <c r="N66" s="1751">
        <f t="shared" si="39"/>
        <v>0</v>
      </c>
      <c r="O66" s="1751">
        <f t="shared" si="70"/>
        <v>0</v>
      </c>
      <c r="P66" s="1751">
        <f t="shared" si="41"/>
        <v>5180875.3241371727</v>
      </c>
      <c r="Q66" s="1751">
        <f t="shared" si="42"/>
        <v>0</v>
      </c>
      <c r="R66" s="1751">
        <f t="shared" si="43"/>
        <v>0</v>
      </c>
      <c r="S66" s="1752">
        <f t="shared" si="71"/>
        <v>5180875.3241371727</v>
      </c>
      <c r="T66" s="1753"/>
      <c r="U66" s="1369">
        <f t="shared" si="68"/>
        <v>12771</v>
      </c>
      <c r="V66" s="1369">
        <f t="shared" si="69"/>
        <v>6511932.8999999994</v>
      </c>
      <c r="W66" s="1781"/>
      <c r="X66" s="1744"/>
      <c r="Y66" s="1775"/>
      <c r="AB66" s="1775"/>
    </row>
    <row r="67" spans="1:28" s="1776" customFormat="1" ht="10.5" outlineLevel="1" x14ac:dyDescent="0.25">
      <c r="A67" s="1370">
        <v>7.07</v>
      </c>
      <c r="B67" s="1370" t="s">
        <v>83</v>
      </c>
      <c r="C67" s="1789" t="s">
        <v>314</v>
      </c>
      <c r="D67" s="1376" t="s">
        <v>111</v>
      </c>
      <c r="E67" s="1377">
        <v>198</v>
      </c>
      <c r="F67" s="1749">
        <v>0</v>
      </c>
      <c r="G67" s="1749">
        <v>1217.7454545454545</v>
      </c>
      <c r="H67" s="1750">
        <f t="shared" si="72"/>
        <v>1217.7454545454545</v>
      </c>
      <c r="I67" s="1749">
        <v>10673.73150430102</v>
      </c>
      <c r="J67" s="1749">
        <v>0</v>
      </c>
      <c r="K67" s="1750">
        <f t="shared" si="73"/>
        <v>10673.73150430102</v>
      </c>
      <c r="L67" s="1779"/>
      <c r="M67" s="1750">
        <f t="shared" si="74"/>
        <v>11891.476958846475</v>
      </c>
      <c r="N67" s="1751">
        <f t="shared" si="39"/>
        <v>0</v>
      </c>
      <c r="O67" s="1751">
        <f t="shared" si="70"/>
        <v>241113.60000000001</v>
      </c>
      <c r="P67" s="1751">
        <f t="shared" si="41"/>
        <v>2113398.8378516021</v>
      </c>
      <c r="Q67" s="1751">
        <f t="shared" si="42"/>
        <v>0</v>
      </c>
      <c r="R67" s="1751">
        <f t="shared" si="43"/>
        <v>0</v>
      </c>
      <c r="S67" s="1752">
        <f t="shared" si="71"/>
        <v>2354512.4378516022</v>
      </c>
      <c r="T67" s="1753"/>
      <c r="U67" s="1369">
        <f t="shared" si="68"/>
        <v>14947</v>
      </c>
      <c r="V67" s="1369">
        <f t="shared" si="69"/>
        <v>2959506</v>
      </c>
      <c r="W67" s="1781"/>
      <c r="X67" s="1744"/>
      <c r="Y67" s="1775"/>
      <c r="AB67" s="1775"/>
    </row>
    <row r="68" spans="1:28" s="1776" customFormat="1" ht="10.5" outlineLevel="1" x14ac:dyDescent="0.25">
      <c r="A68" s="1372">
        <v>7.08</v>
      </c>
      <c r="B68" s="1372" t="s">
        <v>83</v>
      </c>
      <c r="C68" s="1756" t="s">
        <v>123</v>
      </c>
      <c r="D68" s="1395" t="s">
        <v>109</v>
      </c>
      <c r="E68" s="1385">
        <v>670.322</v>
      </c>
      <c r="F68" s="1790"/>
      <c r="G68" s="1786">
        <v>3747.8693230000003</v>
      </c>
      <c r="H68" s="1758">
        <f t="shared" si="72"/>
        <v>3747.8693230000003</v>
      </c>
      <c r="I68" s="1385"/>
      <c r="J68" s="1786">
        <v>9136.8339619578401</v>
      </c>
      <c r="K68" s="1758">
        <f t="shared" si="73"/>
        <v>9136.8339619578401</v>
      </c>
      <c r="L68" s="1786">
        <v>298.91473598954104</v>
      </c>
      <c r="M68" s="1758">
        <f t="shared" si="74"/>
        <v>13183.618020947382</v>
      </c>
      <c r="N68" s="1761">
        <f t="shared" si="39"/>
        <v>0</v>
      </c>
      <c r="O68" s="1761">
        <f t="shared" si="70"/>
        <v>2512279.260332006</v>
      </c>
      <c r="P68" s="1761">
        <f t="shared" si="41"/>
        <v>0</v>
      </c>
      <c r="Q68" s="1761">
        <f t="shared" si="42"/>
        <v>6124620.8150475034</v>
      </c>
      <c r="R68" s="1761">
        <f t="shared" si="43"/>
        <v>200369.12365798114</v>
      </c>
      <c r="S68" s="1762">
        <f t="shared" si="71"/>
        <v>8837269.1990374904</v>
      </c>
      <c r="T68" s="1753"/>
      <c r="U68" s="1369">
        <f t="shared" si="68"/>
        <v>16571</v>
      </c>
      <c r="V68" s="1369">
        <f t="shared" si="69"/>
        <v>11107905.862</v>
      </c>
      <c r="W68" s="1781"/>
      <c r="X68" s="1744"/>
      <c r="Y68" s="1775"/>
      <c r="AB68" s="1775"/>
    </row>
    <row r="69" spans="1:28" ht="10.5" x14ac:dyDescent="0.25">
      <c r="A69" s="1360">
        <v>8</v>
      </c>
      <c r="B69" s="1361"/>
      <c r="C69" s="1411" t="s">
        <v>120</v>
      </c>
      <c r="D69" s="1741"/>
      <c r="E69" s="1742"/>
      <c r="F69" s="1742"/>
      <c r="G69" s="1742"/>
      <c r="H69" s="1742"/>
      <c r="I69" s="1742"/>
      <c r="J69" s="1742"/>
      <c r="K69" s="1742"/>
      <c r="L69" s="1742"/>
      <c r="M69" s="1743"/>
      <c r="N69" s="1742"/>
      <c r="O69" s="1742"/>
      <c r="P69" s="1742"/>
      <c r="Q69" s="1742"/>
      <c r="R69" s="1742"/>
      <c r="S69" s="1742"/>
      <c r="T69" s="1456">
        <f>SUM(S70:S77)</f>
        <v>35633227.224129379</v>
      </c>
      <c r="U69" s="1742"/>
      <c r="V69" s="1742"/>
      <c r="W69" s="1355">
        <f>SUM(V70:V77)</f>
        <v>44788107</v>
      </c>
      <c r="X69" s="1744">
        <f>+W69/$W$216</f>
        <v>3.9726802760957344E-2</v>
      </c>
      <c r="Y69" s="1711">
        <f>+W69</f>
        <v>44788107</v>
      </c>
    </row>
    <row r="70" spans="1:28" s="1776" customFormat="1" ht="10.5" outlineLevel="1" x14ac:dyDescent="0.25">
      <c r="A70" s="1362">
        <v>8.01</v>
      </c>
      <c r="B70" s="1386" t="s">
        <v>75</v>
      </c>
      <c r="C70" s="1745" t="s">
        <v>315</v>
      </c>
      <c r="D70" s="1387" t="s">
        <v>109</v>
      </c>
      <c r="E70" s="1388">
        <v>104</v>
      </c>
      <c r="F70" s="1433"/>
      <c r="G70" s="1773">
        <v>9763.5190306500008</v>
      </c>
      <c r="H70" s="1746">
        <f t="shared" ref="H70:H77" si="76">F70+G70</f>
        <v>9763.5190306500008</v>
      </c>
      <c r="I70" s="1433"/>
      <c r="J70" s="1773">
        <v>15181.289056642992</v>
      </c>
      <c r="K70" s="1746">
        <f t="shared" ref="K70:K76" si="77">I70+J70</f>
        <v>15181.289056642992</v>
      </c>
      <c r="L70" s="1773">
        <v>451.34429264543519</v>
      </c>
      <c r="M70" s="1746">
        <f t="shared" ref="M70:M77" si="78">H70+K70+L70</f>
        <v>25396.152379938427</v>
      </c>
      <c r="N70" s="1747">
        <f t="shared" ref="N70:N77" si="79">F70*E70</f>
        <v>0</v>
      </c>
      <c r="O70" s="1747">
        <f t="shared" ref="O70:O77" si="80">G70*E70</f>
        <v>1015405.9791876001</v>
      </c>
      <c r="P70" s="1747">
        <f t="shared" ref="P70:P77" si="81">I70*E70</f>
        <v>0</v>
      </c>
      <c r="Q70" s="1747">
        <f t="shared" ref="Q70:Q77" si="82">J70*E70</f>
        <v>1578854.0618908713</v>
      </c>
      <c r="R70" s="1747">
        <f t="shared" ref="R70:R77" si="83">+L70*E70</f>
        <v>46939.806435125261</v>
      </c>
      <c r="S70" s="1748">
        <f t="shared" ref="S70:S77" si="84">SUM(N70:R70)</f>
        <v>2641199.847513597</v>
      </c>
      <c r="T70" s="1791"/>
      <c r="U70" s="1390">
        <f t="shared" ref="U70:U77" si="85">+ROUNDUP(M70*$T$5,0)</f>
        <v>31920</v>
      </c>
      <c r="V70" s="1390">
        <f t="shared" ref="V70:V77" si="86">+U70*E70</f>
        <v>3319680</v>
      </c>
      <c r="W70" s="1389"/>
      <c r="X70" s="1744"/>
      <c r="Y70" s="1775"/>
      <c r="AB70" s="1775"/>
    </row>
    <row r="71" spans="1:28" s="1776" customFormat="1" ht="10.5" outlineLevel="1" x14ac:dyDescent="0.25">
      <c r="A71" s="1366">
        <v>8.02</v>
      </c>
      <c r="B71" s="1370" t="s">
        <v>75</v>
      </c>
      <c r="C71" s="1396" t="s">
        <v>316</v>
      </c>
      <c r="D71" s="1376" t="s">
        <v>109</v>
      </c>
      <c r="E71" s="1377">
        <v>48</v>
      </c>
      <c r="F71" s="1792">
        <v>500</v>
      </c>
      <c r="G71" s="1778">
        <v>13018.025374200002</v>
      </c>
      <c r="H71" s="1750">
        <f t="shared" si="76"/>
        <v>13518.025374200002</v>
      </c>
      <c r="I71" s="1793">
        <f>+F71</f>
        <v>500</v>
      </c>
      <c r="J71" s="1778">
        <v>15181.289056642992</v>
      </c>
      <c r="K71" s="1750">
        <f t="shared" si="77"/>
        <v>15681.289056642992</v>
      </c>
      <c r="L71" s="1778">
        <v>451.34429264543519</v>
      </c>
      <c r="M71" s="1750">
        <f t="shared" si="78"/>
        <v>29650.658723488428</v>
      </c>
      <c r="N71" s="1751">
        <f t="shared" si="79"/>
        <v>24000</v>
      </c>
      <c r="O71" s="1751">
        <f t="shared" si="80"/>
        <v>624865.21796160005</v>
      </c>
      <c r="P71" s="1751">
        <f t="shared" si="81"/>
        <v>24000</v>
      </c>
      <c r="Q71" s="1751">
        <f t="shared" si="82"/>
        <v>728701.87471886363</v>
      </c>
      <c r="R71" s="1751">
        <f t="shared" si="83"/>
        <v>21664.526046980889</v>
      </c>
      <c r="S71" s="1752">
        <f t="shared" si="84"/>
        <v>1423231.6187274444</v>
      </c>
      <c r="T71" s="1791"/>
      <c r="U71" s="1390">
        <f t="shared" si="85"/>
        <v>37268</v>
      </c>
      <c r="V71" s="1390">
        <f t="shared" si="86"/>
        <v>1788864</v>
      </c>
      <c r="W71" s="1389"/>
      <c r="X71" s="1744"/>
      <c r="Y71" s="1775"/>
      <c r="AB71" s="1775"/>
    </row>
    <row r="72" spans="1:28" s="1776" customFormat="1" ht="10.5" outlineLevel="1" x14ac:dyDescent="0.25">
      <c r="A72" s="1366">
        <v>8.0299999999999994</v>
      </c>
      <c r="B72" s="1370" t="s">
        <v>75</v>
      </c>
      <c r="C72" s="1396" t="s">
        <v>317</v>
      </c>
      <c r="D72" s="1376" t="s">
        <v>109</v>
      </c>
      <c r="E72" s="1377">
        <v>235</v>
      </c>
      <c r="F72" s="1749"/>
      <c r="G72" s="1778">
        <v>11716.222836780002</v>
      </c>
      <c r="H72" s="1750">
        <f t="shared" si="76"/>
        <v>11716.222836780002</v>
      </c>
      <c r="I72" s="1749"/>
      <c r="J72" s="1778">
        <v>13663.160150978691</v>
      </c>
      <c r="K72" s="1750">
        <f>I72+J72</f>
        <v>13663.160150978691</v>
      </c>
      <c r="L72" s="1778">
        <v>406.20986338089159</v>
      </c>
      <c r="M72" s="1750">
        <f t="shared" si="78"/>
        <v>25785.592851139583</v>
      </c>
      <c r="N72" s="1751">
        <f t="shared" si="79"/>
        <v>0</v>
      </c>
      <c r="O72" s="1751">
        <f t="shared" si="80"/>
        <v>2753312.3666433003</v>
      </c>
      <c r="P72" s="1751">
        <f t="shared" si="81"/>
        <v>0</v>
      </c>
      <c r="Q72" s="1751">
        <f t="shared" si="82"/>
        <v>3210842.6354799923</v>
      </c>
      <c r="R72" s="1751">
        <f t="shared" si="83"/>
        <v>95459.317894509528</v>
      </c>
      <c r="S72" s="1752">
        <f t="shared" si="84"/>
        <v>6059614.3200178016</v>
      </c>
      <c r="T72" s="1791"/>
      <c r="U72" s="1369">
        <f>+ROUNDUP(M72*$T$5,0)</f>
        <v>32410</v>
      </c>
      <c r="V72" s="1369">
        <f>+U72*E72</f>
        <v>7616350</v>
      </c>
      <c r="W72" s="1389"/>
      <c r="X72" s="1744"/>
      <c r="Y72" s="1775"/>
      <c r="AB72" s="1775"/>
    </row>
    <row r="73" spans="1:28" s="1776" customFormat="1" ht="10.5" outlineLevel="1" x14ac:dyDescent="0.25">
      <c r="A73" s="1366">
        <v>8.0399999999999991</v>
      </c>
      <c r="B73" s="1370" t="s">
        <v>75</v>
      </c>
      <c r="C73" s="1396" t="s">
        <v>204</v>
      </c>
      <c r="D73" s="1376" t="s">
        <v>109</v>
      </c>
      <c r="E73" s="1377">
        <v>878</v>
      </c>
      <c r="F73" s="1749"/>
      <c r="G73" s="1778">
        <v>6431.816156095043</v>
      </c>
      <c r="H73" s="1750">
        <f t="shared" si="76"/>
        <v>6431.816156095043</v>
      </c>
      <c r="I73" s="1749"/>
      <c r="J73" s="1778">
        <v>8572.2516609388531</v>
      </c>
      <c r="K73" s="1750">
        <f t="shared" si="77"/>
        <v>8572.2516609388531</v>
      </c>
      <c r="L73" s="1778">
        <v>116.9025805965067</v>
      </c>
      <c r="M73" s="1750">
        <f t="shared" si="78"/>
        <v>15120.970397630403</v>
      </c>
      <c r="N73" s="1751">
        <f t="shared" si="79"/>
        <v>0</v>
      </c>
      <c r="O73" s="1751">
        <f t="shared" si="80"/>
        <v>5647134.5850514481</v>
      </c>
      <c r="P73" s="1751">
        <f t="shared" si="81"/>
        <v>0</v>
      </c>
      <c r="Q73" s="1751">
        <f t="shared" si="82"/>
        <v>7526436.958304313</v>
      </c>
      <c r="R73" s="1751">
        <f t="shared" si="83"/>
        <v>102640.46576373288</v>
      </c>
      <c r="S73" s="1752">
        <f t="shared" si="84"/>
        <v>13276212.009119494</v>
      </c>
      <c r="T73" s="1791"/>
      <c r="U73" s="1369">
        <f t="shared" si="85"/>
        <v>19006</v>
      </c>
      <c r="V73" s="1369">
        <f t="shared" si="86"/>
        <v>16687268</v>
      </c>
      <c r="W73" s="1389"/>
      <c r="X73" s="1744"/>
      <c r="Y73" s="1775"/>
      <c r="AB73" s="1775"/>
    </row>
    <row r="74" spans="1:28" s="1776" customFormat="1" ht="10.5" outlineLevel="1" x14ac:dyDescent="0.25">
      <c r="A74" s="1366">
        <v>8.0500000000000007</v>
      </c>
      <c r="B74" s="1370" t="s">
        <v>75</v>
      </c>
      <c r="C74" s="1396" t="s">
        <v>318</v>
      </c>
      <c r="D74" s="1376" t="s">
        <v>109</v>
      </c>
      <c r="E74" s="1377">
        <v>564</v>
      </c>
      <c r="F74" s="1749"/>
      <c r="G74" s="1778">
        <v>3180.0905400000011</v>
      </c>
      <c r="H74" s="1750">
        <f t="shared" si="76"/>
        <v>3180.0905400000011</v>
      </c>
      <c r="I74" s="1778"/>
      <c r="J74" s="1778">
        <v>6505.5636652352905</v>
      </c>
      <c r="K74" s="1750">
        <f t="shared" si="77"/>
        <v>6505.5636652352905</v>
      </c>
      <c r="L74" s="1778">
        <v>210.62733656786975</v>
      </c>
      <c r="M74" s="1750">
        <f t="shared" si="78"/>
        <v>9896.2815418031623</v>
      </c>
      <c r="N74" s="1751">
        <f t="shared" si="79"/>
        <v>0</v>
      </c>
      <c r="O74" s="1751">
        <f t="shared" si="80"/>
        <v>1793571.0645600006</v>
      </c>
      <c r="P74" s="1751">
        <f t="shared" si="81"/>
        <v>0</v>
      </c>
      <c r="Q74" s="1751">
        <f t="shared" si="82"/>
        <v>3669137.9071927038</v>
      </c>
      <c r="R74" s="1751">
        <f t="shared" si="83"/>
        <v>118793.81782427854</v>
      </c>
      <c r="S74" s="1752">
        <f t="shared" si="84"/>
        <v>5581502.7895769831</v>
      </c>
      <c r="T74" s="1791"/>
      <c r="U74" s="1369">
        <f t="shared" si="85"/>
        <v>12439</v>
      </c>
      <c r="V74" s="1369">
        <f t="shared" si="86"/>
        <v>7015596</v>
      </c>
      <c r="W74" s="1389"/>
      <c r="X74" s="1744"/>
      <c r="Y74" s="1775"/>
      <c r="AB74" s="1775"/>
    </row>
    <row r="75" spans="1:28" s="1776" customFormat="1" ht="10.5" outlineLevel="1" x14ac:dyDescent="0.25">
      <c r="A75" s="1366">
        <v>8.06</v>
      </c>
      <c r="B75" s="1370" t="s">
        <v>75</v>
      </c>
      <c r="C75" s="1396" t="s">
        <v>319</v>
      </c>
      <c r="D75" s="1376" t="s">
        <v>109</v>
      </c>
      <c r="E75" s="1377">
        <v>438</v>
      </c>
      <c r="F75" s="1749"/>
      <c r="G75" s="1778">
        <v>3180.0905400000011</v>
      </c>
      <c r="H75" s="1750">
        <f t="shared" si="76"/>
        <v>3180.0905400000011</v>
      </c>
      <c r="I75" s="1778"/>
      <c r="J75" s="1778">
        <v>6505.5636652352905</v>
      </c>
      <c r="K75" s="1750">
        <f t="shared" si="77"/>
        <v>6505.5636652352905</v>
      </c>
      <c r="L75" s="1778">
        <v>210.62733656786975</v>
      </c>
      <c r="M75" s="1750">
        <f t="shared" si="78"/>
        <v>9896.2815418031623</v>
      </c>
      <c r="N75" s="1751">
        <f t="shared" si="79"/>
        <v>0</v>
      </c>
      <c r="O75" s="1751">
        <f t="shared" si="80"/>
        <v>1392879.6565200004</v>
      </c>
      <c r="P75" s="1751">
        <f t="shared" si="81"/>
        <v>0</v>
      </c>
      <c r="Q75" s="1751">
        <f t="shared" si="82"/>
        <v>2849436.8853730573</v>
      </c>
      <c r="R75" s="1751">
        <f t="shared" si="83"/>
        <v>92254.773416726952</v>
      </c>
      <c r="S75" s="1752">
        <f t="shared" si="84"/>
        <v>4334571.3153097844</v>
      </c>
      <c r="T75" s="1791"/>
      <c r="U75" s="1369">
        <f t="shared" si="85"/>
        <v>12439</v>
      </c>
      <c r="V75" s="1369">
        <f t="shared" si="86"/>
        <v>5448282</v>
      </c>
      <c r="W75" s="1389"/>
      <c r="X75" s="1744"/>
      <c r="Y75" s="1775"/>
      <c r="AB75" s="1775"/>
    </row>
    <row r="76" spans="1:28" s="1776" customFormat="1" ht="10.5" outlineLevel="1" x14ac:dyDescent="0.25">
      <c r="A76" s="1366">
        <v>8.07</v>
      </c>
      <c r="B76" s="1370" t="s">
        <v>83</v>
      </c>
      <c r="C76" s="1396" t="s">
        <v>320</v>
      </c>
      <c r="D76" s="1376" t="s">
        <v>107</v>
      </c>
      <c r="E76" s="1377">
        <v>1</v>
      </c>
      <c r="F76" s="1749">
        <v>1076227.6597</v>
      </c>
      <c r="G76" s="1749">
        <v>0</v>
      </c>
      <c r="H76" s="1750">
        <f t="shared" si="76"/>
        <v>1076227.6597</v>
      </c>
      <c r="I76" s="1749">
        <v>0</v>
      </c>
      <c r="J76" s="1749">
        <v>826143.61379857967</v>
      </c>
      <c r="K76" s="1750">
        <f t="shared" si="77"/>
        <v>826143.61379857967</v>
      </c>
      <c r="L76" s="1749">
        <f>+(H76+K76)*0.015</f>
        <v>28535.569102478694</v>
      </c>
      <c r="M76" s="1750">
        <f t="shared" si="78"/>
        <v>1930906.8426010583</v>
      </c>
      <c r="N76" s="1751">
        <f t="shared" si="79"/>
        <v>1076227.6597</v>
      </c>
      <c r="O76" s="1751">
        <f t="shared" si="80"/>
        <v>0</v>
      </c>
      <c r="P76" s="1751">
        <f t="shared" si="81"/>
        <v>0</v>
      </c>
      <c r="Q76" s="1751">
        <f t="shared" si="82"/>
        <v>826143.61379857967</v>
      </c>
      <c r="R76" s="1751">
        <f t="shared" si="83"/>
        <v>28535.569102478694</v>
      </c>
      <c r="S76" s="1752">
        <f t="shared" si="84"/>
        <v>1930906.8426010583</v>
      </c>
      <c r="T76" s="1791"/>
      <c r="U76" s="1369">
        <f t="shared" si="85"/>
        <v>2426924</v>
      </c>
      <c r="V76" s="1369">
        <f t="shared" si="86"/>
        <v>2426924</v>
      </c>
      <c r="W76" s="1389"/>
      <c r="X76" s="1744"/>
      <c r="Y76" s="1775"/>
      <c r="AB76" s="1775"/>
    </row>
    <row r="77" spans="1:28" s="1776" customFormat="1" ht="10.5" outlineLevel="1" x14ac:dyDescent="0.25">
      <c r="A77" s="1366">
        <v>8.08</v>
      </c>
      <c r="B77" s="1370" t="s">
        <v>83</v>
      </c>
      <c r="C77" s="1756" t="s">
        <v>321</v>
      </c>
      <c r="D77" s="1395" t="s">
        <v>107</v>
      </c>
      <c r="E77" s="1385">
        <v>1</v>
      </c>
      <c r="F77" s="1760">
        <v>215055.49523360003</v>
      </c>
      <c r="G77" s="1760">
        <v>0</v>
      </c>
      <c r="H77" s="1758">
        <f t="shared" si="76"/>
        <v>215055.49523360003</v>
      </c>
      <c r="I77" s="1760">
        <v>0</v>
      </c>
      <c r="J77" s="1760">
        <v>165228.72275971592</v>
      </c>
      <c r="K77" s="1758">
        <f>I77+J77</f>
        <v>165228.72275971592</v>
      </c>
      <c r="L77" s="1749">
        <f>+(H77+K77)*0.015</f>
        <v>5704.2632698997386</v>
      </c>
      <c r="M77" s="1758">
        <f t="shared" si="78"/>
        <v>385988.48126321571</v>
      </c>
      <c r="N77" s="1761">
        <f t="shared" si="79"/>
        <v>215055.49523360003</v>
      </c>
      <c r="O77" s="1761">
        <f t="shared" si="80"/>
        <v>0</v>
      </c>
      <c r="P77" s="1761">
        <f t="shared" si="81"/>
        <v>0</v>
      </c>
      <c r="Q77" s="1761">
        <f t="shared" si="82"/>
        <v>165228.72275971592</v>
      </c>
      <c r="R77" s="1761">
        <f t="shared" si="83"/>
        <v>5704.2632698997386</v>
      </c>
      <c r="S77" s="1762">
        <f t="shared" si="84"/>
        <v>385988.48126321571</v>
      </c>
      <c r="T77" s="1465"/>
      <c r="U77" s="1369">
        <f t="shared" si="85"/>
        <v>485143</v>
      </c>
      <c r="V77" s="1369">
        <f t="shared" si="86"/>
        <v>485143</v>
      </c>
      <c r="W77" s="1389"/>
      <c r="X77" s="1744"/>
      <c r="Y77" s="1775"/>
      <c r="AB77" s="1775"/>
    </row>
    <row r="78" spans="1:28" ht="10.5" x14ac:dyDescent="0.25">
      <c r="A78" s="1360">
        <v>9</v>
      </c>
      <c r="B78" s="1361"/>
      <c r="C78" s="1411" t="s">
        <v>205</v>
      </c>
      <c r="D78" s="1741"/>
      <c r="E78" s="1742"/>
      <c r="F78" s="1742"/>
      <c r="G78" s="1742"/>
      <c r="H78" s="1742"/>
      <c r="I78" s="1742"/>
      <c r="J78" s="1742"/>
      <c r="K78" s="1742"/>
      <c r="L78" s="1742"/>
      <c r="M78" s="1743"/>
      <c r="N78" s="1742"/>
      <c r="O78" s="1742"/>
      <c r="P78" s="1742"/>
      <c r="Q78" s="1742"/>
      <c r="R78" s="1742"/>
      <c r="S78" s="1742"/>
      <c r="T78" s="1456">
        <f>SUM(S79:S82)</f>
        <v>4659674.0929475352</v>
      </c>
      <c r="U78" s="1742"/>
      <c r="V78" s="1742"/>
      <c r="W78" s="1355">
        <f>SUM(V79:V82)</f>
        <v>5769056.5999999996</v>
      </c>
      <c r="X78" s="1744">
        <f>+W78/$W$216</f>
        <v>5.1171212408016977E-3</v>
      </c>
      <c r="Y78" s="1711">
        <f>+W78</f>
        <v>5769056.5999999996</v>
      </c>
    </row>
    <row r="79" spans="1:28" ht="10.5" outlineLevel="1" x14ac:dyDescent="0.25">
      <c r="A79" s="1362">
        <v>9.01</v>
      </c>
      <c r="B79" s="1386" t="s">
        <v>83</v>
      </c>
      <c r="C79" s="1745" t="s">
        <v>322</v>
      </c>
      <c r="D79" s="1397" t="s">
        <v>107</v>
      </c>
      <c r="E79" s="1388">
        <v>1</v>
      </c>
      <c r="F79" s="1433">
        <v>0</v>
      </c>
      <c r="G79" s="1433">
        <v>203505.44198054407</v>
      </c>
      <c r="H79" s="1746">
        <f>F79+G79</f>
        <v>203505.44198054407</v>
      </c>
      <c r="I79" s="1433">
        <v>0</v>
      </c>
      <c r="J79" s="1433">
        <v>1383533.8263977272</v>
      </c>
      <c r="K79" s="1746">
        <f t="shared" ref="K79:K82" si="87">I79+J79</f>
        <v>1383533.8263977272</v>
      </c>
      <c r="L79" s="1433">
        <f>+(H79+K79)*0.015</f>
        <v>23805.589025674068</v>
      </c>
      <c r="M79" s="1746">
        <f>H79+K79+L79</f>
        <v>1610844.8574039454</v>
      </c>
      <c r="N79" s="1747">
        <f>F79*E79</f>
        <v>0</v>
      </c>
      <c r="O79" s="1747">
        <f>G79*E79</f>
        <v>203505.44198054407</v>
      </c>
      <c r="P79" s="1747">
        <f>I79*E79</f>
        <v>0</v>
      </c>
      <c r="Q79" s="1747">
        <f>J79*E79</f>
        <v>1383533.8263977272</v>
      </c>
      <c r="R79" s="1747">
        <f>+L79*E79</f>
        <v>23805.589025674068</v>
      </c>
      <c r="S79" s="1748">
        <f>SUM(N79:R79)</f>
        <v>1610844.8574039454</v>
      </c>
      <c r="T79" s="1753"/>
      <c r="U79" s="1365">
        <f>+ROUNDUP(M79*$T$5,0)</f>
        <v>2024643</v>
      </c>
      <c r="V79" s="1365">
        <f>+U79*E79</f>
        <v>2024643</v>
      </c>
      <c r="W79" s="1781"/>
      <c r="X79" s="1794"/>
      <c r="Z79" s="1795"/>
      <c r="AA79" s="1795"/>
    </row>
    <row r="80" spans="1:28" ht="10.5" outlineLevel="1" x14ac:dyDescent="0.25">
      <c r="A80" s="1398">
        <v>9.02</v>
      </c>
      <c r="B80" s="1399" t="s">
        <v>83</v>
      </c>
      <c r="C80" s="1407" t="s">
        <v>323</v>
      </c>
      <c r="D80" s="1400" t="s">
        <v>124</v>
      </c>
      <c r="E80" s="1401">
        <v>122</v>
      </c>
      <c r="F80" s="1749">
        <v>2447.0972090502642</v>
      </c>
      <c r="G80" s="1749">
        <v>0</v>
      </c>
      <c r="H80" s="1750">
        <f>F80+G80</f>
        <v>2447.0972090502642</v>
      </c>
      <c r="I80" s="1749">
        <v>0</v>
      </c>
      <c r="J80" s="1749">
        <v>12299.732995391207</v>
      </c>
      <c r="K80" s="1750">
        <f t="shared" si="87"/>
        <v>12299.732995391207</v>
      </c>
      <c r="L80" s="1749">
        <f>+(H80+K80)*0.015</f>
        <v>221.20245306662204</v>
      </c>
      <c r="M80" s="1750">
        <f>H80+K80+L80</f>
        <v>14968.032657508093</v>
      </c>
      <c r="N80" s="1751">
        <f>F80*E80</f>
        <v>298545.85950413224</v>
      </c>
      <c r="O80" s="1751">
        <f t="shared" ref="O80:O82" si="88">G80*E80</f>
        <v>0</v>
      </c>
      <c r="P80" s="1751">
        <f t="shared" ref="P80:P82" si="89">I80*E80</f>
        <v>0</v>
      </c>
      <c r="Q80" s="1751">
        <f t="shared" ref="Q80:Q82" si="90">J80*E80</f>
        <v>1500567.4254377272</v>
      </c>
      <c r="R80" s="1751">
        <f t="shared" ref="R80:R82" si="91">+L80*E80</f>
        <v>26986.699274127888</v>
      </c>
      <c r="S80" s="1752">
        <f>SUM(N80:R80)</f>
        <v>1826099.9842159874</v>
      </c>
      <c r="T80" s="1465"/>
      <c r="U80" s="1369">
        <f>+ROUNDUP(M80*$T$5,0)</f>
        <v>18814</v>
      </c>
      <c r="V80" s="1369">
        <f>+U80*E80</f>
        <v>2295308</v>
      </c>
      <c r="W80" s="1465"/>
      <c r="X80" s="1794"/>
      <c r="Z80" s="1795"/>
      <c r="AA80" s="1795"/>
    </row>
    <row r="81" spans="1:28" ht="10.5" outlineLevel="1" x14ac:dyDescent="0.25">
      <c r="A81" s="1366">
        <v>9.0299999999999994</v>
      </c>
      <c r="B81" s="1370" t="s">
        <v>83</v>
      </c>
      <c r="C81" s="1396" t="s">
        <v>324</v>
      </c>
      <c r="D81" s="1402" t="s">
        <v>124</v>
      </c>
      <c r="E81" s="1377">
        <v>155</v>
      </c>
      <c r="F81" s="1796"/>
      <c r="G81" s="1778">
        <v>758.10738300000003</v>
      </c>
      <c r="H81" s="1750">
        <f t="shared" ref="H81:H82" si="92">F81+G81</f>
        <v>758.10738300000003</v>
      </c>
      <c r="I81" s="1797"/>
      <c r="J81" s="1778">
        <v>3395.9551113285988</v>
      </c>
      <c r="K81" s="1750">
        <f t="shared" si="87"/>
        <v>3395.9551113285988</v>
      </c>
      <c r="L81" s="1778">
        <v>122.76855228141865</v>
      </c>
      <c r="M81" s="1750">
        <f t="shared" ref="M81:M82" si="93">H81+K81+L81</f>
        <v>4276.8310466100174</v>
      </c>
      <c r="N81" s="1751">
        <f t="shared" ref="N81:N82" si="94">F81*E81</f>
        <v>0</v>
      </c>
      <c r="O81" s="1751">
        <f t="shared" si="88"/>
        <v>117506.644365</v>
      </c>
      <c r="P81" s="1751">
        <f t="shared" si="89"/>
        <v>0</v>
      </c>
      <c r="Q81" s="1751">
        <f t="shared" si="90"/>
        <v>526373.04225593281</v>
      </c>
      <c r="R81" s="1751">
        <f t="shared" si="91"/>
        <v>19029.12560361989</v>
      </c>
      <c r="S81" s="1752">
        <f t="shared" ref="S81:S82" si="95">SUM(N81:R81)</f>
        <v>662908.81222455262</v>
      </c>
      <c r="T81" s="1465"/>
      <c r="U81" s="1369">
        <f>+ROUNDUP(M81*$T$5,0)</f>
        <v>5376</v>
      </c>
      <c r="V81" s="1369">
        <f>+U81*E81</f>
        <v>833280</v>
      </c>
      <c r="W81" s="1465"/>
      <c r="X81" s="1794"/>
    </row>
    <row r="82" spans="1:28" ht="10.5" outlineLevel="1" x14ac:dyDescent="0.25">
      <c r="A82" s="1372">
        <v>9.0399999999999991</v>
      </c>
      <c r="B82" s="1372" t="s">
        <v>83</v>
      </c>
      <c r="C82" s="1410" t="s">
        <v>325</v>
      </c>
      <c r="D82" s="1798" t="s">
        <v>124</v>
      </c>
      <c r="E82" s="1385">
        <v>31.200000000000003</v>
      </c>
      <c r="F82" s="1760">
        <v>7086.2110616656082</v>
      </c>
      <c r="G82" s="1760">
        <v>0</v>
      </c>
      <c r="H82" s="1758">
        <f t="shared" si="92"/>
        <v>7086.2110616656082</v>
      </c>
      <c r="I82" s="1760">
        <v>0</v>
      </c>
      <c r="J82" s="1760">
        <v>10591.584792289481</v>
      </c>
      <c r="K82" s="1758">
        <f t="shared" si="87"/>
        <v>10591.584792289481</v>
      </c>
      <c r="L82" s="1749">
        <f>+(H82+K82)*0.015</f>
        <v>265.16693780932633</v>
      </c>
      <c r="M82" s="1758">
        <f t="shared" si="93"/>
        <v>17942.962791764414</v>
      </c>
      <c r="N82" s="1751">
        <f t="shared" si="94"/>
        <v>221089.78512396698</v>
      </c>
      <c r="O82" s="1751">
        <f t="shared" si="88"/>
        <v>0</v>
      </c>
      <c r="P82" s="1751">
        <f t="shared" si="89"/>
        <v>0</v>
      </c>
      <c r="Q82" s="1751">
        <f t="shared" si="90"/>
        <v>330457.44551943184</v>
      </c>
      <c r="R82" s="1751">
        <f t="shared" si="91"/>
        <v>8273.2084596509831</v>
      </c>
      <c r="S82" s="1752">
        <f t="shared" si="95"/>
        <v>559820.43910304981</v>
      </c>
      <c r="T82" s="1465"/>
      <c r="U82" s="1377">
        <f t="shared" ref="U82" si="96">+ROUNDUP(M82*$T$6,0)</f>
        <v>19738</v>
      </c>
      <c r="V82" s="1377">
        <f t="shared" ref="V82" si="97">+U82*E82</f>
        <v>615825.60000000009</v>
      </c>
      <c r="W82" s="1465"/>
      <c r="X82" s="1794"/>
    </row>
    <row r="83" spans="1:28" ht="10.5" x14ac:dyDescent="0.25">
      <c r="A83" s="1360">
        <v>10</v>
      </c>
      <c r="B83" s="1361"/>
      <c r="C83" s="1411" t="s">
        <v>206</v>
      </c>
      <c r="D83" s="1741"/>
      <c r="E83" s="1742"/>
      <c r="F83" s="1742"/>
      <c r="G83" s="1742"/>
      <c r="H83" s="1742"/>
      <c r="I83" s="1742"/>
      <c r="J83" s="1742"/>
      <c r="K83" s="1742"/>
      <c r="L83" s="1742"/>
      <c r="M83" s="1743"/>
      <c r="N83" s="1742"/>
      <c r="O83" s="1742"/>
      <c r="P83" s="1742"/>
      <c r="Q83" s="1742"/>
      <c r="R83" s="1742"/>
      <c r="S83" s="1742"/>
      <c r="T83" s="1456">
        <f>SUM(S84:S87)</f>
        <v>3714963.4922108371</v>
      </c>
      <c r="U83" s="1742"/>
      <c r="V83" s="1742"/>
      <c r="W83" s="1355">
        <f>SUM(V84:V87)</f>
        <v>4669278</v>
      </c>
      <c r="X83" s="1744">
        <f>+W83/$W$216</f>
        <v>4.1416237159136327E-3</v>
      </c>
      <c r="Y83" s="1711">
        <f>+W83</f>
        <v>4669278</v>
      </c>
    </row>
    <row r="84" spans="1:28" ht="10.5" outlineLevel="1" x14ac:dyDescent="0.25">
      <c r="A84" s="1362">
        <v>10.01</v>
      </c>
      <c r="B84" s="1386" t="s">
        <v>83</v>
      </c>
      <c r="C84" s="1745" t="s">
        <v>963</v>
      </c>
      <c r="D84" s="1403" t="s">
        <v>107</v>
      </c>
      <c r="E84" s="1363">
        <v>0</v>
      </c>
      <c r="F84" s="1799"/>
      <c r="G84" s="1799"/>
      <c r="H84" s="1746">
        <f>F84+G84</f>
        <v>0</v>
      </c>
      <c r="I84" s="1799"/>
      <c r="J84" s="1799"/>
      <c r="K84" s="1746">
        <f>I84+J84</f>
        <v>0</v>
      </c>
      <c r="L84" s="1800"/>
      <c r="M84" s="1746">
        <f t="shared" ref="M84:M86" si="98">H84+K84+L84</f>
        <v>0</v>
      </c>
      <c r="N84" s="1747">
        <f t="shared" ref="N84:N86" si="99">F84*E84</f>
        <v>0</v>
      </c>
      <c r="O84" s="1747">
        <f t="shared" ref="O84:O87" si="100">G84*E84</f>
        <v>0</v>
      </c>
      <c r="P84" s="1747">
        <f t="shared" ref="P84:P86" si="101">I84*E84</f>
        <v>0</v>
      </c>
      <c r="Q84" s="1747">
        <f t="shared" ref="Q84:Q87" si="102">J84*E84</f>
        <v>0</v>
      </c>
      <c r="R84" s="1747">
        <f t="shared" ref="R84:R87" si="103">+L84*E84</f>
        <v>0</v>
      </c>
      <c r="S84" s="1748">
        <f t="shared" ref="S84:S86" si="104">SUM(N84:R84)</f>
        <v>0</v>
      </c>
      <c r="T84" s="1753"/>
      <c r="U84" s="1369">
        <f>+ROUNDUP(M84*$T$5,0)</f>
        <v>0</v>
      </c>
      <c r="V84" s="1369">
        <f>+U84*E84</f>
        <v>0</v>
      </c>
      <c r="X84" s="1744"/>
    </row>
    <row r="85" spans="1:28" ht="10.5" outlineLevel="1" x14ac:dyDescent="0.25">
      <c r="A85" s="1366">
        <v>10.02</v>
      </c>
      <c r="B85" s="1370" t="s">
        <v>83</v>
      </c>
      <c r="C85" s="1396" t="s">
        <v>964</v>
      </c>
      <c r="D85" s="1404" t="s">
        <v>107</v>
      </c>
      <c r="E85" s="1368">
        <v>1</v>
      </c>
      <c r="F85" s="1793">
        <v>700000</v>
      </c>
      <c r="G85" s="1420"/>
      <c r="H85" s="1750">
        <f t="shared" ref="H85:H86" si="105">F85+G85</f>
        <v>700000</v>
      </c>
      <c r="I85" s="1793">
        <f>+F85*1.5</f>
        <v>1050000</v>
      </c>
      <c r="J85" s="1420"/>
      <c r="K85" s="1750">
        <f t="shared" ref="K85:K86" si="106">I85+J85</f>
        <v>1050000</v>
      </c>
      <c r="L85" s="1764"/>
      <c r="M85" s="1750">
        <f t="shared" si="98"/>
        <v>1750000</v>
      </c>
      <c r="N85" s="1751">
        <f t="shared" si="99"/>
        <v>700000</v>
      </c>
      <c r="O85" s="1751">
        <f t="shared" si="100"/>
        <v>0</v>
      </c>
      <c r="P85" s="1751">
        <f t="shared" si="101"/>
        <v>1050000</v>
      </c>
      <c r="Q85" s="1751">
        <f t="shared" si="102"/>
        <v>0</v>
      </c>
      <c r="R85" s="1751">
        <f t="shared" si="103"/>
        <v>0</v>
      </c>
      <c r="S85" s="1752">
        <f t="shared" si="104"/>
        <v>1750000</v>
      </c>
      <c r="T85" s="1753"/>
      <c r="U85" s="1369">
        <f>+ROUNDUP(M85*$T$5,0)</f>
        <v>2199545</v>
      </c>
      <c r="V85" s="1369">
        <f>+U85*E85</f>
        <v>2199545</v>
      </c>
      <c r="W85" s="1405"/>
      <c r="X85" s="1744"/>
    </row>
    <row r="86" spans="1:28" ht="10.5" outlineLevel="1" x14ac:dyDescent="0.25">
      <c r="A86" s="1366">
        <v>10.029999999999999</v>
      </c>
      <c r="B86" s="1370" t="s">
        <v>83</v>
      </c>
      <c r="C86" s="1396" t="s">
        <v>965</v>
      </c>
      <c r="D86" s="1404" t="s">
        <v>104</v>
      </c>
      <c r="E86" s="1368">
        <v>0</v>
      </c>
      <c r="F86" s="1420"/>
      <c r="G86" s="1420"/>
      <c r="H86" s="1750">
        <f t="shared" si="105"/>
        <v>0</v>
      </c>
      <c r="I86" s="1420"/>
      <c r="J86" s="1420"/>
      <c r="K86" s="1750">
        <f t="shared" si="106"/>
        <v>0</v>
      </c>
      <c r="L86" s="1764"/>
      <c r="M86" s="1750">
        <f t="shared" si="98"/>
        <v>0</v>
      </c>
      <c r="N86" s="1751">
        <f t="shared" si="99"/>
        <v>0</v>
      </c>
      <c r="O86" s="1751">
        <f t="shared" si="100"/>
        <v>0</v>
      </c>
      <c r="P86" s="1751">
        <f t="shared" si="101"/>
        <v>0</v>
      </c>
      <c r="Q86" s="1751">
        <f t="shared" si="102"/>
        <v>0</v>
      </c>
      <c r="R86" s="1751">
        <f t="shared" si="103"/>
        <v>0</v>
      </c>
      <c r="S86" s="1752">
        <f t="shared" si="104"/>
        <v>0</v>
      </c>
      <c r="T86" s="1753"/>
      <c r="U86" s="1369">
        <f>+ROUNDUP(M86*$T$5,0)</f>
        <v>0</v>
      </c>
      <c r="V86" s="1369">
        <f>+U86*E86</f>
        <v>0</v>
      </c>
      <c r="X86" s="1744"/>
    </row>
    <row r="87" spans="1:28" s="1776" customFormat="1" ht="10.5" outlineLevel="1" x14ac:dyDescent="0.25">
      <c r="A87" s="1366">
        <v>10.039999999999999</v>
      </c>
      <c r="B87" s="1370" t="s">
        <v>83</v>
      </c>
      <c r="C87" s="1396" t="s">
        <v>326</v>
      </c>
      <c r="D87" s="1376" t="s">
        <v>111</v>
      </c>
      <c r="E87" s="1377">
        <v>7</v>
      </c>
      <c r="F87" s="1801">
        <v>225038.87603305787</v>
      </c>
      <c r="G87" s="1801"/>
      <c r="H87" s="1750">
        <f>F87+G87</f>
        <v>225038.87603305787</v>
      </c>
      <c r="I87" s="1420">
        <v>55670.194282775978</v>
      </c>
      <c r="J87" s="1801"/>
      <c r="K87" s="1750">
        <f>I87+J87</f>
        <v>55670.194282775978</v>
      </c>
      <c r="L87" s="1764"/>
      <c r="M87" s="1750">
        <f>H87+K87+L87</f>
        <v>280709.07031583384</v>
      </c>
      <c r="N87" s="1751">
        <f>F87*E87</f>
        <v>1575272.132231405</v>
      </c>
      <c r="O87" s="1751">
        <f t="shared" si="100"/>
        <v>0</v>
      </c>
      <c r="P87" s="1751">
        <f>I87*E87</f>
        <v>389691.35997943184</v>
      </c>
      <c r="Q87" s="1751">
        <f t="shared" si="102"/>
        <v>0</v>
      </c>
      <c r="R87" s="1751">
        <f t="shared" si="103"/>
        <v>0</v>
      </c>
      <c r="S87" s="1752">
        <f>SUM(N87:R87)</f>
        <v>1964963.4922108368</v>
      </c>
      <c r="T87" s="1753"/>
      <c r="U87" s="1369">
        <f>+ROUNDUP(M87*$T$5,0)</f>
        <v>352819</v>
      </c>
      <c r="V87" s="1369">
        <f>+U87*E87</f>
        <v>2469733</v>
      </c>
      <c r="W87" s="1389"/>
      <c r="X87" s="1744"/>
      <c r="Y87" s="1775"/>
      <c r="AB87" s="1775"/>
    </row>
    <row r="88" spans="1:28" ht="10.5" x14ac:dyDescent="0.25">
      <c r="A88" s="1360">
        <v>11</v>
      </c>
      <c r="B88" s="1361"/>
      <c r="C88" s="1411" t="s">
        <v>207</v>
      </c>
      <c r="D88" s="1741"/>
      <c r="E88" s="1742"/>
      <c r="F88" s="1742"/>
      <c r="G88" s="1742"/>
      <c r="H88" s="1742"/>
      <c r="I88" s="1742"/>
      <c r="J88" s="1742"/>
      <c r="K88" s="1742"/>
      <c r="L88" s="1742"/>
      <c r="M88" s="1743"/>
      <c r="N88" s="1742"/>
      <c r="O88" s="1742"/>
      <c r="P88" s="1742"/>
      <c r="Q88" s="1742"/>
      <c r="R88" s="1742"/>
      <c r="S88" s="1742"/>
      <c r="T88" s="1456">
        <f>SUM(S89:S95)</f>
        <v>38221919.229422204</v>
      </c>
      <c r="U88" s="1742"/>
      <c r="V88" s="1742"/>
      <c r="W88" s="1355">
        <f>SUM(V89:V95)</f>
        <v>48040802</v>
      </c>
      <c r="X88" s="1744">
        <f>+W88/$W$216</f>
        <v>4.2611925204434409E-2</v>
      </c>
      <c r="Y88" s="1711">
        <f>+W88</f>
        <v>48040802</v>
      </c>
    </row>
    <row r="89" spans="1:28" ht="10.5" outlineLevel="1" x14ac:dyDescent="0.25">
      <c r="A89" s="1362">
        <v>11.01</v>
      </c>
      <c r="B89" s="1386" t="s">
        <v>75</v>
      </c>
      <c r="C89" s="1745" t="s">
        <v>966</v>
      </c>
      <c r="D89" s="1397" t="s">
        <v>109</v>
      </c>
      <c r="E89" s="1388">
        <v>30</v>
      </c>
      <c r="F89" s="1433"/>
      <c r="G89" s="1773">
        <v>7250.1086533719017</v>
      </c>
      <c r="H89" s="1746">
        <f>F89+G89</f>
        <v>7250.1086533719017</v>
      </c>
      <c r="I89" s="1433"/>
      <c r="J89" s="1773">
        <v>9992.0861533187654</v>
      </c>
      <c r="K89" s="1746">
        <f>I89+J89</f>
        <v>9992.0861533187654</v>
      </c>
      <c r="L89" s="1773">
        <v>219.89812852357096</v>
      </c>
      <c r="M89" s="1746">
        <f t="shared" ref="M89:M94" si="107">H89+K89+L89</f>
        <v>17462.092935214238</v>
      </c>
      <c r="N89" s="1747">
        <f t="shared" ref="N89:N94" si="108">F89*E89</f>
        <v>0</v>
      </c>
      <c r="O89" s="1747">
        <f t="shared" ref="O89:O94" si="109">G89*E89</f>
        <v>217503.25960115704</v>
      </c>
      <c r="P89" s="1747">
        <f t="shared" ref="P89:P94" si="110">I89*E89</f>
        <v>0</v>
      </c>
      <c r="Q89" s="1747">
        <f t="shared" ref="Q89:Q95" si="111">J89*E89</f>
        <v>299762.58459956298</v>
      </c>
      <c r="R89" s="1747">
        <f t="shared" ref="R89:R94" si="112">+L89*E89</f>
        <v>6596.9438557071289</v>
      </c>
      <c r="S89" s="1748">
        <f t="shared" ref="S89:S94" si="113">SUM(N89:R89)</f>
        <v>523862.78805642715</v>
      </c>
      <c r="T89" s="1791"/>
      <c r="U89" s="1369">
        <f t="shared" ref="U89:U95" si="114">+ROUNDUP(M89*$T$5,0)</f>
        <v>21948</v>
      </c>
      <c r="V89" s="1369">
        <f t="shared" ref="V89:V95" si="115">+U89*E89</f>
        <v>658440</v>
      </c>
      <c r="W89" s="1781"/>
      <c r="X89" s="1794"/>
    </row>
    <row r="90" spans="1:28" ht="10.5" outlineLevel="1" x14ac:dyDescent="0.25">
      <c r="A90" s="1366">
        <v>11.02</v>
      </c>
      <c r="B90" s="1370" t="s">
        <v>75</v>
      </c>
      <c r="C90" s="1396" t="s">
        <v>967</v>
      </c>
      <c r="D90" s="1402" t="s">
        <v>109</v>
      </c>
      <c r="E90" s="1377">
        <v>185</v>
      </c>
      <c r="F90" s="1749"/>
      <c r="G90" s="1778">
        <v>7250.1086533719017</v>
      </c>
      <c r="H90" s="1750">
        <f>F90+G90</f>
        <v>7250.1086533719017</v>
      </c>
      <c r="I90" s="1749"/>
      <c r="J90" s="1778">
        <v>9992.0861533187654</v>
      </c>
      <c r="K90" s="1750">
        <f>I90+J90</f>
        <v>9992.0861533187654</v>
      </c>
      <c r="L90" s="1778">
        <v>219.89812852357096</v>
      </c>
      <c r="M90" s="1750">
        <f t="shared" si="107"/>
        <v>17462.092935214238</v>
      </c>
      <c r="N90" s="1751">
        <f t="shared" si="108"/>
        <v>0</v>
      </c>
      <c r="O90" s="1751">
        <f t="shared" si="109"/>
        <v>1341270.1008738019</v>
      </c>
      <c r="P90" s="1751">
        <f t="shared" si="110"/>
        <v>0</v>
      </c>
      <c r="Q90" s="1751">
        <f t="shared" si="111"/>
        <v>1848535.9383639717</v>
      </c>
      <c r="R90" s="1751">
        <f t="shared" si="112"/>
        <v>40681.153776860629</v>
      </c>
      <c r="S90" s="1752">
        <f t="shared" si="113"/>
        <v>3230487.1930146343</v>
      </c>
      <c r="T90" s="1465"/>
      <c r="U90" s="1369">
        <f t="shared" si="114"/>
        <v>21948</v>
      </c>
      <c r="V90" s="1369">
        <f t="shared" si="115"/>
        <v>4060380</v>
      </c>
      <c r="W90" s="1465"/>
      <c r="X90" s="1794"/>
    </row>
    <row r="91" spans="1:28" ht="10.5" outlineLevel="1" x14ac:dyDescent="0.25">
      <c r="A91" s="1366">
        <v>11.03</v>
      </c>
      <c r="B91" s="1370" t="s">
        <v>75</v>
      </c>
      <c r="C91" s="1396" t="s">
        <v>968</v>
      </c>
      <c r="D91" s="1402" t="s">
        <v>109</v>
      </c>
      <c r="E91" s="1377">
        <v>942</v>
      </c>
      <c r="F91" s="1749"/>
      <c r="G91" s="1778">
        <v>7250.1086533719017</v>
      </c>
      <c r="H91" s="1750">
        <f t="shared" ref="H91:H94" si="116">F91+G91</f>
        <v>7250.1086533719017</v>
      </c>
      <c r="I91" s="1749"/>
      <c r="J91" s="1778">
        <v>9992.0861533187654</v>
      </c>
      <c r="K91" s="1750">
        <f t="shared" ref="K91:K95" si="117">I91+J91</f>
        <v>9992.0861533187654</v>
      </c>
      <c r="L91" s="1778">
        <v>219.89812852357096</v>
      </c>
      <c r="M91" s="1750">
        <f t="shared" si="107"/>
        <v>17462.092935214238</v>
      </c>
      <c r="N91" s="1751">
        <f t="shared" si="108"/>
        <v>0</v>
      </c>
      <c r="O91" s="1751">
        <f t="shared" si="109"/>
        <v>6829602.3514763312</v>
      </c>
      <c r="P91" s="1751">
        <f t="shared" si="110"/>
        <v>0</v>
      </c>
      <c r="Q91" s="1751">
        <f t="shared" si="111"/>
        <v>9412545.156426277</v>
      </c>
      <c r="R91" s="1751">
        <f t="shared" si="112"/>
        <v>207144.03706920386</v>
      </c>
      <c r="S91" s="1752">
        <f t="shared" si="113"/>
        <v>16449291.544971811</v>
      </c>
      <c r="T91" s="1465"/>
      <c r="U91" s="1369">
        <f t="shared" si="114"/>
        <v>21948</v>
      </c>
      <c r="V91" s="1369">
        <f t="shared" si="115"/>
        <v>20675016</v>
      </c>
      <c r="W91" s="1465"/>
      <c r="X91" s="1794"/>
    </row>
    <row r="92" spans="1:28" ht="10.5" outlineLevel="1" x14ac:dyDescent="0.25">
      <c r="A92" s="1366">
        <v>11.04</v>
      </c>
      <c r="B92" s="1370" t="s">
        <v>75</v>
      </c>
      <c r="C92" s="1396" t="s">
        <v>969</v>
      </c>
      <c r="D92" s="1402" t="s">
        <v>109</v>
      </c>
      <c r="E92" s="1377">
        <v>110</v>
      </c>
      <c r="F92" s="1749"/>
      <c r="G92" s="1778">
        <v>7250.1086533719017</v>
      </c>
      <c r="H92" s="1750">
        <f t="shared" si="116"/>
        <v>7250.1086533719017</v>
      </c>
      <c r="I92" s="1749"/>
      <c r="J92" s="1778">
        <v>12989.711999314395</v>
      </c>
      <c r="K92" s="1750">
        <f t="shared" si="117"/>
        <v>12989.711999314395</v>
      </c>
      <c r="L92" s="1778">
        <v>285.86756708064229</v>
      </c>
      <c r="M92" s="1750">
        <f t="shared" si="107"/>
        <v>20525.688219766937</v>
      </c>
      <c r="N92" s="1751">
        <f t="shared" si="108"/>
        <v>0</v>
      </c>
      <c r="O92" s="1751">
        <f t="shared" si="109"/>
        <v>797511.95187090919</v>
      </c>
      <c r="P92" s="1751">
        <f t="shared" si="110"/>
        <v>0</v>
      </c>
      <c r="Q92" s="1751">
        <f t="shared" si="111"/>
        <v>1428868.3199245834</v>
      </c>
      <c r="R92" s="1751">
        <f t="shared" si="112"/>
        <v>31445.432378870653</v>
      </c>
      <c r="S92" s="1752">
        <f t="shared" si="113"/>
        <v>2257825.7041743631</v>
      </c>
      <c r="T92" s="1465"/>
      <c r="U92" s="1369">
        <f t="shared" si="114"/>
        <v>25799</v>
      </c>
      <c r="V92" s="1369">
        <f t="shared" si="115"/>
        <v>2837890</v>
      </c>
      <c r="W92" s="1465"/>
      <c r="X92" s="1794"/>
    </row>
    <row r="93" spans="1:28" s="1776" customFormat="1" ht="10.5" outlineLevel="1" x14ac:dyDescent="0.25">
      <c r="A93" s="1366">
        <v>11.05</v>
      </c>
      <c r="B93" s="1370" t="s">
        <v>75</v>
      </c>
      <c r="C93" s="1396" t="s">
        <v>327</v>
      </c>
      <c r="D93" s="1376" t="s">
        <v>109</v>
      </c>
      <c r="E93" s="1377">
        <v>128</v>
      </c>
      <c r="F93" s="1749"/>
      <c r="G93" s="1778">
        <v>3816.1086480000013</v>
      </c>
      <c r="H93" s="1750">
        <f t="shared" si="116"/>
        <v>3816.1086480000013</v>
      </c>
      <c r="I93" s="1749"/>
      <c r="J93" s="1778">
        <v>8702.6232034659097</v>
      </c>
      <c r="K93" s="1750">
        <f t="shared" si="117"/>
        <v>8702.6232034659097</v>
      </c>
      <c r="L93" s="1778">
        <v>274.73130856678659</v>
      </c>
      <c r="M93" s="1750">
        <f t="shared" si="107"/>
        <v>12793.463160032697</v>
      </c>
      <c r="N93" s="1751">
        <f t="shared" si="108"/>
        <v>0</v>
      </c>
      <c r="O93" s="1751">
        <f t="shared" si="109"/>
        <v>488461.90694400016</v>
      </c>
      <c r="P93" s="1751">
        <f t="shared" si="110"/>
        <v>0</v>
      </c>
      <c r="Q93" s="1751">
        <f t="shared" si="111"/>
        <v>1113935.7700436364</v>
      </c>
      <c r="R93" s="1751">
        <f t="shared" si="112"/>
        <v>35165.607496548684</v>
      </c>
      <c r="S93" s="1752">
        <f t="shared" si="113"/>
        <v>1637563.2844841853</v>
      </c>
      <c r="T93" s="1465"/>
      <c r="U93" s="1369">
        <f t="shared" si="114"/>
        <v>16080</v>
      </c>
      <c r="V93" s="1369">
        <f t="shared" si="115"/>
        <v>2058240</v>
      </c>
      <c r="W93" s="1389"/>
      <c r="X93" s="1744"/>
      <c r="Y93" s="1775"/>
      <c r="AB93" s="1775"/>
    </row>
    <row r="94" spans="1:28" ht="10.5" outlineLevel="1" x14ac:dyDescent="0.25">
      <c r="A94" s="1366">
        <v>11.06</v>
      </c>
      <c r="B94" s="1370" t="s">
        <v>75</v>
      </c>
      <c r="C94" s="1396" t="s">
        <v>970</v>
      </c>
      <c r="D94" s="1402" t="s">
        <v>109</v>
      </c>
      <c r="E94" s="1377">
        <v>48</v>
      </c>
      <c r="F94" s="1749"/>
      <c r="G94" s="1778">
        <v>7250.1086533719017</v>
      </c>
      <c r="H94" s="1750">
        <f t="shared" si="116"/>
        <v>7250.1086533719017</v>
      </c>
      <c r="I94" s="1749"/>
      <c r="J94" s="1778">
        <v>9992.0861533187654</v>
      </c>
      <c r="K94" s="1750">
        <f t="shared" si="117"/>
        <v>9992.0861533187654</v>
      </c>
      <c r="L94" s="1778">
        <v>219.89812852357096</v>
      </c>
      <c r="M94" s="1750">
        <f t="shared" si="107"/>
        <v>17462.092935214238</v>
      </c>
      <c r="N94" s="1751">
        <f t="shared" si="108"/>
        <v>0</v>
      </c>
      <c r="O94" s="1751">
        <f t="shared" si="109"/>
        <v>348005.21536185127</v>
      </c>
      <c r="P94" s="1751">
        <f t="shared" si="110"/>
        <v>0</v>
      </c>
      <c r="Q94" s="1751">
        <f t="shared" si="111"/>
        <v>479620.13535930077</v>
      </c>
      <c r="R94" s="1751">
        <f t="shared" si="112"/>
        <v>10555.110169131407</v>
      </c>
      <c r="S94" s="1752">
        <f t="shared" si="113"/>
        <v>838180.46089028346</v>
      </c>
      <c r="T94" s="1465"/>
      <c r="U94" s="1369">
        <f t="shared" si="114"/>
        <v>21948</v>
      </c>
      <c r="V94" s="1369">
        <f t="shared" si="115"/>
        <v>1053504</v>
      </c>
      <c r="W94" s="1781"/>
      <c r="X94" s="1794"/>
    </row>
    <row r="95" spans="1:28" ht="10.5" outlineLevel="1" x14ac:dyDescent="0.25">
      <c r="A95" s="1366">
        <v>11.07</v>
      </c>
      <c r="B95" s="1372" t="s">
        <v>79</v>
      </c>
      <c r="C95" s="1756" t="s">
        <v>328</v>
      </c>
      <c r="D95" s="1406" t="s">
        <v>109</v>
      </c>
      <c r="E95" s="1385">
        <v>226</v>
      </c>
      <c r="F95" s="1760">
        <v>44376.421876106186</v>
      </c>
      <c r="G95" s="1760">
        <v>0</v>
      </c>
      <c r="H95" s="1758">
        <f>F95+G95</f>
        <v>44376.421876106186</v>
      </c>
      <c r="I95" s="1760">
        <v>1659.2920353982302</v>
      </c>
      <c r="J95" s="1760">
        <v>11877.483062341447</v>
      </c>
      <c r="K95" s="1758">
        <f t="shared" si="117"/>
        <v>13536.775097739677</v>
      </c>
      <c r="L95" s="1760">
        <f>(H95+K95)*0.015</f>
        <v>868.69795460768796</v>
      </c>
      <c r="M95" s="1758">
        <f>H95+K95+L95</f>
        <v>58781.894928453556</v>
      </c>
      <c r="N95" s="1761">
        <f>F95*E95</f>
        <v>10029071.343999999</v>
      </c>
      <c r="O95" s="1761">
        <f>G95*E95</f>
        <v>0</v>
      </c>
      <c r="P95" s="1761">
        <f>I95*E95</f>
        <v>375000</v>
      </c>
      <c r="Q95" s="1761">
        <f t="shared" si="111"/>
        <v>2684311.1720891669</v>
      </c>
      <c r="R95" s="1761">
        <f>+L95*E95</f>
        <v>196325.73774133748</v>
      </c>
      <c r="S95" s="1762">
        <f>SUM(N95:R95)</f>
        <v>13284708.253830504</v>
      </c>
      <c r="T95" s="1791"/>
      <c r="U95" s="1369">
        <f t="shared" si="114"/>
        <v>73882</v>
      </c>
      <c r="V95" s="1369">
        <f t="shared" si="115"/>
        <v>16697332</v>
      </c>
      <c r="W95" s="1465"/>
      <c r="X95" s="1794"/>
    </row>
    <row r="96" spans="1:28" ht="10.5" x14ac:dyDescent="0.25">
      <c r="A96" s="1360">
        <v>12</v>
      </c>
      <c r="B96" s="1361"/>
      <c r="C96" s="1411" t="s">
        <v>329</v>
      </c>
      <c r="D96" s="1741"/>
      <c r="E96" s="1742"/>
      <c r="F96" s="1742"/>
      <c r="G96" s="1742"/>
      <c r="H96" s="1742"/>
      <c r="I96" s="1742"/>
      <c r="J96" s="1742"/>
      <c r="K96" s="1742"/>
      <c r="L96" s="1742"/>
      <c r="M96" s="1743"/>
      <c r="N96" s="1742"/>
      <c r="O96" s="1742"/>
      <c r="P96" s="1742"/>
      <c r="Q96" s="1742"/>
      <c r="R96" s="1742"/>
      <c r="S96" s="1742"/>
      <c r="T96" s="1456">
        <f>SUM(S97:S101)</f>
        <v>8769049.6313986629</v>
      </c>
      <c r="U96" s="1742"/>
      <c r="V96" s="1742"/>
      <c r="W96" s="1355">
        <f>SUM(V97:V101)</f>
        <v>11022518</v>
      </c>
      <c r="X96" s="1744">
        <f>+W96/$W$216</f>
        <v>9.7769123958532569E-3</v>
      </c>
      <c r="Y96" s="1711">
        <f>+W96</f>
        <v>11022518</v>
      </c>
    </row>
    <row r="97" spans="1:28" ht="10.5" outlineLevel="1" x14ac:dyDescent="0.25">
      <c r="A97" s="1362">
        <f>+A96+0.01</f>
        <v>12.01</v>
      </c>
      <c r="B97" s="1386" t="s">
        <v>79</v>
      </c>
      <c r="C97" s="1745" t="s">
        <v>330</v>
      </c>
      <c r="D97" s="1397" t="s">
        <v>124</v>
      </c>
      <c r="E97" s="1388">
        <v>779</v>
      </c>
      <c r="F97" s="1433">
        <v>3132.231404958678</v>
      </c>
      <c r="G97" s="1433">
        <v>0</v>
      </c>
      <c r="H97" s="1746">
        <f>F97+G97</f>
        <v>3132.231404958678</v>
      </c>
      <c r="I97" s="1433">
        <v>0</v>
      </c>
      <c r="J97" s="1433">
        <v>2684.888248793714</v>
      </c>
      <c r="K97" s="1746">
        <f>I97+J97</f>
        <v>2684.888248793714</v>
      </c>
      <c r="L97" s="1433">
        <f>(H97+K97)*0.015</f>
        <v>87.256794806285882</v>
      </c>
      <c r="M97" s="1746">
        <f>H97+K97+L97</f>
        <v>5904.376448558678</v>
      </c>
      <c r="N97" s="1747">
        <f>F97*E97</f>
        <v>2440008.26446281</v>
      </c>
      <c r="O97" s="1747">
        <f>G97*E97</f>
        <v>0</v>
      </c>
      <c r="P97" s="1747">
        <f>I97*E97</f>
        <v>0</v>
      </c>
      <c r="Q97" s="1747">
        <f>J97*E97</f>
        <v>2091527.9458103031</v>
      </c>
      <c r="R97" s="1747">
        <f>+L97*E97</f>
        <v>67973.043154096697</v>
      </c>
      <c r="S97" s="1748">
        <f>SUM(N97:R97)</f>
        <v>4599509.2534272093</v>
      </c>
      <c r="T97" s="1753"/>
      <c r="U97" s="1369">
        <f>+ROUNDUP(M97*$T$5,0)</f>
        <v>7422</v>
      </c>
      <c r="V97" s="1369">
        <f>+U97*E97</f>
        <v>5781738</v>
      </c>
      <c r="X97" s="1744"/>
    </row>
    <row r="98" spans="1:28" ht="10.5" outlineLevel="1" x14ac:dyDescent="0.25">
      <c r="A98" s="1398">
        <v>12.02</v>
      </c>
      <c r="B98" s="1399" t="s">
        <v>75</v>
      </c>
      <c r="C98" s="1396" t="s">
        <v>324</v>
      </c>
      <c r="D98" s="1400" t="s">
        <v>124</v>
      </c>
      <c r="E98" s="1401">
        <v>155</v>
      </c>
      <c r="F98" s="1802"/>
      <c r="G98" s="1778">
        <v>758.10738300000003</v>
      </c>
      <c r="H98" s="1750">
        <f>F98+G98</f>
        <v>758.10738300000003</v>
      </c>
      <c r="I98" s="1802"/>
      <c r="J98" s="1778">
        <v>3395.9551113285988</v>
      </c>
      <c r="K98" s="1750">
        <f>I98+J98</f>
        <v>3395.9551113285988</v>
      </c>
      <c r="L98" s="1778">
        <v>122.76855228141865</v>
      </c>
      <c r="M98" s="1750">
        <f>H98+K98+L98</f>
        <v>4276.8310466100174</v>
      </c>
      <c r="N98" s="1751">
        <f>F98*E98</f>
        <v>0</v>
      </c>
      <c r="O98" s="1751">
        <f>G98*E98</f>
        <v>117506.644365</v>
      </c>
      <c r="P98" s="1751">
        <f>I98*E98</f>
        <v>0</v>
      </c>
      <c r="Q98" s="1751">
        <f>J98*E98</f>
        <v>526373.04225593281</v>
      </c>
      <c r="R98" s="1751">
        <f>+L98*E98</f>
        <v>19029.12560361989</v>
      </c>
      <c r="S98" s="1752">
        <f>SUM(N98:R98)</f>
        <v>662908.81222455262</v>
      </c>
      <c r="T98" s="1753"/>
      <c r="U98" s="1369">
        <f>+ROUNDUP(M98*$T$5,0)</f>
        <v>5376</v>
      </c>
      <c r="V98" s="1369">
        <f>+U98*E98</f>
        <v>833280</v>
      </c>
      <c r="X98" s="1744"/>
    </row>
    <row r="99" spans="1:28" ht="10.5" outlineLevel="1" x14ac:dyDescent="0.25">
      <c r="A99" s="1398">
        <v>12.03</v>
      </c>
      <c r="B99" s="1399" t="s">
        <v>75</v>
      </c>
      <c r="C99" s="1407" t="s">
        <v>971</v>
      </c>
      <c r="D99" s="1400" t="s">
        <v>124</v>
      </c>
      <c r="E99" s="1401">
        <v>37</v>
      </c>
      <c r="F99" s="1802"/>
      <c r="G99" s="1778">
        <v>1185.4173163966941</v>
      </c>
      <c r="H99" s="1750">
        <f>F99+G99</f>
        <v>1185.4173163966941</v>
      </c>
      <c r="I99" s="1802"/>
      <c r="J99" s="1778">
        <v>4329.9039997714654</v>
      </c>
      <c r="K99" s="1750">
        <f>I99+J99</f>
        <v>4329.9039997714654</v>
      </c>
      <c r="L99" s="1778">
        <v>95.289189026880749</v>
      </c>
      <c r="M99" s="1750">
        <f>H99+K99+L99</f>
        <v>5610.6105051950408</v>
      </c>
      <c r="N99" s="1751">
        <f>F99*E99</f>
        <v>0</v>
      </c>
      <c r="O99" s="1751">
        <f>G99*E99</f>
        <v>43860.440706677684</v>
      </c>
      <c r="P99" s="1751">
        <f>I99*E99</f>
        <v>0</v>
      </c>
      <c r="Q99" s="1751">
        <f>J99*E99</f>
        <v>160206.44799154421</v>
      </c>
      <c r="R99" s="1751">
        <f>+L99*E99</f>
        <v>3525.6999939945877</v>
      </c>
      <c r="S99" s="1752">
        <f>SUM(N99:R99)</f>
        <v>207592.58869221646</v>
      </c>
      <c r="T99" s="1753"/>
      <c r="U99" s="1369">
        <f>+ROUNDUP(M99*$T$5,0)</f>
        <v>7052</v>
      </c>
      <c r="V99" s="1369">
        <f>+U99*E99</f>
        <v>260924</v>
      </c>
      <c r="X99" s="1744"/>
    </row>
    <row r="100" spans="1:28" ht="10.5" outlineLevel="1" x14ac:dyDescent="0.25">
      <c r="A100" s="1398">
        <v>12.04</v>
      </c>
      <c r="B100" s="1399" t="s">
        <v>75</v>
      </c>
      <c r="C100" s="1407" t="s">
        <v>972</v>
      </c>
      <c r="D100" s="1400" t="s">
        <v>124</v>
      </c>
      <c r="E100" s="1401">
        <v>433</v>
      </c>
      <c r="F100" s="1802"/>
      <c r="G100" s="1778">
        <v>1185.4173163966941</v>
      </c>
      <c r="H100" s="1750">
        <f>F100+G100</f>
        <v>1185.4173163966941</v>
      </c>
      <c r="I100" s="1802"/>
      <c r="J100" s="1778">
        <v>4329.9039997714654</v>
      </c>
      <c r="K100" s="1750">
        <f>I100+J100</f>
        <v>4329.9039997714654</v>
      </c>
      <c r="L100" s="1778">
        <v>95.289189026880749</v>
      </c>
      <c r="M100" s="1750">
        <f>H100+K100+L100</f>
        <v>5610.6105051950408</v>
      </c>
      <c r="N100" s="1751">
        <f>F100*E100</f>
        <v>0</v>
      </c>
      <c r="O100" s="1751">
        <f>G100*E100</f>
        <v>513285.69799976854</v>
      </c>
      <c r="P100" s="1751">
        <f>I100*E100</f>
        <v>0</v>
      </c>
      <c r="Q100" s="1751">
        <f>J100*E100</f>
        <v>1874848.4319010444</v>
      </c>
      <c r="R100" s="1751">
        <f>+L100*E100</f>
        <v>41260.218848639364</v>
      </c>
      <c r="S100" s="1752">
        <f>SUM(N100:R100)</f>
        <v>2429394.3487494523</v>
      </c>
      <c r="T100" s="1753"/>
      <c r="U100" s="1369">
        <f>+ROUNDUP(M100*$T$5,0)</f>
        <v>7052</v>
      </c>
      <c r="V100" s="1369">
        <f>+U100*E100</f>
        <v>3053516</v>
      </c>
      <c r="X100" s="1744"/>
    </row>
    <row r="101" spans="1:28" ht="10.5" outlineLevel="1" x14ac:dyDescent="0.25">
      <c r="A101" s="1366">
        <v>12.05</v>
      </c>
      <c r="B101" s="1370" t="s">
        <v>75</v>
      </c>
      <c r="C101" s="1407" t="s">
        <v>973</v>
      </c>
      <c r="D101" s="1402" t="s">
        <v>124</v>
      </c>
      <c r="E101" s="1377">
        <v>155</v>
      </c>
      <c r="F101" s="1749"/>
      <c r="G101" s="1778">
        <v>1185.4173163966941</v>
      </c>
      <c r="H101" s="1750">
        <f>F101+G101</f>
        <v>1185.4173163966941</v>
      </c>
      <c r="I101" s="1749"/>
      <c r="J101" s="1778">
        <v>4329.9039997714654</v>
      </c>
      <c r="K101" s="1750">
        <f>I101+J101</f>
        <v>4329.9039997714654</v>
      </c>
      <c r="L101" s="1778">
        <v>95.289189026880749</v>
      </c>
      <c r="M101" s="1750">
        <f>H101+K101+L101</f>
        <v>5610.6105051950408</v>
      </c>
      <c r="N101" s="1751">
        <f>F101*E101</f>
        <v>0</v>
      </c>
      <c r="O101" s="1751">
        <f>G101*E101</f>
        <v>183739.68404148758</v>
      </c>
      <c r="P101" s="1751">
        <f>I101*E101</f>
        <v>0</v>
      </c>
      <c r="Q101" s="1751">
        <f>J101*E101</f>
        <v>671135.11996457714</v>
      </c>
      <c r="R101" s="1751">
        <f>+L101*E101</f>
        <v>14769.824299166516</v>
      </c>
      <c r="S101" s="1752">
        <f>SUM(N101:R101)</f>
        <v>869644.62830523134</v>
      </c>
      <c r="T101" s="1753"/>
      <c r="U101" s="1369">
        <f>+ROUNDUP(M101*$T$5,0)</f>
        <v>7052</v>
      </c>
      <c r="V101" s="1369">
        <f>+U101*E101</f>
        <v>1093060</v>
      </c>
      <c r="X101" s="1744"/>
    </row>
    <row r="102" spans="1:28" ht="10.5" x14ac:dyDescent="0.25">
      <c r="A102" s="1360">
        <v>13</v>
      </c>
      <c r="B102" s="1361"/>
      <c r="C102" s="1411" t="s">
        <v>331</v>
      </c>
      <c r="D102" s="1741"/>
      <c r="E102" s="1742"/>
      <c r="F102" s="1742"/>
      <c r="G102" s="1742"/>
      <c r="H102" s="1742"/>
      <c r="I102" s="1742"/>
      <c r="J102" s="1742"/>
      <c r="K102" s="1742"/>
      <c r="L102" s="1742"/>
      <c r="M102" s="1743"/>
      <c r="N102" s="1742"/>
      <c r="O102" s="1742"/>
      <c r="P102" s="1742"/>
      <c r="Q102" s="1742"/>
      <c r="R102" s="1742"/>
      <c r="S102" s="1742"/>
      <c r="T102" s="1456">
        <f>SUM(S103:S106)</f>
        <v>15460934.564319279</v>
      </c>
      <c r="U102" s="1742"/>
      <c r="V102" s="1742"/>
      <c r="W102" s="1355">
        <f>SUM(V103:V106)</f>
        <v>19433086.480999999</v>
      </c>
      <c r="X102" s="1744">
        <f>+W102/$W$216</f>
        <v>1.7237040039832754E-2</v>
      </c>
      <c r="Y102" s="1711">
        <f>+W102</f>
        <v>19433086.480999999</v>
      </c>
    </row>
    <row r="103" spans="1:28" ht="10.5" outlineLevel="1" x14ac:dyDescent="0.25">
      <c r="A103" s="1370">
        <v>13.01</v>
      </c>
      <c r="B103" s="1370" t="s">
        <v>75</v>
      </c>
      <c r="C103" s="1396" t="s">
        <v>974</v>
      </c>
      <c r="D103" s="1404" t="s">
        <v>109</v>
      </c>
      <c r="E103" s="1368">
        <v>511</v>
      </c>
      <c r="F103" s="1778"/>
      <c r="G103" s="1778">
        <v>7250.1086533719017</v>
      </c>
      <c r="H103" s="1750">
        <f>F103+G103</f>
        <v>7250.1086533719017</v>
      </c>
      <c r="I103" s="1778"/>
      <c r="J103" s="1778">
        <v>12989.711999314395</v>
      </c>
      <c r="K103" s="1750">
        <f>I103+J103</f>
        <v>12989.711999314395</v>
      </c>
      <c r="L103" s="1778">
        <v>285.86756708064229</v>
      </c>
      <c r="M103" s="1750">
        <f>H103+K103+L103</f>
        <v>20525.688219766937</v>
      </c>
      <c r="N103" s="1751">
        <f>F103*E103</f>
        <v>0</v>
      </c>
      <c r="O103" s="1751">
        <f>G103*E103</f>
        <v>3704805.521873042</v>
      </c>
      <c r="P103" s="1751">
        <f>I103*E103</f>
        <v>0</v>
      </c>
      <c r="Q103" s="1751">
        <f>J103*E103</f>
        <v>6637742.8316496555</v>
      </c>
      <c r="R103" s="1751">
        <f>+L103*E103</f>
        <v>146078.3267782082</v>
      </c>
      <c r="S103" s="1752">
        <f>SUM(N103:R103)</f>
        <v>10488626.680300906</v>
      </c>
      <c r="T103" s="1465"/>
      <c r="U103" s="1369">
        <f>+ROUNDUP(M103*$T$5,0)</f>
        <v>25799</v>
      </c>
      <c r="V103" s="1369">
        <f>+U103*E103</f>
        <v>13183289</v>
      </c>
      <c r="X103" s="1744"/>
    </row>
    <row r="104" spans="1:28" ht="10.5" outlineLevel="1" x14ac:dyDescent="0.25">
      <c r="A104" s="1370">
        <v>13.02</v>
      </c>
      <c r="B104" s="1370"/>
      <c r="C104" s="1396" t="s">
        <v>975</v>
      </c>
      <c r="D104" s="1404" t="s">
        <v>109</v>
      </c>
      <c r="E104" s="1368">
        <v>40</v>
      </c>
      <c r="F104" s="1778"/>
      <c r="G104" s="1778">
        <v>7250.1086533719017</v>
      </c>
      <c r="H104" s="1750">
        <f>F104+G104</f>
        <v>7250.1086533719017</v>
      </c>
      <c r="I104" s="1778"/>
      <c r="J104" s="1778">
        <v>12989.711999314395</v>
      </c>
      <c r="K104" s="1750">
        <f>I104+J104</f>
        <v>12989.711999314395</v>
      </c>
      <c r="L104" s="1778">
        <v>285.86756708064229</v>
      </c>
      <c r="M104" s="1750">
        <f>H104+K104+L104</f>
        <v>20525.688219766937</v>
      </c>
      <c r="N104" s="1751">
        <f>F104*E104</f>
        <v>0</v>
      </c>
      <c r="O104" s="1751">
        <f>G104*E104</f>
        <v>290004.34613487608</v>
      </c>
      <c r="P104" s="1751">
        <f>I104*E104</f>
        <v>0</v>
      </c>
      <c r="Q104" s="1751">
        <f>J104*E104</f>
        <v>519588.47997257579</v>
      </c>
      <c r="R104" s="1751">
        <f>+L104*E104</f>
        <v>11434.702683225692</v>
      </c>
      <c r="S104" s="1752">
        <f>SUM(N104:R104)</f>
        <v>821027.52879067766</v>
      </c>
      <c r="T104" s="1465"/>
      <c r="U104" s="1369">
        <f>+ROUNDUP(M104*$T$5,0)</f>
        <v>25799</v>
      </c>
      <c r="V104" s="1369">
        <f>+U104*E104</f>
        <v>1031960</v>
      </c>
      <c r="X104" s="1744"/>
    </row>
    <row r="105" spans="1:28" ht="10.5" outlineLevel="1" x14ac:dyDescent="0.25">
      <c r="A105" s="1370">
        <v>13.03</v>
      </c>
      <c r="B105" s="1370" t="s">
        <v>75</v>
      </c>
      <c r="C105" s="1396" t="s">
        <v>976</v>
      </c>
      <c r="D105" s="1402" t="s">
        <v>109</v>
      </c>
      <c r="E105" s="1377">
        <v>147.60100000000003</v>
      </c>
      <c r="F105" s="1749"/>
      <c r="G105" s="1778">
        <v>7250.1086533719017</v>
      </c>
      <c r="H105" s="1750">
        <f>F105+G105</f>
        <v>7250.1086533719017</v>
      </c>
      <c r="I105" s="1780">
        <f>+J105*0.25</f>
        <v>3247.4279998285988</v>
      </c>
      <c r="J105" s="1778">
        <v>12989.711999314395</v>
      </c>
      <c r="K105" s="1750">
        <f>I105+J105</f>
        <v>16237.139999142993</v>
      </c>
      <c r="L105" s="1778">
        <v>285.86756708064229</v>
      </c>
      <c r="M105" s="1750">
        <f>H105+K105+L105</f>
        <v>23773.116219595537</v>
      </c>
      <c r="N105" s="1751">
        <f>F105*E105</f>
        <v>0</v>
      </c>
      <c r="O105" s="1751">
        <f>G105*E105</f>
        <v>1070123.2873463463</v>
      </c>
      <c r="P105" s="1751">
        <f>I105*E105</f>
        <v>479323.62020270107</v>
      </c>
      <c r="Q105" s="1751">
        <f>J105*E105</f>
        <v>1917294.4808108043</v>
      </c>
      <c r="R105" s="1751">
        <f>+L105*E105</f>
        <v>42194.338768669892</v>
      </c>
      <c r="S105" s="1752">
        <f>SUM(N105:R105)</f>
        <v>3508935.7271285215</v>
      </c>
      <c r="T105" s="1465"/>
      <c r="U105" s="1369">
        <f>+ROUNDUP(M105*$T$5,0)</f>
        <v>29881</v>
      </c>
      <c r="V105" s="1369">
        <f>+U105*E105</f>
        <v>4410465.4810000006</v>
      </c>
      <c r="W105" s="1465"/>
      <c r="X105" s="1794"/>
    </row>
    <row r="106" spans="1:28" ht="10.5" outlineLevel="1" x14ac:dyDescent="0.25">
      <c r="A106" s="1372">
        <v>13.04</v>
      </c>
      <c r="B106" s="1372" t="s">
        <v>75</v>
      </c>
      <c r="C106" s="1756" t="s">
        <v>332</v>
      </c>
      <c r="D106" s="1408" t="s">
        <v>111</v>
      </c>
      <c r="E106" s="1374">
        <v>41</v>
      </c>
      <c r="F106" s="1385"/>
      <c r="G106" s="1420">
        <v>15666.94214876033</v>
      </c>
      <c r="H106" s="1758">
        <f>F106+G106</f>
        <v>15666.94214876033</v>
      </c>
      <c r="I106" s="1385"/>
      <c r="J106" s="1786"/>
      <c r="K106" s="1758">
        <f>I106+J106</f>
        <v>0</v>
      </c>
      <c r="L106" s="1786"/>
      <c r="M106" s="1758">
        <f>H106+K106+L106</f>
        <v>15666.94214876033</v>
      </c>
      <c r="N106" s="1761">
        <f>F106*E106</f>
        <v>0</v>
      </c>
      <c r="O106" s="1761">
        <f>G106*E106</f>
        <v>642344.62809917354</v>
      </c>
      <c r="P106" s="1761">
        <f>I106*E106</f>
        <v>0</v>
      </c>
      <c r="Q106" s="1761">
        <f>J106*E106</f>
        <v>0</v>
      </c>
      <c r="R106" s="1761">
        <f>+L106*E106</f>
        <v>0</v>
      </c>
      <c r="S106" s="1762">
        <f>SUM(N106:R106)</f>
        <v>642344.62809917354</v>
      </c>
      <c r="T106" s="1465"/>
      <c r="U106" s="1409">
        <f>+ROUNDUP(M106*$T$5,0)</f>
        <v>19692</v>
      </c>
      <c r="V106" s="1409">
        <f>+U106*E106</f>
        <v>807372</v>
      </c>
      <c r="X106" s="1744"/>
    </row>
    <row r="107" spans="1:28" s="1776" customFormat="1" ht="10.5" x14ac:dyDescent="0.25">
      <c r="A107" s="1360">
        <v>14</v>
      </c>
      <c r="B107" s="1361"/>
      <c r="C107" s="1411" t="s">
        <v>126</v>
      </c>
      <c r="D107" s="1741"/>
      <c r="E107" s="1742"/>
      <c r="F107" s="1742"/>
      <c r="G107" s="1742"/>
      <c r="H107" s="1742"/>
      <c r="I107" s="1742"/>
      <c r="J107" s="1742"/>
      <c r="K107" s="1742"/>
      <c r="L107" s="1742"/>
      <c r="M107" s="1743"/>
      <c r="N107" s="1742"/>
      <c r="O107" s="1742"/>
      <c r="P107" s="1742"/>
      <c r="Q107" s="1742"/>
      <c r="R107" s="1742"/>
      <c r="S107" s="1742"/>
      <c r="T107" s="1456">
        <f>SUM(S108:S114)</f>
        <v>40015552.389827222</v>
      </c>
      <c r="U107" s="1742"/>
      <c r="V107" s="1742"/>
      <c r="W107" s="1355">
        <f>SUM(V108:V114)</f>
        <v>50296168.959899999</v>
      </c>
      <c r="X107" s="1744">
        <f>+W107/$W$216</f>
        <v>4.4612423202028441E-2</v>
      </c>
      <c r="Y107" s="1711">
        <f>+W107</f>
        <v>50296168.959899999</v>
      </c>
      <c r="AB107" s="1775"/>
    </row>
    <row r="108" spans="1:28" ht="10.5" outlineLevel="1" x14ac:dyDescent="0.25">
      <c r="A108" s="1362">
        <f>+A107+0.01</f>
        <v>14.01</v>
      </c>
      <c r="B108" s="1386" t="s">
        <v>75</v>
      </c>
      <c r="C108" s="1745" t="s">
        <v>208</v>
      </c>
      <c r="D108" s="1403" t="s">
        <v>109</v>
      </c>
      <c r="E108" s="1363">
        <v>334.91519999999997</v>
      </c>
      <c r="F108" s="1773">
        <v>9357.531771197835</v>
      </c>
      <c r="G108" s="1773"/>
      <c r="H108" s="1746">
        <f>F108+G108</f>
        <v>9357.531771197835</v>
      </c>
      <c r="I108" s="1773">
        <v>13673.38105190989</v>
      </c>
      <c r="J108" s="1773"/>
      <c r="K108" s="1746">
        <f>I108+J108</f>
        <v>13673.38105190989</v>
      </c>
      <c r="L108" s="1773">
        <v>256.8223600688724</v>
      </c>
      <c r="M108" s="1746">
        <f>H108+K108+L108</f>
        <v>23287.735183176599</v>
      </c>
      <c r="N108" s="1747">
        <f t="shared" ref="N108:N114" si="118">F108*E108</f>
        <v>3133979.6246570768</v>
      </c>
      <c r="O108" s="1747">
        <f t="shared" ref="O108:O114" si="119">G108*E108</f>
        <v>0</v>
      </c>
      <c r="P108" s="1747">
        <f t="shared" ref="P108:P114" si="120">I108*E108</f>
        <v>4579423.1496766107</v>
      </c>
      <c r="Q108" s="1747">
        <f t="shared" ref="Q108:Q114" si="121">J108*E108</f>
        <v>0</v>
      </c>
      <c r="R108" s="1747">
        <f t="shared" ref="R108:R114" si="122">+L108*E108</f>
        <v>86013.712086938409</v>
      </c>
      <c r="S108" s="1748">
        <f t="shared" ref="S108:S124" si="123">SUM(N108:R108)</f>
        <v>7799416.4864206258</v>
      </c>
      <c r="T108" s="1753"/>
      <c r="U108" s="1369">
        <f t="shared" ref="U108:U114" si="124">+ROUNDUP(M108*$T$5,0)</f>
        <v>29270</v>
      </c>
      <c r="V108" s="1369">
        <f t="shared" ref="V108:V114" si="125">+U108*E108</f>
        <v>9802967.9039999992</v>
      </c>
      <c r="X108" s="1744"/>
    </row>
    <row r="109" spans="1:28" ht="10.5" outlineLevel="1" x14ac:dyDescent="0.25">
      <c r="A109" s="1366">
        <f t="shared" ref="A109" si="126">+A108+0.01</f>
        <v>14.02</v>
      </c>
      <c r="B109" s="1370" t="s">
        <v>75</v>
      </c>
      <c r="C109" s="1396" t="s">
        <v>333</v>
      </c>
      <c r="D109" s="1404" t="s">
        <v>109</v>
      </c>
      <c r="E109" s="1368">
        <v>280.3913</v>
      </c>
      <c r="F109" s="1778">
        <v>13094.309718890145</v>
      </c>
      <c r="G109" s="1778"/>
      <c r="H109" s="1750">
        <f t="shared" ref="H109:H113" si="127">F109+G109</f>
        <v>13094.309718890145</v>
      </c>
      <c r="I109" s="1778">
        <v>13673.38105190989</v>
      </c>
      <c r="J109" s="1778"/>
      <c r="K109" s="1750">
        <f t="shared" ref="K109:K112" si="128">I109+J109</f>
        <v>13673.38105190989</v>
      </c>
      <c r="L109" s="1778">
        <v>256.8223600688724</v>
      </c>
      <c r="M109" s="1750">
        <f t="shared" ref="M109:M114" si="129">H109+K109+L109</f>
        <v>27024.513130868909</v>
      </c>
      <c r="N109" s="1751">
        <f>F109*E109</f>
        <v>3671530.5246822424</v>
      </c>
      <c r="O109" s="1751">
        <f>G109*E109</f>
        <v>0</v>
      </c>
      <c r="P109" s="1751">
        <f>I109*E109</f>
        <v>3833897.0885403813</v>
      </c>
      <c r="Q109" s="1751">
        <f>J109*E109</f>
        <v>0</v>
      </c>
      <c r="R109" s="1751">
        <f>+L109*E109</f>
        <v>72010.755408779223</v>
      </c>
      <c r="S109" s="1752">
        <f t="shared" ref="S109:S114" si="130">SUM(N109:R109)</f>
        <v>7577438.368631402</v>
      </c>
      <c r="T109" s="1753"/>
      <c r="U109" s="1369">
        <f t="shared" si="124"/>
        <v>33967</v>
      </c>
      <c r="V109" s="1369">
        <f t="shared" si="125"/>
        <v>9524051.2871000003</v>
      </c>
      <c r="X109" s="1744"/>
    </row>
    <row r="110" spans="1:28" ht="10.5" outlineLevel="1" x14ac:dyDescent="0.25">
      <c r="A110" s="1366">
        <v>14.03</v>
      </c>
      <c r="B110" s="1370" t="s">
        <v>75</v>
      </c>
      <c r="C110" s="1396" t="s">
        <v>334</v>
      </c>
      <c r="D110" s="1404" t="s">
        <v>124</v>
      </c>
      <c r="E110" s="1368">
        <v>60.8</v>
      </c>
      <c r="F110" s="1778">
        <v>9357.531771197835</v>
      </c>
      <c r="G110" s="1778"/>
      <c r="H110" s="1750">
        <f t="shared" si="127"/>
        <v>9357.531771197835</v>
      </c>
      <c r="I110" s="1778">
        <v>13673.38105190989</v>
      </c>
      <c r="J110" s="1778"/>
      <c r="K110" s="1750">
        <f t="shared" si="128"/>
        <v>13673.38105190989</v>
      </c>
      <c r="L110" s="1778">
        <v>256.8223600688724</v>
      </c>
      <c r="M110" s="1750">
        <f t="shared" si="129"/>
        <v>23287.735183176599</v>
      </c>
      <c r="N110" s="1751">
        <f>F110*E110</f>
        <v>568937.93168882839</v>
      </c>
      <c r="O110" s="1751">
        <f>G110*E110</f>
        <v>0</v>
      </c>
      <c r="P110" s="1751">
        <f>I110*E110</f>
        <v>831341.56795612129</v>
      </c>
      <c r="Q110" s="1751">
        <f>J110*E110</f>
        <v>0</v>
      </c>
      <c r="R110" s="1751">
        <f>+L110*E110</f>
        <v>15614.799492187442</v>
      </c>
      <c r="S110" s="1752">
        <f t="shared" si="130"/>
        <v>1415894.2991371369</v>
      </c>
      <c r="T110" s="1753"/>
      <c r="U110" s="1369">
        <f t="shared" si="124"/>
        <v>29270</v>
      </c>
      <c r="V110" s="1369">
        <f t="shared" si="125"/>
        <v>1779616</v>
      </c>
      <c r="X110" s="1744"/>
    </row>
    <row r="111" spans="1:28" ht="10.5" outlineLevel="1" x14ac:dyDescent="0.25">
      <c r="A111" s="1366">
        <v>14.04</v>
      </c>
      <c r="B111" s="1370" t="s">
        <v>75</v>
      </c>
      <c r="C111" s="1396" t="s">
        <v>209</v>
      </c>
      <c r="D111" s="1404" t="s">
        <v>124</v>
      </c>
      <c r="E111" s="1368">
        <v>1058.3799999999997</v>
      </c>
      <c r="F111" s="1778">
        <v>1093.3011417</v>
      </c>
      <c r="G111" s="1749"/>
      <c r="H111" s="1750">
        <f t="shared" si="127"/>
        <v>1093.3011417</v>
      </c>
      <c r="I111" s="1778">
        <v>5007.5365484381318</v>
      </c>
      <c r="J111" s="1749"/>
      <c r="K111" s="1750">
        <f t="shared" si="128"/>
        <v>5007.5365484381318</v>
      </c>
      <c r="L111" s="1778">
        <v>162.65416137695254</v>
      </c>
      <c r="M111" s="1750">
        <f t="shared" si="129"/>
        <v>6263.4918515150839</v>
      </c>
      <c r="N111" s="1751">
        <f t="shared" ref="N111:N112" si="131">F111*E111</f>
        <v>1157128.0623524457</v>
      </c>
      <c r="O111" s="1751">
        <f t="shared" ref="O111:O112" si="132">G111*E111</f>
        <v>0</v>
      </c>
      <c r="P111" s="1751">
        <f t="shared" ref="P111:P112" si="133">I111*E111</f>
        <v>5299876.5321359485</v>
      </c>
      <c r="Q111" s="1751">
        <f t="shared" ref="Q111:Q112" si="134">J111*E111</f>
        <v>0</v>
      </c>
      <c r="R111" s="1751">
        <f t="shared" ref="R111:R112" si="135">+L111*E111</f>
        <v>172149.91131813897</v>
      </c>
      <c r="S111" s="1752">
        <f t="shared" si="130"/>
        <v>6629154.5058065336</v>
      </c>
      <c r="T111" s="1753"/>
      <c r="U111" s="1369">
        <f t="shared" si="124"/>
        <v>7873</v>
      </c>
      <c r="V111" s="1369">
        <f t="shared" si="125"/>
        <v>8332625.7399999974</v>
      </c>
      <c r="X111" s="1744"/>
    </row>
    <row r="112" spans="1:28" s="1776" customFormat="1" ht="10.5" outlineLevel="1" x14ac:dyDescent="0.25">
      <c r="A112" s="1366">
        <v>14.05</v>
      </c>
      <c r="B112" s="1370" t="s">
        <v>75</v>
      </c>
      <c r="C112" s="1396" t="s">
        <v>335</v>
      </c>
      <c r="D112" s="1404" t="s">
        <v>109</v>
      </c>
      <c r="E112" s="1368">
        <v>504.12220000000002</v>
      </c>
      <c r="F112" s="1749">
        <v>0</v>
      </c>
      <c r="G112" s="1749">
        <v>5770.2850618361972</v>
      </c>
      <c r="H112" s="1750">
        <f t="shared" si="127"/>
        <v>5770.2850618361972</v>
      </c>
      <c r="I112" s="1749">
        <v>12817.951531348474</v>
      </c>
      <c r="J112" s="1749">
        <v>0</v>
      </c>
      <c r="K112" s="1750">
        <f t="shared" si="128"/>
        <v>12817.951531348474</v>
      </c>
      <c r="L112" s="1749"/>
      <c r="M112" s="1750">
        <f t="shared" si="129"/>
        <v>18588.236593184673</v>
      </c>
      <c r="N112" s="1751">
        <f t="shared" si="131"/>
        <v>0</v>
      </c>
      <c r="O112" s="1751">
        <f t="shared" si="132"/>
        <v>2908928.8</v>
      </c>
      <c r="P112" s="1751">
        <f t="shared" si="133"/>
        <v>6461813.9254767615</v>
      </c>
      <c r="Q112" s="1751">
        <f t="shared" si="134"/>
        <v>0</v>
      </c>
      <c r="R112" s="1751">
        <f t="shared" si="135"/>
        <v>0</v>
      </c>
      <c r="S112" s="1752">
        <f t="shared" si="130"/>
        <v>9370742.7254767604</v>
      </c>
      <c r="T112" s="1753"/>
      <c r="U112" s="1369">
        <f t="shared" si="124"/>
        <v>23364</v>
      </c>
      <c r="V112" s="1369">
        <f t="shared" si="125"/>
        <v>11778311.080800001</v>
      </c>
      <c r="W112" s="1389"/>
      <c r="X112" s="1744"/>
      <c r="Y112" s="1775"/>
      <c r="AB112" s="1775"/>
    </row>
    <row r="113" spans="1:28" s="1776" customFormat="1" ht="10.5" outlineLevel="1" x14ac:dyDescent="0.25">
      <c r="A113" s="1366">
        <v>14.06</v>
      </c>
      <c r="B113" s="1370" t="s">
        <v>75</v>
      </c>
      <c r="C113" s="1396" t="s">
        <v>336</v>
      </c>
      <c r="D113" s="1404" t="s">
        <v>124</v>
      </c>
      <c r="E113" s="1368">
        <v>555.99</v>
      </c>
      <c r="F113" s="1749"/>
      <c r="G113" s="1377"/>
      <c r="H113" s="1750">
        <f t="shared" si="127"/>
        <v>0</v>
      </c>
      <c r="I113" s="1420">
        <v>10160.57133582501</v>
      </c>
      <c r="J113" s="1377"/>
      <c r="K113" s="1750">
        <f>I113+J113</f>
        <v>10160.57133582501</v>
      </c>
      <c r="L113" s="1749"/>
      <c r="M113" s="1750">
        <f t="shared" si="129"/>
        <v>10160.57133582501</v>
      </c>
      <c r="N113" s="1751">
        <f t="shared" si="118"/>
        <v>0</v>
      </c>
      <c r="O113" s="1751">
        <f t="shared" si="119"/>
        <v>0</v>
      </c>
      <c r="P113" s="1751">
        <f t="shared" si="120"/>
        <v>5649176.0570053477</v>
      </c>
      <c r="Q113" s="1751">
        <f t="shared" si="121"/>
        <v>0</v>
      </c>
      <c r="R113" s="1751">
        <f t="shared" si="122"/>
        <v>0</v>
      </c>
      <c r="S113" s="1752">
        <f t="shared" si="130"/>
        <v>5649176.0570053477</v>
      </c>
      <c r="T113" s="1753"/>
      <c r="U113" s="1369">
        <f t="shared" si="124"/>
        <v>12771</v>
      </c>
      <c r="V113" s="1369">
        <f t="shared" si="125"/>
        <v>7100548.29</v>
      </c>
      <c r="W113" s="1389"/>
      <c r="X113" s="1744"/>
      <c r="Y113" s="1775"/>
      <c r="AB113" s="1775"/>
    </row>
    <row r="114" spans="1:28" ht="10.5" outlineLevel="1" x14ac:dyDescent="0.25">
      <c r="A114" s="1366">
        <v>14.07</v>
      </c>
      <c r="B114" s="1372" t="s">
        <v>75</v>
      </c>
      <c r="C114" s="1756" t="s">
        <v>337</v>
      </c>
      <c r="D114" s="1408" t="s">
        <v>109</v>
      </c>
      <c r="E114" s="1374">
        <v>429.07780000000002</v>
      </c>
      <c r="F114" s="1749">
        <v>349.58695136406493</v>
      </c>
      <c r="G114" s="1749">
        <v>349.58695136406493</v>
      </c>
      <c r="H114" s="1758">
        <f>F114+G114</f>
        <v>699.17390272812986</v>
      </c>
      <c r="I114" s="1749">
        <v>0</v>
      </c>
      <c r="J114" s="1749">
        <v>2914.3266198611054</v>
      </c>
      <c r="K114" s="1758">
        <f t="shared" ref="K114" si="136">I114+J114</f>
        <v>2914.3266198611054</v>
      </c>
      <c r="L114" s="1749">
        <f>+(H114+K114)*0.015</f>
        <v>54.202507838838528</v>
      </c>
      <c r="M114" s="1750">
        <f t="shared" si="129"/>
        <v>3667.7030304280743</v>
      </c>
      <c r="N114" s="1751">
        <f t="shared" si="118"/>
        <v>150000</v>
      </c>
      <c r="O114" s="1751">
        <f t="shared" si="119"/>
        <v>150000</v>
      </c>
      <c r="P114" s="1751">
        <f t="shared" si="120"/>
        <v>0</v>
      </c>
      <c r="Q114" s="1751">
        <f t="shared" si="121"/>
        <v>1250472.8545314395</v>
      </c>
      <c r="R114" s="1751">
        <f t="shared" si="122"/>
        <v>23257.092817971592</v>
      </c>
      <c r="S114" s="1752">
        <f t="shared" si="130"/>
        <v>1573729.947349411</v>
      </c>
      <c r="T114" s="1753"/>
      <c r="U114" s="1369">
        <f t="shared" si="124"/>
        <v>4610</v>
      </c>
      <c r="V114" s="1369">
        <f t="shared" si="125"/>
        <v>1978048.6580000001</v>
      </c>
      <c r="X114" s="1744"/>
    </row>
    <row r="115" spans="1:28" ht="10.5" x14ac:dyDescent="0.25">
      <c r="A115" s="1360">
        <v>15</v>
      </c>
      <c r="B115" s="1361"/>
      <c r="C115" s="1411" t="s">
        <v>133</v>
      </c>
      <c r="D115" s="1741"/>
      <c r="E115" s="1742"/>
      <c r="F115" s="1742"/>
      <c r="G115" s="1742"/>
      <c r="H115" s="1742"/>
      <c r="I115" s="1742"/>
      <c r="J115" s="1742"/>
      <c r="K115" s="1742"/>
      <c r="L115" s="1742"/>
      <c r="M115" s="1743"/>
      <c r="N115" s="1742"/>
      <c r="O115" s="1742"/>
      <c r="P115" s="1742"/>
      <c r="Q115" s="1742"/>
      <c r="R115" s="1742"/>
      <c r="S115" s="1742"/>
      <c r="T115" s="1456">
        <f>SUM(S116:S124)</f>
        <v>0</v>
      </c>
      <c r="U115" s="1742"/>
      <c r="V115" s="1742"/>
      <c r="W115" s="1456">
        <f>SUM(V116:V124)</f>
        <v>0</v>
      </c>
      <c r="X115" s="1744">
        <f>+W115/$W$216</f>
        <v>0</v>
      </c>
    </row>
    <row r="116" spans="1:28" ht="10.5" outlineLevel="1" x14ac:dyDescent="0.25">
      <c r="A116" s="1366">
        <v>15.01</v>
      </c>
      <c r="B116" s="1370" t="s">
        <v>75</v>
      </c>
      <c r="C116" s="1396" t="s">
        <v>338</v>
      </c>
      <c r="D116" s="1402" t="s">
        <v>109</v>
      </c>
      <c r="E116" s="1377">
        <v>2670</v>
      </c>
      <c r="F116" s="1778">
        <v>2322.5571895000003</v>
      </c>
      <c r="G116" s="1434"/>
      <c r="H116" s="1750">
        <f t="shared" ref="H116:H124" si="137">F116+G116</f>
        <v>2322.5571895000003</v>
      </c>
      <c r="I116" s="1778">
        <v>3755.6524113285986</v>
      </c>
      <c r="J116" s="1434"/>
      <c r="K116" s="1750">
        <f t="shared" ref="K116:K120" si="138">I116+J116</f>
        <v>3755.6524113285986</v>
      </c>
      <c r="L116" s="1778">
        <v>93.674384885486944</v>
      </c>
      <c r="M116" s="1750"/>
      <c r="N116" s="1751"/>
      <c r="O116" s="1751"/>
      <c r="P116" s="1751"/>
      <c r="Q116" s="1751"/>
      <c r="R116" s="1751"/>
      <c r="S116" s="1752">
        <f t="shared" ref="S116:S120" si="139">SUM(N116:R116)</f>
        <v>0</v>
      </c>
      <c r="T116" s="1753"/>
      <c r="U116" s="1369">
        <f t="shared" ref="U116:U124" si="140">+ROUNDUP(M116*$T$5,0)</f>
        <v>0</v>
      </c>
      <c r="V116" s="1369">
        <f t="shared" ref="V116:V124" si="141">+U116*E116</f>
        <v>0</v>
      </c>
      <c r="X116" s="1744"/>
    </row>
    <row r="117" spans="1:28" ht="10.5" outlineLevel="1" x14ac:dyDescent="0.25">
      <c r="A117" s="1366">
        <v>15.02</v>
      </c>
      <c r="B117" s="1370" t="s">
        <v>75</v>
      </c>
      <c r="C117" s="1396" t="s">
        <v>339</v>
      </c>
      <c r="D117" s="1402" t="s">
        <v>109</v>
      </c>
      <c r="E117" s="1377">
        <v>961</v>
      </c>
      <c r="F117" s="1778">
        <v>2180.3602315000003</v>
      </c>
      <c r="G117" s="1434"/>
      <c r="H117" s="1750">
        <f t="shared" si="137"/>
        <v>2180.3602315000003</v>
      </c>
      <c r="I117" s="1778">
        <v>3004.5219290628793</v>
      </c>
      <c r="J117" s="1434"/>
      <c r="K117" s="1750">
        <f t="shared" si="138"/>
        <v>3004.5219290628793</v>
      </c>
      <c r="L117" s="1778">
        <v>74.939507908389544</v>
      </c>
      <c r="M117" s="1750"/>
      <c r="N117" s="1751"/>
      <c r="O117" s="1751"/>
      <c r="P117" s="1751"/>
      <c r="Q117" s="1751"/>
      <c r="R117" s="1751"/>
      <c r="S117" s="1752">
        <f t="shared" si="139"/>
        <v>0</v>
      </c>
      <c r="T117" s="1753"/>
      <c r="U117" s="1369">
        <f t="shared" si="140"/>
        <v>0</v>
      </c>
      <c r="V117" s="1369">
        <f t="shared" si="141"/>
        <v>0</v>
      </c>
      <c r="X117" s="1744"/>
    </row>
    <row r="118" spans="1:28" ht="10.5" outlineLevel="1" x14ac:dyDescent="0.25">
      <c r="A118" s="1366">
        <v>15.03</v>
      </c>
      <c r="B118" s="1370" t="s">
        <v>75</v>
      </c>
      <c r="C118" s="1396" t="s">
        <v>340</v>
      </c>
      <c r="D118" s="1402" t="s">
        <v>109</v>
      </c>
      <c r="E118" s="1377">
        <v>518</v>
      </c>
      <c r="F118" s="1778">
        <v>2322.5571895000003</v>
      </c>
      <c r="G118" s="1434"/>
      <c r="H118" s="1750">
        <f t="shared" si="137"/>
        <v>2322.5571895000003</v>
      </c>
      <c r="I118" s="1778">
        <v>3755.6524113285986</v>
      </c>
      <c r="J118" s="1434"/>
      <c r="K118" s="1750">
        <f t="shared" si="138"/>
        <v>3755.6524113285986</v>
      </c>
      <c r="L118" s="1778">
        <v>93.674384885486944</v>
      </c>
      <c r="M118" s="1750"/>
      <c r="N118" s="1751"/>
      <c r="O118" s="1751"/>
      <c r="P118" s="1751"/>
      <c r="Q118" s="1751"/>
      <c r="R118" s="1751"/>
      <c r="S118" s="1752">
        <f t="shared" si="139"/>
        <v>0</v>
      </c>
      <c r="T118" s="1753"/>
      <c r="U118" s="1369">
        <f t="shared" si="140"/>
        <v>0</v>
      </c>
      <c r="V118" s="1369">
        <f t="shared" si="141"/>
        <v>0</v>
      </c>
      <c r="X118" s="1744"/>
    </row>
    <row r="119" spans="1:28" ht="10.5" outlineLevel="1" x14ac:dyDescent="0.25">
      <c r="A119" s="1366">
        <v>15.04</v>
      </c>
      <c r="B119" s="1370" t="s">
        <v>75</v>
      </c>
      <c r="C119" s="1396" t="s">
        <v>341</v>
      </c>
      <c r="D119" s="1402" t="s">
        <v>109</v>
      </c>
      <c r="E119" s="1377">
        <v>612</v>
      </c>
      <c r="F119" s="1778">
        <v>3131.6140255000005</v>
      </c>
      <c r="G119" s="1434"/>
      <c r="H119" s="1750">
        <f t="shared" si="137"/>
        <v>3131.6140255000005</v>
      </c>
      <c r="I119" s="1778">
        <v>7422.6925710367968</v>
      </c>
      <c r="J119" s="1434"/>
      <c r="K119" s="1750">
        <f t="shared" si="138"/>
        <v>7422.6925710367968</v>
      </c>
      <c r="L119" s="1778">
        <v>234.75350228517792</v>
      </c>
      <c r="M119" s="1750"/>
      <c r="N119" s="1751"/>
      <c r="O119" s="1751"/>
      <c r="P119" s="1751"/>
      <c r="Q119" s="1751"/>
      <c r="R119" s="1751"/>
      <c r="S119" s="1752">
        <f t="shared" si="139"/>
        <v>0</v>
      </c>
      <c r="T119" s="1753"/>
      <c r="U119" s="1369">
        <f t="shared" si="140"/>
        <v>0</v>
      </c>
      <c r="V119" s="1369">
        <f t="shared" si="141"/>
        <v>0</v>
      </c>
      <c r="X119" s="1744"/>
    </row>
    <row r="120" spans="1:28" ht="10.5" outlineLevel="1" x14ac:dyDescent="0.25">
      <c r="A120" s="1366">
        <v>15.05</v>
      </c>
      <c r="B120" s="1370" t="s">
        <v>75</v>
      </c>
      <c r="C120" s="1396" t="s">
        <v>342</v>
      </c>
      <c r="D120" s="1402" t="s">
        <v>109</v>
      </c>
      <c r="E120" s="1377">
        <v>422</v>
      </c>
      <c r="F120" s="1778">
        <v>2180.3602315000003</v>
      </c>
      <c r="G120" s="1434"/>
      <c r="H120" s="1750">
        <f t="shared" si="137"/>
        <v>2180.3602315000003</v>
      </c>
      <c r="I120" s="1778">
        <v>3004.5219290628793</v>
      </c>
      <c r="J120" s="1434"/>
      <c r="K120" s="1750">
        <f t="shared" si="138"/>
        <v>3004.5219290628793</v>
      </c>
      <c r="L120" s="1778">
        <v>74.939507908389544</v>
      </c>
      <c r="M120" s="1750"/>
      <c r="N120" s="1751"/>
      <c r="O120" s="1751"/>
      <c r="P120" s="1751"/>
      <c r="Q120" s="1751"/>
      <c r="R120" s="1751"/>
      <c r="S120" s="1752">
        <f t="shared" si="139"/>
        <v>0</v>
      </c>
      <c r="T120" s="1753"/>
      <c r="U120" s="1369">
        <f t="shared" si="140"/>
        <v>0</v>
      </c>
      <c r="V120" s="1369">
        <f t="shared" si="141"/>
        <v>0</v>
      </c>
      <c r="X120" s="1744"/>
    </row>
    <row r="121" spans="1:28" ht="10.5" outlineLevel="1" x14ac:dyDescent="0.25">
      <c r="A121" s="1366">
        <v>15.07</v>
      </c>
      <c r="B121" s="1370" t="s">
        <v>75</v>
      </c>
      <c r="C121" s="1396" t="s">
        <v>343</v>
      </c>
      <c r="D121" s="1402" t="s">
        <v>109</v>
      </c>
      <c r="E121" s="1377">
        <v>678.25199999999995</v>
      </c>
      <c r="F121" s="1793">
        <v>7500</v>
      </c>
      <c r="G121" s="1434"/>
      <c r="H121" s="1750">
        <f>F121+G121</f>
        <v>7500</v>
      </c>
      <c r="I121" s="1420">
        <v>7815.8241044807764</v>
      </c>
      <c r="J121" s="1434"/>
      <c r="K121" s="1750">
        <f>I121+J121</f>
        <v>7815.8241044807764</v>
      </c>
      <c r="L121" s="1778">
        <v>176.93378676788083</v>
      </c>
      <c r="M121" s="1750"/>
      <c r="N121" s="1751"/>
      <c r="O121" s="1751"/>
      <c r="P121" s="1751"/>
      <c r="Q121" s="1751"/>
      <c r="R121" s="1751"/>
      <c r="S121" s="1752">
        <f>SUM(N121:R121)</f>
        <v>0</v>
      </c>
      <c r="T121" s="1753"/>
      <c r="U121" s="1369">
        <f t="shared" si="140"/>
        <v>0</v>
      </c>
      <c r="V121" s="1369">
        <f t="shared" si="141"/>
        <v>0</v>
      </c>
      <c r="X121" s="1744"/>
    </row>
    <row r="122" spans="1:28" ht="10.5" outlineLevel="1" x14ac:dyDescent="0.25">
      <c r="A122" s="1366">
        <v>15.08</v>
      </c>
      <c r="B122" s="1370" t="s">
        <v>75</v>
      </c>
      <c r="C122" s="1396" t="s">
        <v>344</v>
      </c>
      <c r="D122" s="1402" t="s">
        <v>109</v>
      </c>
      <c r="E122" s="1377">
        <v>728.48019999999985</v>
      </c>
      <c r="F122" s="1793">
        <v>7500</v>
      </c>
      <c r="G122" s="1434"/>
      <c r="H122" s="1750">
        <f t="shared" si="137"/>
        <v>7500</v>
      </c>
      <c r="I122" s="1420">
        <v>10942.153746273088</v>
      </c>
      <c r="J122" s="1434"/>
      <c r="K122" s="1750">
        <f t="shared" ref="K122:K124" si="142">I122+J122</f>
        <v>10942.153746273088</v>
      </c>
      <c r="L122" s="1778">
        <v>176.93378676788083</v>
      </c>
      <c r="M122" s="1750"/>
      <c r="N122" s="1751"/>
      <c r="O122" s="1751"/>
      <c r="P122" s="1751"/>
      <c r="Q122" s="1751"/>
      <c r="R122" s="1751"/>
      <c r="S122" s="1752">
        <f t="shared" ref="S122:S123" si="143">SUM(N122:R122)</f>
        <v>0</v>
      </c>
      <c r="T122" s="1753"/>
      <c r="U122" s="1369">
        <f t="shared" si="140"/>
        <v>0</v>
      </c>
      <c r="V122" s="1369">
        <f t="shared" si="141"/>
        <v>0</v>
      </c>
      <c r="X122" s="1744"/>
    </row>
    <row r="123" spans="1:28" ht="10.5" outlineLevel="1" x14ac:dyDescent="0.25">
      <c r="A123" s="1366">
        <v>15.09</v>
      </c>
      <c r="B123" s="1370" t="s">
        <v>75</v>
      </c>
      <c r="C123" s="1396" t="s">
        <v>345</v>
      </c>
      <c r="D123" s="1402" t="s">
        <v>104</v>
      </c>
      <c r="E123" s="1377">
        <v>76</v>
      </c>
      <c r="F123" s="1749">
        <v>13327.501195326317</v>
      </c>
      <c r="G123" s="1749">
        <v>0</v>
      </c>
      <c r="H123" s="1750">
        <f t="shared" si="137"/>
        <v>13327.501195326317</v>
      </c>
      <c r="I123" s="1749">
        <v>44901.004229325525</v>
      </c>
      <c r="J123" s="1749">
        <v>0</v>
      </c>
      <c r="K123" s="1750">
        <f t="shared" si="142"/>
        <v>44901.004229325525</v>
      </c>
      <c r="L123" s="1749">
        <f>(H123+K123)*0.015</f>
        <v>873.42758136977761</v>
      </c>
      <c r="M123" s="1750"/>
      <c r="N123" s="1751"/>
      <c r="O123" s="1751"/>
      <c r="P123" s="1751"/>
      <c r="Q123" s="1751"/>
      <c r="R123" s="1751"/>
      <c r="S123" s="1752">
        <f t="shared" si="143"/>
        <v>0</v>
      </c>
      <c r="T123" s="1753"/>
      <c r="U123" s="1369">
        <f t="shared" si="140"/>
        <v>0</v>
      </c>
      <c r="V123" s="1369">
        <f t="shared" si="141"/>
        <v>0</v>
      </c>
      <c r="X123" s="1744"/>
    </row>
    <row r="124" spans="1:28" ht="10.5" outlineLevel="1" x14ac:dyDescent="0.25">
      <c r="A124" s="1366">
        <v>15.1</v>
      </c>
      <c r="B124" s="1372" t="s">
        <v>75</v>
      </c>
      <c r="C124" s="1410" t="s">
        <v>977</v>
      </c>
      <c r="D124" s="1406" t="s">
        <v>107</v>
      </c>
      <c r="E124" s="1385">
        <v>1</v>
      </c>
      <c r="F124" s="1760">
        <v>756143.49726719991</v>
      </c>
      <c r="G124" s="1760">
        <v>0</v>
      </c>
      <c r="H124" s="1758">
        <f t="shared" si="137"/>
        <v>756143.49726719991</v>
      </c>
      <c r="I124" s="1760">
        <v>2547484.4737344817</v>
      </c>
      <c r="J124" s="1760">
        <v>0</v>
      </c>
      <c r="K124" s="1758">
        <f t="shared" si="142"/>
        <v>2547484.4737344817</v>
      </c>
      <c r="L124" s="1749">
        <f>(H124+K124)*0.015</f>
        <v>49554.41956502523</v>
      </c>
      <c r="M124" s="1758"/>
      <c r="N124" s="1761"/>
      <c r="O124" s="1761"/>
      <c r="P124" s="1761"/>
      <c r="Q124" s="1761"/>
      <c r="R124" s="1761"/>
      <c r="S124" s="1762">
        <f t="shared" si="123"/>
        <v>0</v>
      </c>
      <c r="T124" s="1803"/>
      <c r="U124" s="1369">
        <f t="shared" si="140"/>
        <v>0</v>
      </c>
      <c r="V124" s="1369">
        <f t="shared" si="141"/>
        <v>0</v>
      </c>
      <c r="X124" s="1744"/>
    </row>
    <row r="125" spans="1:28" ht="10.5" x14ac:dyDescent="0.25">
      <c r="A125" s="1360">
        <v>16</v>
      </c>
      <c r="B125" s="1361"/>
      <c r="C125" s="1411" t="s">
        <v>346</v>
      </c>
      <c r="D125" s="1741"/>
      <c r="E125" s="1742"/>
      <c r="F125" s="1742"/>
      <c r="G125" s="1742"/>
      <c r="H125" s="1742"/>
      <c r="I125" s="1742"/>
      <c r="J125" s="1742"/>
      <c r="K125" s="1742"/>
      <c r="L125" s="1742"/>
      <c r="M125" s="1743"/>
      <c r="N125" s="1742"/>
      <c r="O125" s="1742"/>
      <c r="P125" s="1742"/>
      <c r="Q125" s="1742"/>
      <c r="R125" s="1742"/>
      <c r="S125" s="1742"/>
      <c r="T125" s="1456">
        <f>SUM(S126:S126)</f>
        <v>0</v>
      </c>
      <c r="U125" s="1742"/>
      <c r="V125" s="1742"/>
      <c r="W125" s="1355">
        <f>SUM(V126:V126)</f>
        <v>0</v>
      </c>
      <c r="X125" s="1744">
        <f>+W125/$W$216</f>
        <v>0</v>
      </c>
      <c r="Y125" s="1711">
        <f>+W125</f>
        <v>0</v>
      </c>
    </row>
    <row r="126" spans="1:28" s="1776" customFormat="1" ht="10.5" outlineLevel="1" x14ac:dyDescent="0.25">
      <c r="A126" s="1362"/>
      <c r="B126" s="1386"/>
      <c r="C126" s="1745"/>
      <c r="D126" s="1387"/>
      <c r="E126" s="1388"/>
      <c r="F126" s="1433"/>
      <c r="G126" s="1433"/>
      <c r="H126" s="1746">
        <f>F126+G126</f>
        <v>0</v>
      </c>
      <c r="I126" s="1433"/>
      <c r="J126" s="1433"/>
      <c r="K126" s="1746">
        <f t="shared" ref="K126" si="144">I126+J126</f>
        <v>0</v>
      </c>
      <c r="L126" s="1773"/>
      <c r="M126" s="1746">
        <f>H126+K126+L126</f>
        <v>0</v>
      </c>
      <c r="N126" s="1747">
        <f t="shared" ref="N126" si="145">F126*E126</f>
        <v>0</v>
      </c>
      <c r="O126" s="1747">
        <f t="shared" ref="O126" si="146">G126*E126</f>
        <v>0</v>
      </c>
      <c r="P126" s="1747">
        <f t="shared" ref="P126" si="147">I126*E126</f>
        <v>0</v>
      </c>
      <c r="Q126" s="1747">
        <f t="shared" ref="Q126" si="148">J126*E126</f>
        <v>0</v>
      </c>
      <c r="R126" s="1747">
        <f t="shared" ref="R126" si="149">+L126*E126</f>
        <v>0</v>
      </c>
      <c r="S126" s="1748">
        <f t="shared" ref="S126" si="150">SUM(N126:R126)</f>
        <v>0</v>
      </c>
      <c r="T126" s="1753"/>
      <c r="U126" s="1391">
        <f>+ROUNDUP(M126*$T$5,0)</f>
        <v>0</v>
      </c>
      <c r="V126" s="1390">
        <f>+U126*E126</f>
        <v>0</v>
      </c>
      <c r="W126" s="1781"/>
      <c r="X126" s="1794"/>
      <c r="Y126" s="1775"/>
      <c r="AB126" s="1775"/>
    </row>
    <row r="127" spans="1:28" s="1776" customFormat="1" ht="10.5" x14ac:dyDescent="0.25">
      <c r="A127" s="1360">
        <v>17</v>
      </c>
      <c r="B127" s="1361"/>
      <c r="C127" s="1411" t="s">
        <v>347</v>
      </c>
      <c r="D127" s="1741"/>
      <c r="E127" s="1742"/>
      <c r="F127" s="1742"/>
      <c r="G127" s="1742"/>
      <c r="H127" s="1742"/>
      <c r="I127" s="1742"/>
      <c r="J127" s="1742"/>
      <c r="K127" s="1742"/>
      <c r="L127" s="1742"/>
      <c r="M127" s="1743"/>
      <c r="N127" s="1742"/>
      <c r="O127" s="1742"/>
      <c r="P127" s="1742"/>
      <c r="Q127" s="1742"/>
      <c r="R127" s="1742"/>
      <c r="S127" s="1742"/>
      <c r="T127" s="1456">
        <f>SUM(S128:S131)</f>
        <v>5774751.9174432056</v>
      </c>
      <c r="U127" s="1742"/>
      <c r="V127" s="1742"/>
      <c r="W127" s="1355">
        <f>SUM(V128:V131)</f>
        <v>7258243</v>
      </c>
      <c r="X127" s="1744">
        <f>+W127/$W$216</f>
        <v>6.4380213267798822E-3</v>
      </c>
      <c r="Y127" s="1711">
        <f>+W127</f>
        <v>7258243</v>
      </c>
      <c r="AB127" s="1775"/>
    </row>
    <row r="128" spans="1:28" s="1776" customFormat="1" ht="10.5" outlineLevel="1" x14ac:dyDescent="0.25">
      <c r="A128" s="1362">
        <f>+A127+0.01</f>
        <v>17.010000000000002</v>
      </c>
      <c r="B128" s="1386" t="s">
        <v>75</v>
      </c>
      <c r="C128" s="1804" t="s">
        <v>978</v>
      </c>
      <c r="D128" s="1412" t="s">
        <v>111</v>
      </c>
      <c r="E128" s="1388">
        <v>47</v>
      </c>
      <c r="F128" s="1773"/>
      <c r="G128" s="1773">
        <v>3816.1086480000004</v>
      </c>
      <c r="H128" s="1746">
        <f>F128+G128</f>
        <v>3816.1086480000004</v>
      </c>
      <c r="I128" s="1805"/>
      <c r="J128" s="1773">
        <v>46892.732044928976</v>
      </c>
      <c r="K128" s="1746">
        <f>I128+J128</f>
        <v>46892.732044928976</v>
      </c>
      <c r="L128" s="1773">
        <v>394.92625606475576</v>
      </c>
      <c r="M128" s="1746">
        <f>H128+K128+L128</f>
        <v>51103.766948993733</v>
      </c>
      <c r="N128" s="1747">
        <f>F128*E128</f>
        <v>0</v>
      </c>
      <c r="O128" s="1747">
        <f>G128*E128</f>
        <v>179357.10645600001</v>
      </c>
      <c r="P128" s="1747">
        <f>I128*E128</f>
        <v>0</v>
      </c>
      <c r="Q128" s="1747">
        <f>J128*E128</f>
        <v>2203958.4061116618</v>
      </c>
      <c r="R128" s="1747">
        <f>+L128*E128</f>
        <v>18561.534035043522</v>
      </c>
      <c r="S128" s="1748">
        <f>SUM(N128:R128)</f>
        <v>2401877.046602705</v>
      </c>
      <c r="T128" s="1781"/>
      <c r="U128" s="1365">
        <f>+ROUNDUP(M128*$T$5,0)</f>
        <v>64232</v>
      </c>
      <c r="V128" s="1365">
        <f>+U128*E128</f>
        <v>3018904</v>
      </c>
      <c r="W128" s="1389"/>
      <c r="X128" s="1744"/>
      <c r="Y128" s="1775"/>
      <c r="AB128" s="1775"/>
    </row>
    <row r="129" spans="1:28" s="1776" customFormat="1" ht="10.5" outlineLevel="1" x14ac:dyDescent="0.25">
      <c r="A129" s="1366">
        <v>17.02</v>
      </c>
      <c r="B129" s="1370" t="s">
        <v>75</v>
      </c>
      <c r="C129" s="1806" t="s">
        <v>979</v>
      </c>
      <c r="D129" s="1413" t="s">
        <v>111</v>
      </c>
      <c r="E129" s="1377">
        <v>23</v>
      </c>
      <c r="F129" s="1778"/>
      <c r="G129" s="1778">
        <v>3816.1086480000004</v>
      </c>
      <c r="H129" s="1750">
        <f>F129+G129</f>
        <v>3816.1086480000004</v>
      </c>
      <c r="I129" s="1807"/>
      <c r="J129" s="1778">
        <v>46892.732044928976</v>
      </c>
      <c r="K129" s="1750">
        <f>I129+J129</f>
        <v>46892.732044928976</v>
      </c>
      <c r="L129" s="1778">
        <v>394.92625606475576</v>
      </c>
      <c r="M129" s="1750">
        <f>H129+K129+L129</f>
        <v>51103.766948993733</v>
      </c>
      <c r="N129" s="1751">
        <f>F129*E129</f>
        <v>0</v>
      </c>
      <c r="O129" s="1751">
        <f>G129*E129</f>
        <v>87770.498904000007</v>
      </c>
      <c r="P129" s="1751">
        <f>I129*E129</f>
        <v>0</v>
      </c>
      <c r="Q129" s="1751">
        <f>J129*E129</f>
        <v>1078532.8370333666</v>
      </c>
      <c r="R129" s="1751">
        <f>+L129*E129</f>
        <v>9083.3038894893834</v>
      </c>
      <c r="S129" s="1752">
        <f>SUM(N129:R129)</f>
        <v>1175386.6398268561</v>
      </c>
      <c r="T129" s="1781"/>
      <c r="U129" s="1369">
        <f>+ROUNDUP(M129*$T$5,0)</f>
        <v>64232</v>
      </c>
      <c r="V129" s="1369">
        <f>+U129*E129</f>
        <v>1477336</v>
      </c>
      <c r="W129" s="1389"/>
      <c r="X129" s="1744"/>
      <c r="Y129" s="1775"/>
      <c r="AB129" s="1775"/>
    </row>
    <row r="130" spans="1:28" s="1776" customFormat="1" ht="10.5" outlineLevel="1" x14ac:dyDescent="0.25">
      <c r="A130" s="1366">
        <v>17.03</v>
      </c>
      <c r="B130" s="1370" t="s">
        <v>75</v>
      </c>
      <c r="C130" s="1806" t="s">
        <v>980</v>
      </c>
      <c r="D130" s="1413" t="s">
        <v>111</v>
      </c>
      <c r="E130" s="1377">
        <v>51</v>
      </c>
      <c r="F130" s="1778"/>
      <c r="G130" s="1778">
        <v>1396.3488462000003</v>
      </c>
      <c r="H130" s="1750">
        <f>F130+G130</f>
        <v>1396.3488462000003</v>
      </c>
      <c r="I130" s="1778"/>
      <c r="J130" s="1778">
        <v>31261.821363285984</v>
      </c>
      <c r="K130" s="1750">
        <f t="shared" ref="K130:K131" si="151">I130+J130</f>
        <v>31261.821363285984</v>
      </c>
      <c r="L130" s="1778">
        <v>197.46312803237788</v>
      </c>
      <c r="M130" s="1750">
        <f>H130+K130+L130</f>
        <v>32855.63333751836</v>
      </c>
      <c r="N130" s="1751">
        <f>F130*E130</f>
        <v>0</v>
      </c>
      <c r="O130" s="1751">
        <f>G130*E130</f>
        <v>71213.791156200008</v>
      </c>
      <c r="P130" s="1751">
        <f>I130*E130</f>
        <v>0</v>
      </c>
      <c r="Q130" s="1751">
        <f>J130*E130</f>
        <v>1594352.8895275851</v>
      </c>
      <c r="R130" s="1751">
        <f>+L130*E130</f>
        <v>10070.619529651272</v>
      </c>
      <c r="S130" s="1752">
        <f>SUM(N130:R130)</f>
        <v>1675637.3002134364</v>
      </c>
      <c r="T130" s="1781"/>
      <c r="U130" s="1369">
        <f>+ROUNDUP(M130*$T$5,0)</f>
        <v>41296</v>
      </c>
      <c r="V130" s="1369">
        <f>+U130*E130</f>
        <v>2106096</v>
      </c>
      <c r="W130" s="1389"/>
      <c r="X130" s="1744"/>
      <c r="Y130" s="1775"/>
      <c r="AB130" s="1775"/>
    </row>
    <row r="131" spans="1:28" s="1776" customFormat="1" ht="10.5" outlineLevel="1" x14ac:dyDescent="0.25">
      <c r="A131" s="1372">
        <v>17.04</v>
      </c>
      <c r="B131" s="1372" t="s">
        <v>75</v>
      </c>
      <c r="C131" s="1756" t="s">
        <v>981</v>
      </c>
      <c r="D131" s="1395" t="s">
        <v>111</v>
      </c>
      <c r="E131" s="1385">
        <v>7</v>
      </c>
      <c r="F131" s="1786"/>
      <c r="G131" s="1786">
        <f>+G128</f>
        <v>3816.1086480000004</v>
      </c>
      <c r="H131" s="1758">
        <f>F131+G131</f>
        <v>3816.1086480000004</v>
      </c>
      <c r="I131" s="1808">
        <f>+J131*0.5</f>
        <v>23446.366022464488</v>
      </c>
      <c r="J131" s="1786">
        <f>+J128</f>
        <v>46892.732044928976</v>
      </c>
      <c r="K131" s="1758">
        <f t="shared" si="151"/>
        <v>70339.098067393468</v>
      </c>
      <c r="L131" s="1786">
        <f>+L128</f>
        <v>394.92625606475576</v>
      </c>
      <c r="M131" s="1758">
        <f>H131+K131+L131</f>
        <v>74550.132971458224</v>
      </c>
      <c r="N131" s="1761">
        <f>F131*E131</f>
        <v>0</v>
      </c>
      <c r="O131" s="1761">
        <f>G131*E131</f>
        <v>26712.760536000002</v>
      </c>
      <c r="P131" s="1761">
        <f>I131*E131</f>
        <v>164124.56215725141</v>
      </c>
      <c r="Q131" s="1761">
        <f>J131*E131</f>
        <v>328249.12431450281</v>
      </c>
      <c r="R131" s="1761">
        <f>+L131*E131</f>
        <v>2764.4837924532903</v>
      </c>
      <c r="S131" s="1762">
        <f>SUM(N131:R131)</f>
        <v>521850.93080020754</v>
      </c>
      <c r="T131" s="1781"/>
      <c r="U131" s="1409">
        <f>+ROUNDUP(M131*$T$5,0)</f>
        <v>93701</v>
      </c>
      <c r="V131" s="1409">
        <f>+U131*E131</f>
        <v>655907</v>
      </c>
      <c r="W131" s="1389"/>
      <c r="X131" s="1744"/>
      <c r="Y131" s="1775"/>
      <c r="AB131" s="1775"/>
    </row>
    <row r="132" spans="1:28" ht="10.5" x14ac:dyDescent="0.25">
      <c r="A132" s="1360">
        <v>18</v>
      </c>
      <c r="B132" s="1361"/>
      <c r="C132" s="1411" t="s">
        <v>129</v>
      </c>
      <c r="D132" s="1741"/>
      <c r="E132" s="1742"/>
      <c r="F132" s="1742"/>
      <c r="G132" s="1742"/>
      <c r="H132" s="1742"/>
      <c r="I132" s="1742"/>
      <c r="J132" s="1742"/>
      <c r="K132" s="1742"/>
      <c r="L132" s="1742"/>
      <c r="M132" s="1743"/>
      <c r="N132" s="1742"/>
      <c r="O132" s="1742"/>
      <c r="P132" s="1742"/>
      <c r="Q132" s="1742"/>
      <c r="R132" s="1742"/>
      <c r="S132" s="1742"/>
      <c r="T132" s="1456">
        <f>SUM(S133:S162)</f>
        <v>78986713.271521568</v>
      </c>
      <c r="U132" s="1742"/>
      <c r="V132" s="1742"/>
      <c r="W132" s="1355">
        <f>SUM(V133:V162)</f>
        <v>99277732</v>
      </c>
      <c r="X132" s="1744">
        <f>+W132/$W$216</f>
        <v>8.8058798236754762E-2</v>
      </c>
      <c r="Y132" s="1711">
        <f>+W132</f>
        <v>99277732</v>
      </c>
    </row>
    <row r="133" spans="1:28" ht="10.5" outlineLevel="1" x14ac:dyDescent="0.25">
      <c r="A133" s="1414">
        <f>+A132+0.01</f>
        <v>18.010000000000002</v>
      </c>
      <c r="B133" s="1386" t="s">
        <v>75</v>
      </c>
      <c r="C133" s="1809" t="s">
        <v>348</v>
      </c>
      <c r="D133" s="1415" t="s">
        <v>111</v>
      </c>
      <c r="E133" s="1416">
        <v>392</v>
      </c>
      <c r="F133" s="1773">
        <v>13184.711802349999</v>
      </c>
      <c r="G133" s="1810"/>
      <c r="H133" s="1746">
        <f>F133+G133</f>
        <v>13184.711802349999</v>
      </c>
      <c r="I133" s="1811">
        <v>32886.699999999997</v>
      </c>
      <c r="J133" s="1810"/>
      <c r="K133" s="1746">
        <f>I133+J133</f>
        <v>32886.699999999997</v>
      </c>
      <c r="L133" s="1773">
        <v>1623.6466772663525</v>
      </c>
      <c r="M133" s="1746">
        <f>H133+K133+L133</f>
        <v>47695.058479616353</v>
      </c>
      <c r="N133" s="1747">
        <f t="shared" ref="N133:N136" si="152">F133*E133</f>
        <v>5168407.0265211994</v>
      </c>
      <c r="O133" s="1747">
        <f t="shared" ref="O133:O136" si="153">G133*E133</f>
        <v>0</v>
      </c>
      <c r="P133" s="1747">
        <f t="shared" ref="P133:P136" si="154">I133*E133</f>
        <v>12891586.399999999</v>
      </c>
      <c r="Q133" s="1747">
        <f t="shared" ref="Q133:Q136" si="155">J133*E133</f>
        <v>0</v>
      </c>
      <c r="R133" s="1747">
        <f t="shared" ref="R133:R136" si="156">+L133*E133</f>
        <v>636469.49748841021</v>
      </c>
      <c r="S133" s="1748">
        <f t="shared" si="11"/>
        <v>18696462.924009606</v>
      </c>
      <c r="T133" s="1358"/>
      <c r="U133" s="1365">
        <f t="shared" ref="U133:U162" si="157">+ROUNDUP(M133*$T$5,0)</f>
        <v>59948</v>
      </c>
      <c r="V133" s="1365">
        <f t="shared" ref="V133:V162" si="158">+U133*E133</f>
        <v>23499616</v>
      </c>
      <c r="X133" s="1744"/>
    </row>
    <row r="134" spans="1:28" ht="10.5" outlineLevel="1" x14ac:dyDescent="0.25">
      <c r="A134" s="1417">
        <v>18.02</v>
      </c>
      <c r="B134" s="1370" t="s">
        <v>75</v>
      </c>
      <c r="C134" s="1438" t="s">
        <v>349</v>
      </c>
      <c r="D134" s="1418" t="s">
        <v>111</v>
      </c>
      <c r="E134" s="1419">
        <v>19</v>
      </c>
      <c r="F134" s="1778">
        <v>13184.711802349999</v>
      </c>
      <c r="G134" s="1812"/>
      <c r="H134" s="1750">
        <f t="shared" ref="H134:H162" si="159">F134+G134</f>
        <v>13184.711802349999</v>
      </c>
      <c r="I134" s="1811">
        <v>32886.699999999997</v>
      </c>
      <c r="J134" s="1812"/>
      <c r="K134" s="1750">
        <f t="shared" ref="K134:K162" si="160">I134+J134</f>
        <v>32886.699999999997</v>
      </c>
      <c r="L134" s="1778">
        <v>1623.6466772663525</v>
      </c>
      <c r="M134" s="1750">
        <f t="shared" ref="M134:M136" si="161">H134+K134+L134</f>
        <v>47695.058479616353</v>
      </c>
      <c r="N134" s="1751">
        <f t="shared" si="152"/>
        <v>250509.52424464998</v>
      </c>
      <c r="O134" s="1751">
        <f t="shared" si="153"/>
        <v>0</v>
      </c>
      <c r="P134" s="1751">
        <f t="shared" si="154"/>
        <v>624847.29999999993</v>
      </c>
      <c r="Q134" s="1751">
        <f t="shared" si="155"/>
        <v>0</v>
      </c>
      <c r="R134" s="1751">
        <f t="shared" si="156"/>
        <v>30849.286868060699</v>
      </c>
      <c r="S134" s="1752">
        <f t="shared" si="11"/>
        <v>906206.11111271055</v>
      </c>
      <c r="T134" s="1753"/>
      <c r="U134" s="1369">
        <f t="shared" si="157"/>
        <v>59948</v>
      </c>
      <c r="V134" s="1369">
        <f t="shared" si="158"/>
        <v>1139012</v>
      </c>
      <c r="X134" s="1744"/>
    </row>
    <row r="135" spans="1:28" ht="10.5" outlineLevel="1" x14ac:dyDescent="0.25">
      <c r="A135" s="1417">
        <v>18.03</v>
      </c>
      <c r="B135" s="1370" t="s">
        <v>75</v>
      </c>
      <c r="C135" s="1438" t="s">
        <v>350</v>
      </c>
      <c r="D135" s="1418" t="s">
        <v>111</v>
      </c>
      <c r="E135" s="1419">
        <v>349</v>
      </c>
      <c r="F135" s="1778">
        <v>11193.920501279999</v>
      </c>
      <c r="G135" s="1812"/>
      <c r="H135" s="1750">
        <f t="shared" si="159"/>
        <v>11193.920501279999</v>
      </c>
      <c r="I135" s="1811">
        <v>32886.699999999997</v>
      </c>
      <c r="J135" s="1812"/>
      <c r="K135" s="1750">
        <f t="shared" si="160"/>
        <v>32886.699999999997</v>
      </c>
      <c r="L135" s="1778">
        <v>1623.6466772663525</v>
      </c>
      <c r="M135" s="1750">
        <f t="shared" si="161"/>
        <v>45704.267178546354</v>
      </c>
      <c r="N135" s="1751">
        <f t="shared" si="152"/>
        <v>3906678.2549467199</v>
      </c>
      <c r="O135" s="1751">
        <f t="shared" si="153"/>
        <v>0</v>
      </c>
      <c r="P135" s="1751">
        <f t="shared" si="154"/>
        <v>11477458.299999999</v>
      </c>
      <c r="Q135" s="1751">
        <f t="shared" si="155"/>
        <v>0</v>
      </c>
      <c r="R135" s="1751">
        <f t="shared" si="156"/>
        <v>566652.69036595698</v>
      </c>
      <c r="S135" s="1752">
        <f t="shared" si="11"/>
        <v>15950789.245312676</v>
      </c>
      <c r="T135" s="1753"/>
      <c r="U135" s="1369">
        <f t="shared" si="157"/>
        <v>57445</v>
      </c>
      <c r="V135" s="1369">
        <f t="shared" si="158"/>
        <v>20048305</v>
      </c>
      <c r="X135" s="1744"/>
    </row>
    <row r="136" spans="1:28" ht="10.5" outlineLevel="1" x14ac:dyDescent="0.25">
      <c r="A136" s="1417">
        <v>18.04</v>
      </c>
      <c r="B136" s="1370" t="s">
        <v>75</v>
      </c>
      <c r="C136" s="1438" t="s">
        <v>351</v>
      </c>
      <c r="D136" s="1418" t="s">
        <v>111</v>
      </c>
      <c r="E136" s="1419">
        <v>35</v>
      </c>
      <c r="F136" s="1778">
        <v>11193.920501279999</v>
      </c>
      <c r="G136" s="1780">
        <f>+F136*0.5</f>
        <v>5596.9602506399997</v>
      </c>
      <c r="H136" s="1750">
        <f t="shared" si="159"/>
        <v>16790.880751919998</v>
      </c>
      <c r="I136" s="1811">
        <v>32886.699999999997</v>
      </c>
      <c r="J136" s="1812"/>
      <c r="K136" s="1750">
        <f t="shared" si="160"/>
        <v>32886.699999999997</v>
      </c>
      <c r="L136" s="1778">
        <v>1623.6466772663525</v>
      </c>
      <c r="M136" s="1750">
        <f t="shared" si="161"/>
        <v>51301.22742918635</v>
      </c>
      <c r="N136" s="1751">
        <f t="shared" si="152"/>
        <v>391787.21754479996</v>
      </c>
      <c r="O136" s="1751">
        <f t="shared" si="153"/>
        <v>195893.60877239998</v>
      </c>
      <c r="P136" s="1751">
        <f t="shared" si="154"/>
        <v>1151034.5</v>
      </c>
      <c r="Q136" s="1751">
        <f t="shared" si="155"/>
        <v>0</v>
      </c>
      <c r="R136" s="1751">
        <f t="shared" si="156"/>
        <v>56827.633704322339</v>
      </c>
      <c r="S136" s="1752">
        <f t="shared" si="11"/>
        <v>1795542.9600215224</v>
      </c>
      <c r="T136" s="1753"/>
      <c r="U136" s="1369">
        <f t="shared" si="157"/>
        <v>64480</v>
      </c>
      <c r="V136" s="1369">
        <f t="shared" si="158"/>
        <v>2256800</v>
      </c>
      <c r="X136" s="1744"/>
    </row>
    <row r="137" spans="1:28" ht="10.5" outlineLevel="1" x14ac:dyDescent="0.25">
      <c r="A137" s="1417">
        <v>18.05</v>
      </c>
      <c r="B137" s="1370" t="s">
        <v>75</v>
      </c>
      <c r="C137" s="1438" t="s">
        <v>352</v>
      </c>
      <c r="D137" s="1418" t="s">
        <v>111</v>
      </c>
      <c r="E137" s="1419">
        <v>16</v>
      </c>
      <c r="F137" s="1778">
        <v>11193.920501279999</v>
      </c>
      <c r="G137" s="1812"/>
      <c r="H137" s="1750">
        <f>F137+G137</f>
        <v>11193.920501279999</v>
      </c>
      <c r="I137" s="1811">
        <v>32886.699999999997</v>
      </c>
      <c r="J137" s="1812"/>
      <c r="K137" s="1750">
        <f>I137+J137</f>
        <v>32886.699999999997</v>
      </c>
      <c r="L137" s="1778">
        <v>1623.6466772663525</v>
      </c>
      <c r="M137" s="1750">
        <f>H137+K137+L137</f>
        <v>45704.267178546354</v>
      </c>
      <c r="N137" s="1751">
        <f>F137*E137</f>
        <v>179102.72802047999</v>
      </c>
      <c r="O137" s="1751">
        <f>G137*E137</f>
        <v>0</v>
      </c>
      <c r="P137" s="1751">
        <f>I137*E137</f>
        <v>526187.19999999995</v>
      </c>
      <c r="Q137" s="1751">
        <f>J137*E137</f>
        <v>0</v>
      </c>
      <c r="R137" s="1751">
        <f>+L137*E137</f>
        <v>25978.34683626164</v>
      </c>
      <c r="S137" s="1752">
        <f>SUM(N137:R137)</f>
        <v>731268.27485674166</v>
      </c>
      <c r="T137" s="1753"/>
      <c r="U137" s="1369">
        <f>+ROUNDUP(M137*$T$5,0)</f>
        <v>57445</v>
      </c>
      <c r="V137" s="1369">
        <f>+U137*E137</f>
        <v>919120</v>
      </c>
      <c r="X137" s="1744"/>
    </row>
    <row r="138" spans="1:28" ht="10.5" outlineLevel="1" x14ac:dyDescent="0.25">
      <c r="A138" s="1417">
        <v>18.059999999999999</v>
      </c>
      <c r="B138" s="1370" t="s">
        <v>75</v>
      </c>
      <c r="C138" s="1438" t="s">
        <v>982</v>
      </c>
      <c r="D138" s="1418" t="s">
        <v>111</v>
      </c>
      <c r="E138" s="1419">
        <v>16</v>
      </c>
      <c r="F138" s="1778">
        <v>11193.920501279999</v>
      </c>
      <c r="G138" s="1812"/>
      <c r="H138" s="1750">
        <f>F138+G138</f>
        <v>11193.920501279999</v>
      </c>
      <c r="I138" s="1811">
        <v>32886.699999999997</v>
      </c>
      <c r="J138" s="1812"/>
      <c r="K138" s="1750">
        <f>I138+J138</f>
        <v>32886.699999999997</v>
      </c>
      <c r="L138" s="1778">
        <v>1623.6466772663525</v>
      </c>
      <c r="M138" s="1750">
        <f t="shared" ref="M138" si="162">H138+K138+L138</f>
        <v>45704.267178546354</v>
      </c>
      <c r="N138" s="1751">
        <f t="shared" ref="N138" si="163">F138*E138</f>
        <v>179102.72802047999</v>
      </c>
      <c r="O138" s="1751">
        <f t="shared" ref="O138" si="164">G138*E138</f>
        <v>0</v>
      </c>
      <c r="P138" s="1751">
        <f t="shared" ref="P138" si="165">I138*E138</f>
        <v>526187.19999999995</v>
      </c>
      <c r="Q138" s="1751">
        <f t="shared" ref="Q138" si="166">J138*E138</f>
        <v>0</v>
      </c>
      <c r="R138" s="1751">
        <f t="shared" ref="R138" si="167">+L138*E138</f>
        <v>25978.34683626164</v>
      </c>
      <c r="S138" s="1752">
        <f t="shared" ref="S138" si="168">SUM(N138:R138)</f>
        <v>731268.27485674166</v>
      </c>
      <c r="T138" s="1753"/>
      <c r="U138" s="1369">
        <f t="shared" ref="U138" si="169">+ROUNDUP(M138*$T$5,0)</f>
        <v>57445</v>
      </c>
      <c r="V138" s="1369">
        <f t="shared" ref="V138" si="170">+U138*E138</f>
        <v>919120</v>
      </c>
      <c r="X138" s="1744"/>
    </row>
    <row r="139" spans="1:28" ht="10.5" outlineLevel="1" x14ac:dyDescent="0.25">
      <c r="A139" s="1417">
        <v>18.07</v>
      </c>
      <c r="B139" s="1370" t="s">
        <v>75</v>
      </c>
      <c r="C139" s="1438" t="s">
        <v>353</v>
      </c>
      <c r="D139" s="1418" t="s">
        <v>111</v>
      </c>
      <c r="E139" s="1419">
        <v>46</v>
      </c>
      <c r="F139" s="1780">
        <v>9888.5338517624987</v>
      </c>
      <c r="G139" s="1812"/>
      <c r="H139" s="1750">
        <f t="shared" si="159"/>
        <v>9888.5338517624987</v>
      </c>
      <c r="I139" s="1811">
        <v>22868.3</v>
      </c>
      <c r="J139" s="1812"/>
      <c r="K139" s="1750">
        <f t="shared" si="160"/>
        <v>22868.3</v>
      </c>
      <c r="L139" s="1778">
        <v>1623.6466772663525</v>
      </c>
      <c r="M139" s="1750">
        <f>H139+K139+L139</f>
        <v>34380.48052902885</v>
      </c>
      <c r="N139" s="1751">
        <f>F139*E139</f>
        <v>454872.55718107492</v>
      </c>
      <c r="O139" s="1751">
        <f>G139*E139</f>
        <v>0</v>
      </c>
      <c r="P139" s="1751">
        <f>I139*E139</f>
        <v>1051941.8</v>
      </c>
      <c r="Q139" s="1751">
        <f>J139*E139</f>
        <v>0</v>
      </c>
      <c r="R139" s="1751">
        <f>+L139*E139</f>
        <v>74687.747154252211</v>
      </c>
      <c r="S139" s="1752">
        <f>SUM(N139:R139)</f>
        <v>1581502.1043353272</v>
      </c>
      <c r="T139" s="1753"/>
      <c r="U139" s="1369">
        <f t="shared" si="157"/>
        <v>43213</v>
      </c>
      <c r="V139" s="1369">
        <f t="shared" si="158"/>
        <v>1987798</v>
      </c>
      <c r="X139" s="1744"/>
    </row>
    <row r="140" spans="1:28" ht="10.5" outlineLevel="1" x14ac:dyDescent="0.25">
      <c r="A140" s="1417">
        <v>18.079999999999998</v>
      </c>
      <c r="B140" s="1370" t="s">
        <v>75</v>
      </c>
      <c r="C140" s="1438" t="s">
        <v>354</v>
      </c>
      <c r="D140" s="1418" t="s">
        <v>111</v>
      </c>
      <c r="E140" s="1419">
        <v>17</v>
      </c>
      <c r="F140" s="1780">
        <v>9888.5338517624987</v>
      </c>
      <c r="G140" s="1812"/>
      <c r="H140" s="1750">
        <f t="shared" si="159"/>
        <v>9888.5338517624987</v>
      </c>
      <c r="I140" s="1811">
        <v>22868.3</v>
      </c>
      <c r="J140" s="1812"/>
      <c r="K140" s="1750">
        <f t="shared" si="160"/>
        <v>22868.3</v>
      </c>
      <c r="L140" s="1778">
        <v>1623.6466772663525</v>
      </c>
      <c r="M140" s="1750">
        <f t="shared" ref="M140:M162" si="171">H140+K140+L140</f>
        <v>34380.48052902885</v>
      </c>
      <c r="N140" s="1751">
        <f t="shared" ref="N140:N162" si="172">F140*E140</f>
        <v>168105.07547996248</v>
      </c>
      <c r="O140" s="1751">
        <f t="shared" ref="O140:O162" si="173">G140*E140</f>
        <v>0</v>
      </c>
      <c r="P140" s="1751">
        <f t="shared" ref="P140:P162" si="174">I140*E140</f>
        <v>388761.1</v>
      </c>
      <c r="Q140" s="1751">
        <f t="shared" ref="Q140:Q162" si="175">J140*E140</f>
        <v>0</v>
      </c>
      <c r="R140" s="1751">
        <f t="shared" ref="R140:R162" si="176">+L140*E140</f>
        <v>27601.993513527992</v>
      </c>
      <c r="S140" s="1752">
        <f t="shared" ref="S140:S162" si="177">SUM(N140:R140)</f>
        <v>584468.16899349052</v>
      </c>
      <c r="T140" s="1753"/>
      <c r="U140" s="1369">
        <f t="shared" si="157"/>
        <v>43213</v>
      </c>
      <c r="V140" s="1369">
        <f t="shared" si="158"/>
        <v>734621</v>
      </c>
      <c r="X140" s="1744"/>
    </row>
    <row r="141" spans="1:28" ht="10.5" outlineLevel="1" x14ac:dyDescent="0.25">
      <c r="A141" s="1417">
        <v>18.09</v>
      </c>
      <c r="B141" s="1370" t="s">
        <v>75</v>
      </c>
      <c r="C141" s="1438" t="s">
        <v>355</v>
      </c>
      <c r="D141" s="1418" t="s">
        <v>111</v>
      </c>
      <c r="E141" s="1419">
        <v>11</v>
      </c>
      <c r="F141" s="1780">
        <v>9888.5338517624987</v>
      </c>
      <c r="G141" s="1812"/>
      <c r="H141" s="1750">
        <f t="shared" si="159"/>
        <v>9888.5338517624987</v>
      </c>
      <c r="I141" s="1811">
        <v>22868.3</v>
      </c>
      <c r="J141" s="1812"/>
      <c r="K141" s="1750">
        <f t="shared" si="160"/>
        <v>22868.3</v>
      </c>
      <c r="L141" s="1778">
        <v>1623.6466772663525</v>
      </c>
      <c r="M141" s="1750">
        <f t="shared" si="171"/>
        <v>34380.48052902885</v>
      </c>
      <c r="N141" s="1751">
        <f t="shared" si="172"/>
        <v>108773.87236938748</v>
      </c>
      <c r="O141" s="1751">
        <f t="shared" si="173"/>
        <v>0</v>
      </c>
      <c r="P141" s="1751">
        <f t="shared" si="174"/>
        <v>251551.3</v>
      </c>
      <c r="Q141" s="1751">
        <f t="shared" si="175"/>
        <v>0</v>
      </c>
      <c r="R141" s="1751">
        <f t="shared" si="176"/>
        <v>17860.113449929879</v>
      </c>
      <c r="S141" s="1752">
        <f t="shared" si="177"/>
        <v>378185.28581931733</v>
      </c>
      <c r="T141" s="1753"/>
      <c r="U141" s="1369">
        <f t="shared" si="157"/>
        <v>43213</v>
      </c>
      <c r="V141" s="1369">
        <f t="shared" si="158"/>
        <v>475343</v>
      </c>
      <c r="X141" s="1744"/>
    </row>
    <row r="142" spans="1:28" ht="10.5" outlineLevel="1" x14ac:dyDescent="0.25">
      <c r="A142" s="1417">
        <v>18.100000000000001</v>
      </c>
      <c r="B142" s="1370" t="s">
        <v>75</v>
      </c>
      <c r="C142" s="1438" t="s">
        <v>356</v>
      </c>
      <c r="D142" s="1418" t="s">
        <v>111</v>
      </c>
      <c r="E142" s="1419">
        <v>1</v>
      </c>
      <c r="F142" s="1811">
        <v>1524162.9241119854</v>
      </c>
      <c r="G142" s="1813"/>
      <c r="H142" s="1750">
        <f t="shared" si="159"/>
        <v>1524162.9241119854</v>
      </c>
      <c r="I142" s="1811">
        <v>329747.40000000002</v>
      </c>
      <c r="J142" s="1813"/>
      <c r="K142" s="1750">
        <f t="shared" si="160"/>
        <v>329747.40000000002</v>
      </c>
      <c r="L142" s="1749">
        <f>(H142+K142)*0.015</f>
        <v>27808.654861679781</v>
      </c>
      <c r="M142" s="1750">
        <f t="shared" si="171"/>
        <v>1881718.9789736653</v>
      </c>
      <c r="N142" s="1751">
        <f t="shared" si="172"/>
        <v>1524162.9241119854</v>
      </c>
      <c r="O142" s="1751">
        <f t="shared" si="173"/>
        <v>0</v>
      </c>
      <c r="P142" s="1751">
        <f t="shared" si="174"/>
        <v>329747.40000000002</v>
      </c>
      <c r="Q142" s="1751">
        <f t="shared" si="175"/>
        <v>0</v>
      </c>
      <c r="R142" s="1751">
        <f t="shared" si="176"/>
        <v>27808.654861679781</v>
      </c>
      <c r="S142" s="1752">
        <f t="shared" si="177"/>
        <v>1881718.9789736653</v>
      </c>
      <c r="T142" s="1753"/>
      <c r="U142" s="1369">
        <f t="shared" si="157"/>
        <v>2365100</v>
      </c>
      <c r="V142" s="1369">
        <f t="shared" si="158"/>
        <v>2365100</v>
      </c>
      <c r="X142" s="1744"/>
    </row>
    <row r="143" spans="1:28" ht="10.5" outlineLevel="1" x14ac:dyDescent="0.25">
      <c r="A143" s="1417">
        <v>18.11</v>
      </c>
      <c r="B143" s="1370" t="s">
        <v>75</v>
      </c>
      <c r="C143" s="1438" t="s">
        <v>357</v>
      </c>
      <c r="D143" s="1418" t="s">
        <v>111</v>
      </c>
      <c r="E143" s="1419">
        <v>1</v>
      </c>
      <c r="F143" s="1811">
        <v>651921.59563010593</v>
      </c>
      <c r="G143" s="1812"/>
      <c r="H143" s="1750">
        <f t="shared" si="159"/>
        <v>651921.59563010593</v>
      </c>
      <c r="I143" s="1811">
        <v>219841.65</v>
      </c>
      <c r="J143" s="1812"/>
      <c r="K143" s="1750">
        <f t="shared" si="160"/>
        <v>219841.65</v>
      </c>
      <c r="L143" s="1749">
        <f t="shared" ref="L143:L161" si="178">(H143+K143)*0.015</f>
        <v>13076.448684451589</v>
      </c>
      <c r="M143" s="1750">
        <f t="shared" si="171"/>
        <v>884839.69431455759</v>
      </c>
      <c r="N143" s="1751">
        <f t="shared" si="172"/>
        <v>651921.59563010593</v>
      </c>
      <c r="O143" s="1751">
        <f t="shared" si="173"/>
        <v>0</v>
      </c>
      <c r="P143" s="1751">
        <f t="shared" si="174"/>
        <v>219841.65</v>
      </c>
      <c r="Q143" s="1751">
        <f t="shared" si="175"/>
        <v>0</v>
      </c>
      <c r="R143" s="1751">
        <f t="shared" si="176"/>
        <v>13076.448684451589</v>
      </c>
      <c r="S143" s="1752">
        <f t="shared" si="177"/>
        <v>884839.69431455759</v>
      </c>
      <c r="T143" s="1753"/>
      <c r="U143" s="1369">
        <f t="shared" si="157"/>
        <v>1112140</v>
      </c>
      <c r="V143" s="1369">
        <f t="shared" si="158"/>
        <v>1112140</v>
      </c>
      <c r="X143" s="1744"/>
    </row>
    <row r="144" spans="1:28" ht="10.5" outlineLevel="1" x14ac:dyDescent="0.25">
      <c r="A144" s="1417">
        <v>18.12</v>
      </c>
      <c r="B144" s="1370" t="s">
        <v>75</v>
      </c>
      <c r="C144" s="1438" t="s">
        <v>358</v>
      </c>
      <c r="D144" s="1418" t="s">
        <v>111</v>
      </c>
      <c r="E144" s="1419">
        <v>1</v>
      </c>
      <c r="F144" s="1420">
        <v>304564.37296813715</v>
      </c>
      <c r="G144" s="1796"/>
      <c r="H144" s="1750">
        <f t="shared" si="159"/>
        <v>304564.37296813715</v>
      </c>
      <c r="I144" s="1811">
        <v>219841.65</v>
      </c>
      <c r="J144" s="1812"/>
      <c r="K144" s="1750">
        <f t="shared" si="160"/>
        <v>219841.65</v>
      </c>
      <c r="L144" s="1749">
        <f t="shared" si="178"/>
        <v>7866.0903445220574</v>
      </c>
      <c r="M144" s="1750">
        <f t="shared" si="171"/>
        <v>532272.1133126592</v>
      </c>
      <c r="N144" s="1751">
        <f t="shared" si="172"/>
        <v>304564.37296813715</v>
      </c>
      <c r="O144" s="1751">
        <f t="shared" si="173"/>
        <v>0</v>
      </c>
      <c r="P144" s="1751">
        <f t="shared" si="174"/>
        <v>219841.65</v>
      </c>
      <c r="Q144" s="1751">
        <f t="shared" si="175"/>
        <v>0</v>
      </c>
      <c r="R144" s="1751">
        <f t="shared" si="176"/>
        <v>7866.0903445220574</v>
      </c>
      <c r="S144" s="1752">
        <f t="shared" si="177"/>
        <v>532272.1133126592</v>
      </c>
      <c r="T144" s="1753"/>
      <c r="U144" s="1369">
        <f t="shared" si="157"/>
        <v>669004</v>
      </c>
      <c r="V144" s="1369">
        <f t="shared" si="158"/>
        <v>669004</v>
      </c>
      <c r="X144" s="1744"/>
    </row>
    <row r="145" spans="1:24" ht="10.5" outlineLevel="1" x14ac:dyDescent="0.25">
      <c r="A145" s="1417">
        <v>18.13</v>
      </c>
      <c r="B145" s="1370" t="s">
        <v>75</v>
      </c>
      <c r="C145" s="1438" t="s">
        <v>359</v>
      </c>
      <c r="D145" s="1418" t="s">
        <v>111</v>
      </c>
      <c r="E145" s="1419">
        <v>1</v>
      </c>
      <c r="F145" s="1420">
        <v>540706.66411583603</v>
      </c>
      <c r="G145" s="1812"/>
      <c r="H145" s="1750">
        <f t="shared" si="159"/>
        <v>540706.66411583603</v>
      </c>
      <c r="I145" s="1811">
        <v>219841.65</v>
      </c>
      <c r="J145" s="1812"/>
      <c r="K145" s="1750">
        <f t="shared" si="160"/>
        <v>219841.65</v>
      </c>
      <c r="L145" s="1749">
        <f t="shared" si="178"/>
        <v>11408.224711737541</v>
      </c>
      <c r="M145" s="1750">
        <f t="shared" si="171"/>
        <v>771956.53882757365</v>
      </c>
      <c r="N145" s="1751">
        <f t="shared" si="172"/>
        <v>540706.66411583603</v>
      </c>
      <c r="O145" s="1751">
        <f t="shared" si="173"/>
        <v>0</v>
      </c>
      <c r="P145" s="1751">
        <f t="shared" si="174"/>
        <v>219841.65</v>
      </c>
      <c r="Q145" s="1751">
        <f t="shared" si="175"/>
        <v>0</v>
      </c>
      <c r="R145" s="1751">
        <f t="shared" si="176"/>
        <v>11408.224711737541</v>
      </c>
      <c r="S145" s="1752">
        <f t="shared" si="177"/>
        <v>771956.53882757365</v>
      </c>
      <c r="T145" s="1753"/>
      <c r="U145" s="1369">
        <f t="shared" si="157"/>
        <v>970259</v>
      </c>
      <c r="V145" s="1369">
        <f t="shared" si="158"/>
        <v>970259</v>
      </c>
      <c r="X145" s="1744"/>
    </row>
    <row r="146" spans="1:24" ht="10.5" outlineLevel="1" x14ac:dyDescent="0.25">
      <c r="A146" s="1417">
        <v>18.14</v>
      </c>
      <c r="B146" s="1370" t="s">
        <v>75</v>
      </c>
      <c r="C146" s="1438" t="s">
        <v>360</v>
      </c>
      <c r="D146" s="1418" t="s">
        <v>111</v>
      </c>
      <c r="E146" s="1419">
        <v>1</v>
      </c>
      <c r="F146" s="1811">
        <v>178279.69798522911</v>
      </c>
      <c r="G146" s="1812"/>
      <c r="H146" s="1750">
        <f t="shared" si="159"/>
        <v>178279.69798522911</v>
      </c>
      <c r="I146" s="1811">
        <v>219841.65</v>
      </c>
      <c r="J146" s="1812"/>
      <c r="K146" s="1750">
        <f t="shared" si="160"/>
        <v>219841.65</v>
      </c>
      <c r="L146" s="1749">
        <f t="shared" si="178"/>
        <v>5971.8202197784367</v>
      </c>
      <c r="M146" s="1750">
        <f t="shared" si="171"/>
        <v>404093.16820500756</v>
      </c>
      <c r="N146" s="1751">
        <f t="shared" si="172"/>
        <v>178279.69798522911</v>
      </c>
      <c r="O146" s="1751">
        <f t="shared" si="173"/>
        <v>0</v>
      </c>
      <c r="P146" s="1751">
        <f t="shared" si="174"/>
        <v>219841.65</v>
      </c>
      <c r="Q146" s="1751">
        <f t="shared" si="175"/>
        <v>0</v>
      </c>
      <c r="R146" s="1751">
        <f t="shared" si="176"/>
        <v>5971.8202197784367</v>
      </c>
      <c r="S146" s="1752">
        <f t="shared" si="177"/>
        <v>404093.16820500756</v>
      </c>
      <c r="T146" s="1753"/>
      <c r="U146" s="1369">
        <f t="shared" si="157"/>
        <v>507898</v>
      </c>
      <c r="V146" s="1369">
        <f t="shared" si="158"/>
        <v>507898</v>
      </c>
      <c r="X146" s="1744"/>
    </row>
    <row r="147" spans="1:24" ht="10.5" outlineLevel="1" x14ac:dyDescent="0.25">
      <c r="A147" s="1417">
        <v>18.149999999999999</v>
      </c>
      <c r="B147" s="1370" t="s">
        <v>75</v>
      </c>
      <c r="C147" s="1438" t="s">
        <v>361</v>
      </c>
      <c r="D147" s="1418" t="s">
        <v>111</v>
      </c>
      <c r="E147" s="1419">
        <v>7</v>
      </c>
      <c r="F147" s="1811">
        <v>178279.69798522911</v>
      </c>
      <c r="G147" s="1812"/>
      <c r="H147" s="1750">
        <f t="shared" si="159"/>
        <v>178279.69798522911</v>
      </c>
      <c r="I147" s="1811">
        <v>219841.65</v>
      </c>
      <c r="J147" s="1812"/>
      <c r="K147" s="1750">
        <f t="shared" si="160"/>
        <v>219841.65</v>
      </c>
      <c r="L147" s="1749">
        <f t="shared" si="178"/>
        <v>5971.8202197784367</v>
      </c>
      <c r="M147" s="1750">
        <f t="shared" si="171"/>
        <v>404093.16820500756</v>
      </c>
      <c r="N147" s="1751">
        <f t="shared" si="172"/>
        <v>1247957.8858966038</v>
      </c>
      <c r="O147" s="1751">
        <f t="shared" si="173"/>
        <v>0</v>
      </c>
      <c r="P147" s="1751">
        <f t="shared" si="174"/>
        <v>1538891.55</v>
      </c>
      <c r="Q147" s="1751">
        <f t="shared" si="175"/>
        <v>0</v>
      </c>
      <c r="R147" s="1751">
        <f t="shared" si="176"/>
        <v>41802.74153844906</v>
      </c>
      <c r="S147" s="1752">
        <f t="shared" si="177"/>
        <v>2828652.177435053</v>
      </c>
      <c r="T147" s="1753"/>
      <c r="U147" s="1369">
        <f t="shared" si="157"/>
        <v>507898</v>
      </c>
      <c r="V147" s="1369">
        <f t="shared" si="158"/>
        <v>3555286</v>
      </c>
      <c r="X147" s="1744"/>
    </row>
    <row r="148" spans="1:24" ht="10.5" outlineLevel="1" x14ac:dyDescent="0.25">
      <c r="A148" s="1417">
        <v>18.16</v>
      </c>
      <c r="B148" s="1370" t="s">
        <v>75</v>
      </c>
      <c r="C148" s="1438" t="s">
        <v>362</v>
      </c>
      <c r="D148" s="1418" t="s">
        <v>111</v>
      </c>
      <c r="E148" s="1419">
        <v>9</v>
      </c>
      <c r="F148" s="1811">
        <v>246945.70801345402</v>
      </c>
      <c r="G148" s="1812"/>
      <c r="H148" s="1750">
        <f t="shared" si="159"/>
        <v>246945.70801345402</v>
      </c>
      <c r="I148" s="1811">
        <v>219841.65</v>
      </c>
      <c r="J148" s="1812"/>
      <c r="K148" s="1750">
        <f t="shared" si="160"/>
        <v>219841.65</v>
      </c>
      <c r="L148" s="1749">
        <f t="shared" si="178"/>
        <v>7001.8103702018097</v>
      </c>
      <c r="M148" s="1750">
        <f t="shared" si="171"/>
        <v>473789.16838365584</v>
      </c>
      <c r="N148" s="1751">
        <f t="shared" si="172"/>
        <v>2222511.3721210863</v>
      </c>
      <c r="O148" s="1751">
        <f t="shared" si="173"/>
        <v>0</v>
      </c>
      <c r="P148" s="1751">
        <f t="shared" si="174"/>
        <v>1978574.8499999999</v>
      </c>
      <c r="Q148" s="1751">
        <f t="shared" si="175"/>
        <v>0</v>
      </c>
      <c r="R148" s="1751">
        <f t="shared" si="176"/>
        <v>63016.29333181629</v>
      </c>
      <c r="S148" s="1752">
        <f t="shared" si="177"/>
        <v>4264102.5154529018</v>
      </c>
      <c r="T148" s="1753"/>
      <c r="U148" s="1369">
        <f t="shared" si="157"/>
        <v>595498</v>
      </c>
      <c r="V148" s="1369">
        <f t="shared" si="158"/>
        <v>5359482</v>
      </c>
      <c r="X148" s="1744"/>
    </row>
    <row r="149" spans="1:24" ht="10.5" outlineLevel="1" x14ac:dyDescent="0.25">
      <c r="A149" s="1417">
        <v>18.170000000000002</v>
      </c>
      <c r="B149" s="1370" t="s">
        <v>75</v>
      </c>
      <c r="C149" s="1438" t="s">
        <v>363</v>
      </c>
      <c r="D149" s="1418" t="s">
        <v>107</v>
      </c>
      <c r="E149" s="1419">
        <v>1</v>
      </c>
      <c r="F149" s="1814">
        <v>5500000</v>
      </c>
      <c r="G149" s="1813"/>
      <c r="H149" s="1750">
        <f t="shared" si="159"/>
        <v>5500000</v>
      </c>
      <c r="I149" s="1813">
        <v>1298971.1999314395</v>
      </c>
      <c r="J149" s="1813">
        <f>+I149*0.5</f>
        <v>649485.59996571974</v>
      </c>
      <c r="K149" s="1750">
        <f t="shared" si="160"/>
        <v>1948456.7998971592</v>
      </c>
      <c r="L149" s="1749">
        <f t="shared" si="178"/>
        <v>111726.85199845739</v>
      </c>
      <c r="M149" s="1750">
        <f t="shared" si="171"/>
        <v>7560183.6518956171</v>
      </c>
      <c r="N149" s="1751">
        <f t="shared" si="172"/>
        <v>5500000</v>
      </c>
      <c r="O149" s="1751">
        <f t="shared" si="173"/>
        <v>0</v>
      </c>
      <c r="P149" s="1751">
        <f t="shared" si="174"/>
        <v>1298971.1999314395</v>
      </c>
      <c r="Q149" s="1751">
        <f t="shared" si="175"/>
        <v>649485.59996571974</v>
      </c>
      <c r="R149" s="1751">
        <f t="shared" si="176"/>
        <v>111726.85199845739</v>
      </c>
      <c r="S149" s="1752">
        <f t="shared" si="177"/>
        <v>7560183.6518956162</v>
      </c>
      <c r="T149" s="1753"/>
      <c r="U149" s="1369">
        <f t="shared" si="157"/>
        <v>9502264</v>
      </c>
      <c r="V149" s="1369">
        <f t="shared" si="158"/>
        <v>9502264</v>
      </c>
      <c r="X149" s="1744"/>
    </row>
    <row r="150" spans="1:24" ht="10.5" outlineLevel="1" x14ac:dyDescent="0.25">
      <c r="A150" s="1417">
        <v>18.18</v>
      </c>
      <c r="B150" s="1370" t="s">
        <v>75</v>
      </c>
      <c r="C150" s="1438" t="s">
        <v>364</v>
      </c>
      <c r="D150" s="1418" t="s">
        <v>107</v>
      </c>
      <c r="E150" s="1419">
        <v>1</v>
      </c>
      <c r="F150" s="1811">
        <v>607800.87756291637</v>
      </c>
      <c r="G150" s="1813"/>
      <c r="H150" s="1750">
        <f t="shared" si="159"/>
        <v>607800.87756291637</v>
      </c>
      <c r="I150" s="1813">
        <v>576472.42766571976</v>
      </c>
      <c r="J150" s="1813">
        <f>+I150*0.5</f>
        <v>288236.21383285988</v>
      </c>
      <c r="K150" s="1750">
        <f t="shared" si="160"/>
        <v>864708.64149857964</v>
      </c>
      <c r="L150" s="1749">
        <f t="shared" si="178"/>
        <v>22087.642785922439</v>
      </c>
      <c r="M150" s="1750">
        <f t="shared" si="171"/>
        <v>1494597.1618474184</v>
      </c>
      <c r="N150" s="1751">
        <f t="shared" si="172"/>
        <v>607800.87756291637</v>
      </c>
      <c r="O150" s="1751">
        <f t="shared" si="173"/>
        <v>0</v>
      </c>
      <c r="P150" s="1751">
        <f t="shared" si="174"/>
        <v>576472.42766571976</v>
      </c>
      <c r="Q150" s="1751">
        <f t="shared" si="175"/>
        <v>288236.21383285988</v>
      </c>
      <c r="R150" s="1751">
        <f t="shared" si="176"/>
        <v>22087.642785922439</v>
      </c>
      <c r="S150" s="1752">
        <f t="shared" si="177"/>
        <v>1494597.1618474184</v>
      </c>
      <c r="T150" s="1753"/>
      <c r="U150" s="1369">
        <f t="shared" si="157"/>
        <v>1878534</v>
      </c>
      <c r="V150" s="1369">
        <f t="shared" si="158"/>
        <v>1878534</v>
      </c>
      <c r="X150" s="1744"/>
    </row>
    <row r="151" spans="1:24" ht="10.5" outlineLevel="1" x14ac:dyDescent="0.25">
      <c r="A151" s="1417">
        <v>18.190000000000001</v>
      </c>
      <c r="B151" s="1370" t="s">
        <v>75</v>
      </c>
      <c r="C151" s="1438" t="s">
        <v>365</v>
      </c>
      <c r="D151" s="1418" t="s">
        <v>107</v>
      </c>
      <c r="E151" s="1419">
        <v>1</v>
      </c>
      <c r="F151" s="1811">
        <v>607800.87756291637</v>
      </c>
      <c r="G151" s="1813"/>
      <c r="H151" s="1750">
        <f t="shared" si="159"/>
        <v>607800.87756291637</v>
      </c>
      <c r="I151" s="1813">
        <f>+I150</f>
        <v>576472.42766571976</v>
      </c>
      <c r="J151" s="1813">
        <f>+J150</f>
        <v>288236.21383285988</v>
      </c>
      <c r="K151" s="1750">
        <f t="shared" si="160"/>
        <v>864708.64149857964</v>
      </c>
      <c r="L151" s="1749">
        <f t="shared" si="178"/>
        <v>22087.642785922439</v>
      </c>
      <c r="M151" s="1750">
        <f t="shared" si="171"/>
        <v>1494597.1618474184</v>
      </c>
      <c r="N151" s="1751">
        <f t="shared" si="172"/>
        <v>607800.87756291637</v>
      </c>
      <c r="O151" s="1751">
        <f t="shared" si="173"/>
        <v>0</v>
      </c>
      <c r="P151" s="1751">
        <f t="shared" si="174"/>
        <v>576472.42766571976</v>
      </c>
      <c r="Q151" s="1751">
        <f t="shared" si="175"/>
        <v>288236.21383285988</v>
      </c>
      <c r="R151" s="1751">
        <f t="shared" si="176"/>
        <v>22087.642785922439</v>
      </c>
      <c r="S151" s="1752">
        <f t="shared" si="177"/>
        <v>1494597.1618474184</v>
      </c>
      <c r="T151" s="1753"/>
      <c r="U151" s="1369">
        <f t="shared" si="157"/>
        <v>1878534</v>
      </c>
      <c r="V151" s="1369">
        <f t="shared" si="158"/>
        <v>1878534</v>
      </c>
      <c r="X151" s="1744"/>
    </row>
    <row r="152" spans="1:24" ht="10.5" outlineLevel="1" x14ac:dyDescent="0.25">
      <c r="A152" s="1417">
        <v>18.2</v>
      </c>
      <c r="B152" s="1370" t="s">
        <v>75</v>
      </c>
      <c r="C152" s="1438" t="s">
        <v>983</v>
      </c>
      <c r="D152" s="1418" t="s">
        <v>111</v>
      </c>
      <c r="E152" s="1419">
        <v>33</v>
      </c>
      <c r="F152" s="1811"/>
      <c r="G152" s="1812"/>
      <c r="H152" s="1750">
        <f t="shared" si="159"/>
        <v>0</v>
      </c>
      <c r="I152" s="1811">
        <v>11158</v>
      </c>
      <c r="J152" s="1812"/>
      <c r="K152" s="1750">
        <f t="shared" si="160"/>
        <v>11158</v>
      </c>
      <c r="L152" s="1749">
        <f t="shared" si="178"/>
        <v>167.37</v>
      </c>
      <c r="M152" s="1750">
        <f t="shared" si="171"/>
        <v>11325.37</v>
      </c>
      <c r="N152" s="1751">
        <f t="shared" si="172"/>
        <v>0</v>
      </c>
      <c r="O152" s="1751">
        <f t="shared" si="173"/>
        <v>0</v>
      </c>
      <c r="P152" s="1751">
        <f t="shared" si="174"/>
        <v>368214</v>
      </c>
      <c r="Q152" s="1751">
        <f t="shared" si="175"/>
        <v>0</v>
      </c>
      <c r="R152" s="1751">
        <f t="shared" si="176"/>
        <v>5523.21</v>
      </c>
      <c r="S152" s="1752">
        <f t="shared" si="177"/>
        <v>373737.21</v>
      </c>
      <c r="T152" s="1753"/>
      <c r="U152" s="1369">
        <f t="shared" si="157"/>
        <v>14235</v>
      </c>
      <c r="V152" s="1369">
        <f t="shared" si="158"/>
        <v>469755</v>
      </c>
      <c r="X152" s="1744"/>
    </row>
    <row r="153" spans="1:24" ht="10.5" outlineLevel="1" x14ac:dyDescent="0.25">
      <c r="A153" s="1417">
        <v>18.21</v>
      </c>
      <c r="B153" s="1370" t="s">
        <v>75</v>
      </c>
      <c r="C153" s="1438" t="s">
        <v>984</v>
      </c>
      <c r="D153" s="1418" t="s">
        <v>111</v>
      </c>
      <c r="E153" s="1419">
        <v>150</v>
      </c>
      <c r="F153" s="1813"/>
      <c r="G153" s="1813"/>
      <c r="H153" s="1750">
        <f t="shared" si="159"/>
        <v>0</v>
      </c>
      <c r="I153" s="1811">
        <v>7270.9</v>
      </c>
      <c r="J153" s="1813"/>
      <c r="K153" s="1750">
        <f t="shared" si="160"/>
        <v>7270.9</v>
      </c>
      <c r="L153" s="1749">
        <f t="shared" si="178"/>
        <v>109.06349999999999</v>
      </c>
      <c r="M153" s="1750">
        <f t="shared" si="171"/>
        <v>7379.9634999999998</v>
      </c>
      <c r="N153" s="1751">
        <f t="shared" si="172"/>
        <v>0</v>
      </c>
      <c r="O153" s="1751">
        <f t="shared" si="173"/>
        <v>0</v>
      </c>
      <c r="P153" s="1751">
        <f t="shared" si="174"/>
        <v>1090635</v>
      </c>
      <c r="Q153" s="1751">
        <f t="shared" si="175"/>
        <v>0</v>
      </c>
      <c r="R153" s="1751">
        <f t="shared" si="176"/>
        <v>16359.524999999998</v>
      </c>
      <c r="S153" s="1752">
        <f t="shared" si="177"/>
        <v>1106994.5249999999</v>
      </c>
      <c r="T153" s="1753"/>
      <c r="U153" s="1369">
        <f t="shared" si="157"/>
        <v>9276</v>
      </c>
      <c r="V153" s="1369">
        <f t="shared" si="158"/>
        <v>1391400</v>
      </c>
      <c r="X153" s="1744"/>
    </row>
    <row r="154" spans="1:24" ht="10.5" outlineLevel="1" x14ac:dyDescent="0.25">
      <c r="A154" s="1417">
        <v>18.22</v>
      </c>
      <c r="B154" s="1370" t="s">
        <v>75</v>
      </c>
      <c r="C154" s="1438" t="s">
        <v>985</v>
      </c>
      <c r="D154" s="1418" t="s">
        <v>111</v>
      </c>
      <c r="E154" s="1419">
        <v>16</v>
      </c>
      <c r="F154" s="1813"/>
      <c r="G154" s="1813"/>
      <c r="H154" s="1750">
        <f t="shared" si="159"/>
        <v>0</v>
      </c>
      <c r="I154" s="1811">
        <v>7270.9</v>
      </c>
      <c r="J154" s="1813"/>
      <c r="K154" s="1750">
        <f t="shared" si="160"/>
        <v>7270.9</v>
      </c>
      <c r="L154" s="1749">
        <f t="shared" si="178"/>
        <v>109.06349999999999</v>
      </c>
      <c r="M154" s="1750">
        <f t="shared" si="171"/>
        <v>7379.9634999999998</v>
      </c>
      <c r="N154" s="1751">
        <f t="shared" si="172"/>
        <v>0</v>
      </c>
      <c r="O154" s="1751">
        <f t="shared" si="173"/>
        <v>0</v>
      </c>
      <c r="P154" s="1751">
        <f t="shared" si="174"/>
        <v>116334.39999999999</v>
      </c>
      <c r="Q154" s="1751">
        <f t="shared" si="175"/>
        <v>0</v>
      </c>
      <c r="R154" s="1751">
        <f t="shared" si="176"/>
        <v>1745.0159999999998</v>
      </c>
      <c r="S154" s="1752">
        <f t="shared" si="177"/>
        <v>118079.416</v>
      </c>
      <c r="T154" s="1753"/>
      <c r="U154" s="1369">
        <f t="shared" si="157"/>
        <v>9276</v>
      </c>
      <c r="V154" s="1369">
        <f t="shared" si="158"/>
        <v>148416</v>
      </c>
      <c r="X154" s="1744"/>
    </row>
    <row r="155" spans="1:24" ht="10.5" outlineLevel="1" x14ac:dyDescent="0.25">
      <c r="A155" s="1417">
        <v>18.23</v>
      </c>
      <c r="B155" s="1370" t="s">
        <v>75</v>
      </c>
      <c r="C155" s="1438" t="s">
        <v>986</v>
      </c>
      <c r="D155" s="1418" t="s">
        <v>111</v>
      </c>
      <c r="E155" s="1419">
        <v>349</v>
      </c>
      <c r="F155" s="1813"/>
      <c r="G155" s="1813"/>
      <c r="H155" s="1750">
        <f t="shared" si="159"/>
        <v>0</v>
      </c>
      <c r="I155" s="1811">
        <v>7270.9</v>
      </c>
      <c r="J155" s="1813"/>
      <c r="K155" s="1750">
        <f t="shared" si="160"/>
        <v>7270.9</v>
      </c>
      <c r="L155" s="1749">
        <f t="shared" si="178"/>
        <v>109.06349999999999</v>
      </c>
      <c r="M155" s="1750">
        <f t="shared" si="171"/>
        <v>7379.9634999999998</v>
      </c>
      <c r="N155" s="1751">
        <f t="shared" si="172"/>
        <v>0</v>
      </c>
      <c r="O155" s="1751">
        <f t="shared" si="173"/>
        <v>0</v>
      </c>
      <c r="P155" s="1751">
        <f t="shared" si="174"/>
        <v>2537544.1</v>
      </c>
      <c r="Q155" s="1751">
        <f t="shared" si="175"/>
        <v>0</v>
      </c>
      <c r="R155" s="1751">
        <f t="shared" si="176"/>
        <v>38063.161499999995</v>
      </c>
      <c r="S155" s="1752">
        <f t="shared" si="177"/>
        <v>2575607.2615</v>
      </c>
      <c r="T155" s="1753"/>
      <c r="U155" s="1369">
        <f t="shared" si="157"/>
        <v>9276</v>
      </c>
      <c r="V155" s="1369">
        <f t="shared" si="158"/>
        <v>3237324</v>
      </c>
      <c r="X155" s="1744"/>
    </row>
    <row r="156" spans="1:24" ht="10.5" outlineLevel="1" x14ac:dyDescent="0.25">
      <c r="A156" s="1417">
        <v>18.239999999999998</v>
      </c>
      <c r="B156" s="1370" t="s">
        <v>75</v>
      </c>
      <c r="C156" s="1438" t="s">
        <v>987</v>
      </c>
      <c r="D156" s="1418" t="s">
        <v>111</v>
      </c>
      <c r="E156" s="1419">
        <v>27</v>
      </c>
      <c r="F156" s="1815"/>
      <c r="G156" s="1812"/>
      <c r="H156" s="1750">
        <f t="shared" si="159"/>
        <v>0</v>
      </c>
      <c r="I156" s="1811">
        <v>17500</v>
      </c>
      <c r="J156" s="1812"/>
      <c r="K156" s="1750">
        <f t="shared" si="160"/>
        <v>17500</v>
      </c>
      <c r="L156" s="1749">
        <f t="shared" si="178"/>
        <v>262.5</v>
      </c>
      <c r="M156" s="1750">
        <f t="shared" si="171"/>
        <v>17762.5</v>
      </c>
      <c r="N156" s="1751">
        <f t="shared" si="172"/>
        <v>0</v>
      </c>
      <c r="O156" s="1751">
        <f t="shared" si="173"/>
        <v>0</v>
      </c>
      <c r="P156" s="1751">
        <f t="shared" si="174"/>
        <v>472500</v>
      </c>
      <c r="Q156" s="1751">
        <f t="shared" si="175"/>
        <v>0</v>
      </c>
      <c r="R156" s="1751">
        <f t="shared" si="176"/>
        <v>7087.5</v>
      </c>
      <c r="S156" s="1752">
        <f t="shared" si="177"/>
        <v>479587.5</v>
      </c>
      <c r="T156" s="1753"/>
      <c r="U156" s="1369">
        <f t="shared" si="157"/>
        <v>22326</v>
      </c>
      <c r="V156" s="1369">
        <f t="shared" si="158"/>
        <v>602802</v>
      </c>
      <c r="X156" s="1744"/>
    </row>
    <row r="157" spans="1:24" ht="10.5" outlineLevel="1" x14ac:dyDescent="0.25">
      <c r="A157" s="1417">
        <v>18.25</v>
      </c>
      <c r="B157" s="1370" t="s">
        <v>75</v>
      </c>
      <c r="C157" s="1438" t="s">
        <v>988</v>
      </c>
      <c r="D157" s="1418" t="s">
        <v>111</v>
      </c>
      <c r="E157" s="1419">
        <v>16</v>
      </c>
      <c r="F157" s="1811"/>
      <c r="G157" s="1812"/>
      <c r="H157" s="1750">
        <f t="shared" si="159"/>
        <v>0</v>
      </c>
      <c r="I157" s="1811">
        <v>11158</v>
      </c>
      <c r="J157" s="1812"/>
      <c r="K157" s="1750">
        <f t="shared" si="160"/>
        <v>11158</v>
      </c>
      <c r="L157" s="1749">
        <f t="shared" si="178"/>
        <v>167.37</v>
      </c>
      <c r="M157" s="1750">
        <f t="shared" si="171"/>
        <v>11325.37</v>
      </c>
      <c r="N157" s="1751">
        <f t="shared" si="172"/>
        <v>0</v>
      </c>
      <c r="O157" s="1751">
        <f t="shared" si="173"/>
        <v>0</v>
      </c>
      <c r="P157" s="1751">
        <f t="shared" si="174"/>
        <v>178528</v>
      </c>
      <c r="Q157" s="1751">
        <f t="shared" si="175"/>
        <v>0</v>
      </c>
      <c r="R157" s="1751">
        <f t="shared" si="176"/>
        <v>2677.92</v>
      </c>
      <c r="S157" s="1752">
        <f t="shared" si="177"/>
        <v>181205.92</v>
      </c>
      <c r="T157" s="1753"/>
      <c r="U157" s="1369">
        <f t="shared" si="157"/>
        <v>14235</v>
      </c>
      <c r="V157" s="1369">
        <f t="shared" si="158"/>
        <v>227760</v>
      </c>
      <c r="X157" s="1744"/>
    </row>
    <row r="158" spans="1:24" ht="10.5" outlineLevel="1" x14ac:dyDescent="0.25">
      <c r="A158" s="1417">
        <v>18.260000000000002</v>
      </c>
      <c r="B158" s="1370" t="s">
        <v>75</v>
      </c>
      <c r="C158" s="1438" t="s">
        <v>989</v>
      </c>
      <c r="D158" s="1418" t="s">
        <v>111</v>
      </c>
      <c r="E158" s="1419">
        <v>137</v>
      </c>
      <c r="F158" s="1815"/>
      <c r="G158" s="1812"/>
      <c r="H158" s="1750">
        <f t="shared" si="159"/>
        <v>0</v>
      </c>
      <c r="I158" s="1420">
        <v>11158</v>
      </c>
      <c r="J158" s="1812"/>
      <c r="K158" s="1750">
        <f t="shared" si="160"/>
        <v>11158</v>
      </c>
      <c r="L158" s="1749">
        <f t="shared" si="178"/>
        <v>167.37</v>
      </c>
      <c r="M158" s="1750">
        <f t="shared" si="171"/>
        <v>11325.37</v>
      </c>
      <c r="N158" s="1751">
        <f t="shared" si="172"/>
        <v>0</v>
      </c>
      <c r="O158" s="1751">
        <f t="shared" si="173"/>
        <v>0</v>
      </c>
      <c r="P158" s="1751">
        <f t="shared" si="174"/>
        <v>1528646</v>
      </c>
      <c r="Q158" s="1751">
        <f t="shared" si="175"/>
        <v>0</v>
      </c>
      <c r="R158" s="1751">
        <f t="shared" si="176"/>
        <v>22929.690000000002</v>
      </c>
      <c r="S158" s="1752">
        <f t="shared" si="177"/>
        <v>1551575.69</v>
      </c>
      <c r="T158" s="1753"/>
      <c r="U158" s="1369">
        <f t="shared" si="157"/>
        <v>14235</v>
      </c>
      <c r="V158" s="1369">
        <f t="shared" si="158"/>
        <v>1950195</v>
      </c>
      <c r="X158" s="1744"/>
    </row>
    <row r="159" spans="1:24" ht="10.5" outlineLevel="1" x14ac:dyDescent="0.25">
      <c r="A159" s="1417">
        <v>18.27</v>
      </c>
      <c r="B159" s="1370" t="s">
        <v>75</v>
      </c>
      <c r="C159" s="1438" t="s">
        <v>990</v>
      </c>
      <c r="D159" s="1418" t="s">
        <v>111</v>
      </c>
      <c r="E159" s="1419">
        <v>1</v>
      </c>
      <c r="F159" s="1815"/>
      <c r="G159" s="1812"/>
      <c r="H159" s="1750">
        <f t="shared" si="159"/>
        <v>0</v>
      </c>
      <c r="I159" s="1420">
        <v>11158</v>
      </c>
      <c r="J159" s="1812"/>
      <c r="K159" s="1750">
        <f t="shared" si="160"/>
        <v>11158</v>
      </c>
      <c r="L159" s="1749">
        <f t="shared" si="178"/>
        <v>167.37</v>
      </c>
      <c r="M159" s="1750">
        <f t="shared" si="171"/>
        <v>11325.37</v>
      </c>
      <c r="N159" s="1751">
        <f t="shared" si="172"/>
        <v>0</v>
      </c>
      <c r="O159" s="1751">
        <f t="shared" si="173"/>
        <v>0</v>
      </c>
      <c r="P159" s="1751">
        <f t="shared" si="174"/>
        <v>11158</v>
      </c>
      <c r="Q159" s="1751">
        <f t="shared" si="175"/>
        <v>0</v>
      </c>
      <c r="R159" s="1751">
        <f t="shared" si="176"/>
        <v>167.37</v>
      </c>
      <c r="S159" s="1752">
        <f t="shared" si="177"/>
        <v>11325.37</v>
      </c>
      <c r="T159" s="1753"/>
      <c r="U159" s="1369">
        <f t="shared" si="157"/>
        <v>14235</v>
      </c>
      <c r="V159" s="1369">
        <f t="shared" si="158"/>
        <v>14235</v>
      </c>
      <c r="X159" s="1744"/>
    </row>
    <row r="160" spans="1:24" ht="10.5" outlineLevel="1" x14ac:dyDescent="0.25">
      <c r="A160" s="1417">
        <v>18.28</v>
      </c>
      <c r="B160" s="1370" t="s">
        <v>75</v>
      </c>
      <c r="C160" s="1438" t="s">
        <v>366</v>
      </c>
      <c r="D160" s="1418" t="s">
        <v>107</v>
      </c>
      <c r="E160" s="1419">
        <v>1</v>
      </c>
      <c r="F160" s="1811">
        <v>5844722.2283497546</v>
      </c>
      <c r="G160" s="1813"/>
      <c r="H160" s="1750">
        <f t="shared" si="159"/>
        <v>5844722.2283497546</v>
      </c>
      <c r="I160" s="1811">
        <v>1471041.5999999999</v>
      </c>
      <c r="J160" s="1813"/>
      <c r="K160" s="1750">
        <f t="shared" si="160"/>
        <v>1471041.5999999999</v>
      </c>
      <c r="L160" s="1749">
        <f t="shared" si="178"/>
        <v>109736.45742524631</v>
      </c>
      <c r="M160" s="1750">
        <f t="shared" si="171"/>
        <v>7425500.2857750002</v>
      </c>
      <c r="N160" s="1751">
        <f t="shared" si="172"/>
        <v>5844722.2283497546</v>
      </c>
      <c r="O160" s="1751">
        <f t="shared" si="173"/>
        <v>0</v>
      </c>
      <c r="P160" s="1751">
        <f t="shared" si="174"/>
        <v>1471041.5999999999</v>
      </c>
      <c r="Q160" s="1751">
        <f t="shared" si="175"/>
        <v>0</v>
      </c>
      <c r="R160" s="1751">
        <f t="shared" si="176"/>
        <v>109736.45742524631</v>
      </c>
      <c r="S160" s="1752">
        <f t="shared" si="177"/>
        <v>7425500.2857750002</v>
      </c>
      <c r="T160" s="1753"/>
      <c r="U160" s="1369">
        <f t="shared" si="157"/>
        <v>9332982</v>
      </c>
      <c r="V160" s="1369">
        <f t="shared" si="158"/>
        <v>9332982</v>
      </c>
      <c r="X160" s="1744"/>
    </row>
    <row r="161" spans="1:30" ht="10.5" outlineLevel="1" x14ac:dyDescent="0.25">
      <c r="A161" s="1417">
        <v>18.29</v>
      </c>
      <c r="B161" s="1370" t="s">
        <v>75</v>
      </c>
      <c r="C161" s="1438" t="s">
        <v>367</v>
      </c>
      <c r="D161" s="1418" t="s">
        <v>107</v>
      </c>
      <c r="E161" s="1419">
        <v>1</v>
      </c>
      <c r="F161" s="1811">
        <v>1261512.1510117827</v>
      </c>
      <c r="G161" s="1813"/>
      <c r="H161" s="1750">
        <f t="shared" si="159"/>
        <v>1261512.1510117827</v>
      </c>
      <c r="I161" s="1811">
        <v>305252.49999999994</v>
      </c>
      <c r="J161" s="1749"/>
      <c r="K161" s="1750">
        <f t="shared" si="160"/>
        <v>305252.49999999994</v>
      </c>
      <c r="L161" s="1749">
        <f t="shared" si="178"/>
        <v>23501.469765176738</v>
      </c>
      <c r="M161" s="1750">
        <f t="shared" si="171"/>
        <v>1590266.1207769595</v>
      </c>
      <c r="N161" s="1751">
        <f t="shared" si="172"/>
        <v>1261512.1510117827</v>
      </c>
      <c r="O161" s="1751">
        <f t="shared" si="173"/>
        <v>0</v>
      </c>
      <c r="P161" s="1751">
        <f t="shared" si="174"/>
        <v>305252.49999999994</v>
      </c>
      <c r="Q161" s="1751">
        <f t="shared" si="175"/>
        <v>0</v>
      </c>
      <c r="R161" s="1751">
        <f t="shared" si="176"/>
        <v>23501.469765176738</v>
      </c>
      <c r="S161" s="1752">
        <f t="shared" si="177"/>
        <v>1590266.1207769595</v>
      </c>
      <c r="T161" s="1753"/>
      <c r="U161" s="1369">
        <f t="shared" si="157"/>
        <v>1998778</v>
      </c>
      <c r="V161" s="1369">
        <f t="shared" si="158"/>
        <v>1998778</v>
      </c>
      <c r="X161" s="1744"/>
      <c r="AB161" s="1717">
        <v>4046.5</v>
      </c>
      <c r="AC161" s="1711">
        <v>45200</v>
      </c>
    </row>
    <row r="162" spans="1:30" ht="10.5" outlineLevel="1" x14ac:dyDescent="0.25">
      <c r="A162" s="1417">
        <v>18.3</v>
      </c>
      <c r="B162" s="1372" t="s">
        <v>75</v>
      </c>
      <c r="C162" s="1816" t="s">
        <v>368</v>
      </c>
      <c r="D162" s="1421" t="s">
        <v>107</v>
      </c>
      <c r="E162" s="1422">
        <v>1</v>
      </c>
      <c r="F162" s="1817"/>
      <c r="G162" s="1818"/>
      <c r="H162" s="1758">
        <f t="shared" si="159"/>
        <v>0</v>
      </c>
      <c r="I162" s="1759">
        <v>100127.46103958957</v>
      </c>
      <c r="J162" s="1818"/>
      <c r="K162" s="1758">
        <f t="shared" si="160"/>
        <v>100127.46103958957</v>
      </c>
      <c r="L162" s="1749"/>
      <c r="M162" s="1758">
        <f t="shared" si="171"/>
        <v>100127.46103958957</v>
      </c>
      <c r="N162" s="1761">
        <f t="shared" si="172"/>
        <v>0</v>
      </c>
      <c r="O162" s="1761">
        <f t="shared" si="173"/>
        <v>0</v>
      </c>
      <c r="P162" s="1761">
        <f t="shared" si="174"/>
        <v>100127.46103958957</v>
      </c>
      <c r="Q162" s="1761">
        <f t="shared" si="175"/>
        <v>0</v>
      </c>
      <c r="R162" s="1761">
        <f t="shared" si="176"/>
        <v>0</v>
      </c>
      <c r="S162" s="1762">
        <f t="shared" si="177"/>
        <v>100127.46103958957</v>
      </c>
      <c r="T162" s="1803"/>
      <c r="U162" s="1369">
        <f t="shared" si="157"/>
        <v>125849</v>
      </c>
      <c r="V162" s="1369">
        <f t="shared" si="158"/>
        <v>125849</v>
      </c>
      <c r="X162" s="1744"/>
      <c r="AB162" s="1717">
        <v>10483.299999999999</v>
      </c>
      <c r="AC162" s="1711">
        <v>45536</v>
      </c>
    </row>
    <row r="163" spans="1:30" ht="10.5" x14ac:dyDescent="0.25">
      <c r="A163" s="1360">
        <v>19</v>
      </c>
      <c r="B163" s="1361"/>
      <c r="C163" s="1411" t="s">
        <v>210</v>
      </c>
      <c r="D163" s="1741"/>
      <c r="E163" s="1742"/>
      <c r="F163" s="1742"/>
      <c r="G163" s="1742"/>
      <c r="H163" s="1742"/>
      <c r="I163" s="1742"/>
      <c r="J163" s="1742"/>
      <c r="K163" s="1742"/>
      <c r="L163" s="1742"/>
      <c r="M163" s="1743"/>
      <c r="N163" s="1742"/>
      <c r="O163" s="1742"/>
      <c r="P163" s="1742"/>
      <c r="Q163" s="1742"/>
      <c r="R163" s="1742"/>
      <c r="S163" s="1742"/>
      <c r="T163" s="1819"/>
      <c r="U163" s="1423"/>
      <c r="V163" s="1423"/>
      <c r="W163" s="1820"/>
      <c r="AB163" s="1766">
        <f>+AB162/AB161</f>
        <v>2.5907080192759171</v>
      </c>
      <c r="AC163" s="1711"/>
    </row>
    <row r="164" spans="1:30" ht="10.5" outlineLevel="1" x14ac:dyDescent="0.25">
      <c r="A164" s="1360"/>
      <c r="B164" s="1361"/>
      <c r="C164" s="1411" t="s">
        <v>369</v>
      </c>
      <c r="D164" s="1741"/>
      <c r="E164" s="1742"/>
      <c r="F164" s="1742"/>
      <c r="G164" s="1742"/>
      <c r="H164" s="1821"/>
      <c r="I164" s="1742"/>
      <c r="J164" s="1742"/>
      <c r="K164" s="1742"/>
      <c r="L164" s="1742"/>
      <c r="M164" s="1743"/>
      <c r="N164" s="1742"/>
      <c r="O164" s="1742"/>
      <c r="P164" s="1742"/>
      <c r="Q164" s="1742"/>
      <c r="R164" s="1742"/>
      <c r="S164" s="1742"/>
      <c r="T164" s="1456">
        <f>SUM(S165:S168)</f>
        <v>16836141.910895217</v>
      </c>
      <c r="U164" s="1742"/>
      <c r="V164" s="1742"/>
      <c r="W164" s="1355">
        <f>SUM(V165:V168)</f>
        <v>21161055</v>
      </c>
      <c r="X164" s="1744">
        <f>+W164/$W$216</f>
        <v>1.8769738542394082E-2</v>
      </c>
      <c r="Y164" s="1711">
        <f>+W164</f>
        <v>21161055</v>
      </c>
      <c r="AA164" s="1344" t="s">
        <v>444</v>
      </c>
      <c r="AB164" s="1344" t="s">
        <v>194</v>
      </c>
      <c r="AC164" s="1348"/>
      <c r="AD164" s="1344" t="s">
        <v>445</v>
      </c>
    </row>
    <row r="165" spans="1:30" ht="10.5" outlineLevel="1" x14ac:dyDescent="0.25">
      <c r="A165" s="1362">
        <v>19.010000000000002</v>
      </c>
      <c r="B165" s="1386" t="s">
        <v>79</v>
      </c>
      <c r="C165" s="1822" t="s">
        <v>370</v>
      </c>
      <c r="D165" s="1823" t="s">
        <v>107</v>
      </c>
      <c r="E165" s="1388">
        <v>1</v>
      </c>
      <c r="F165" s="1799">
        <f>+I165*0.6</f>
        <v>2127230.3546274551</v>
      </c>
      <c r="G165" s="1388"/>
      <c r="H165" s="1746">
        <f>F165+G165</f>
        <v>2127230.3546274551</v>
      </c>
      <c r="I165" s="1799">
        <f>+AD165*0.35</f>
        <v>3545383.9243790922</v>
      </c>
      <c r="J165" s="1388"/>
      <c r="K165" s="1746">
        <f t="shared" ref="K165:K180" si="179">I165+J165</f>
        <v>3545383.9243790922</v>
      </c>
      <c r="L165" s="1433">
        <f>(H165+K165)*0.015</f>
        <v>85089.214185098201</v>
      </c>
      <c r="M165" s="1746">
        <f>H165+K165+L165</f>
        <v>5757703.4931916455</v>
      </c>
      <c r="N165" s="1747">
        <f>F165*E165</f>
        <v>2127230.3546274551</v>
      </c>
      <c r="O165" s="1747">
        <f t="shared" ref="O165:O178" si="180">G165*E165</f>
        <v>0</v>
      </c>
      <c r="P165" s="1747">
        <f t="shared" ref="P165:P178" si="181">I165*E165</f>
        <v>3545383.9243790922</v>
      </c>
      <c r="Q165" s="1747">
        <f t="shared" ref="Q165:Q178" si="182">J165*E165</f>
        <v>0</v>
      </c>
      <c r="R165" s="1747">
        <f t="shared" ref="R165:R178" si="183">+L165*E165</f>
        <v>85089.214185098201</v>
      </c>
      <c r="S165" s="1748">
        <f>SUM(N165:R165)</f>
        <v>5757703.4931916455</v>
      </c>
      <c r="T165" s="1753"/>
      <c r="U165" s="1390">
        <f t="shared" ref="U165:U168" si="184">+ROUNDUP(M165*$T$5,0)</f>
        <v>7236758</v>
      </c>
      <c r="V165" s="1390">
        <f t="shared" ref="V165:V168" si="185">+U165*E165</f>
        <v>7236758</v>
      </c>
      <c r="X165" s="1744"/>
      <c r="Z165" s="1717" t="s">
        <v>446</v>
      </c>
      <c r="AA165" s="1766">
        <v>4600000</v>
      </c>
      <c r="AB165" s="1766">
        <f>+AA165*$AB$163</f>
        <v>11917256.888669219</v>
      </c>
      <c r="AC165" s="1711">
        <v>0.85</v>
      </c>
      <c r="AD165" s="1766">
        <f>+AB165*AC165</f>
        <v>10129668.355368836</v>
      </c>
    </row>
    <row r="166" spans="1:30" ht="10.5" outlineLevel="1" x14ac:dyDescent="0.25">
      <c r="A166" s="1366">
        <v>19.02</v>
      </c>
      <c r="B166" s="1370" t="s">
        <v>79</v>
      </c>
      <c r="C166" s="1767" t="s">
        <v>371</v>
      </c>
      <c r="D166" s="1754" t="s">
        <v>107</v>
      </c>
      <c r="E166" s="1377">
        <v>1</v>
      </c>
      <c r="F166" s="1420">
        <f>+I166*0.55</f>
        <v>278565.87977264303</v>
      </c>
      <c r="G166" s="1377"/>
      <c r="H166" s="1750">
        <f>F166+G166</f>
        <v>278565.87977264303</v>
      </c>
      <c r="I166" s="1420">
        <f>+AD165*0.05</f>
        <v>506483.41776844184</v>
      </c>
      <c r="J166" s="1377"/>
      <c r="K166" s="1750">
        <f t="shared" si="179"/>
        <v>506483.41776844184</v>
      </c>
      <c r="L166" s="1749">
        <f>(H166+K166)*0.015</f>
        <v>11775.739463116273</v>
      </c>
      <c r="M166" s="1750">
        <f>H166+K166+L166</f>
        <v>796825.03700420121</v>
      </c>
      <c r="N166" s="1751">
        <f>F166*E166</f>
        <v>278565.87977264303</v>
      </c>
      <c r="O166" s="1751">
        <f t="shared" si="180"/>
        <v>0</v>
      </c>
      <c r="P166" s="1751">
        <f t="shared" si="181"/>
        <v>506483.41776844184</v>
      </c>
      <c r="Q166" s="1751">
        <f t="shared" si="182"/>
        <v>0</v>
      </c>
      <c r="R166" s="1751">
        <f t="shared" si="183"/>
        <v>11775.739463116273</v>
      </c>
      <c r="S166" s="1752">
        <f>SUM(N166:R166)</f>
        <v>796825.03700420121</v>
      </c>
      <c r="T166" s="1753"/>
      <c r="U166" s="1390">
        <f t="shared" si="184"/>
        <v>1001516</v>
      </c>
      <c r="V166" s="1390">
        <f t="shared" si="185"/>
        <v>1001516</v>
      </c>
      <c r="X166" s="1744"/>
      <c r="Z166" s="1717" t="s">
        <v>447</v>
      </c>
      <c r="AA166" s="1766">
        <v>2360000</v>
      </c>
      <c r="AB166" s="1766">
        <f>+AA166*$AB$163</f>
        <v>6114070.9254911644</v>
      </c>
      <c r="AC166" s="1711">
        <v>0.7</v>
      </c>
      <c r="AD166" s="1766">
        <f t="shared" ref="AD166:AD168" si="186">+AB166*AC166</f>
        <v>4279849.6478438145</v>
      </c>
    </row>
    <row r="167" spans="1:30" ht="10.5" outlineLevel="1" x14ac:dyDescent="0.25">
      <c r="A167" s="1366">
        <v>19.03</v>
      </c>
      <c r="B167" s="1370" t="s">
        <v>79</v>
      </c>
      <c r="C167" s="1767" t="s">
        <v>372</v>
      </c>
      <c r="D167" s="1754" t="s">
        <v>107</v>
      </c>
      <c r="E167" s="1377">
        <v>1</v>
      </c>
      <c r="F167" s="1420">
        <f>+I167*0.7</f>
        <v>2836307.1395032741</v>
      </c>
      <c r="G167" s="1377"/>
      <c r="H167" s="1750">
        <f>F167+G167</f>
        <v>2836307.1395032741</v>
      </c>
      <c r="I167" s="1420">
        <f>+AD165*0.4</f>
        <v>4051867.3421475347</v>
      </c>
      <c r="J167" s="1377"/>
      <c r="K167" s="1750">
        <f t="shared" si="179"/>
        <v>4051867.3421475347</v>
      </c>
      <c r="L167" s="1749">
        <f>(H167+K167)*0.015</f>
        <v>103322.61722476213</v>
      </c>
      <c r="M167" s="1750">
        <f>H167+K167+L167</f>
        <v>6991497.098875571</v>
      </c>
      <c r="N167" s="1751">
        <f>F167*E167</f>
        <v>2836307.1395032741</v>
      </c>
      <c r="O167" s="1751">
        <f t="shared" si="180"/>
        <v>0</v>
      </c>
      <c r="P167" s="1751">
        <f t="shared" si="181"/>
        <v>4051867.3421475347</v>
      </c>
      <c r="Q167" s="1751">
        <f t="shared" si="182"/>
        <v>0</v>
      </c>
      <c r="R167" s="1751">
        <f t="shared" si="183"/>
        <v>103322.61722476213</v>
      </c>
      <c r="S167" s="1752">
        <f>SUM(N167:R167)</f>
        <v>6991497.098875571</v>
      </c>
      <c r="T167" s="1753"/>
      <c r="U167" s="1369">
        <f t="shared" si="184"/>
        <v>8787491</v>
      </c>
      <c r="V167" s="1369">
        <f t="shared" si="185"/>
        <v>8787491</v>
      </c>
      <c r="X167" s="1744"/>
      <c r="Z167" s="1717" t="s">
        <v>448</v>
      </c>
      <c r="AA167" s="1766">
        <v>8900000</v>
      </c>
      <c r="AB167" s="1766">
        <f>+AA167*$AB$163</f>
        <v>23057301.371555664</v>
      </c>
      <c r="AC167" s="1711">
        <v>0.85</v>
      </c>
      <c r="AD167" s="1766">
        <f t="shared" si="186"/>
        <v>19598706.165822312</v>
      </c>
    </row>
    <row r="168" spans="1:30" ht="10.5" outlineLevel="1" x14ac:dyDescent="0.25">
      <c r="A168" s="1371">
        <v>19.04</v>
      </c>
      <c r="B168" s="1372" t="s">
        <v>79</v>
      </c>
      <c r="C168" s="1824" t="s">
        <v>373</v>
      </c>
      <c r="D168" s="1798" t="s">
        <v>107</v>
      </c>
      <c r="E168" s="1385">
        <v>1</v>
      </c>
      <c r="F168" s="1759">
        <f>+I168*0.6</f>
        <v>1215560.2026442604</v>
      </c>
      <c r="G168" s="1385"/>
      <c r="H168" s="1758">
        <f>F168+G168</f>
        <v>1215560.2026442604</v>
      </c>
      <c r="I168" s="1759">
        <f>+AD165*0.2</f>
        <v>2025933.6710737674</v>
      </c>
      <c r="J168" s="1385"/>
      <c r="K168" s="1758">
        <f t="shared" si="179"/>
        <v>2025933.6710737674</v>
      </c>
      <c r="L168" s="1760">
        <f>(H168+K168)*0.015</f>
        <v>48622.408105770417</v>
      </c>
      <c r="M168" s="1758">
        <f>H168+K168+L168</f>
        <v>3290116.2818237985</v>
      </c>
      <c r="N168" s="1761">
        <f>F168*E168</f>
        <v>1215560.2026442604</v>
      </c>
      <c r="O168" s="1761">
        <f t="shared" si="180"/>
        <v>0</v>
      </c>
      <c r="P168" s="1761">
        <f t="shared" si="181"/>
        <v>2025933.6710737674</v>
      </c>
      <c r="Q168" s="1761">
        <f t="shared" si="182"/>
        <v>0</v>
      </c>
      <c r="R168" s="1761">
        <f t="shared" si="183"/>
        <v>48622.408105770417</v>
      </c>
      <c r="S168" s="1762">
        <f>SUM(N168:R168)</f>
        <v>3290116.2818237985</v>
      </c>
      <c r="T168" s="1753"/>
      <c r="U168" s="1369">
        <f t="shared" si="184"/>
        <v>4135290</v>
      </c>
      <c r="V168" s="1369">
        <f t="shared" si="185"/>
        <v>4135290</v>
      </c>
      <c r="X168" s="1744"/>
      <c r="Z168" s="1717" t="s">
        <v>449</v>
      </c>
      <c r="AA168" s="1766">
        <v>1200000</v>
      </c>
      <c r="AB168" s="1766">
        <f>+AA168*$AB$163</f>
        <v>3108849.6231311006</v>
      </c>
      <c r="AC168" s="1711">
        <v>0.6</v>
      </c>
      <c r="AD168" s="1766">
        <f t="shared" si="186"/>
        <v>1865309.7738786603</v>
      </c>
    </row>
    <row r="169" spans="1:30" ht="10.5" outlineLevel="1" x14ac:dyDescent="0.25">
      <c r="A169" s="1424"/>
      <c r="B169" s="1425"/>
      <c r="C169" s="1825" t="s">
        <v>374</v>
      </c>
      <c r="D169" s="1736"/>
      <c r="E169" s="1737"/>
      <c r="F169" s="1737"/>
      <c r="G169" s="1737"/>
      <c r="H169" s="1737"/>
      <c r="I169" s="1737"/>
      <c r="J169" s="1737"/>
      <c r="K169" s="1737"/>
      <c r="L169" s="1826"/>
      <c r="M169" s="1737"/>
      <c r="N169" s="1737"/>
      <c r="O169" s="1737"/>
      <c r="P169" s="1737"/>
      <c r="Q169" s="1737"/>
      <c r="R169" s="1737"/>
      <c r="S169" s="1737"/>
      <c r="T169" s="1456">
        <f>SUM(S170:S172)</f>
        <v>5212856.8710737657</v>
      </c>
      <c r="U169" s="1742"/>
      <c r="V169" s="1742"/>
      <c r="W169" s="1355">
        <f>SUM(V170:V172)</f>
        <v>6551951</v>
      </c>
      <c r="X169" s="1744">
        <f>+W169/$W$216</f>
        <v>5.8115442359833883E-3</v>
      </c>
      <c r="Y169" s="1711">
        <f>+W169</f>
        <v>6551951</v>
      </c>
      <c r="AB169" s="1827">
        <f>SUM(AB165:AB168)</f>
        <v>44197478.808847152</v>
      </c>
      <c r="AC169" s="1711"/>
      <c r="AD169" s="1827">
        <f>+SUM(AD165:AD168)</f>
        <v>35873533.942913622</v>
      </c>
    </row>
    <row r="170" spans="1:30" ht="10.5" outlineLevel="1" x14ac:dyDescent="0.25">
      <c r="A170" s="1362">
        <v>19.05</v>
      </c>
      <c r="B170" s="1386" t="s">
        <v>79</v>
      </c>
      <c r="C170" s="1822" t="s">
        <v>375</v>
      </c>
      <c r="D170" s="1823" t="s">
        <v>107</v>
      </c>
      <c r="E170" s="1388">
        <v>1</v>
      </c>
      <c r="F170" s="1799">
        <f>+I170*0.4</f>
        <v>599178.95069813402</v>
      </c>
      <c r="G170" s="1388"/>
      <c r="H170" s="1746">
        <f>F170+G170</f>
        <v>599178.95069813402</v>
      </c>
      <c r="I170" s="1799">
        <f>+AD166*0.35</f>
        <v>1497947.3767453351</v>
      </c>
      <c r="J170" s="1388"/>
      <c r="K170" s="1746">
        <f t="shared" si="179"/>
        <v>1497947.3767453351</v>
      </c>
      <c r="L170" s="1433">
        <f>(H170+K170)*0.015</f>
        <v>31456.894911652034</v>
      </c>
      <c r="M170" s="1746">
        <f>H170+K170+L170</f>
        <v>2128583.2223551213</v>
      </c>
      <c r="N170" s="1747">
        <f>F170*E170</f>
        <v>599178.95069813402</v>
      </c>
      <c r="O170" s="1747">
        <f t="shared" si="180"/>
        <v>0</v>
      </c>
      <c r="P170" s="1747">
        <f t="shared" si="181"/>
        <v>1497947.3767453351</v>
      </c>
      <c r="Q170" s="1747">
        <f t="shared" si="182"/>
        <v>0</v>
      </c>
      <c r="R170" s="1747">
        <f t="shared" si="183"/>
        <v>31456.894911652034</v>
      </c>
      <c r="S170" s="1748">
        <f>SUM(N170:R170)</f>
        <v>2128583.2223551213</v>
      </c>
      <c r="T170" s="1465"/>
      <c r="U170" s="1369">
        <f>+ROUNDUP(M170*$T$5,0)</f>
        <v>2675380</v>
      </c>
      <c r="V170" s="1369">
        <f>+U170*E170</f>
        <v>2675380</v>
      </c>
      <c r="X170" s="1744"/>
    </row>
    <row r="171" spans="1:30" ht="10.5" outlineLevel="1" x14ac:dyDescent="0.25">
      <c r="A171" s="1366">
        <v>19.059999999999999</v>
      </c>
      <c r="B171" s="1370" t="s">
        <v>79</v>
      </c>
      <c r="C171" s="1767" t="s">
        <v>376</v>
      </c>
      <c r="D171" s="1754" t="s">
        <v>107</v>
      </c>
      <c r="E171" s="1377">
        <v>1</v>
      </c>
      <c r="F171" s="1420">
        <f>+I171*0.6</f>
        <v>898768.42604720104</v>
      </c>
      <c r="G171" s="1377"/>
      <c r="H171" s="1750">
        <f>F171+G171</f>
        <v>898768.42604720104</v>
      </c>
      <c r="I171" s="1420">
        <f>+AD166*0.35</f>
        <v>1497947.3767453351</v>
      </c>
      <c r="J171" s="1377"/>
      <c r="K171" s="1750">
        <f t="shared" si="179"/>
        <v>1497947.3767453351</v>
      </c>
      <c r="L171" s="1749">
        <f>(H171+K171)*0.015</f>
        <v>35950.737041888038</v>
      </c>
      <c r="M171" s="1750">
        <f>H171+K171+L171</f>
        <v>2432666.5398344239</v>
      </c>
      <c r="N171" s="1751">
        <f>F171*E171</f>
        <v>898768.42604720104</v>
      </c>
      <c r="O171" s="1751">
        <f t="shared" si="180"/>
        <v>0</v>
      </c>
      <c r="P171" s="1751">
        <f t="shared" si="181"/>
        <v>1497947.3767453351</v>
      </c>
      <c r="Q171" s="1751">
        <f t="shared" si="182"/>
        <v>0</v>
      </c>
      <c r="R171" s="1751">
        <f t="shared" si="183"/>
        <v>35950.737041888038</v>
      </c>
      <c r="S171" s="1752">
        <f>SUM(N171:R171)</f>
        <v>2432666.5398344239</v>
      </c>
      <c r="T171" s="1465"/>
      <c r="U171" s="1369">
        <f>+ROUNDUP(M171*$T$5,0)</f>
        <v>3057577</v>
      </c>
      <c r="V171" s="1369">
        <f>+U171*E171</f>
        <v>3057577</v>
      </c>
      <c r="X171" s="1744"/>
    </row>
    <row r="172" spans="1:30" ht="10.5" outlineLevel="1" x14ac:dyDescent="0.25">
      <c r="A172" s="1371">
        <v>19.07</v>
      </c>
      <c r="B172" s="1370" t="s">
        <v>79</v>
      </c>
      <c r="C172" s="1824" t="s">
        <v>377</v>
      </c>
      <c r="D172" s="1798" t="s">
        <v>107</v>
      </c>
      <c r="E172" s="1385">
        <v>1</v>
      </c>
      <c r="F172" s="1759">
        <f>+I172*0.5</f>
        <v>213992.48239219072</v>
      </c>
      <c r="G172" s="1385"/>
      <c r="H172" s="1758">
        <f>F172+G172</f>
        <v>213992.48239219072</v>
      </c>
      <c r="I172" s="1759">
        <f>+AD166*0.1</f>
        <v>427984.96478438145</v>
      </c>
      <c r="J172" s="1385"/>
      <c r="K172" s="1758">
        <f t="shared" si="179"/>
        <v>427984.96478438145</v>
      </c>
      <c r="L172" s="1760">
        <f>(H172+K172)*0.015</f>
        <v>9629.6617076485818</v>
      </c>
      <c r="M172" s="1758">
        <f>H172+K172+L172</f>
        <v>651607.10888422071</v>
      </c>
      <c r="N172" s="1761">
        <f>F172*E172</f>
        <v>213992.48239219072</v>
      </c>
      <c r="O172" s="1761">
        <f t="shared" si="180"/>
        <v>0</v>
      </c>
      <c r="P172" s="1761">
        <f t="shared" si="181"/>
        <v>427984.96478438145</v>
      </c>
      <c r="Q172" s="1761">
        <f t="shared" si="182"/>
        <v>0</v>
      </c>
      <c r="R172" s="1761">
        <f t="shared" si="183"/>
        <v>9629.6617076485818</v>
      </c>
      <c r="S172" s="1762">
        <f>SUM(N172:R172)</f>
        <v>651607.10888422071</v>
      </c>
      <c r="T172" s="1465"/>
      <c r="U172" s="1369">
        <f>+ROUNDUP(M172*$T$5,0)</f>
        <v>818994</v>
      </c>
      <c r="V172" s="1369">
        <f>+U172*E172</f>
        <v>818994</v>
      </c>
      <c r="X172" s="1744"/>
    </row>
    <row r="173" spans="1:30" ht="10.5" outlineLevel="1" x14ac:dyDescent="0.25">
      <c r="A173" s="1360"/>
      <c r="B173" s="1361"/>
      <c r="C173" s="1411" t="s">
        <v>378</v>
      </c>
      <c r="D173" s="1741"/>
      <c r="E173" s="1742"/>
      <c r="F173" s="1742"/>
      <c r="G173" s="1742"/>
      <c r="H173" s="1742"/>
      <c r="I173" s="1742"/>
      <c r="J173" s="1742"/>
      <c r="K173" s="1742"/>
      <c r="L173" s="1742"/>
      <c r="M173" s="1743"/>
      <c r="N173" s="1742"/>
      <c r="O173" s="1742"/>
      <c r="P173" s="1742"/>
      <c r="Q173" s="1742"/>
      <c r="R173" s="1742"/>
      <c r="S173" s="1742"/>
      <c r="T173" s="1456">
        <f>SUM(S174:S178)</f>
        <v>29441176.402298279</v>
      </c>
      <c r="U173" s="1742"/>
      <c r="V173" s="1742"/>
      <c r="W173" s="1355">
        <f>SUM(V174:V178)</f>
        <v>37004103</v>
      </c>
      <c r="X173" s="1744">
        <f>+W173/$W$216</f>
        <v>3.2822434340150836E-2</v>
      </c>
      <c r="Y173" s="1711">
        <f>+W173</f>
        <v>37004103</v>
      </c>
    </row>
    <row r="174" spans="1:30" ht="10.5" outlineLevel="1" x14ac:dyDescent="0.25">
      <c r="A174" s="1386">
        <v>19.079999999999998</v>
      </c>
      <c r="B174" s="1386" t="s">
        <v>79</v>
      </c>
      <c r="C174" s="1828" t="s">
        <v>379</v>
      </c>
      <c r="D174" s="1823" t="s">
        <v>107</v>
      </c>
      <c r="E174" s="1388">
        <v>1</v>
      </c>
      <c r="F174" s="1799">
        <f>+I174*0.5</f>
        <v>979935.30829111568</v>
      </c>
      <c r="G174" s="1388"/>
      <c r="H174" s="1746">
        <f t="shared" ref="H174:H178" si="187">F174+G174</f>
        <v>979935.30829111568</v>
      </c>
      <c r="I174" s="1799">
        <f>+$AD$167*0.1</f>
        <v>1959870.6165822314</v>
      </c>
      <c r="J174" s="1388"/>
      <c r="K174" s="1746">
        <f t="shared" si="179"/>
        <v>1959870.6165822314</v>
      </c>
      <c r="L174" s="1433">
        <f>(H174+K174)*0.015</f>
        <v>44097.088873100205</v>
      </c>
      <c r="M174" s="1746">
        <f t="shared" ref="M174:M178" si="188">H174+K174+L174</f>
        <v>2983903.0137464469</v>
      </c>
      <c r="N174" s="1747">
        <f t="shared" ref="N174:N178" si="189">F174*E174</f>
        <v>979935.30829111568</v>
      </c>
      <c r="O174" s="1747">
        <f t="shared" si="180"/>
        <v>0</v>
      </c>
      <c r="P174" s="1747">
        <f t="shared" si="181"/>
        <v>1959870.6165822314</v>
      </c>
      <c r="Q174" s="1747">
        <f t="shared" si="182"/>
        <v>0</v>
      </c>
      <c r="R174" s="1747">
        <f t="shared" si="183"/>
        <v>44097.088873100205</v>
      </c>
      <c r="S174" s="1748">
        <f t="shared" ref="S174:S178" si="190">SUM(N174:R174)</f>
        <v>2983903.0137464469</v>
      </c>
      <c r="T174" s="1358"/>
      <c r="U174" s="1365">
        <f t="shared" ref="U174:U178" si="191">+ROUNDUP(M174*$T$5,0)</f>
        <v>3750416</v>
      </c>
      <c r="V174" s="1365">
        <f t="shared" ref="V174:V178" si="192">+U174*E174</f>
        <v>3750416</v>
      </c>
      <c r="X174" s="1744"/>
    </row>
    <row r="175" spans="1:30" ht="10.5" outlineLevel="1" x14ac:dyDescent="0.25">
      <c r="A175" s="1370">
        <v>19.09</v>
      </c>
      <c r="B175" s="1370" t="s">
        <v>79</v>
      </c>
      <c r="C175" s="1426" t="s">
        <v>380</v>
      </c>
      <c r="D175" s="1754" t="s">
        <v>107</v>
      </c>
      <c r="E175" s="1377">
        <v>1</v>
      </c>
      <c r="F175" s="1420">
        <f>+I175*0.5</f>
        <v>1959870.6165822314</v>
      </c>
      <c r="G175" s="1377"/>
      <c r="H175" s="1750">
        <f t="shared" si="187"/>
        <v>1959870.6165822314</v>
      </c>
      <c r="I175" s="1420">
        <f>+$AD$167*0.2</f>
        <v>3919741.2331644627</v>
      </c>
      <c r="J175" s="1377"/>
      <c r="K175" s="1750">
        <f t="shared" si="179"/>
        <v>3919741.2331644627</v>
      </c>
      <c r="L175" s="1749">
        <f>(H175+K175)*0.015</f>
        <v>88194.17774620041</v>
      </c>
      <c r="M175" s="1750">
        <f t="shared" si="188"/>
        <v>5967806.0274928939</v>
      </c>
      <c r="N175" s="1751">
        <f t="shared" si="189"/>
        <v>1959870.6165822314</v>
      </c>
      <c r="O175" s="1751">
        <f t="shared" si="180"/>
        <v>0</v>
      </c>
      <c r="P175" s="1751">
        <f t="shared" si="181"/>
        <v>3919741.2331644627</v>
      </c>
      <c r="Q175" s="1751">
        <f t="shared" si="182"/>
        <v>0</v>
      </c>
      <c r="R175" s="1751">
        <f t="shared" si="183"/>
        <v>88194.17774620041</v>
      </c>
      <c r="S175" s="1752">
        <f t="shared" si="190"/>
        <v>5967806.0274928939</v>
      </c>
      <c r="T175" s="1753"/>
      <c r="U175" s="1369">
        <f t="shared" si="191"/>
        <v>7500832</v>
      </c>
      <c r="V175" s="1369">
        <f t="shared" si="192"/>
        <v>7500832</v>
      </c>
      <c r="X175" s="1744"/>
    </row>
    <row r="176" spans="1:30" ht="10.5" outlineLevel="1" x14ac:dyDescent="0.25">
      <c r="A176" s="1370">
        <v>19.100000000000001</v>
      </c>
      <c r="B176" s="1370" t="s">
        <v>79</v>
      </c>
      <c r="C176" s="1426" t="s">
        <v>381</v>
      </c>
      <c r="D176" s="1754" t="s">
        <v>107</v>
      </c>
      <c r="E176" s="1377">
        <v>1</v>
      </c>
      <c r="F176" s="1420">
        <f>+I176*0.4</f>
        <v>391974.12331644632</v>
      </c>
      <c r="G176" s="1377"/>
      <c r="H176" s="1750">
        <f t="shared" si="187"/>
        <v>391974.12331644632</v>
      </c>
      <c r="I176" s="1420">
        <f>+$AD$167*0.05</f>
        <v>979935.30829111568</v>
      </c>
      <c r="J176" s="1377"/>
      <c r="K176" s="1750">
        <f t="shared" si="179"/>
        <v>979935.30829111568</v>
      </c>
      <c r="L176" s="1749">
        <f>(H176+K176)*0.015</f>
        <v>20578.641474113432</v>
      </c>
      <c r="M176" s="1750">
        <f t="shared" si="188"/>
        <v>1392488.0730816755</v>
      </c>
      <c r="N176" s="1751">
        <f t="shared" si="189"/>
        <v>391974.12331644632</v>
      </c>
      <c r="O176" s="1751">
        <f t="shared" si="180"/>
        <v>0</v>
      </c>
      <c r="P176" s="1751">
        <f t="shared" si="181"/>
        <v>979935.30829111568</v>
      </c>
      <c r="Q176" s="1751">
        <f t="shared" si="182"/>
        <v>0</v>
      </c>
      <c r="R176" s="1751">
        <f t="shared" si="183"/>
        <v>20578.641474113432</v>
      </c>
      <c r="S176" s="1752">
        <f t="shared" ref="S176:S177" si="193">SUM(N176:R176)</f>
        <v>1392488.0730816755</v>
      </c>
      <c r="T176" s="1753"/>
      <c r="U176" s="1369">
        <f t="shared" si="191"/>
        <v>1750194</v>
      </c>
      <c r="V176" s="1369">
        <f t="shared" si="192"/>
        <v>1750194</v>
      </c>
      <c r="X176" s="1744"/>
    </row>
    <row r="177" spans="1:30" ht="10.5" outlineLevel="1" x14ac:dyDescent="0.25">
      <c r="A177" s="1370">
        <v>19.11</v>
      </c>
      <c r="B177" s="1370" t="s">
        <v>79</v>
      </c>
      <c r="C177" s="1426" t="s">
        <v>382</v>
      </c>
      <c r="D177" s="1754" t="s">
        <v>107</v>
      </c>
      <c r="E177" s="1377">
        <v>1</v>
      </c>
      <c r="F177" s="1420">
        <f>+I177*0.4</f>
        <v>3135792.9865315706</v>
      </c>
      <c r="G177" s="1377"/>
      <c r="H177" s="1750">
        <f t="shared" si="187"/>
        <v>3135792.9865315706</v>
      </c>
      <c r="I177" s="1420">
        <f>+$AD$167*0.4</f>
        <v>7839482.4663289255</v>
      </c>
      <c r="J177" s="1370"/>
      <c r="K177" s="1750">
        <f t="shared" si="179"/>
        <v>7839482.4663289255</v>
      </c>
      <c r="L177" s="1749">
        <f>(H177+K177)*0.015</f>
        <v>164629.13179290746</v>
      </c>
      <c r="M177" s="1750">
        <f t="shared" si="188"/>
        <v>11139904.584653404</v>
      </c>
      <c r="N177" s="1751">
        <f t="shared" si="189"/>
        <v>3135792.9865315706</v>
      </c>
      <c r="O177" s="1751">
        <f t="shared" si="180"/>
        <v>0</v>
      </c>
      <c r="P177" s="1751">
        <f t="shared" si="181"/>
        <v>7839482.4663289255</v>
      </c>
      <c r="Q177" s="1751">
        <f t="shared" si="182"/>
        <v>0</v>
      </c>
      <c r="R177" s="1751">
        <f t="shared" si="183"/>
        <v>164629.13179290746</v>
      </c>
      <c r="S177" s="1752">
        <f t="shared" si="193"/>
        <v>11139904.584653404</v>
      </c>
      <c r="T177" s="1753"/>
      <c r="U177" s="1369">
        <f t="shared" si="191"/>
        <v>14001552</v>
      </c>
      <c r="V177" s="1369">
        <f t="shared" si="192"/>
        <v>14001552</v>
      </c>
      <c r="X177" s="1744"/>
    </row>
    <row r="178" spans="1:30" ht="10.5" outlineLevel="1" x14ac:dyDescent="0.25">
      <c r="A178" s="1370">
        <v>19.12</v>
      </c>
      <c r="B178" s="1372" t="s">
        <v>79</v>
      </c>
      <c r="C178" s="1829" t="s">
        <v>991</v>
      </c>
      <c r="D178" s="1798" t="s">
        <v>107</v>
      </c>
      <c r="E178" s="1385">
        <v>1</v>
      </c>
      <c r="F178" s="1759">
        <f>+I178*0.6</f>
        <v>2939805.9248733469</v>
      </c>
      <c r="G178" s="1385"/>
      <c r="H178" s="1758">
        <f t="shared" si="187"/>
        <v>2939805.9248733469</v>
      </c>
      <c r="I178" s="1759">
        <f>+$AD$167*0.25</f>
        <v>4899676.5414555781</v>
      </c>
      <c r="J178" s="1385"/>
      <c r="K178" s="1758">
        <f t="shared" si="179"/>
        <v>4899676.5414555781</v>
      </c>
      <c r="L178" s="1760">
        <f>(H178+K178)*0.015</f>
        <v>117592.23699493386</v>
      </c>
      <c r="M178" s="1758">
        <f t="shared" si="188"/>
        <v>7957074.7033238588</v>
      </c>
      <c r="N178" s="1761">
        <f t="shared" si="189"/>
        <v>2939805.9248733469</v>
      </c>
      <c r="O178" s="1761">
        <f t="shared" si="180"/>
        <v>0</v>
      </c>
      <c r="P178" s="1761">
        <f t="shared" si="181"/>
        <v>4899676.5414555781</v>
      </c>
      <c r="Q178" s="1761">
        <f t="shared" si="182"/>
        <v>0</v>
      </c>
      <c r="R178" s="1761">
        <f t="shared" si="183"/>
        <v>117592.23699493386</v>
      </c>
      <c r="S178" s="1762">
        <f t="shared" si="190"/>
        <v>7957074.7033238588</v>
      </c>
      <c r="T178" s="1803"/>
      <c r="U178" s="1409">
        <f t="shared" si="191"/>
        <v>10001109</v>
      </c>
      <c r="V178" s="1409">
        <f t="shared" si="192"/>
        <v>10001109</v>
      </c>
      <c r="X178" s="1744"/>
    </row>
    <row r="179" spans="1:30" ht="10.5" outlineLevel="1" x14ac:dyDescent="0.25">
      <c r="A179" s="1360"/>
      <c r="B179" s="1361"/>
      <c r="C179" s="1411" t="s">
        <v>383</v>
      </c>
      <c r="D179" s="1741"/>
      <c r="E179" s="1742"/>
      <c r="F179" s="1742"/>
      <c r="G179" s="1742"/>
      <c r="H179" s="1742"/>
      <c r="I179" s="1742"/>
      <c r="J179" s="1742"/>
      <c r="K179" s="1742"/>
      <c r="L179" s="1742"/>
      <c r="M179" s="1743"/>
      <c r="N179" s="1742"/>
      <c r="O179" s="1742"/>
      <c r="P179" s="1742"/>
      <c r="Q179" s="1742"/>
      <c r="R179" s="1742"/>
      <c r="S179" s="1742"/>
      <c r="T179" s="1456">
        <f>SUM(S180)</f>
        <v>1629017.7722105517</v>
      </c>
      <c r="U179" s="1742"/>
      <c r="V179" s="1742"/>
      <c r="W179" s="1355">
        <f>SUM(V180)</f>
        <v>2047485</v>
      </c>
      <c r="X179" s="1744">
        <f>+W179/$W$216</f>
        <v>1.8161078509305775E-3</v>
      </c>
      <c r="Y179" s="1711">
        <f>+W179</f>
        <v>2047485</v>
      </c>
    </row>
    <row r="180" spans="1:30" ht="10.5" outlineLevel="1" x14ac:dyDescent="0.25">
      <c r="A180" s="1366">
        <v>19.13</v>
      </c>
      <c r="B180" s="1370" t="s">
        <v>79</v>
      </c>
      <c r="C180" s="1767" t="s">
        <v>992</v>
      </c>
      <c r="D180" s="1754" t="s">
        <v>107</v>
      </c>
      <c r="E180" s="1377">
        <v>1</v>
      </c>
      <c r="F180" s="1420">
        <f>+I180*0.5</f>
        <v>534981.20598047681</v>
      </c>
      <c r="G180" s="1377"/>
      <c r="H180" s="1750">
        <f>F180+G180</f>
        <v>534981.20598047681</v>
      </c>
      <c r="I180" s="1759">
        <f>+AD166*0.25</f>
        <v>1069962.4119609536</v>
      </c>
      <c r="J180" s="1377"/>
      <c r="K180" s="1750">
        <f t="shared" si="179"/>
        <v>1069962.4119609536</v>
      </c>
      <c r="L180" s="1433">
        <f>(H180+K180)*0.015</f>
        <v>24074.154269121453</v>
      </c>
      <c r="M180" s="1750">
        <f>H180+K180+L180</f>
        <v>1629017.7722105517</v>
      </c>
      <c r="N180" s="1751">
        <f>F180*E180</f>
        <v>534981.20598047681</v>
      </c>
      <c r="O180" s="1751">
        <f t="shared" ref="O180" si="194">G180*E180</f>
        <v>0</v>
      </c>
      <c r="P180" s="1751">
        <f t="shared" ref="P180" si="195">I180*E180</f>
        <v>1069962.4119609536</v>
      </c>
      <c r="Q180" s="1751">
        <f t="shared" ref="Q180" si="196">J180*E180</f>
        <v>0</v>
      </c>
      <c r="R180" s="1751">
        <f t="shared" ref="R180" si="197">+L180*E180</f>
        <v>24074.154269121453</v>
      </c>
      <c r="S180" s="1752">
        <f>SUM(N180:R180)</f>
        <v>1629017.7722105517</v>
      </c>
      <c r="T180" s="1753"/>
      <c r="U180" s="1369">
        <f>+ROUNDUP(M180*$T$5,0)</f>
        <v>2047485</v>
      </c>
      <c r="V180" s="1369">
        <f>+U180*E180</f>
        <v>2047485</v>
      </c>
      <c r="X180" s="1744"/>
      <c r="AD180" s="1830"/>
    </row>
    <row r="181" spans="1:30" ht="10.5" outlineLevel="1" x14ac:dyDescent="0.25">
      <c r="A181" s="1360"/>
      <c r="B181" s="1361"/>
      <c r="C181" s="1411" t="s">
        <v>384</v>
      </c>
      <c r="D181" s="1741"/>
      <c r="E181" s="1742"/>
      <c r="F181" s="1742"/>
      <c r="G181" s="1742"/>
      <c r="H181" s="1742"/>
      <c r="I181" s="1742"/>
      <c r="J181" s="1742"/>
      <c r="K181" s="1742"/>
      <c r="L181" s="1742"/>
      <c r="M181" s="1743"/>
      <c r="N181" s="1742"/>
      <c r="O181" s="1742"/>
      <c r="P181" s="1742"/>
      <c r="Q181" s="1742"/>
      <c r="R181" s="1742"/>
      <c r="S181" s="1742"/>
      <c r="T181" s="1456">
        <f>SUM(S182:S184)</f>
        <v>21506632.015608381</v>
      </c>
      <c r="U181" s="1742"/>
      <c r="V181" s="1742"/>
      <c r="W181" s="1355">
        <f>SUM(V182:V184)</f>
        <v>27031313</v>
      </c>
      <c r="X181" s="1744">
        <f>+W181/$W$216</f>
        <v>2.3976624864290474E-2</v>
      </c>
      <c r="Y181" s="1711">
        <f>+W181</f>
        <v>27031313</v>
      </c>
      <c r="AD181" s="1830"/>
    </row>
    <row r="182" spans="1:30" ht="10.5" outlineLevel="1" x14ac:dyDescent="0.25">
      <c r="A182" s="1362">
        <v>19.14</v>
      </c>
      <c r="B182" s="1386" t="s">
        <v>79</v>
      </c>
      <c r="C182" s="1822" t="s">
        <v>385</v>
      </c>
      <c r="D182" s="1823" t="s">
        <v>107</v>
      </c>
      <c r="E182" s="1388">
        <v>1</v>
      </c>
      <c r="F182" s="1799">
        <f>+I182*0.4</f>
        <v>3558424.4300634335</v>
      </c>
      <c r="G182" s="1388"/>
      <c r="H182" s="1746">
        <f>F182+G182</f>
        <v>3558424.4300634335</v>
      </c>
      <c r="I182" s="1799">
        <v>8896061.075158583</v>
      </c>
      <c r="J182" s="1388"/>
      <c r="K182" s="1746">
        <f t="shared" ref="K182:K184" si="198">I182+J182</f>
        <v>8896061.075158583</v>
      </c>
      <c r="L182" s="1433">
        <f>(H182+K182)*0.015</f>
        <v>186817.28257833025</v>
      </c>
      <c r="M182" s="1746">
        <f>H182+K182+L182</f>
        <v>12641302.787800347</v>
      </c>
      <c r="N182" s="1747">
        <f>F182*E182</f>
        <v>3558424.4300634335</v>
      </c>
      <c r="O182" s="1747">
        <f t="shared" ref="O182:O184" si="199">G182*E182</f>
        <v>0</v>
      </c>
      <c r="P182" s="1747">
        <f t="shared" ref="P182:P184" si="200">I182*E182</f>
        <v>8896061.075158583</v>
      </c>
      <c r="Q182" s="1747">
        <f t="shared" ref="Q182:Q184" si="201">J182*E182</f>
        <v>0</v>
      </c>
      <c r="R182" s="1747">
        <f t="shared" ref="R182:R184" si="202">+L182*E182</f>
        <v>186817.28257833025</v>
      </c>
      <c r="S182" s="1748">
        <f>SUM(N182:R182)</f>
        <v>12641302.787800347</v>
      </c>
      <c r="T182" s="1465"/>
      <c r="U182" s="1369">
        <f>+ROUNDUP(M182*$T$5,0)</f>
        <v>15888634</v>
      </c>
      <c r="V182" s="1369">
        <f>+U182*E182</f>
        <v>15888634</v>
      </c>
      <c r="X182" s="1744"/>
      <c r="AD182" s="1830"/>
    </row>
    <row r="183" spans="1:30" ht="10.5" outlineLevel="1" x14ac:dyDescent="0.25">
      <c r="A183" s="1366">
        <v>19.149999999999999</v>
      </c>
      <c r="B183" s="1370" t="s">
        <v>79</v>
      </c>
      <c r="C183" s="1767" t="s">
        <v>993</v>
      </c>
      <c r="D183" s="1754" t="s">
        <v>107</v>
      </c>
      <c r="E183" s="1377">
        <v>1</v>
      </c>
      <c r="F183" s="1420">
        <v>0</v>
      </c>
      <c r="G183" s="1377"/>
      <c r="H183" s="1750">
        <f>F183+G183</f>
        <v>0</v>
      </c>
      <c r="I183" s="1420">
        <v>4852396.9500864996</v>
      </c>
      <c r="J183" s="1377"/>
      <c r="K183" s="1750">
        <f t="shared" si="198"/>
        <v>4852396.9500864996</v>
      </c>
      <c r="L183" s="1749">
        <f>(H183+K183)*0.015</f>
        <v>72785.954251297488</v>
      </c>
      <c r="M183" s="1750">
        <f>H183+K183+L183</f>
        <v>4925182.9043377973</v>
      </c>
      <c r="N183" s="1751">
        <f>F183*E183</f>
        <v>0</v>
      </c>
      <c r="O183" s="1751">
        <f t="shared" si="199"/>
        <v>0</v>
      </c>
      <c r="P183" s="1751">
        <f t="shared" si="200"/>
        <v>4852396.9500864996</v>
      </c>
      <c r="Q183" s="1751">
        <f t="shared" si="201"/>
        <v>0</v>
      </c>
      <c r="R183" s="1751">
        <f t="shared" si="202"/>
        <v>72785.954251297488</v>
      </c>
      <c r="S183" s="1752">
        <f>SUM(N183:R183)</f>
        <v>4925182.9043377973</v>
      </c>
      <c r="T183" s="1465"/>
      <c r="U183" s="1369">
        <f>+ROUNDUP(M183*$T$5,0)</f>
        <v>6190377</v>
      </c>
      <c r="V183" s="1369">
        <f>+U183*E183</f>
        <v>6190377</v>
      </c>
      <c r="X183" s="1744"/>
      <c r="AD183" s="1830"/>
    </row>
    <row r="184" spans="1:30" ht="10.5" outlineLevel="1" x14ac:dyDescent="0.25">
      <c r="A184" s="1371">
        <v>19.16</v>
      </c>
      <c r="B184" s="1372" t="s">
        <v>79</v>
      </c>
      <c r="C184" s="1824" t="s">
        <v>994</v>
      </c>
      <c r="D184" s="1798" t="s">
        <v>107</v>
      </c>
      <c r="E184" s="1385">
        <v>1</v>
      </c>
      <c r="F184" s="1759">
        <f>+I184*0.6</f>
        <v>1455719.0850259499</v>
      </c>
      <c r="G184" s="1385"/>
      <c r="H184" s="1758">
        <f>F184+G184</f>
        <v>1455719.0850259499</v>
      </c>
      <c r="I184" s="1759">
        <v>2426198.4750432498</v>
      </c>
      <c r="J184" s="1385"/>
      <c r="K184" s="1758">
        <f t="shared" si="198"/>
        <v>2426198.4750432498</v>
      </c>
      <c r="L184" s="1760">
        <f>(H184+K184)*0.015</f>
        <v>58228.763401037992</v>
      </c>
      <c r="M184" s="1758">
        <f>H184+K184+L184</f>
        <v>3940146.3234702377</v>
      </c>
      <c r="N184" s="1761">
        <f>F184*E184</f>
        <v>1455719.0850259499</v>
      </c>
      <c r="O184" s="1761">
        <f t="shared" si="199"/>
        <v>0</v>
      </c>
      <c r="P184" s="1761">
        <f t="shared" si="200"/>
        <v>2426198.4750432498</v>
      </c>
      <c r="Q184" s="1761">
        <f t="shared" si="201"/>
        <v>0</v>
      </c>
      <c r="R184" s="1761">
        <f t="shared" si="202"/>
        <v>58228.763401037992</v>
      </c>
      <c r="S184" s="1762">
        <f>SUM(N184:R184)</f>
        <v>3940146.3234702377</v>
      </c>
      <c r="T184" s="1465"/>
      <c r="U184" s="1369">
        <f>+ROUNDUP(M184*$T$5,0)</f>
        <v>4952302</v>
      </c>
      <c r="V184" s="1369">
        <f>+U184*E184</f>
        <v>4952302</v>
      </c>
      <c r="X184" s="1744"/>
      <c r="AD184" s="1830"/>
    </row>
    <row r="185" spans="1:30" ht="10.5" outlineLevel="1" x14ac:dyDescent="0.25">
      <c r="A185" s="1360"/>
      <c r="B185" s="1361"/>
      <c r="C185" s="1411" t="s">
        <v>386</v>
      </c>
      <c r="D185" s="1741"/>
      <c r="E185" s="1742"/>
      <c r="F185" s="1742"/>
      <c r="G185" s="1742"/>
      <c r="H185" s="1742"/>
      <c r="I185" s="1742"/>
      <c r="J185" s="1742"/>
      <c r="K185" s="1742"/>
      <c r="L185" s="1742"/>
      <c r="M185" s="1831"/>
      <c r="N185" s="1742"/>
      <c r="O185" s="1742"/>
      <c r="P185" s="1742"/>
      <c r="Q185" s="1742"/>
      <c r="R185" s="1742"/>
      <c r="S185" s="1742"/>
      <c r="T185" s="1456">
        <f>SUM(S186)</f>
        <v>4142551.1224588528</v>
      </c>
      <c r="U185" s="1742"/>
      <c r="V185" s="1742"/>
      <c r="W185" s="1355">
        <f>SUM(V186)</f>
        <v>5206701</v>
      </c>
      <c r="X185" s="1744">
        <f>+W185/$W$216</f>
        <v>4.6183149393270711E-3</v>
      </c>
      <c r="Y185" s="1711">
        <f>+W185</f>
        <v>5206701</v>
      </c>
    </row>
    <row r="186" spans="1:30" ht="10.5" outlineLevel="1" x14ac:dyDescent="0.25">
      <c r="A186" s="1366">
        <v>19.170000000000002</v>
      </c>
      <c r="B186" s="1370" t="s">
        <v>79</v>
      </c>
      <c r="C186" s="1438" t="s">
        <v>995</v>
      </c>
      <c r="D186" s="1754" t="s">
        <v>107</v>
      </c>
      <c r="E186" s="1377">
        <v>1</v>
      </c>
      <c r="F186" s="1759">
        <v>2093587.3781549993</v>
      </c>
      <c r="G186" s="1812"/>
      <c r="H186" s="1750">
        <f>F186+G186</f>
        <v>2093587.3781549993</v>
      </c>
      <c r="I186" s="1420">
        <v>1987743.7769768753</v>
      </c>
      <c r="J186" s="1420"/>
      <c r="K186" s="1750">
        <f t="shared" ref="K186" si="203">I186+J186</f>
        <v>1987743.7769768753</v>
      </c>
      <c r="L186" s="1433">
        <f>(H186+K186)*0.015</f>
        <v>61219.96732697812</v>
      </c>
      <c r="M186" s="1750">
        <f>H186+K186+L186</f>
        <v>4142551.1224588528</v>
      </c>
      <c r="N186" s="1751">
        <f>F186*E186</f>
        <v>2093587.3781549993</v>
      </c>
      <c r="O186" s="1751">
        <f t="shared" ref="O186" si="204">G186*E186</f>
        <v>0</v>
      </c>
      <c r="P186" s="1751">
        <f t="shared" ref="P186" si="205">I186*E186</f>
        <v>1987743.7769768753</v>
      </c>
      <c r="Q186" s="1751">
        <f t="shared" ref="Q186" si="206">J186*E186</f>
        <v>0</v>
      </c>
      <c r="R186" s="1751">
        <f t="shared" ref="R186" si="207">+L186*E186</f>
        <v>61219.96732697812</v>
      </c>
      <c r="S186" s="1752">
        <f>SUM(N186:R186)</f>
        <v>4142551.1224588528</v>
      </c>
      <c r="T186" s="1753"/>
      <c r="U186" s="1369">
        <f>+ROUNDUP(M186*$T$5,0)</f>
        <v>5206701</v>
      </c>
      <c r="V186" s="1369">
        <f>+U186*E186</f>
        <v>5206701</v>
      </c>
      <c r="X186" s="1744"/>
    </row>
    <row r="187" spans="1:30" ht="10.5" outlineLevel="1" x14ac:dyDescent="0.25">
      <c r="A187" s="1360"/>
      <c r="B187" s="1361"/>
      <c r="C187" s="1411" t="s">
        <v>387</v>
      </c>
      <c r="D187" s="1741"/>
      <c r="E187" s="1742"/>
      <c r="F187" s="1742"/>
      <c r="G187" s="1742"/>
      <c r="H187" s="1742"/>
      <c r="I187" s="1742"/>
      <c r="J187" s="1742"/>
      <c r="K187" s="1742"/>
      <c r="L187" s="1742"/>
      <c r="M187" s="1743"/>
      <c r="N187" s="1742"/>
      <c r="O187" s="1742"/>
      <c r="P187" s="1742"/>
      <c r="Q187" s="1742"/>
      <c r="R187" s="1742"/>
      <c r="S187" s="1742"/>
      <c r="T187" s="1456">
        <f>SUM(S188:S189)</f>
        <v>16120000</v>
      </c>
      <c r="U187" s="1742"/>
      <c r="V187" s="1742"/>
      <c r="W187" s="1355">
        <f>SUM(V188:V189)</f>
        <v>20260948</v>
      </c>
      <c r="X187" s="1744">
        <f>+W187/$W$216</f>
        <v>1.7971348620427589E-2</v>
      </c>
      <c r="Y187" s="1711">
        <f>+W187</f>
        <v>20260948</v>
      </c>
    </row>
    <row r="188" spans="1:30" ht="10.5" outlineLevel="1" x14ac:dyDescent="0.25">
      <c r="A188" s="1427">
        <v>19.18</v>
      </c>
      <c r="B188" s="1370" t="s">
        <v>83</v>
      </c>
      <c r="C188" s="1426" t="s">
        <v>388</v>
      </c>
      <c r="D188" s="1754" t="s">
        <v>107</v>
      </c>
      <c r="E188" s="1377">
        <v>1</v>
      </c>
      <c r="F188" s="1420">
        <v>6500000</v>
      </c>
      <c r="G188" s="1377"/>
      <c r="H188" s="1750">
        <f>F188+G188</f>
        <v>6500000</v>
      </c>
      <c r="I188" s="1420">
        <f>+F188</f>
        <v>6500000</v>
      </c>
      <c r="J188" s="1377"/>
      <c r="K188" s="1750">
        <f>I188+J188</f>
        <v>6500000</v>
      </c>
      <c r="L188" s="1433">
        <f>(H188+K188)*0.015</f>
        <v>195000</v>
      </c>
      <c r="M188" s="1750">
        <f>H188+K188+L188</f>
        <v>13195000</v>
      </c>
      <c r="N188" s="1751">
        <f>F188*E188</f>
        <v>6500000</v>
      </c>
      <c r="O188" s="1751">
        <f t="shared" ref="O188:O189" si="208">G188*E188</f>
        <v>0</v>
      </c>
      <c r="P188" s="1751">
        <f>I188*E188</f>
        <v>6500000</v>
      </c>
      <c r="Q188" s="1751">
        <f t="shared" ref="Q188:Q189" si="209">J188*E188</f>
        <v>0</v>
      </c>
      <c r="R188" s="1751">
        <f t="shared" ref="R188:R189" si="210">+L188*E188</f>
        <v>195000</v>
      </c>
      <c r="S188" s="1752">
        <f>SUM(N188:R188)</f>
        <v>13195000</v>
      </c>
      <c r="T188" s="1753"/>
      <c r="U188" s="1369">
        <f>+ROUNDUP(M188*$T$5,0)</f>
        <v>16584566</v>
      </c>
      <c r="V188" s="1369">
        <f>+U188*E188</f>
        <v>16584566</v>
      </c>
      <c r="X188" s="1744"/>
    </row>
    <row r="189" spans="1:30" ht="10.5" outlineLevel="1" x14ac:dyDescent="0.25">
      <c r="A189" s="1832">
        <v>19.190000000000001</v>
      </c>
      <c r="B189" s="1372" t="s">
        <v>79</v>
      </c>
      <c r="C189" s="1829" t="s">
        <v>389</v>
      </c>
      <c r="D189" s="1798" t="s">
        <v>107</v>
      </c>
      <c r="E189" s="1385">
        <v>1</v>
      </c>
      <c r="F189" s="1385"/>
      <c r="G189" s="1385"/>
      <c r="H189" s="1758">
        <f t="shared" ref="H189" si="211">F189+G189</f>
        <v>0</v>
      </c>
      <c r="I189" s="1833">
        <f>2500*W2</f>
        <v>2925000</v>
      </c>
      <c r="J189" s="1385"/>
      <c r="K189" s="1758">
        <f t="shared" ref="K189" si="212">I189+J189</f>
        <v>2925000</v>
      </c>
      <c r="L189" s="1834"/>
      <c r="M189" s="1758">
        <f t="shared" ref="M189" si="213">H189+K189+L189</f>
        <v>2925000</v>
      </c>
      <c r="N189" s="1761">
        <f t="shared" ref="N189" si="214">F189*E189</f>
        <v>0</v>
      </c>
      <c r="O189" s="1761">
        <f t="shared" si="208"/>
        <v>0</v>
      </c>
      <c r="P189" s="1761">
        <f t="shared" ref="P189" si="215">I189*E189</f>
        <v>2925000</v>
      </c>
      <c r="Q189" s="1761">
        <f t="shared" si="209"/>
        <v>0</v>
      </c>
      <c r="R189" s="1761">
        <f t="shared" si="210"/>
        <v>0</v>
      </c>
      <c r="S189" s="1762">
        <f t="shared" ref="S189" si="216">SUM(N189:R189)</f>
        <v>2925000</v>
      </c>
      <c r="T189" s="1753"/>
      <c r="U189" s="1369">
        <f>+ROUNDUP(M189*$T$5,0)</f>
        <v>3676382</v>
      </c>
      <c r="V189" s="1369">
        <f>+U189*E189</f>
        <v>3676382</v>
      </c>
      <c r="X189" s="1744"/>
    </row>
    <row r="190" spans="1:30" ht="10.5" x14ac:dyDescent="0.25">
      <c r="A190" s="1360">
        <v>20</v>
      </c>
      <c r="B190" s="1361"/>
      <c r="C190" s="1411" t="s">
        <v>390</v>
      </c>
      <c r="D190" s="1741"/>
      <c r="E190" s="1742"/>
      <c r="F190" s="1742"/>
      <c r="G190" s="1742"/>
      <c r="H190" s="1742"/>
      <c r="I190" s="1742"/>
      <c r="J190" s="1742"/>
      <c r="K190" s="1742"/>
      <c r="L190" s="1742"/>
      <c r="M190" s="1743"/>
      <c r="N190" s="1742"/>
      <c r="O190" s="1742"/>
      <c r="P190" s="1742"/>
      <c r="Q190" s="1742"/>
      <c r="R190" s="1742"/>
      <c r="S190" s="1742"/>
      <c r="T190" s="1456">
        <f>SUM(S191:S192)</f>
        <v>28004000</v>
      </c>
      <c r="U190" s="1742"/>
      <c r="V190" s="1742"/>
      <c r="W190" s="1355">
        <f>SUM(V191:V192)</f>
        <v>35197776</v>
      </c>
      <c r="X190" s="1744">
        <f>+W190/$W$216</f>
        <v>3.122023229908686E-2</v>
      </c>
      <c r="Y190" s="1711">
        <f>+W190</f>
        <v>35197776</v>
      </c>
    </row>
    <row r="191" spans="1:30" ht="10.5" outlineLevel="1" x14ac:dyDescent="0.25">
      <c r="A191" s="1398">
        <v>20.010000000000002</v>
      </c>
      <c r="B191" s="1399" t="s">
        <v>75</v>
      </c>
      <c r="C191" s="1407" t="s">
        <v>391</v>
      </c>
      <c r="D191" s="1428" t="s">
        <v>111</v>
      </c>
      <c r="E191" s="1429">
        <v>36</v>
      </c>
      <c r="F191" s="1835">
        <v>375000</v>
      </c>
      <c r="G191" s="1835"/>
      <c r="H191" s="1836">
        <f>F191+G191</f>
        <v>375000</v>
      </c>
      <c r="I191" s="1835">
        <v>213888.88888888888</v>
      </c>
      <c r="J191" s="1835"/>
      <c r="K191" s="1836">
        <f>I191+J191</f>
        <v>213888.88888888888</v>
      </c>
      <c r="L191" s="1837"/>
      <c r="M191" s="1836">
        <f>H191+K191+L191</f>
        <v>588888.88888888888</v>
      </c>
      <c r="N191" s="1838">
        <f>F191*E191</f>
        <v>13500000</v>
      </c>
      <c r="O191" s="1838">
        <f>G191*E191</f>
        <v>0</v>
      </c>
      <c r="P191" s="1838">
        <f>I191*E191</f>
        <v>7700000</v>
      </c>
      <c r="Q191" s="1838">
        <f>J191*E191</f>
        <v>0</v>
      </c>
      <c r="R191" s="1838">
        <f>+L191*E191</f>
        <v>0</v>
      </c>
      <c r="S191" s="1839">
        <f>SUM(N191:R191)</f>
        <v>21200000</v>
      </c>
      <c r="T191" s="1753"/>
      <c r="U191" s="1390">
        <f>+ROUNDUP(M191*$T$5,0)</f>
        <v>740165</v>
      </c>
      <c r="V191" s="1390">
        <f>+U191*E191</f>
        <v>26645940</v>
      </c>
      <c r="X191" s="1744"/>
    </row>
    <row r="192" spans="1:30" ht="10.5" outlineLevel="1" x14ac:dyDescent="0.25">
      <c r="A192" s="1366">
        <v>20.02</v>
      </c>
      <c r="B192" s="1370" t="s">
        <v>75</v>
      </c>
      <c r="C192" s="1396" t="s">
        <v>996</v>
      </c>
      <c r="D192" s="1404" t="s">
        <v>111</v>
      </c>
      <c r="E192" s="1368">
        <v>36</v>
      </c>
      <c r="F192" s="1420"/>
      <c r="G192" s="1420"/>
      <c r="H192" s="1750">
        <f>F192+G192</f>
        <v>0</v>
      </c>
      <c r="I192" s="1420">
        <v>189000</v>
      </c>
      <c r="J192" s="1420"/>
      <c r="K192" s="1750">
        <f>I192+J192</f>
        <v>189000</v>
      </c>
      <c r="L192" s="1764"/>
      <c r="M192" s="1750">
        <f>H192+K192+L192</f>
        <v>189000</v>
      </c>
      <c r="N192" s="1751">
        <f>F192*E192</f>
        <v>0</v>
      </c>
      <c r="O192" s="1751">
        <f>G192*E192</f>
        <v>0</v>
      </c>
      <c r="P192" s="1751">
        <f>I192*E192</f>
        <v>6804000</v>
      </c>
      <c r="Q192" s="1751">
        <f>J192*E192</f>
        <v>0</v>
      </c>
      <c r="R192" s="1751">
        <f>+L192*E192</f>
        <v>0</v>
      </c>
      <c r="S192" s="1752">
        <f>SUM(N192:R192)</f>
        <v>6804000</v>
      </c>
      <c r="T192" s="1753"/>
      <c r="U192" s="1369">
        <f>+ROUNDUP(M192*$T$5,0)</f>
        <v>237551</v>
      </c>
      <c r="V192" s="1369">
        <f>+U192*E192</f>
        <v>8551836</v>
      </c>
      <c r="X192" s="1744"/>
    </row>
    <row r="193" spans="1:28" ht="10.5" x14ac:dyDescent="0.25">
      <c r="A193" s="1360">
        <v>21</v>
      </c>
      <c r="B193" s="1361"/>
      <c r="C193" s="1411" t="s">
        <v>392</v>
      </c>
      <c r="D193" s="1741"/>
      <c r="E193" s="1742"/>
      <c r="F193" s="1742"/>
      <c r="G193" s="1742"/>
      <c r="H193" s="1742"/>
      <c r="I193" s="1742"/>
      <c r="J193" s="1742"/>
      <c r="K193" s="1742"/>
      <c r="L193" s="1742"/>
      <c r="M193" s="1743"/>
      <c r="N193" s="1742"/>
      <c r="O193" s="1742"/>
      <c r="P193" s="1742"/>
      <c r="Q193" s="1742"/>
      <c r="R193" s="1742"/>
      <c r="S193" s="1742"/>
      <c r="T193" s="1456">
        <f>SUM(S194)</f>
        <v>0</v>
      </c>
      <c r="U193" s="1742"/>
      <c r="V193" s="1742"/>
      <c r="W193" s="1355">
        <f>SUM(V194)</f>
        <v>0</v>
      </c>
      <c r="X193" s="1744">
        <f>+W193/$W$216</f>
        <v>0</v>
      </c>
      <c r="Y193" s="1711">
        <f>+W193</f>
        <v>0</v>
      </c>
    </row>
    <row r="194" spans="1:28" s="1776" customFormat="1" ht="10.5" outlineLevel="1" x14ac:dyDescent="0.25">
      <c r="A194" s="1430">
        <v>21.01</v>
      </c>
      <c r="B194" s="1430" t="s">
        <v>75</v>
      </c>
      <c r="C194" s="1840" t="s">
        <v>997</v>
      </c>
      <c r="D194" s="1431" t="s">
        <v>107</v>
      </c>
      <c r="E194" s="1432">
        <v>0</v>
      </c>
      <c r="F194" s="1841"/>
      <c r="G194" s="1841"/>
      <c r="H194" s="1842">
        <f t="shared" ref="H194" si="217">F194+G194</f>
        <v>0</v>
      </c>
      <c r="I194" s="1841"/>
      <c r="J194" s="1841"/>
      <c r="K194" s="1842">
        <f t="shared" ref="K194" si="218">I194+J194</f>
        <v>0</v>
      </c>
      <c r="L194" s="1841"/>
      <c r="M194" s="1842">
        <f t="shared" ref="M194" si="219">H194+K194+L194</f>
        <v>0</v>
      </c>
      <c r="N194" s="1843">
        <f>F194*E194</f>
        <v>0</v>
      </c>
      <c r="O194" s="1843">
        <f>G194*E194</f>
        <v>0</v>
      </c>
      <c r="P194" s="1843">
        <f>I194*E194</f>
        <v>0</v>
      </c>
      <c r="Q194" s="1843">
        <f>J194*E194</f>
        <v>0</v>
      </c>
      <c r="R194" s="1843">
        <f>+L194*E194</f>
        <v>0</v>
      </c>
      <c r="S194" s="1844">
        <f>SUM(N194:R194)</f>
        <v>0</v>
      </c>
      <c r="T194" s="1753"/>
      <c r="U194" s="1391">
        <f>+ROUNDUP(M194*$T$5,0)</f>
        <v>0</v>
      </c>
      <c r="V194" s="1369">
        <f>+U194*E194</f>
        <v>0</v>
      </c>
      <c r="W194" s="1389"/>
      <c r="X194" s="1744"/>
      <c r="Y194" s="1775"/>
      <c r="AB194" s="1775"/>
    </row>
    <row r="195" spans="1:28" s="1776" customFormat="1" ht="10.5" x14ac:dyDescent="0.25">
      <c r="A195" s="1360">
        <v>22</v>
      </c>
      <c r="B195" s="1361"/>
      <c r="C195" s="1411" t="s">
        <v>393</v>
      </c>
      <c r="D195" s="1741"/>
      <c r="E195" s="1742"/>
      <c r="F195" s="1742"/>
      <c r="G195" s="1742"/>
      <c r="H195" s="1742"/>
      <c r="I195" s="1742"/>
      <c r="J195" s="1742"/>
      <c r="K195" s="1742"/>
      <c r="L195" s="1742"/>
      <c r="M195" s="1743"/>
      <c r="N195" s="1742"/>
      <c r="O195" s="1742"/>
      <c r="P195" s="1742"/>
      <c r="Q195" s="1742"/>
      <c r="R195" s="1742"/>
      <c r="S195" s="1742"/>
      <c r="T195" s="1456">
        <f>SUM(S196:S197)</f>
        <v>2125199.9999999995</v>
      </c>
      <c r="U195" s="1742"/>
      <c r="V195" s="1742"/>
      <c r="W195" s="1355">
        <f>SUM(V196:V197)</f>
        <v>2671152</v>
      </c>
      <c r="X195" s="1744">
        <f>+W195/$W$216</f>
        <v>2.3692970245100275E-3</v>
      </c>
      <c r="Y195" s="1711">
        <f>+W195</f>
        <v>2671152</v>
      </c>
      <c r="AB195" s="1775"/>
    </row>
    <row r="196" spans="1:28" ht="10.5" outlineLevel="1" x14ac:dyDescent="0.25">
      <c r="A196" s="1386">
        <v>22.01</v>
      </c>
      <c r="B196" s="1386" t="s">
        <v>75</v>
      </c>
      <c r="C196" s="1809" t="s">
        <v>998</v>
      </c>
      <c r="D196" s="1415" t="s">
        <v>111</v>
      </c>
      <c r="E196" s="1377">
        <v>16</v>
      </c>
      <c r="F196" s="1420"/>
      <c r="G196" s="1845"/>
      <c r="H196" s="1750">
        <f t="shared" ref="H196:H197" si="220">F196+G196</f>
        <v>0</v>
      </c>
      <c r="I196" s="1420">
        <v>64399.999999999993</v>
      </c>
      <c r="J196" s="1845"/>
      <c r="K196" s="1750">
        <f t="shared" ref="K196:K197" si="221">I196+J196</f>
        <v>64399.999999999993</v>
      </c>
      <c r="L196" s="1800"/>
      <c r="M196" s="1746">
        <f t="shared" ref="M196:M197" si="222">H196+K196+L196</f>
        <v>64399.999999999993</v>
      </c>
      <c r="N196" s="1751">
        <f t="shared" ref="N196:N197" si="223">F196*E196</f>
        <v>0</v>
      </c>
      <c r="O196" s="1751">
        <f t="shared" ref="O196:O197" si="224">G196*E196</f>
        <v>0</v>
      </c>
      <c r="P196" s="1751">
        <f t="shared" ref="P196:P197" si="225">I196*E196</f>
        <v>1030399.9999999999</v>
      </c>
      <c r="Q196" s="1751">
        <f t="shared" ref="Q196:Q197" si="226">J196*E196</f>
        <v>0</v>
      </c>
      <c r="R196" s="1751">
        <f t="shared" ref="R196:R197" si="227">+L196*E196</f>
        <v>0</v>
      </c>
      <c r="S196" s="1752">
        <f t="shared" ref="S196:S197" si="228">SUM(N196:R196)</f>
        <v>1030399.9999999999</v>
      </c>
      <c r="T196" s="1753"/>
      <c r="U196" s="1391">
        <f>+ROUNDUP(M196*$T$5,0)</f>
        <v>80944</v>
      </c>
      <c r="V196" s="1390">
        <f>+U196*E196</f>
        <v>1295104</v>
      </c>
      <c r="X196" s="1744"/>
    </row>
    <row r="197" spans="1:28" ht="10.5" outlineLevel="1" x14ac:dyDescent="0.25">
      <c r="A197" s="1370">
        <v>22.02</v>
      </c>
      <c r="B197" s="1370" t="s">
        <v>75</v>
      </c>
      <c r="C197" s="1438" t="s">
        <v>999</v>
      </c>
      <c r="D197" s="1418" t="s">
        <v>111</v>
      </c>
      <c r="E197" s="1377">
        <v>17</v>
      </c>
      <c r="F197" s="1797"/>
      <c r="G197" s="1797"/>
      <c r="H197" s="1750">
        <f t="shared" si="220"/>
        <v>0</v>
      </c>
      <c r="I197" s="1420">
        <v>64399.999999999993</v>
      </c>
      <c r="J197" s="1797"/>
      <c r="K197" s="1750">
        <f t="shared" si="221"/>
        <v>64399.999999999993</v>
      </c>
      <c r="L197" s="1778"/>
      <c r="M197" s="1750">
        <f t="shared" si="222"/>
        <v>64399.999999999993</v>
      </c>
      <c r="N197" s="1751">
        <f t="shared" si="223"/>
        <v>0</v>
      </c>
      <c r="O197" s="1751">
        <f t="shared" si="224"/>
        <v>0</v>
      </c>
      <c r="P197" s="1751">
        <f t="shared" si="225"/>
        <v>1094799.9999999998</v>
      </c>
      <c r="Q197" s="1751">
        <f t="shared" si="226"/>
        <v>0</v>
      </c>
      <c r="R197" s="1751">
        <f t="shared" si="227"/>
        <v>0</v>
      </c>
      <c r="S197" s="1752">
        <f t="shared" si="228"/>
        <v>1094799.9999999998</v>
      </c>
      <c r="T197" s="1753"/>
      <c r="U197" s="1391">
        <f>+ROUNDUP(M197*$T$5,0)</f>
        <v>80944</v>
      </c>
      <c r="V197" s="1390">
        <f>+U197*E197</f>
        <v>1376048</v>
      </c>
      <c r="X197" s="1744"/>
    </row>
    <row r="198" spans="1:28" ht="10.5" x14ac:dyDescent="0.25">
      <c r="A198" s="1360">
        <v>23</v>
      </c>
      <c r="B198" s="1361"/>
      <c r="C198" s="1411" t="s">
        <v>211</v>
      </c>
      <c r="D198" s="1741"/>
      <c r="E198" s="1742"/>
      <c r="F198" s="1742"/>
      <c r="G198" s="1742"/>
      <c r="H198" s="1742"/>
      <c r="I198" s="1742"/>
      <c r="J198" s="1742"/>
      <c r="K198" s="1742"/>
      <c r="L198" s="1742"/>
      <c r="M198" s="1743"/>
      <c r="N198" s="1742"/>
      <c r="O198" s="1742"/>
      <c r="P198" s="1742"/>
      <c r="Q198" s="1742"/>
      <c r="R198" s="1742"/>
      <c r="S198" s="1742"/>
      <c r="T198" s="1456">
        <f>+SUM(S199:S201)</f>
        <v>3714091.0548287267</v>
      </c>
      <c r="U198" s="1742"/>
      <c r="V198" s="1742"/>
      <c r="W198" s="1355">
        <f>SUM(V199:V201)</f>
        <v>4668180</v>
      </c>
      <c r="X198" s="1744">
        <f>+W198/$W$216</f>
        <v>4.1406497959970909E-3</v>
      </c>
      <c r="Y198" s="1711">
        <f>+W198</f>
        <v>4668180</v>
      </c>
    </row>
    <row r="199" spans="1:28" s="1776" customFormat="1" ht="10.5" outlineLevel="1" x14ac:dyDescent="0.25">
      <c r="A199" s="1386">
        <v>23.01</v>
      </c>
      <c r="B199" s="1386" t="s">
        <v>79</v>
      </c>
      <c r="C199" s="1745" t="s">
        <v>394</v>
      </c>
      <c r="D199" s="1387" t="s">
        <v>107</v>
      </c>
      <c r="E199" s="1388">
        <v>7</v>
      </c>
      <c r="F199" s="1433">
        <v>84804.805000000008</v>
      </c>
      <c r="G199" s="1433">
        <v>18052.636608644149</v>
      </c>
      <c r="H199" s="1746">
        <f>F199+G199</f>
        <v>102857.44160864415</v>
      </c>
      <c r="I199" s="1433">
        <v>0</v>
      </c>
      <c r="J199" s="1433">
        <v>247059.61185673703</v>
      </c>
      <c r="K199" s="1746">
        <f>I199+J199</f>
        <v>247059.61185673703</v>
      </c>
      <c r="L199" s="1749">
        <f>(H199+K199)*0.015</f>
        <v>5248.7558019807175</v>
      </c>
      <c r="M199" s="1746">
        <f>H199+K199+L199</f>
        <v>355165.80926736188</v>
      </c>
      <c r="N199" s="1747">
        <f>F199*E199</f>
        <v>593633.63500000001</v>
      </c>
      <c r="O199" s="1747">
        <f t="shared" ref="O199:O201" si="229">G199*E199</f>
        <v>126368.45626050903</v>
      </c>
      <c r="P199" s="1747">
        <f t="shared" ref="P199:P201" si="230">I199*E199</f>
        <v>0</v>
      </c>
      <c r="Q199" s="1747">
        <f t="shared" ref="Q199:Q201" si="231">J199*E199</f>
        <v>1729417.2829971593</v>
      </c>
      <c r="R199" s="1747">
        <f t="shared" ref="R199:R201" si="232">+L199*E199</f>
        <v>36741.290613865021</v>
      </c>
      <c r="S199" s="1748">
        <f>SUM(N199:R199)</f>
        <v>2486160.6648715334</v>
      </c>
      <c r="T199" s="1465"/>
      <c r="U199" s="1365">
        <f>+ROUNDUP(M199*$T$5,0)</f>
        <v>446402</v>
      </c>
      <c r="V199" s="1365">
        <f>+U199*E199</f>
        <v>3124814</v>
      </c>
      <c r="W199" s="1389"/>
      <c r="X199" s="1744"/>
      <c r="Y199" s="1775"/>
      <c r="AB199" s="1775"/>
    </row>
    <row r="200" spans="1:28" s="1776" customFormat="1" ht="10.5" outlineLevel="1" x14ac:dyDescent="0.25">
      <c r="A200" s="1370">
        <v>23.02</v>
      </c>
      <c r="B200" s="1370"/>
      <c r="C200" s="1396" t="s">
        <v>1000</v>
      </c>
      <c r="D200" s="1376" t="s">
        <v>107</v>
      </c>
      <c r="E200" s="1377">
        <v>1</v>
      </c>
      <c r="F200" s="1434">
        <v>0</v>
      </c>
      <c r="G200" s="1434">
        <v>200000</v>
      </c>
      <c r="H200" s="1750">
        <f>F200+G200</f>
        <v>200000</v>
      </c>
      <c r="I200" s="1749">
        <v>0</v>
      </c>
      <c r="J200" s="1749">
        <v>326801.24153285986</v>
      </c>
      <c r="K200" s="1750">
        <f>I200+J200</f>
        <v>326801.24153285986</v>
      </c>
      <c r="L200" s="1749">
        <f>(H200+K200)*0.015</f>
        <v>7902.0186229928977</v>
      </c>
      <c r="M200" s="1750">
        <f>H200+K200+L200</f>
        <v>534703.26015585277</v>
      </c>
      <c r="N200" s="1751">
        <f>F200*E200</f>
        <v>0</v>
      </c>
      <c r="O200" s="1751">
        <f t="shared" si="229"/>
        <v>200000</v>
      </c>
      <c r="P200" s="1751">
        <f t="shared" si="230"/>
        <v>0</v>
      </c>
      <c r="Q200" s="1751">
        <f t="shared" si="231"/>
        <v>326801.24153285986</v>
      </c>
      <c r="R200" s="1751">
        <f t="shared" si="232"/>
        <v>7902.0186229928977</v>
      </c>
      <c r="S200" s="1752">
        <f>SUM(N200:R200)</f>
        <v>534703.26015585277</v>
      </c>
      <c r="T200" s="1465"/>
      <c r="U200" s="1369">
        <f>+ROUNDUP(M200*$T$5,0)</f>
        <v>672060</v>
      </c>
      <c r="V200" s="1369">
        <f>+U200*E200</f>
        <v>672060</v>
      </c>
      <c r="W200" s="1389"/>
      <c r="X200" s="1744"/>
      <c r="Y200" s="1775"/>
      <c r="AB200" s="1775"/>
    </row>
    <row r="201" spans="1:28" ht="10.5" outlineLevel="1" x14ac:dyDescent="0.25">
      <c r="A201" s="1372">
        <v>23.03</v>
      </c>
      <c r="B201" s="1372" t="s">
        <v>79</v>
      </c>
      <c r="C201" s="1756" t="s">
        <v>395</v>
      </c>
      <c r="D201" s="1395" t="s">
        <v>107</v>
      </c>
      <c r="E201" s="1385">
        <v>1</v>
      </c>
      <c r="F201" s="1846">
        <v>253919.62647337769</v>
      </c>
      <c r="G201" s="1846"/>
      <c r="H201" s="1758">
        <f>F201+G201</f>
        <v>253919.62647337769</v>
      </c>
      <c r="I201" s="1759">
        <v>439307.50332796259</v>
      </c>
      <c r="J201" s="1846"/>
      <c r="K201" s="1758">
        <f>I201+J201</f>
        <v>439307.50332796259</v>
      </c>
      <c r="L201" s="1834"/>
      <c r="M201" s="1758">
        <f>H201+K201+L201</f>
        <v>693227.12980134028</v>
      </c>
      <c r="N201" s="1761">
        <f>F201*E201</f>
        <v>253919.62647337769</v>
      </c>
      <c r="O201" s="1761">
        <f t="shared" si="229"/>
        <v>0</v>
      </c>
      <c r="P201" s="1761">
        <f t="shared" si="230"/>
        <v>439307.50332796259</v>
      </c>
      <c r="Q201" s="1761">
        <f t="shared" si="231"/>
        <v>0</v>
      </c>
      <c r="R201" s="1761">
        <f t="shared" si="232"/>
        <v>0</v>
      </c>
      <c r="S201" s="1762">
        <f>SUM(N201:R201)</f>
        <v>693227.12980134028</v>
      </c>
      <c r="T201" s="1465"/>
      <c r="U201" s="1409">
        <f>+ROUNDUP(M201*$T$5,0)</f>
        <v>871306</v>
      </c>
      <c r="V201" s="1409">
        <f>+U201*E201</f>
        <v>871306</v>
      </c>
      <c r="X201" s="1744"/>
    </row>
    <row r="202" spans="1:28" ht="10.5" x14ac:dyDescent="0.25">
      <c r="A202" s="1360">
        <v>24</v>
      </c>
      <c r="B202" s="1361"/>
      <c r="C202" s="1411" t="s">
        <v>212</v>
      </c>
      <c r="D202" s="1741"/>
      <c r="E202" s="1742"/>
      <c r="F202" s="1742"/>
      <c r="G202" s="1742"/>
      <c r="H202" s="1742"/>
      <c r="I202" s="1742"/>
      <c r="J202" s="1742"/>
      <c r="K202" s="1742"/>
      <c r="L202" s="1742"/>
      <c r="M202" s="1742"/>
      <c r="N202" s="1742"/>
      <c r="O202" s="1742"/>
      <c r="P202" s="1742"/>
      <c r="Q202" s="1742"/>
      <c r="R202" s="1742"/>
      <c r="S202" s="1742"/>
      <c r="T202" s="1456">
        <f>SUM(S203:S212)</f>
        <v>40135188.322516404</v>
      </c>
      <c r="U202" s="1742"/>
      <c r="V202" s="1742"/>
      <c r="W202" s="1355">
        <f>SUM(V203:V212)</f>
        <v>50445256</v>
      </c>
      <c r="X202" s="1744">
        <f>+W202/$W$216</f>
        <v>4.4744662580581941E-2</v>
      </c>
    </row>
    <row r="203" spans="1:28" ht="10.5" outlineLevel="1" x14ac:dyDescent="0.25">
      <c r="A203" s="1362">
        <v>24.01</v>
      </c>
      <c r="B203" s="1386" t="s">
        <v>75</v>
      </c>
      <c r="C203" s="1435" t="s">
        <v>135</v>
      </c>
      <c r="D203" s="1364" t="s">
        <v>101</v>
      </c>
      <c r="E203" s="1363">
        <v>14</v>
      </c>
      <c r="F203" s="1388"/>
      <c r="G203" s="1845"/>
      <c r="H203" s="1750">
        <f t="shared" ref="H203:H204" si="233">F203+G203</f>
        <v>0</v>
      </c>
      <c r="I203" s="1847">
        <v>599210.84671886358</v>
      </c>
      <c r="J203" s="1388"/>
      <c r="K203" s="1750">
        <f t="shared" ref="K203:K204" si="234">I203+J203</f>
        <v>599210.84671886358</v>
      </c>
      <c r="L203" s="1377"/>
      <c r="M203" s="1750">
        <f t="shared" ref="M203:M204" si="235">H203+K203+L203</f>
        <v>599210.84671886358</v>
      </c>
      <c r="N203" s="1751">
        <f t="shared" ref="N203:N212" si="236">F203*E203</f>
        <v>0</v>
      </c>
      <c r="O203" s="1751">
        <f t="shared" ref="O203:O212" si="237">G203*E203</f>
        <v>0</v>
      </c>
      <c r="P203" s="1751">
        <f t="shared" ref="P203:P212" si="238">I203*E203</f>
        <v>8388951.8540640902</v>
      </c>
      <c r="Q203" s="1751">
        <f t="shared" ref="Q203:Q212" si="239">J203*E203</f>
        <v>0</v>
      </c>
      <c r="R203" s="1751">
        <f t="shared" ref="R203:R212" si="240">+L203*E203</f>
        <v>0</v>
      </c>
      <c r="S203" s="1752">
        <f t="shared" ref="S203:S212" si="241">SUM(N203:R203)</f>
        <v>8388951.8540640902</v>
      </c>
      <c r="T203" s="1753"/>
      <c r="U203" s="1369">
        <f t="shared" ref="U203:U212" si="242">+ROUNDUP(M203*$T$5,0)</f>
        <v>753138</v>
      </c>
      <c r="V203" s="1369">
        <f t="shared" ref="V203:V212" si="243">+U203*E203</f>
        <v>10543932</v>
      </c>
      <c r="Y203" s="1711">
        <f>+U203*AA203</f>
        <v>10543932</v>
      </c>
      <c r="AA203" s="1717">
        <v>14</v>
      </c>
    </row>
    <row r="204" spans="1:28" ht="10.5" outlineLevel="1" x14ac:dyDescent="0.25">
      <c r="A204" s="1398">
        <v>24.02</v>
      </c>
      <c r="B204" s="1399" t="s">
        <v>75</v>
      </c>
      <c r="C204" s="1436" t="s">
        <v>295</v>
      </c>
      <c r="D204" s="1437" t="s">
        <v>101</v>
      </c>
      <c r="E204" s="1429">
        <v>4</v>
      </c>
      <c r="F204" s="1401"/>
      <c r="G204" s="1848"/>
      <c r="H204" s="1750">
        <f t="shared" si="233"/>
        <v>0</v>
      </c>
      <c r="I204" s="1849">
        <v>1547376.3491999998</v>
      </c>
      <c r="J204" s="1401"/>
      <c r="K204" s="1750">
        <f t="shared" si="234"/>
        <v>1547376.3491999998</v>
      </c>
      <c r="L204" s="1377"/>
      <c r="M204" s="1750">
        <f t="shared" si="235"/>
        <v>1547376.3491999998</v>
      </c>
      <c r="N204" s="1751">
        <f t="shared" si="236"/>
        <v>0</v>
      </c>
      <c r="O204" s="1751">
        <f t="shared" si="237"/>
        <v>0</v>
      </c>
      <c r="P204" s="1751">
        <f t="shared" si="238"/>
        <v>6189505.3967999993</v>
      </c>
      <c r="Q204" s="1751">
        <f t="shared" si="239"/>
        <v>0</v>
      </c>
      <c r="R204" s="1751">
        <f t="shared" si="240"/>
        <v>0</v>
      </c>
      <c r="S204" s="1752">
        <f t="shared" si="241"/>
        <v>6189505.3967999993</v>
      </c>
      <c r="T204" s="1753"/>
      <c r="U204" s="1369">
        <f t="shared" si="242"/>
        <v>1944871</v>
      </c>
      <c r="V204" s="1369">
        <f t="shared" si="243"/>
        <v>7779484</v>
      </c>
      <c r="Y204" s="1711">
        <f t="shared" ref="Y204:Y212" si="244">+U204*AA204</f>
        <v>7779484</v>
      </c>
      <c r="AA204" s="1717">
        <v>4</v>
      </c>
    </row>
    <row r="205" spans="1:28" ht="10.5" outlineLevel="1" x14ac:dyDescent="0.25">
      <c r="A205" s="1366">
        <v>24.03</v>
      </c>
      <c r="B205" s="1370" t="s">
        <v>75</v>
      </c>
      <c r="C205" s="1438" t="s">
        <v>213</v>
      </c>
      <c r="D205" s="1367" t="s">
        <v>101</v>
      </c>
      <c r="E205" s="1368">
        <v>14</v>
      </c>
      <c r="F205" s="1377"/>
      <c r="G205" s="1797"/>
      <c r="H205" s="1750">
        <f>F205+G205</f>
        <v>0</v>
      </c>
      <c r="I205" s="1801">
        <v>150000</v>
      </c>
      <c r="J205" s="1377"/>
      <c r="K205" s="1750">
        <f>I205+J205</f>
        <v>150000</v>
      </c>
      <c r="L205" s="1377"/>
      <c r="M205" s="1750">
        <f>H205+K205+L205</f>
        <v>150000</v>
      </c>
      <c r="N205" s="1751">
        <f t="shared" si="236"/>
        <v>0</v>
      </c>
      <c r="O205" s="1751">
        <f t="shared" si="237"/>
        <v>0</v>
      </c>
      <c r="P205" s="1751">
        <f t="shared" si="238"/>
        <v>2100000</v>
      </c>
      <c r="Q205" s="1751">
        <f t="shared" si="239"/>
        <v>0</v>
      </c>
      <c r="R205" s="1751">
        <f t="shared" si="240"/>
        <v>0</v>
      </c>
      <c r="S205" s="1752">
        <f t="shared" si="241"/>
        <v>2100000</v>
      </c>
      <c r="T205" s="1753"/>
      <c r="U205" s="1369">
        <f>+ROUNDUP(M205*$T$5,0)</f>
        <v>188533</v>
      </c>
      <c r="V205" s="1369">
        <f t="shared" si="243"/>
        <v>2639462</v>
      </c>
      <c r="Y205" s="1711">
        <f t="shared" si="244"/>
        <v>2639462</v>
      </c>
      <c r="AA205" s="1717">
        <v>14</v>
      </c>
    </row>
    <row r="206" spans="1:28" ht="10.5" outlineLevel="1" x14ac:dyDescent="0.25">
      <c r="A206" s="1398">
        <v>24.04</v>
      </c>
      <c r="B206" s="1370" t="s">
        <v>75</v>
      </c>
      <c r="C206" s="1438" t="s">
        <v>214</v>
      </c>
      <c r="D206" s="1367" t="s">
        <v>107</v>
      </c>
      <c r="E206" s="1368">
        <v>1</v>
      </c>
      <c r="F206" s="1749">
        <v>2388097.2693333332</v>
      </c>
      <c r="G206" s="1749">
        <v>0</v>
      </c>
      <c r="H206" s="1750">
        <f>F206+G206</f>
        <v>2388097.2693333332</v>
      </c>
      <c r="I206" s="1749">
        <v>0</v>
      </c>
      <c r="J206" s="1749">
        <v>1222808.0771714395</v>
      </c>
      <c r="K206" s="1750">
        <f t="shared" ref="K206" si="245">I206+J206</f>
        <v>1222808.0771714395</v>
      </c>
      <c r="L206" s="1749">
        <f>(H206+K206)*0.015</f>
        <v>54163.580197571595</v>
      </c>
      <c r="M206" s="1750">
        <f>H206+K206+L206</f>
        <v>3665068.9267023448</v>
      </c>
      <c r="N206" s="1751">
        <f>F206*E206</f>
        <v>2388097.2693333332</v>
      </c>
      <c r="O206" s="1751">
        <f t="shared" si="237"/>
        <v>0</v>
      </c>
      <c r="P206" s="1751">
        <f t="shared" si="238"/>
        <v>0</v>
      </c>
      <c r="Q206" s="1751">
        <f t="shared" si="239"/>
        <v>1222808.0771714395</v>
      </c>
      <c r="R206" s="1751">
        <f t="shared" si="240"/>
        <v>54163.580197571595</v>
      </c>
      <c r="S206" s="1752">
        <f t="shared" si="241"/>
        <v>3665068.9267023448</v>
      </c>
      <c r="T206" s="1753"/>
      <c r="U206" s="1369">
        <f t="shared" si="242"/>
        <v>4606562</v>
      </c>
      <c r="V206" s="1369">
        <f t="shared" si="243"/>
        <v>4606562</v>
      </c>
      <c r="Y206" s="1711">
        <f t="shared" si="244"/>
        <v>4606562</v>
      </c>
      <c r="AA206" s="1717">
        <v>1</v>
      </c>
    </row>
    <row r="207" spans="1:28" s="1782" customFormat="1" ht="10.5" outlineLevel="1" x14ac:dyDescent="0.25">
      <c r="A207" s="1366">
        <v>24.05</v>
      </c>
      <c r="B207" s="1370" t="s">
        <v>75</v>
      </c>
      <c r="C207" s="1438" t="s">
        <v>546</v>
      </c>
      <c r="D207" s="1439" t="s">
        <v>101</v>
      </c>
      <c r="E207" s="1368">
        <v>14</v>
      </c>
      <c r="F207" s="1755">
        <v>0</v>
      </c>
      <c r="G207" s="1755">
        <v>50000</v>
      </c>
      <c r="H207" s="1750">
        <f>F207+G207</f>
        <v>50000</v>
      </c>
      <c r="I207" s="1749">
        <v>0</v>
      </c>
      <c r="J207" s="1749">
        <v>495686.16827914771</v>
      </c>
      <c r="K207" s="1750">
        <f>I207+J207</f>
        <v>495686.16827914771</v>
      </c>
      <c r="L207" s="1749">
        <f>(H207+K207)*0.015</f>
        <v>8185.2925241872153</v>
      </c>
      <c r="M207" s="1750">
        <f t="shared" ref="M207" si="246">H207+K207+L207</f>
        <v>553871.46080333495</v>
      </c>
      <c r="N207" s="1751">
        <f t="shared" ref="N207" si="247">F207*E207</f>
        <v>0</v>
      </c>
      <c r="O207" s="1751">
        <f t="shared" si="237"/>
        <v>700000</v>
      </c>
      <c r="P207" s="1751">
        <f t="shared" si="238"/>
        <v>0</v>
      </c>
      <c r="Q207" s="1751">
        <f t="shared" si="239"/>
        <v>6939606.3559080679</v>
      </c>
      <c r="R207" s="1751">
        <f t="shared" si="240"/>
        <v>114594.09533862102</v>
      </c>
      <c r="S207" s="1752">
        <f t="shared" si="241"/>
        <v>7754200.4512466891</v>
      </c>
      <c r="T207" s="1753"/>
      <c r="U207" s="1369">
        <f t="shared" si="242"/>
        <v>696152</v>
      </c>
      <c r="V207" s="1369">
        <f t="shared" si="243"/>
        <v>9746128</v>
      </c>
      <c r="W207" s="1440"/>
      <c r="X207" s="1744"/>
      <c r="Y207" s="1711">
        <f t="shared" si="244"/>
        <v>9746128</v>
      </c>
      <c r="AA207" s="1782">
        <v>14</v>
      </c>
      <c r="AB207" s="1714"/>
    </row>
    <row r="208" spans="1:28" s="1782" customFormat="1" ht="10.5" outlineLevel="1" x14ac:dyDescent="0.25">
      <c r="A208" s="1398">
        <v>24.06</v>
      </c>
      <c r="B208" s="1370" t="s">
        <v>75</v>
      </c>
      <c r="C208" s="1438" t="s">
        <v>114</v>
      </c>
      <c r="D208" s="1439" t="s">
        <v>101</v>
      </c>
      <c r="E208" s="1368">
        <v>14</v>
      </c>
      <c r="F208" s="1755">
        <v>0</v>
      </c>
      <c r="G208" s="1755">
        <v>25000</v>
      </c>
      <c r="H208" s="1750">
        <f>F208+G208</f>
        <v>25000</v>
      </c>
      <c r="I208" s="1749">
        <v>0</v>
      </c>
      <c r="J208" s="1749">
        <v>329565.96569537499</v>
      </c>
      <c r="K208" s="1750">
        <f>I208+J208</f>
        <v>329565.96569537499</v>
      </c>
      <c r="L208" s="1749">
        <f>(H208+K208)*0.015</f>
        <v>5318.4894854306249</v>
      </c>
      <c r="M208" s="1750">
        <f>H208+K208+L208</f>
        <v>359884.45518080564</v>
      </c>
      <c r="N208" s="1751">
        <f t="shared" si="236"/>
        <v>0</v>
      </c>
      <c r="O208" s="1751">
        <f t="shared" si="237"/>
        <v>350000</v>
      </c>
      <c r="P208" s="1751">
        <f t="shared" si="238"/>
        <v>0</v>
      </c>
      <c r="Q208" s="1751">
        <f t="shared" si="239"/>
        <v>4613923.5197352497</v>
      </c>
      <c r="R208" s="1751">
        <f t="shared" si="240"/>
        <v>74458.852796028747</v>
      </c>
      <c r="S208" s="1752">
        <f t="shared" si="241"/>
        <v>5038382.3725312781</v>
      </c>
      <c r="T208" s="1753"/>
      <c r="U208" s="1369">
        <f t="shared" si="242"/>
        <v>452333</v>
      </c>
      <c r="V208" s="1369">
        <f t="shared" si="243"/>
        <v>6332662</v>
      </c>
      <c r="W208" s="1440"/>
      <c r="X208" s="1744"/>
      <c r="Y208" s="1711">
        <f t="shared" si="244"/>
        <v>6332662</v>
      </c>
      <c r="AA208" s="1782">
        <v>14</v>
      </c>
      <c r="AB208" s="1714"/>
    </row>
    <row r="209" spans="1:34" s="1782" customFormat="1" ht="10.5" outlineLevel="1" x14ac:dyDescent="0.25">
      <c r="A209" s="1366">
        <v>24.07</v>
      </c>
      <c r="B209" s="1370" t="s">
        <v>75</v>
      </c>
      <c r="C209" s="1438" t="s">
        <v>297</v>
      </c>
      <c r="D209" s="1439" t="s">
        <v>107</v>
      </c>
      <c r="E209" s="1368">
        <v>0</v>
      </c>
      <c r="F209" s="1755"/>
      <c r="G209" s="1755"/>
      <c r="H209" s="1750">
        <f t="shared" ref="H209:H210" si="248">F209+G209</f>
        <v>0</v>
      </c>
      <c r="I209" s="1749"/>
      <c r="J209" s="1749"/>
      <c r="K209" s="1750">
        <f t="shared" ref="K209:K210" si="249">I209+J209</f>
        <v>0</v>
      </c>
      <c r="L209" s="1749">
        <f>(H209+K209)*0.015</f>
        <v>0</v>
      </c>
      <c r="M209" s="1750">
        <f t="shared" ref="M209:M210" si="250">H209+K209+L209</f>
        <v>0</v>
      </c>
      <c r="N209" s="1751">
        <f t="shared" si="236"/>
        <v>0</v>
      </c>
      <c r="O209" s="1751">
        <f t="shared" si="237"/>
        <v>0</v>
      </c>
      <c r="P209" s="1751">
        <f t="shared" si="238"/>
        <v>0</v>
      </c>
      <c r="Q209" s="1751">
        <f t="shared" si="239"/>
        <v>0</v>
      </c>
      <c r="R209" s="1751">
        <f t="shared" si="240"/>
        <v>0</v>
      </c>
      <c r="S209" s="1752">
        <f t="shared" si="241"/>
        <v>0</v>
      </c>
      <c r="T209" s="1753"/>
      <c r="U209" s="1369">
        <f t="shared" si="242"/>
        <v>0</v>
      </c>
      <c r="V209" s="1369">
        <f t="shared" si="243"/>
        <v>0</v>
      </c>
      <c r="W209" s="1440"/>
      <c r="X209" s="1744"/>
      <c r="Y209" s="1711">
        <f t="shared" si="244"/>
        <v>0</v>
      </c>
      <c r="AB209" s="1714"/>
    </row>
    <row r="210" spans="1:34" s="1782" customFormat="1" ht="10.5" outlineLevel="1" x14ac:dyDescent="0.25">
      <c r="A210" s="1398">
        <v>24.08</v>
      </c>
      <c r="B210" s="1370" t="s">
        <v>75</v>
      </c>
      <c r="C210" s="1438" t="s">
        <v>115</v>
      </c>
      <c r="D210" s="1439" t="s">
        <v>101</v>
      </c>
      <c r="E210" s="1368">
        <v>14</v>
      </c>
      <c r="F210" s="1377"/>
      <c r="G210" s="1377"/>
      <c r="H210" s="1750">
        <f t="shared" si="248"/>
        <v>0</v>
      </c>
      <c r="I210" s="1850">
        <v>250000</v>
      </c>
      <c r="J210" s="1377"/>
      <c r="K210" s="1750">
        <f t="shared" si="249"/>
        <v>250000</v>
      </c>
      <c r="L210" s="1764"/>
      <c r="M210" s="1750">
        <f t="shared" si="250"/>
        <v>250000</v>
      </c>
      <c r="N210" s="1751">
        <f t="shared" si="236"/>
        <v>0</v>
      </c>
      <c r="O210" s="1751">
        <f t="shared" si="237"/>
        <v>0</v>
      </c>
      <c r="P210" s="1751">
        <f t="shared" si="238"/>
        <v>3500000</v>
      </c>
      <c r="Q210" s="1751">
        <f t="shared" si="239"/>
        <v>0</v>
      </c>
      <c r="R210" s="1751">
        <f t="shared" si="240"/>
        <v>0</v>
      </c>
      <c r="S210" s="1752">
        <f t="shared" si="241"/>
        <v>3500000</v>
      </c>
      <c r="T210" s="1753"/>
      <c r="U210" s="1369">
        <f t="shared" si="242"/>
        <v>314221</v>
      </c>
      <c r="V210" s="1369">
        <f t="shared" si="243"/>
        <v>4399094</v>
      </c>
      <c r="W210" s="1440"/>
      <c r="X210" s="1744"/>
      <c r="Y210" s="1711">
        <f t="shared" si="244"/>
        <v>4399094</v>
      </c>
      <c r="AA210" s="1782">
        <v>14</v>
      </c>
      <c r="AB210" s="1714"/>
    </row>
    <row r="211" spans="1:34" s="1851" customFormat="1" ht="10.5" outlineLevel="1" x14ac:dyDescent="0.25">
      <c r="A211" s="1366">
        <v>24.09</v>
      </c>
      <c r="B211" s="1370" t="s">
        <v>79</v>
      </c>
      <c r="C211" s="1438" t="s">
        <v>298</v>
      </c>
      <c r="D211" s="1439" t="s">
        <v>101</v>
      </c>
      <c r="E211" s="1368">
        <v>4</v>
      </c>
      <c r="F211" s="1755">
        <v>0</v>
      </c>
      <c r="G211" s="1755">
        <v>0</v>
      </c>
      <c r="H211" s="1750">
        <f>F211+G211</f>
        <v>0</v>
      </c>
      <c r="I211" s="1749"/>
      <c r="J211" s="1749">
        <v>0</v>
      </c>
      <c r="K211" s="1750">
        <f>I211+J211</f>
        <v>0</v>
      </c>
      <c r="L211" s="1764"/>
      <c r="M211" s="1750">
        <f>H211+K211+L211</f>
        <v>0</v>
      </c>
      <c r="N211" s="1751">
        <f t="shared" si="236"/>
        <v>0</v>
      </c>
      <c r="O211" s="1751">
        <f t="shared" si="237"/>
        <v>0</v>
      </c>
      <c r="P211" s="1751">
        <f t="shared" si="238"/>
        <v>0</v>
      </c>
      <c r="Q211" s="1751">
        <f t="shared" si="239"/>
        <v>0</v>
      </c>
      <c r="R211" s="1751">
        <f t="shared" si="240"/>
        <v>0</v>
      </c>
      <c r="S211" s="1752">
        <f t="shared" si="241"/>
        <v>0</v>
      </c>
      <c r="T211" s="1753"/>
      <c r="U211" s="1368">
        <f t="shared" si="242"/>
        <v>0</v>
      </c>
      <c r="V211" s="1368">
        <f t="shared" si="243"/>
        <v>0</v>
      </c>
      <c r="W211" s="1440"/>
      <c r="X211" s="1744"/>
      <c r="Y211" s="1711">
        <f t="shared" si="244"/>
        <v>0</v>
      </c>
      <c r="AB211" s="1711"/>
    </row>
    <row r="212" spans="1:34" s="1851" customFormat="1" ht="10.5" outlineLevel="1" x14ac:dyDescent="0.25">
      <c r="A212" s="1398">
        <v>24.1</v>
      </c>
      <c r="B212" s="1372" t="s">
        <v>75</v>
      </c>
      <c r="C212" s="1441" t="s">
        <v>116</v>
      </c>
      <c r="D212" s="1442" t="s">
        <v>101</v>
      </c>
      <c r="E212" s="1374">
        <v>14</v>
      </c>
      <c r="F212" s="1850">
        <f>100000*2</f>
        <v>200000</v>
      </c>
      <c r="G212" s="1760"/>
      <c r="H212" s="1758">
        <f t="shared" ref="H212" si="251">F212+G212</f>
        <v>200000</v>
      </c>
      <c r="I212" s="1760"/>
      <c r="J212" s="1420">
        <v>49934.237226571968</v>
      </c>
      <c r="K212" s="1758">
        <f t="shared" ref="K212" si="252">I212+J212</f>
        <v>49934.237226571968</v>
      </c>
      <c r="L212" s="1834"/>
      <c r="M212" s="1758">
        <f t="shared" ref="M212" si="253">H212+K212+L212</f>
        <v>249934.23722657198</v>
      </c>
      <c r="N212" s="1761">
        <f t="shared" si="236"/>
        <v>2800000</v>
      </c>
      <c r="O212" s="1761">
        <f t="shared" si="237"/>
        <v>0</v>
      </c>
      <c r="P212" s="1761">
        <f t="shared" si="238"/>
        <v>0</v>
      </c>
      <c r="Q212" s="1761">
        <f t="shared" si="239"/>
        <v>699079.32117200759</v>
      </c>
      <c r="R212" s="1761">
        <f t="shared" si="240"/>
        <v>0</v>
      </c>
      <c r="S212" s="1762">
        <f t="shared" si="241"/>
        <v>3499079.3211720074</v>
      </c>
      <c r="T212" s="1753"/>
      <c r="U212" s="1409">
        <f t="shared" si="242"/>
        <v>314138</v>
      </c>
      <c r="V212" s="1409">
        <f t="shared" si="243"/>
        <v>4397932</v>
      </c>
      <c r="W212" s="1440"/>
      <c r="X212" s="1744"/>
      <c r="Y212" s="1711">
        <f t="shared" si="244"/>
        <v>4397932</v>
      </c>
      <c r="AA212" s="1851">
        <v>14</v>
      </c>
      <c r="AB212" s="1711"/>
    </row>
    <row r="213" spans="1:34" ht="10.5" x14ac:dyDescent="0.25">
      <c r="A213" s="1360">
        <v>25</v>
      </c>
      <c r="B213" s="1361"/>
      <c r="C213" s="1411" t="s">
        <v>215</v>
      </c>
      <c r="D213" s="1741"/>
      <c r="E213" s="1742"/>
      <c r="F213" s="1742"/>
      <c r="G213" s="1742"/>
      <c r="H213" s="1742"/>
      <c r="I213" s="1742"/>
      <c r="J213" s="1742"/>
      <c r="K213" s="1742"/>
      <c r="L213" s="1742"/>
      <c r="M213" s="1743"/>
      <c r="N213" s="1742"/>
      <c r="O213" s="1742"/>
      <c r="P213" s="1742"/>
      <c r="Q213" s="1742"/>
      <c r="R213" s="1742"/>
      <c r="S213" s="1742"/>
      <c r="T213" s="1456">
        <f>SUM(S214:S215)</f>
        <v>60177188.148000002</v>
      </c>
      <c r="U213" s="1742"/>
      <c r="V213" s="1742"/>
      <c r="W213" s="1355">
        <f>SUM(V214:V215)</f>
        <v>75635672</v>
      </c>
      <c r="X213" s="1744">
        <f>+W213/$W$216</f>
        <v>6.7088422005343165E-2</v>
      </c>
      <c r="AF213" s="1711">
        <f>+W218/AC215</f>
        <v>1052405.965855594</v>
      </c>
    </row>
    <row r="214" spans="1:34" s="1776" customFormat="1" ht="10.5" outlineLevel="1" x14ac:dyDescent="0.25">
      <c r="A214" s="1362">
        <v>25.01</v>
      </c>
      <c r="B214" s="1386" t="s">
        <v>75</v>
      </c>
      <c r="C214" s="1745" t="s">
        <v>299</v>
      </c>
      <c r="D214" s="1387" t="s">
        <v>101</v>
      </c>
      <c r="E214" s="1388">
        <v>14</v>
      </c>
      <c r="F214" s="1773"/>
      <c r="G214" s="1773"/>
      <c r="H214" s="1746">
        <f>F214+G214</f>
        <v>0</v>
      </c>
      <c r="I214" s="1799">
        <v>3798370.5819999999</v>
      </c>
      <c r="J214" s="1773"/>
      <c r="K214" s="1746">
        <f t="shared" ref="K214:K215" si="254">I214+J214</f>
        <v>3798370.5819999999</v>
      </c>
      <c r="L214" s="1773"/>
      <c r="M214" s="1746">
        <f>H214+K214+L214</f>
        <v>3798370.5819999999</v>
      </c>
      <c r="N214" s="1747">
        <f t="shared" ref="N214:N215" si="255">F214*E214</f>
        <v>0</v>
      </c>
      <c r="O214" s="1747">
        <f t="shared" ref="O214:O215" si="256">G214*E214</f>
        <v>0</v>
      </c>
      <c r="P214" s="1747">
        <f t="shared" ref="P214:P215" si="257">I214*E214</f>
        <v>53177188.148000002</v>
      </c>
      <c r="Q214" s="1747">
        <f t="shared" ref="Q214:Q215" si="258">J214*E214</f>
        <v>0</v>
      </c>
      <c r="R214" s="1747">
        <f t="shared" ref="R214:R215" si="259">+L214*E214</f>
        <v>0</v>
      </c>
      <c r="S214" s="1748">
        <f t="shared" ref="S214:S215" si="260">SUM(N214:R214)</f>
        <v>53177188.148000002</v>
      </c>
      <c r="T214" s="1753"/>
      <c r="U214" s="1391">
        <f>+ROUNDUP(M214*$T$5,0)</f>
        <v>4774106</v>
      </c>
      <c r="V214" s="1390">
        <f>+U214*E214</f>
        <v>66837484</v>
      </c>
      <c r="W214" s="1788"/>
      <c r="Y214" s="1775">
        <f>+U214*AA214</f>
        <v>66837484</v>
      </c>
      <c r="AA214" s="1776">
        <v>14</v>
      </c>
      <c r="AB214" s="1775"/>
    </row>
    <row r="215" spans="1:34" s="1776" customFormat="1" ht="10.5" outlineLevel="1" x14ac:dyDescent="0.25">
      <c r="A215" s="1371">
        <v>25.02</v>
      </c>
      <c r="B215" s="1372" t="s">
        <v>75</v>
      </c>
      <c r="C215" s="1756" t="s">
        <v>102</v>
      </c>
      <c r="D215" s="1395" t="s">
        <v>101</v>
      </c>
      <c r="E215" s="1385">
        <v>14</v>
      </c>
      <c r="F215" s="1786"/>
      <c r="G215" s="1786"/>
      <c r="H215" s="1758">
        <f>F215+G215</f>
        <v>0</v>
      </c>
      <c r="I215" s="1759">
        <v>500000</v>
      </c>
      <c r="J215" s="1786"/>
      <c r="K215" s="1758">
        <f t="shared" si="254"/>
        <v>500000</v>
      </c>
      <c r="L215" s="1786"/>
      <c r="M215" s="1758">
        <f>H215+K215+L215</f>
        <v>500000</v>
      </c>
      <c r="N215" s="1761">
        <f t="shared" si="255"/>
        <v>0</v>
      </c>
      <c r="O215" s="1761">
        <f t="shared" si="256"/>
        <v>0</v>
      </c>
      <c r="P215" s="1761">
        <f t="shared" si="257"/>
        <v>7000000</v>
      </c>
      <c r="Q215" s="1761">
        <f t="shared" si="258"/>
        <v>0</v>
      </c>
      <c r="R215" s="1761">
        <f t="shared" si="259"/>
        <v>0</v>
      </c>
      <c r="S215" s="1762">
        <f t="shared" si="260"/>
        <v>7000000</v>
      </c>
      <c r="T215" s="1753"/>
      <c r="U215" s="1391">
        <f>+ROUNDUP(M215*$T$5,0)</f>
        <v>628442</v>
      </c>
      <c r="V215" s="1369">
        <f>+U215*E215</f>
        <v>8798188</v>
      </c>
      <c r="W215" s="1781"/>
      <c r="Y215" s="1775">
        <f>+AA215*U215</f>
        <v>8798188</v>
      </c>
      <c r="AA215" s="1776">
        <v>14</v>
      </c>
      <c r="AB215" s="1769">
        <v>0.15</v>
      </c>
      <c r="AC215" s="1717">
        <v>1150</v>
      </c>
      <c r="AD215" s="1717">
        <v>2000</v>
      </c>
    </row>
    <row r="216" spans="1:34" s="1782" customFormat="1" ht="10.5" x14ac:dyDescent="0.25">
      <c r="A216" s="1360"/>
      <c r="B216" s="1361"/>
      <c r="C216" s="1411" t="s">
        <v>117</v>
      </c>
      <c r="D216" s="1741"/>
      <c r="E216" s="1742"/>
      <c r="F216" s="1742"/>
      <c r="G216" s="1742"/>
      <c r="H216" s="1742"/>
      <c r="I216" s="1742"/>
      <c r="J216" s="1742"/>
      <c r="K216" s="1742"/>
      <c r="L216" s="1742"/>
      <c r="M216" s="1456">
        <f>SUM(M8:M215)</f>
        <v>186854979.07553422</v>
      </c>
      <c r="N216" s="1456">
        <f t="shared" ref="N216:T216" si="261">SUM(N8:N215)</f>
        <v>152635787.39072511</v>
      </c>
      <c r="O216" s="1456">
        <f t="shared" si="261"/>
        <v>89943824.963067681</v>
      </c>
      <c r="P216" s="1456">
        <f t="shared" si="261"/>
        <v>466157734.73748004</v>
      </c>
      <c r="Q216" s="1456">
        <f t="shared" si="261"/>
        <v>167770803.14356178</v>
      </c>
      <c r="R216" s="1456">
        <f t="shared" si="261"/>
        <v>20534737.960315075</v>
      </c>
      <c r="S216" s="1456">
        <f t="shared" si="261"/>
        <v>897042888.19514966</v>
      </c>
      <c r="T216" s="1456">
        <f t="shared" si="261"/>
        <v>897042888.1951499</v>
      </c>
      <c r="U216" s="1456">
        <f>SUM(U8:U215)</f>
        <v>234852030</v>
      </c>
      <c r="V216" s="1456">
        <f>SUM(V8:V215)</f>
        <v>1127402758.0195</v>
      </c>
      <c r="W216" s="1355">
        <f>SUM(W8:W215)</f>
        <v>1127402758.0195</v>
      </c>
      <c r="X216" s="1744">
        <f>+W216/$W$216</f>
        <v>1</v>
      </c>
      <c r="Y216" s="1714">
        <f>+SUM(Y8:Y215)</f>
        <v>1127402758.0195</v>
      </c>
      <c r="Z216" s="1782">
        <f>+W216*0.95</f>
        <v>1071032620.1185249</v>
      </c>
      <c r="AB216" s="1711">
        <f>W218*AB215</f>
        <v>181540029.11008999</v>
      </c>
      <c r="AC216" s="1795">
        <f>AB216/AC215</f>
        <v>157860.89487833911</v>
      </c>
      <c r="AD216" s="1795">
        <f>AC216/AD215</f>
        <v>78.930447439169555</v>
      </c>
    </row>
    <row r="217" spans="1:34" s="1782" customFormat="1" ht="10.5" x14ac:dyDescent="0.25">
      <c r="A217" s="1852"/>
      <c r="B217" s="1852"/>
      <c r="C217" s="1853"/>
      <c r="D217" s="1854"/>
      <c r="E217" s="1855">
        <v>0.105</v>
      </c>
      <c r="F217" s="1856"/>
      <c r="G217" s="1856"/>
      <c r="H217" s="1856"/>
      <c r="I217" s="1856"/>
      <c r="J217" s="1856"/>
      <c r="K217" s="1856"/>
      <c r="L217" s="1857"/>
      <c r="M217" s="1858">
        <f>+U216/M216</f>
        <v>1.2568679259280719</v>
      </c>
      <c r="N217" s="1857"/>
      <c r="O217" s="1857"/>
      <c r="P217" s="1857"/>
      <c r="Q217" s="1857"/>
      <c r="R217" s="1857"/>
      <c r="S217" s="1857"/>
      <c r="T217" s="1859"/>
      <c r="U217" s="1443"/>
      <c r="V217" s="1443"/>
      <c r="W217" s="1859">
        <f>E217*W216*0.7</f>
        <v>82864102.714433238</v>
      </c>
      <c r="X217" s="1744"/>
      <c r="Y217" s="1714"/>
      <c r="AB217" s="1714"/>
    </row>
    <row r="218" spans="1:34" ht="12.75" customHeight="1" x14ac:dyDescent="0.25">
      <c r="A218" s="1425"/>
      <c r="B218" s="1425"/>
      <c r="C218" s="1860"/>
      <c r="D218" s="1444"/>
      <c r="E218" s="1445"/>
      <c r="F218" s="1737"/>
      <c r="G218" s="1737"/>
      <c r="H218" s="1737"/>
      <c r="I218" s="1737"/>
      <c r="J218" s="1737"/>
      <c r="K218" s="1737"/>
      <c r="L218" s="1826"/>
      <c r="M218" s="1861">
        <f>+M217-T5</f>
        <v>-1.4643608433839717E-5</v>
      </c>
      <c r="N218" s="1737"/>
      <c r="O218" s="1737"/>
      <c r="P218" s="1737"/>
      <c r="Q218" s="1737"/>
      <c r="R218" s="1737"/>
      <c r="S218" s="1737"/>
      <c r="T218" s="1862"/>
      <c r="U218" s="1737"/>
      <c r="V218" s="1737"/>
      <c r="W218" s="1446">
        <f>W217+W216</f>
        <v>1210266860.7339332</v>
      </c>
      <c r="Y218" s="1863">
        <v>1138195271.5160999</v>
      </c>
      <c r="AE218" s="1717">
        <v>2000</v>
      </c>
    </row>
    <row r="219" spans="1:34" ht="12.75" customHeight="1" x14ac:dyDescent="0.25">
      <c r="A219" s="1360"/>
      <c r="B219" s="1361"/>
      <c r="C219" s="1864" t="s">
        <v>118</v>
      </c>
      <c r="D219" s="1447" t="s">
        <v>109</v>
      </c>
      <c r="E219" s="1448">
        <v>1618.5</v>
      </c>
      <c r="F219" s="1819"/>
      <c r="G219" s="1819"/>
      <c r="H219" s="1819"/>
      <c r="I219" s="1865"/>
      <c r="J219" s="1865"/>
      <c r="K219" s="1819"/>
      <c r="L219" s="1866"/>
      <c r="M219" s="1819"/>
      <c r="N219" s="1819"/>
      <c r="O219" s="1819"/>
      <c r="P219" s="1819"/>
      <c r="Q219" s="1819"/>
      <c r="R219" s="1449" t="s">
        <v>119</v>
      </c>
      <c r="S219" s="1867">
        <f>+T219/E219</f>
        <v>473.71227880365643</v>
      </c>
      <c r="T219" s="1868">
        <v>766703.3232437179</v>
      </c>
      <c r="U219" s="1449" t="s">
        <v>119</v>
      </c>
      <c r="V219" s="1450">
        <f>+W219/E219</f>
        <v>595.36119917909639</v>
      </c>
      <c r="W219" s="1451">
        <f>W216/W2</f>
        <v>963592.1008713675</v>
      </c>
      <c r="X219" s="1744"/>
      <c r="Z219" s="1766"/>
      <c r="AA219" s="1717" t="s">
        <v>460</v>
      </c>
      <c r="AB219" s="1711">
        <v>72</v>
      </c>
      <c r="AC219" s="1717">
        <v>11</v>
      </c>
      <c r="AD219" s="1795">
        <f>+AC219+AB219</f>
        <v>83</v>
      </c>
      <c r="AE219" s="1717">
        <f>+AD219*$AE$218</f>
        <v>166000</v>
      </c>
      <c r="AF219" s="1717">
        <v>20000</v>
      </c>
      <c r="AG219" s="1717">
        <f>+AF219+AE219</f>
        <v>186000</v>
      </c>
      <c r="AH219" s="1769">
        <f>+AG219/$AF$213</f>
        <v>0.17673788066070503</v>
      </c>
    </row>
    <row r="220" spans="1:34" ht="12.75" customHeight="1" x14ac:dyDescent="0.25">
      <c r="A220" s="1852"/>
      <c r="B220" s="1463"/>
      <c r="C220" s="1869"/>
      <c r="E220" s="1452"/>
      <c r="F220" s="1870"/>
      <c r="G220" s="1870"/>
      <c r="H220" s="1870"/>
      <c r="I220" s="1871"/>
      <c r="J220" s="1871"/>
      <c r="K220" s="1870"/>
      <c r="L220" s="1872"/>
      <c r="M220" s="1870"/>
      <c r="N220" s="1870"/>
      <c r="O220" s="1870"/>
      <c r="P220" s="1870"/>
      <c r="Q220" s="1873"/>
      <c r="R220" s="1453"/>
      <c r="S220" s="1874"/>
      <c r="T220" s="1875"/>
      <c r="U220" s="1453"/>
      <c r="V220" s="1454"/>
      <c r="W220" s="1455"/>
      <c r="X220" s="1744"/>
      <c r="Z220" s="1766"/>
      <c r="AA220" s="1717" t="s">
        <v>461</v>
      </c>
      <c r="AB220" s="1711">
        <v>37</v>
      </c>
      <c r="AC220" s="1717">
        <v>5</v>
      </c>
      <c r="AD220" s="1795">
        <f>+AC220+AB220</f>
        <v>42</v>
      </c>
      <c r="AE220" s="1717">
        <f>+AD220*$AE$218</f>
        <v>84000</v>
      </c>
      <c r="AH220" s="1769">
        <f>+AE220/$AF$213</f>
        <v>7.9817107395157114E-2</v>
      </c>
    </row>
    <row r="221" spans="1:34" ht="12.75" customHeight="1" x14ac:dyDescent="0.25">
      <c r="A221" s="1360">
        <v>26</v>
      </c>
      <c r="B221" s="1361"/>
      <c r="C221" s="1876" t="s">
        <v>462</v>
      </c>
      <c r="D221" s="1447"/>
      <c r="E221" s="1456"/>
      <c r="F221" s="1877"/>
      <c r="G221" s="1877"/>
      <c r="H221" s="1877"/>
      <c r="I221" s="1878"/>
      <c r="J221" s="1878"/>
      <c r="K221" s="1877"/>
      <c r="L221" s="1866"/>
      <c r="M221" s="1877"/>
      <c r="N221" s="1877"/>
      <c r="O221" s="1877"/>
      <c r="P221" s="1877"/>
      <c r="Q221" s="1877"/>
      <c r="R221" s="1457"/>
      <c r="S221" s="1879"/>
      <c r="T221" s="1880">
        <f>+SUM(S222:S229)</f>
        <v>224067752.32749999</v>
      </c>
      <c r="U221" s="1457"/>
      <c r="V221" s="1458"/>
      <c r="W221" s="1355">
        <f>SUM(V222:V229)</f>
        <v>224072082</v>
      </c>
      <c r="X221" s="1744"/>
      <c r="Y221" s="1711">
        <v>170000</v>
      </c>
      <c r="Z221" s="1769">
        <f>+Y221/W216</f>
        <v>1.5078905811676186E-4</v>
      </c>
    </row>
    <row r="222" spans="1:34" ht="12.75" customHeight="1" x14ac:dyDescent="0.25">
      <c r="A222" s="1386">
        <v>26.01</v>
      </c>
      <c r="B222" s="1881"/>
      <c r="C222" s="1435" t="s">
        <v>463</v>
      </c>
      <c r="D222" s="1364" t="s">
        <v>464</v>
      </c>
      <c r="E222" s="1363">
        <v>71835</v>
      </c>
      <c r="F222" s="1882">
        <v>1675.9465</v>
      </c>
      <c r="G222" s="1882"/>
      <c r="H222" s="1746">
        <f>F222+G222</f>
        <v>1675.9465</v>
      </c>
      <c r="I222" s="1799">
        <v>0</v>
      </c>
      <c r="J222" s="1773"/>
      <c r="K222" s="1746">
        <f t="shared" ref="K222:K228" si="262">I222+J222</f>
        <v>0</v>
      </c>
      <c r="L222" s="1773"/>
      <c r="M222" s="1746">
        <f>H222+K222+L222</f>
        <v>1675.9465</v>
      </c>
      <c r="N222" s="1747">
        <f t="shared" ref="N222:N228" si="263">F222*E222</f>
        <v>120391616.8275</v>
      </c>
      <c r="O222" s="1747">
        <f t="shared" ref="O222:O228" si="264">G222*E222</f>
        <v>0</v>
      </c>
      <c r="P222" s="1747">
        <f t="shared" ref="P222:P228" si="265">I222*E222</f>
        <v>0</v>
      </c>
      <c r="Q222" s="1747">
        <f t="shared" ref="Q222:Q228" si="266">J222*E222</f>
        <v>0</v>
      </c>
      <c r="R222" s="1747">
        <f t="shared" ref="R222:R228" si="267">+L222*E222</f>
        <v>0</v>
      </c>
      <c r="S222" s="1748">
        <f t="shared" ref="S222:S223" si="268">SUM(N222:R222)</f>
        <v>120391616.8275</v>
      </c>
      <c r="T222" s="1358"/>
      <c r="U222" s="1391">
        <f>+ROUNDUP(M222*$T$4,0)</f>
        <v>1676</v>
      </c>
      <c r="V222" s="1365">
        <f>+U222*E222</f>
        <v>120395460</v>
      </c>
      <c r="W222" s="1459"/>
      <c r="X222" s="1744"/>
      <c r="Z222" s="1766"/>
    </row>
    <row r="223" spans="1:34" ht="12.75" customHeight="1" x14ac:dyDescent="0.25">
      <c r="A223" s="1370">
        <v>26.02</v>
      </c>
      <c r="B223" s="1883"/>
      <c r="C223" s="1460" t="s">
        <v>465</v>
      </c>
      <c r="D223" s="1367" t="s">
        <v>108</v>
      </c>
      <c r="E223" s="1368">
        <v>641</v>
      </c>
      <c r="F223" s="1796">
        <v>161741.24102964118</v>
      </c>
      <c r="G223" s="1796"/>
      <c r="H223" s="1750">
        <f>F223+G223</f>
        <v>161741.24102964118</v>
      </c>
      <c r="I223" s="1420">
        <v>0</v>
      </c>
      <c r="J223" s="1778"/>
      <c r="K223" s="1750">
        <f t="shared" si="262"/>
        <v>0</v>
      </c>
      <c r="L223" s="1778"/>
      <c r="M223" s="1750">
        <f>H223+K223+L223</f>
        <v>161741.24102964118</v>
      </c>
      <c r="N223" s="1751">
        <f t="shared" si="263"/>
        <v>103676135.5</v>
      </c>
      <c r="O223" s="1751">
        <f t="shared" si="264"/>
        <v>0</v>
      </c>
      <c r="P223" s="1751">
        <f t="shared" si="265"/>
        <v>0</v>
      </c>
      <c r="Q223" s="1751">
        <f t="shared" si="266"/>
        <v>0</v>
      </c>
      <c r="R223" s="1751">
        <f t="shared" si="267"/>
        <v>0</v>
      </c>
      <c r="S223" s="1752">
        <f t="shared" si="268"/>
        <v>103676135.5</v>
      </c>
      <c r="T223" s="1753"/>
      <c r="U223" s="1391">
        <f>+ROUNDUP(M223*$T$4,0)</f>
        <v>161742</v>
      </c>
      <c r="V223" s="1369">
        <f>+U223*E223</f>
        <v>103676622</v>
      </c>
      <c r="W223" s="1459"/>
      <c r="X223" s="1744"/>
      <c r="Z223" s="1766"/>
    </row>
    <row r="224" spans="1:34" ht="12.75" customHeight="1" x14ac:dyDescent="0.25">
      <c r="A224" s="1370">
        <v>26.03</v>
      </c>
      <c r="B224" s="1883"/>
      <c r="C224" s="1426" t="s">
        <v>1001</v>
      </c>
      <c r="D224" s="1404" t="s">
        <v>107</v>
      </c>
      <c r="E224" s="1461">
        <v>1</v>
      </c>
      <c r="F224" s="1796"/>
      <c r="G224" s="1796"/>
      <c r="H224" s="1750">
        <f>F224+G224</f>
        <v>0</v>
      </c>
      <c r="I224" s="1420"/>
      <c r="J224" s="1778"/>
      <c r="K224" s="1750">
        <f t="shared" si="262"/>
        <v>0</v>
      </c>
      <c r="L224" s="1778"/>
      <c r="M224" s="1750">
        <f>H224+K224+L224</f>
        <v>0</v>
      </c>
      <c r="N224" s="1751">
        <f t="shared" si="263"/>
        <v>0</v>
      </c>
      <c r="O224" s="1751">
        <f t="shared" si="264"/>
        <v>0</v>
      </c>
      <c r="P224" s="1751">
        <f t="shared" si="265"/>
        <v>0</v>
      </c>
      <c r="Q224" s="1751">
        <f t="shared" si="266"/>
        <v>0</v>
      </c>
      <c r="R224" s="1751">
        <f t="shared" si="267"/>
        <v>0</v>
      </c>
      <c r="S224" s="1752">
        <f t="shared" ref="S224" si="269">SUM(N224:R224)</f>
        <v>0</v>
      </c>
      <c r="T224" s="1753"/>
      <c r="U224" s="1391">
        <f>+ROUNDUP(M224*$T$4,0)</f>
        <v>0</v>
      </c>
      <c r="V224" s="1369">
        <f>+U224*E224</f>
        <v>0</v>
      </c>
      <c r="W224" s="1459"/>
      <c r="X224" s="1744"/>
      <c r="Z224" s="1766"/>
      <c r="AB224" s="1711">
        <v>30000000</v>
      </c>
      <c r="AC224" s="1827">
        <f>+AB224/W216</f>
        <v>2.6609833785310916E-2</v>
      </c>
    </row>
    <row r="225" spans="1:29" ht="12.75" customHeight="1" x14ac:dyDescent="0.25">
      <c r="A225" s="1370">
        <v>26.04</v>
      </c>
      <c r="B225" s="1883"/>
      <c r="C225" s="1426" t="s">
        <v>1002</v>
      </c>
      <c r="D225" s="1404" t="s">
        <v>111</v>
      </c>
      <c r="E225" s="1461">
        <v>6</v>
      </c>
      <c r="F225" s="1796"/>
      <c r="G225" s="1796"/>
      <c r="H225" s="1750">
        <f t="shared" ref="H225:H228" si="270">F225+G225</f>
        <v>0</v>
      </c>
      <c r="I225" s="1420"/>
      <c r="J225" s="1778"/>
      <c r="K225" s="1750">
        <f t="shared" si="262"/>
        <v>0</v>
      </c>
      <c r="L225" s="1778"/>
      <c r="M225" s="1750">
        <f t="shared" ref="M225:M228" si="271">H225+K225+L225</f>
        <v>0</v>
      </c>
      <c r="N225" s="1751">
        <f t="shared" si="263"/>
        <v>0</v>
      </c>
      <c r="O225" s="1751">
        <f t="shared" si="264"/>
        <v>0</v>
      </c>
      <c r="P225" s="1751">
        <f t="shared" si="265"/>
        <v>0</v>
      </c>
      <c r="Q225" s="1751">
        <f t="shared" si="266"/>
        <v>0</v>
      </c>
      <c r="R225" s="1751">
        <f t="shared" si="267"/>
        <v>0</v>
      </c>
      <c r="S225" s="1752">
        <f t="shared" ref="S225:S228" si="272">SUM(N225:R225)</f>
        <v>0</v>
      </c>
      <c r="T225" s="1753"/>
      <c r="U225" s="1391">
        <f t="shared" ref="U225:U228" si="273">+ROUNDUP(M225*$T$4,0)</f>
        <v>0</v>
      </c>
      <c r="V225" s="1369">
        <f t="shared" ref="V225:V228" si="274">+U225*E225</f>
        <v>0</v>
      </c>
      <c r="W225" s="1459"/>
      <c r="X225" s="1744"/>
      <c r="Z225" s="1766"/>
      <c r="AB225" s="1711">
        <v>11000000</v>
      </c>
      <c r="AC225" s="1827">
        <f>+AB225/W216</f>
        <v>9.7569390546140035E-3</v>
      </c>
    </row>
    <row r="226" spans="1:29" ht="12.75" customHeight="1" x14ac:dyDescent="0.25">
      <c r="A226" s="1370">
        <v>26.05</v>
      </c>
      <c r="B226" s="1883"/>
      <c r="C226" s="1426" t="s">
        <v>1003</v>
      </c>
      <c r="D226" s="1404" t="s">
        <v>111</v>
      </c>
      <c r="E226" s="1461">
        <v>2</v>
      </c>
      <c r="F226" s="1796"/>
      <c r="G226" s="1796"/>
      <c r="H226" s="1750">
        <f t="shared" si="270"/>
        <v>0</v>
      </c>
      <c r="I226" s="1420"/>
      <c r="J226" s="1778"/>
      <c r="K226" s="1750">
        <f t="shared" si="262"/>
        <v>0</v>
      </c>
      <c r="L226" s="1778"/>
      <c r="M226" s="1750">
        <f t="shared" si="271"/>
        <v>0</v>
      </c>
      <c r="N226" s="1751">
        <f t="shared" si="263"/>
        <v>0</v>
      </c>
      <c r="O226" s="1751">
        <f t="shared" si="264"/>
        <v>0</v>
      </c>
      <c r="P226" s="1751">
        <f t="shared" si="265"/>
        <v>0</v>
      </c>
      <c r="Q226" s="1751">
        <f t="shared" si="266"/>
        <v>0</v>
      </c>
      <c r="R226" s="1751">
        <f t="shared" si="267"/>
        <v>0</v>
      </c>
      <c r="S226" s="1752">
        <f t="shared" si="272"/>
        <v>0</v>
      </c>
      <c r="T226" s="1753"/>
      <c r="U226" s="1391">
        <f t="shared" si="273"/>
        <v>0</v>
      </c>
      <c r="V226" s="1369">
        <f t="shared" si="274"/>
        <v>0</v>
      </c>
      <c r="W226" s="1459"/>
      <c r="X226" s="1744"/>
      <c r="Z226" s="1766"/>
    </row>
    <row r="227" spans="1:29" ht="12.75" customHeight="1" x14ac:dyDescent="0.25">
      <c r="A227" s="1370">
        <v>26.06</v>
      </c>
      <c r="B227" s="1883"/>
      <c r="C227" s="1426" t="s">
        <v>1004</v>
      </c>
      <c r="D227" s="1404" t="s">
        <v>111</v>
      </c>
      <c r="E227" s="1461">
        <v>5</v>
      </c>
      <c r="F227" s="1796"/>
      <c r="G227" s="1796"/>
      <c r="H227" s="1750">
        <f t="shared" si="270"/>
        <v>0</v>
      </c>
      <c r="I227" s="1420"/>
      <c r="J227" s="1778"/>
      <c r="K227" s="1750">
        <f t="shared" si="262"/>
        <v>0</v>
      </c>
      <c r="L227" s="1778"/>
      <c r="M227" s="1750">
        <f t="shared" si="271"/>
        <v>0</v>
      </c>
      <c r="N227" s="1751">
        <f t="shared" si="263"/>
        <v>0</v>
      </c>
      <c r="O227" s="1751">
        <f t="shared" si="264"/>
        <v>0</v>
      </c>
      <c r="P227" s="1751">
        <f t="shared" si="265"/>
        <v>0</v>
      </c>
      <c r="Q227" s="1751">
        <f t="shared" si="266"/>
        <v>0</v>
      </c>
      <c r="R227" s="1751">
        <f t="shared" si="267"/>
        <v>0</v>
      </c>
      <c r="S227" s="1752">
        <f t="shared" si="272"/>
        <v>0</v>
      </c>
      <c r="T227" s="1753"/>
      <c r="U227" s="1391">
        <f t="shared" si="273"/>
        <v>0</v>
      </c>
      <c r="V227" s="1369">
        <f t="shared" si="274"/>
        <v>0</v>
      </c>
      <c r="W227" s="1459"/>
      <c r="X227" s="1744"/>
      <c r="Z227" s="1766"/>
    </row>
    <row r="228" spans="1:29" ht="12.75" customHeight="1" x14ac:dyDescent="0.25">
      <c r="A228" s="1370">
        <v>26.07</v>
      </c>
      <c r="B228" s="1883"/>
      <c r="C228" s="1426" t="s">
        <v>1005</v>
      </c>
      <c r="D228" s="1404" t="s">
        <v>111</v>
      </c>
      <c r="E228" s="1461">
        <v>1</v>
      </c>
      <c r="F228" s="1796"/>
      <c r="G228" s="1796"/>
      <c r="H228" s="1750">
        <f t="shared" si="270"/>
        <v>0</v>
      </c>
      <c r="I228" s="1420"/>
      <c r="J228" s="1778"/>
      <c r="K228" s="1750">
        <f t="shared" si="262"/>
        <v>0</v>
      </c>
      <c r="L228" s="1778"/>
      <c r="M228" s="1750">
        <f t="shared" si="271"/>
        <v>0</v>
      </c>
      <c r="N228" s="1751">
        <f t="shared" si="263"/>
        <v>0</v>
      </c>
      <c r="O228" s="1751">
        <f t="shared" si="264"/>
        <v>0</v>
      </c>
      <c r="P228" s="1751">
        <f t="shared" si="265"/>
        <v>0</v>
      </c>
      <c r="Q228" s="1751">
        <f t="shared" si="266"/>
        <v>0</v>
      </c>
      <c r="R228" s="1751">
        <f t="shared" si="267"/>
        <v>0</v>
      </c>
      <c r="S228" s="1752">
        <f t="shared" si="272"/>
        <v>0</v>
      </c>
      <c r="T228" s="1753"/>
      <c r="U228" s="1391">
        <f t="shared" si="273"/>
        <v>0</v>
      </c>
      <c r="V228" s="1369">
        <f t="shared" si="274"/>
        <v>0</v>
      </c>
      <c r="W228" s="1459"/>
      <c r="X228" s="1744"/>
      <c r="Z228" s="1766"/>
    </row>
    <row r="229" spans="1:29" ht="12.75" customHeight="1" x14ac:dyDescent="0.25">
      <c r="A229" s="1372">
        <v>26.08</v>
      </c>
      <c r="B229" s="1884"/>
      <c r="C229" s="1829" t="s">
        <v>471</v>
      </c>
      <c r="D229" s="1408" t="s">
        <v>264</v>
      </c>
      <c r="E229" s="1462">
        <v>0</v>
      </c>
      <c r="F229" s="1885">
        <f>+SUM(N222:R228)</f>
        <v>224067752.32749999</v>
      </c>
      <c r="G229" s="1885"/>
      <c r="H229" s="1758">
        <f>F229+G229</f>
        <v>224067752.32749999</v>
      </c>
      <c r="I229" s="1759"/>
      <c r="J229" s="1786"/>
      <c r="K229" s="1758">
        <f>I229+J229</f>
        <v>0</v>
      </c>
      <c r="L229" s="1786"/>
      <c r="M229" s="1758">
        <f>H229+K229+L229</f>
        <v>224067752.32749999</v>
      </c>
      <c r="N229" s="1761">
        <f>F229*E229</f>
        <v>0</v>
      </c>
      <c r="O229" s="1761">
        <f>G229*E229</f>
        <v>0</v>
      </c>
      <c r="P229" s="1761">
        <f>I229*E229</f>
        <v>0</v>
      </c>
      <c r="Q229" s="1761">
        <f>J229*E229</f>
        <v>0</v>
      </c>
      <c r="R229" s="1761">
        <f>+L229*E229</f>
        <v>0</v>
      </c>
      <c r="S229" s="1762">
        <f>SUM(N229:R229)</f>
        <v>0</v>
      </c>
      <c r="T229" s="1803"/>
      <c r="U229" s="1391">
        <f>+ROUNDUP(M229*$T$4,0)</f>
        <v>224067753</v>
      </c>
      <c r="V229" s="1369">
        <f>+U229*E229</f>
        <v>0</v>
      </c>
      <c r="W229" s="1459"/>
      <c r="X229" s="1744"/>
      <c r="Y229" s="1886">
        <f>V229/W232</f>
        <v>0</v>
      </c>
      <c r="Z229" s="1766"/>
    </row>
    <row r="230" spans="1:29" ht="10.5" x14ac:dyDescent="0.25">
      <c r="A230" s="1360"/>
      <c r="B230" s="1361"/>
      <c r="C230" s="1411"/>
      <c r="D230" s="1741"/>
      <c r="E230" s="1742"/>
      <c r="F230" s="1742"/>
      <c r="G230" s="1742"/>
      <c r="H230" s="1742"/>
      <c r="I230" s="1742"/>
      <c r="J230" s="1742"/>
      <c r="K230" s="1742"/>
      <c r="L230" s="1742"/>
      <c r="M230" s="1743"/>
      <c r="N230" s="1456">
        <f>+SUM(N221:N229)</f>
        <v>224067752.32749999</v>
      </c>
      <c r="O230" s="1456">
        <f t="shared" ref="O230:T230" si="275">+SUM(O221:O229)</f>
        <v>0</v>
      </c>
      <c r="P230" s="1456">
        <f t="shared" si="275"/>
        <v>0</v>
      </c>
      <c r="Q230" s="1456">
        <f t="shared" si="275"/>
        <v>0</v>
      </c>
      <c r="R230" s="1456">
        <f t="shared" si="275"/>
        <v>0</v>
      </c>
      <c r="S230" s="1456">
        <f t="shared" si="275"/>
        <v>224067752.32749999</v>
      </c>
      <c r="T230" s="1456">
        <f t="shared" si="275"/>
        <v>224067752.32749999</v>
      </c>
      <c r="U230" s="1742"/>
      <c r="V230" s="1456">
        <f>+SUM(V221:V229)</f>
        <v>224072082</v>
      </c>
      <c r="W230" s="1355">
        <f>+SUM(W221:W229)</f>
        <v>224072082</v>
      </c>
    </row>
    <row r="231" spans="1:29" ht="10.5" x14ac:dyDescent="0.25">
      <c r="A231" s="1463"/>
      <c r="B231" s="1463"/>
      <c r="C231" s="1887"/>
      <c r="D231" s="1721"/>
      <c r="E231" s="1722"/>
      <c r="F231" s="1722"/>
      <c r="G231" s="1722"/>
      <c r="H231" s="1722"/>
      <c r="I231" s="1722"/>
      <c r="J231" s="1722"/>
      <c r="K231" s="1722"/>
      <c r="L231" s="1722"/>
      <c r="M231" s="1888"/>
      <c r="N231" s="1465"/>
      <c r="O231" s="1465"/>
      <c r="P231" s="1465"/>
      <c r="Q231" s="1465"/>
      <c r="R231" s="1456"/>
      <c r="S231" s="1456"/>
      <c r="T231" s="1456"/>
      <c r="U231" s="1722"/>
      <c r="V231" s="1465"/>
      <c r="W231" s="1465"/>
    </row>
    <row r="232" spans="1:29" ht="10.5" x14ac:dyDescent="0.25">
      <c r="A232" s="1360"/>
      <c r="B232" s="1361"/>
      <c r="C232" s="1889"/>
      <c r="D232" s="1447"/>
      <c r="E232" s="1464"/>
      <c r="F232" s="1819"/>
      <c r="G232" s="1819"/>
      <c r="H232" s="1819"/>
      <c r="I232" s="1865"/>
      <c r="J232" s="1865"/>
      <c r="K232" s="1819"/>
      <c r="L232" s="1866"/>
      <c r="M232" s="1819"/>
      <c r="N232" s="1819"/>
      <c r="O232" s="1819"/>
      <c r="P232" s="1819"/>
      <c r="Q232" s="1819"/>
      <c r="R232" s="1449" t="s">
        <v>119</v>
      </c>
      <c r="S232" s="1867">
        <f>+T232/E219</f>
        <v>118.32616584813942</v>
      </c>
      <c r="T232" s="1868">
        <v>191510.89942521366</v>
      </c>
      <c r="U232" s="1457"/>
      <c r="V232" s="1458"/>
      <c r="W232" s="1451">
        <f>+W216+W230</f>
        <v>1351474840.0195</v>
      </c>
      <c r="Y232" s="1355">
        <v>1380607239.4391999</v>
      </c>
      <c r="Z232" s="1890">
        <f>W232/Y232</f>
        <v>0.97889885074662264</v>
      </c>
    </row>
    <row r="233" spans="1:29" ht="10.5" x14ac:dyDescent="0.25">
      <c r="A233" s="1463"/>
      <c r="B233" s="1463"/>
      <c r="C233" s="1717"/>
      <c r="E233" s="1465"/>
      <c r="F233" s="1873"/>
      <c r="G233" s="1873"/>
      <c r="H233" s="1873"/>
      <c r="I233" s="1891"/>
      <c r="J233" s="1891"/>
      <c r="K233" s="1873"/>
      <c r="L233" s="1872"/>
      <c r="M233" s="1873"/>
      <c r="N233" s="1873"/>
      <c r="O233" s="1873"/>
      <c r="P233" s="1873"/>
      <c r="Q233" s="1873"/>
      <c r="R233" s="1453"/>
      <c r="S233" s="1874"/>
      <c r="T233" s="1875"/>
      <c r="U233" s="1453"/>
      <c r="V233" s="1466"/>
      <c r="W233" s="1467"/>
    </row>
    <row r="234" spans="1:29" ht="10.5" x14ac:dyDescent="0.25">
      <c r="A234" s="1360"/>
      <c r="B234" s="1361"/>
      <c r="C234" s="1889"/>
      <c r="D234" s="1447"/>
      <c r="E234" s="1464"/>
      <c r="F234" s="1819"/>
      <c r="G234" s="1819"/>
      <c r="H234" s="1819"/>
      <c r="I234" s="1865"/>
      <c r="J234" s="1865"/>
      <c r="K234" s="1819"/>
      <c r="L234" s="1866"/>
      <c r="M234" s="1819"/>
      <c r="N234" s="1819"/>
      <c r="O234" s="1819"/>
      <c r="P234" s="1819"/>
      <c r="Q234" s="1819"/>
      <c r="R234" s="1449" t="s">
        <v>119</v>
      </c>
      <c r="S234" s="1867">
        <f>+T234/E219</f>
        <v>592.03844465179588</v>
      </c>
      <c r="T234" s="1868">
        <f>+T232+T219</f>
        <v>958214.22266893159</v>
      </c>
      <c r="U234" s="1449" t="s">
        <v>119</v>
      </c>
      <c r="V234" s="1450">
        <f>+W234/E219</f>
        <v>713.6896514497173</v>
      </c>
      <c r="W234" s="1451">
        <f>W232/W2</f>
        <v>1155106.7008713675</v>
      </c>
    </row>
    <row r="235" spans="1:29" ht="12.75" customHeight="1" x14ac:dyDescent="0.25">
      <c r="A235" s="1468"/>
      <c r="B235" s="1468"/>
      <c r="C235" s="1892"/>
      <c r="E235" s="1469"/>
      <c r="F235" s="1722"/>
      <c r="G235" s="1722"/>
      <c r="H235" s="1722"/>
      <c r="I235" s="1722"/>
      <c r="J235" s="1722"/>
      <c r="K235" s="1722"/>
      <c r="L235" s="1723"/>
      <c r="M235" s="1722"/>
      <c r="N235" s="1722"/>
      <c r="O235" s="1722"/>
      <c r="P235" s="1722"/>
      <c r="Q235" s="1722"/>
      <c r="R235" s="1722"/>
      <c r="S235" s="1722"/>
      <c r="T235" s="1465"/>
      <c r="U235" s="1722"/>
      <c r="V235" s="1722"/>
    </row>
    <row r="236" spans="1:29" ht="12.75" customHeight="1" x14ac:dyDescent="0.25">
      <c r="A236" s="1470"/>
      <c r="B236" s="1470"/>
      <c r="C236" s="1893" t="s">
        <v>472</v>
      </c>
    </row>
    <row r="237" spans="1:29" ht="12.75" customHeight="1" x14ac:dyDescent="0.25">
      <c r="A237" s="1470"/>
      <c r="B237" s="1470"/>
      <c r="C237" s="1894" t="s">
        <v>473</v>
      </c>
    </row>
    <row r="238" spans="1:29" ht="12.75" customHeight="1" x14ac:dyDescent="0.25">
      <c r="A238" s="1470"/>
      <c r="B238" s="1470"/>
      <c r="C238" s="1893"/>
    </row>
    <row r="239" spans="1:29" ht="12.75" customHeight="1" x14ac:dyDescent="0.25">
      <c r="G239" s="1717"/>
    </row>
    <row r="240" spans="1:29" ht="12.75" customHeight="1" x14ac:dyDescent="0.25">
      <c r="G240" s="1717"/>
    </row>
    <row r="242" spans="1:23" ht="12.75" customHeight="1" x14ac:dyDescent="0.25">
      <c r="A242" s="1360">
        <v>27</v>
      </c>
      <c r="B242" s="1361"/>
      <c r="C242" s="1876" t="s">
        <v>474</v>
      </c>
      <c r="D242" s="1447"/>
      <c r="E242" s="1456"/>
      <c r="F242" s="1877"/>
      <c r="G242" s="1877"/>
      <c r="H242" s="1877"/>
      <c r="I242" s="1878"/>
      <c r="J242" s="1878"/>
      <c r="K242" s="1877"/>
      <c r="L242" s="1866"/>
      <c r="M242" s="1877"/>
      <c r="N242" s="1877"/>
      <c r="O242" s="1877"/>
      <c r="P242" s="1877"/>
      <c r="Q242" s="1877"/>
      <c r="R242" s="1457"/>
      <c r="S242" s="1879"/>
      <c r="T242" s="1880">
        <f>+SUM(S243:S245)</f>
        <v>10301340.803831734</v>
      </c>
      <c r="U242" s="1457"/>
      <c r="V242" s="1458"/>
      <c r="W242" s="1355">
        <f>SUM(V243:V245)</f>
        <v>12189082</v>
      </c>
    </row>
    <row r="243" spans="1:23" ht="12.75" customHeight="1" x14ac:dyDescent="0.25">
      <c r="A243" s="1386">
        <v>27.01</v>
      </c>
      <c r="B243" s="1881"/>
      <c r="C243" s="1435" t="s">
        <v>475</v>
      </c>
      <c r="D243" s="1364" t="s">
        <v>111</v>
      </c>
      <c r="E243" s="1363">
        <v>18</v>
      </c>
      <c r="F243" s="1882">
        <v>15000</v>
      </c>
      <c r="G243" s="1882"/>
      <c r="H243" s="1746">
        <f>F243+G243</f>
        <v>15000</v>
      </c>
      <c r="I243" s="1799">
        <v>75113.048226571977</v>
      </c>
      <c r="J243" s="1773"/>
      <c r="K243" s="1746">
        <f t="shared" ref="K243:K245" si="276">I243+J243</f>
        <v>75113.048226571977</v>
      </c>
      <c r="L243" s="1773"/>
      <c r="M243" s="1746">
        <f>H243+K243+L243</f>
        <v>90113.048226571977</v>
      </c>
      <c r="N243" s="1747">
        <f t="shared" ref="N243:N245" si="277">F243*E243</f>
        <v>270000</v>
      </c>
      <c r="O243" s="1747">
        <f t="shared" ref="O243:O245" si="278">G243*E243</f>
        <v>0</v>
      </c>
      <c r="P243" s="1747">
        <f t="shared" ref="P243:P245" si="279">I243*E243</f>
        <v>1352034.8680782956</v>
      </c>
      <c r="Q243" s="1747">
        <f t="shared" ref="Q243:Q245" si="280">J243*E243</f>
        <v>0</v>
      </c>
      <c r="R243" s="1747">
        <f t="shared" ref="R243:R245" si="281">+L243*E243</f>
        <v>0</v>
      </c>
      <c r="S243" s="1748">
        <f t="shared" ref="S243:S244" si="282">SUM(N243:R243)</f>
        <v>1622034.8680782956</v>
      </c>
      <c r="T243" s="1358"/>
      <c r="U243" s="1391">
        <f>+ROUNDUP(M243*$T$5,0)</f>
        <v>113262</v>
      </c>
      <c r="V243" s="1365">
        <f>+U243*E243</f>
        <v>2038716</v>
      </c>
      <c r="W243" s="1459"/>
    </row>
    <row r="244" spans="1:23" ht="12.75" customHeight="1" x14ac:dyDescent="0.25">
      <c r="A244" s="1370">
        <v>27.02</v>
      </c>
      <c r="B244" s="1883"/>
      <c r="C244" s="1460" t="s">
        <v>476</v>
      </c>
      <c r="D244" s="1367" t="s">
        <v>107</v>
      </c>
      <c r="E244" s="1368">
        <v>1</v>
      </c>
      <c r="F244" s="1796">
        <v>4362662.0991735533</v>
      </c>
      <c r="G244" s="1796"/>
      <c r="H244" s="1750">
        <f>F244+G244</f>
        <v>4362662.0991735533</v>
      </c>
      <c r="I244" s="1420">
        <v>1363919.7599280113</v>
      </c>
      <c r="J244" s="1778"/>
      <c r="K244" s="1750">
        <f t="shared" si="276"/>
        <v>1363919.7599280113</v>
      </c>
      <c r="L244" s="1778"/>
      <c r="M244" s="1750">
        <f>H244+K244+L244</f>
        <v>5726581.8591015646</v>
      </c>
      <c r="N244" s="1751">
        <f t="shared" si="277"/>
        <v>4362662.0991735533</v>
      </c>
      <c r="O244" s="1751">
        <f t="shared" si="278"/>
        <v>0</v>
      </c>
      <c r="P244" s="1751">
        <f t="shared" si="279"/>
        <v>1363919.7599280113</v>
      </c>
      <c r="Q244" s="1751">
        <f t="shared" si="280"/>
        <v>0</v>
      </c>
      <c r="R244" s="1751">
        <f t="shared" si="281"/>
        <v>0</v>
      </c>
      <c r="S244" s="1752">
        <f t="shared" si="282"/>
        <v>5726581.8591015646</v>
      </c>
      <c r="T244" s="1753"/>
      <c r="U244" s="1391">
        <f>+ROUNDUP(M244*$T$5,0)</f>
        <v>7197641</v>
      </c>
      <c r="V244" s="1369">
        <f>+U244*E244</f>
        <v>7197641</v>
      </c>
      <c r="W244" s="1459"/>
    </row>
    <row r="245" spans="1:23" ht="12.75" customHeight="1" x14ac:dyDescent="0.25">
      <c r="A245" s="1370">
        <v>27.03</v>
      </c>
      <c r="B245" s="1883"/>
      <c r="C245" s="1426" t="s">
        <v>1006</v>
      </c>
      <c r="D245" s="1404" t="s">
        <v>107</v>
      </c>
      <c r="E245" s="1368">
        <v>1</v>
      </c>
      <c r="F245" s="1796">
        <v>2952724.076651874</v>
      </c>
      <c r="G245" s="1796"/>
      <c r="H245" s="1750">
        <f>F245+G245</f>
        <v>2952724.076651874</v>
      </c>
      <c r="I245" s="1420"/>
      <c r="J245" s="1778"/>
      <c r="K245" s="1750">
        <f t="shared" si="276"/>
        <v>0</v>
      </c>
      <c r="L245" s="1778"/>
      <c r="M245" s="1750">
        <f>H245+K245+L245</f>
        <v>2952724.076651874</v>
      </c>
      <c r="N245" s="1751">
        <f t="shared" si="277"/>
        <v>2952724.076651874</v>
      </c>
      <c r="O245" s="1751">
        <f t="shared" si="278"/>
        <v>0</v>
      </c>
      <c r="P245" s="1751">
        <f t="shared" si="279"/>
        <v>0</v>
      </c>
      <c r="Q245" s="1751">
        <f t="shared" si="280"/>
        <v>0</v>
      </c>
      <c r="R245" s="1751">
        <f t="shared" si="281"/>
        <v>0</v>
      </c>
      <c r="S245" s="1752">
        <f t="shared" ref="S245" si="283">SUM(N245:R245)</f>
        <v>2952724.076651874</v>
      </c>
      <c r="T245" s="1753"/>
      <c r="U245" s="1391">
        <f>+ROUNDUP(M245*$T$4,0)</f>
        <v>2952725</v>
      </c>
      <c r="V245" s="1369">
        <f>+U245*E245</f>
        <v>2952725</v>
      </c>
      <c r="W245" s="1459"/>
    </row>
    <row r="246" spans="1:23" ht="12.75" customHeight="1" x14ac:dyDescent="0.25">
      <c r="A246" s="1360">
        <v>28</v>
      </c>
      <c r="B246" s="1361"/>
      <c r="C246" s="1876" t="s">
        <v>478</v>
      </c>
      <c r="D246" s="1447"/>
      <c r="E246" s="1456"/>
      <c r="F246" s="1877"/>
      <c r="G246" s="1877"/>
      <c r="H246" s="1877"/>
      <c r="I246" s="1878"/>
      <c r="J246" s="1878"/>
      <c r="K246" s="1877"/>
      <c r="L246" s="1866"/>
      <c r="M246" s="1877"/>
      <c r="N246" s="1877"/>
      <c r="O246" s="1877"/>
      <c r="P246" s="1877"/>
      <c r="Q246" s="1877"/>
      <c r="R246" s="1457"/>
      <c r="S246" s="1879"/>
      <c r="T246" s="1880">
        <f>+SUM(S247:S249)</f>
        <v>31485744.797535218</v>
      </c>
      <c r="U246" s="1457"/>
      <c r="V246" s="1458"/>
      <c r="W246" s="1355">
        <f>SUM(V247:V249)</f>
        <v>39573892</v>
      </c>
    </row>
    <row r="247" spans="1:23" ht="12.75" customHeight="1" x14ac:dyDescent="0.25">
      <c r="A247" s="1386">
        <v>28.01</v>
      </c>
      <c r="B247" s="1881"/>
      <c r="C247" s="1828" t="s">
        <v>479</v>
      </c>
      <c r="D247" s="1403" t="s">
        <v>107</v>
      </c>
      <c r="E247" s="1363">
        <v>1</v>
      </c>
      <c r="F247" s="1895">
        <v>8108346.1238842979</v>
      </c>
      <c r="G247" s="1882"/>
      <c r="H247" s="1746">
        <f>F247+G247</f>
        <v>8108346.1238842979</v>
      </c>
      <c r="I247" s="1799">
        <v>16174656.500288332</v>
      </c>
      <c r="J247" s="1773"/>
      <c r="K247" s="1746">
        <f t="shared" ref="K247:K249" si="284">I247+J247</f>
        <v>16174656.500288332</v>
      </c>
      <c r="L247" s="1749">
        <f>(H247+K247)*0.015</f>
        <v>364245.03936258942</v>
      </c>
      <c r="M247" s="1746">
        <f>H247+K247+L247</f>
        <v>24647247.663535219</v>
      </c>
      <c r="N247" s="1747">
        <f t="shared" ref="N247:N249" si="285">F247*E247</f>
        <v>8108346.1238842979</v>
      </c>
      <c r="O247" s="1747">
        <f t="shared" ref="O247:O249" si="286">G247*E247</f>
        <v>0</v>
      </c>
      <c r="P247" s="1747">
        <f t="shared" ref="P247:P249" si="287">I247*E247</f>
        <v>16174656.500288332</v>
      </c>
      <c r="Q247" s="1747">
        <f t="shared" ref="Q247:Q249" si="288">J247*E247</f>
        <v>0</v>
      </c>
      <c r="R247" s="1747">
        <f t="shared" ref="R247:R249" si="289">+L247*E247</f>
        <v>364245.03936258942</v>
      </c>
      <c r="S247" s="1748">
        <f t="shared" ref="S247" si="290">SUM(N247:R247)</f>
        <v>24647247.663535219</v>
      </c>
      <c r="T247" s="1753"/>
      <c r="U247" s="1391">
        <f>+ROUNDUP(M247*$T$5,0)</f>
        <v>30978696</v>
      </c>
      <c r="V247" s="1369">
        <f>+U247*E247</f>
        <v>30978696</v>
      </c>
      <c r="W247" s="1459"/>
    </row>
    <row r="248" spans="1:23" ht="12.75" customHeight="1" x14ac:dyDescent="0.25">
      <c r="A248" s="1370">
        <v>28.02</v>
      </c>
      <c r="B248" s="1883"/>
      <c r="C248" s="1426" t="s">
        <v>480</v>
      </c>
      <c r="D248" s="1404" t="s">
        <v>107</v>
      </c>
      <c r="E248" s="1368">
        <v>1</v>
      </c>
      <c r="F248" s="1768">
        <v>5535035.5999999996</v>
      </c>
      <c r="G248" s="1796"/>
      <c r="H248" s="1750">
        <f>F248+G248</f>
        <v>5535035.5999999996</v>
      </c>
      <c r="I248" s="1420"/>
      <c r="J248" s="1778"/>
      <c r="K248" s="1750">
        <f t="shared" si="284"/>
        <v>0</v>
      </c>
      <c r="L248" s="1749">
        <f>(H248+K248)*0.015</f>
        <v>83025.533999999985</v>
      </c>
      <c r="M248" s="1750">
        <f>H248+K248+L248</f>
        <v>5618061.1339999996</v>
      </c>
      <c r="N248" s="1751">
        <f t="shared" si="285"/>
        <v>5535035.5999999996</v>
      </c>
      <c r="O248" s="1751">
        <f t="shared" si="286"/>
        <v>0</v>
      </c>
      <c r="P248" s="1751">
        <f t="shared" si="287"/>
        <v>0</v>
      </c>
      <c r="Q248" s="1751">
        <f t="shared" si="288"/>
        <v>0</v>
      </c>
      <c r="R248" s="1751">
        <f t="shared" si="289"/>
        <v>83025.533999999985</v>
      </c>
      <c r="S248" s="1752">
        <f t="shared" ref="S248" si="291">SUM(N248:R248)</f>
        <v>5618061.1339999996</v>
      </c>
      <c r="T248" s="1753"/>
      <c r="U248" s="1391">
        <f>+ROUNDUP(M248*$T$5,0)</f>
        <v>7061244</v>
      </c>
      <c r="V248" s="1369">
        <f>+U248*E248</f>
        <v>7061244</v>
      </c>
      <c r="W248" s="1459"/>
    </row>
    <row r="249" spans="1:23" ht="12.75" customHeight="1" x14ac:dyDescent="0.25">
      <c r="A249" s="1372">
        <v>28.03</v>
      </c>
      <c r="B249" s="1884"/>
      <c r="C249" s="1829" t="s">
        <v>481</v>
      </c>
      <c r="D249" s="1408" t="s">
        <v>111</v>
      </c>
      <c r="E249" s="1374">
        <v>16</v>
      </c>
      <c r="F249" s="1896">
        <v>75150</v>
      </c>
      <c r="G249" s="1885"/>
      <c r="H249" s="1758">
        <f>F249+G249</f>
        <v>75150</v>
      </c>
      <c r="I249" s="1759"/>
      <c r="J249" s="1786"/>
      <c r="K249" s="1758">
        <f t="shared" si="284"/>
        <v>0</v>
      </c>
      <c r="L249" s="1749">
        <f>(H249+K249)*0.015</f>
        <v>1127.25</v>
      </c>
      <c r="M249" s="1758">
        <f>H249+K249+L249</f>
        <v>76277.25</v>
      </c>
      <c r="N249" s="1761">
        <f t="shared" si="285"/>
        <v>1202400</v>
      </c>
      <c r="O249" s="1761">
        <f t="shared" si="286"/>
        <v>0</v>
      </c>
      <c r="P249" s="1761">
        <f t="shared" si="287"/>
        <v>0</v>
      </c>
      <c r="Q249" s="1761">
        <f t="shared" si="288"/>
        <v>0</v>
      </c>
      <c r="R249" s="1761">
        <f t="shared" si="289"/>
        <v>18036</v>
      </c>
      <c r="S249" s="1762">
        <f t="shared" ref="S249" si="292">SUM(N249:R249)</f>
        <v>1220436</v>
      </c>
      <c r="T249" s="1753"/>
      <c r="U249" s="1391">
        <f>+ROUNDUP(M249*$T$5,0)</f>
        <v>95872</v>
      </c>
      <c r="V249" s="1369">
        <f>+U249*E249</f>
        <v>1533952</v>
      </c>
      <c r="W249" s="1459"/>
    </row>
    <row r="250" spans="1:23" ht="12.75" customHeight="1" x14ac:dyDescent="0.25">
      <c r="A250" s="1360"/>
      <c r="B250" s="1361"/>
      <c r="C250" s="1411"/>
      <c r="D250" s="1741"/>
      <c r="E250" s="1742"/>
      <c r="F250" s="1742"/>
      <c r="G250" s="1742"/>
      <c r="H250" s="1742"/>
      <c r="I250" s="1742"/>
      <c r="J250" s="1742"/>
      <c r="K250" s="1742"/>
      <c r="L250" s="1742"/>
      <c r="M250" s="1743"/>
      <c r="N250" s="1456">
        <f>+SUM(N242:N249)</f>
        <v>22431167.899709724</v>
      </c>
      <c r="O250" s="1456">
        <f t="shared" ref="O250:W250" si="293">+SUM(O242:O249)</f>
        <v>0</v>
      </c>
      <c r="P250" s="1456">
        <f t="shared" si="293"/>
        <v>18890611.128294639</v>
      </c>
      <c r="Q250" s="1456">
        <f t="shared" si="293"/>
        <v>0</v>
      </c>
      <c r="R250" s="1456">
        <f t="shared" si="293"/>
        <v>465306.57336258941</v>
      </c>
      <c r="S250" s="1456">
        <f t="shared" si="293"/>
        <v>41787085.601366952</v>
      </c>
      <c r="T250" s="1456">
        <f t="shared" si="293"/>
        <v>41787085.601366952</v>
      </c>
      <c r="U250" s="1456"/>
      <c r="V250" s="1456">
        <f t="shared" si="293"/>
        <v>51762974</v>
      </c>
      <c r="W250" s="1456">
        <f t="shared" si="293"/>
        <v>51762974</v>
      </c>
    </row>
    <row r="251" spans="1:23" ht="12.75" customHeight="1" x14ac:dyDescent="0.25">
      <c r="A251" s="1463"/>
      <c r="B251" s="1463"/>
      <c r="C251" s="1887"/>
      <c r="D251" s="1721"/>
      <c r="E251" s="1722"/>
      <c r="F251" s="1722"/>
      <c r="G251" s="1722"/>
      <c r="H251" s="1722"/>
      <c r="I251" s="1722"/>
      <c r="J251" s="1722"/>
      <c r="K251" s="1722"/>
      <c r="L251" s="1722"/>
      <c r="M251" s="1888"/>
      <c r="N251" s="1465"/>
      <c r="O251" s="1465"/>
      <c r="P251" s="1465"/>
      <c r="Q251" s="1465"/>
      <c r="R251" s="1456"/>
      <c r="S251" s="1456"/>
      <c r="T251" s="1456"/>
      <c r="U251" s="1722"/>
      <c r="V251" s="1465"/>
      <c r="W251" s="1465"/>
    </row>
    <row r="252" spans="1:23" ht="12.75" customHeight="1" x14ac:dyDescent="0.25">
      <c r="A252" s="1360"/>
      <c r="B252" s="1361"/>
      <c r="C252" s="1889"/>
      <c r="D252" s="1447"/>
      <c r="E252" s="1464"/>
      <c r="F252" s="1819"/>
      <c r="G252" s="1819"/>
      <c r="H252" s="1819"/>
      <c r="I252" s="1865"/>
      <c r="J252" s="1865"/>
      <c r="K252" s="1819"/>
      <c r="L252" s="1866"/>
      <c r="M252" s="1819"/>
      <c r="N252" s="1819"/>
      <c r="O252" s="1819"/>
      <c r="P252" s="1819"/>
      <c r="Q252" s="1819"/>
      <c r="R252" s="1449" t="s">
        <v>119</v>
      </c>
      <c r="S252" s="1867" t="e">
        <f>+T252/#REF!</f>
        <v>#DIV/0!</v>
      </c>
      <c r="T252" s="1868" t="e">
        <v>#DIV/0!</v>
      </c>
      <c r="U252" s="1457"/>
      <c r="V252" s="1458"/>
      <c r="W252" s="1451">
        <f>+W237+W250</f>
        <v>51762974</v>
      </c>
    </row>
    <row r="253" spans="1:23" ht="12.75" customHeight="1" x14ac:dyDescent="0.25">
      <c r="A253" s="1463"/>
      <c r="B253" s="1463"/>
      <c r="C253" s="1717"/>
      <c r="E253" s="1465"/>
      <c r="F253" s="1873"/>
      <c r="G253" s="1873"/>
      <c r="H253" s="1873"/>
      <c r="I253" s="1891"/>
      <c r="J253" s="1891"/>
      <c r="K253" s="1873"/>
      <c r="L253" s="1872"/>
      <c r="M253" s="1873"/>
      <c r="N253" s="1873"/>
      <c r="O253" s="1873"/>
      <c r="P253" s="1873"/>
      <c r="Q253" s="1873"/>
      <c r="R253" s="1453"/>
      <c r="S253" s="1874"/>
      <c r="T253" s="1875"/>
      <c r="U253" s="1453"/>
      <c r="V253" s="1466"/>
      <c r="W253" s="1467"/>
    </row>
    <row r="254" spans="1:23" ht="12.75" customHeight="1" x14ac:dyDescent="0.25">
      <c r="A254" s="1360"/>
      <c r="B254" s="1361"/>
      <c r="C254" s="1889"/>
      <c r="D254" s="1447"/>
      <c r="E254" s="1464"/>
      <c r="F254" s="1819"/>
      <c r="G254" s="1819"/>
      <c r="H254" s="1819"/>
      <c r="I254" s="1865"/>
      <c r="J254" s="1865"/>
      <c r="K254" s="1819"/>
      <c r="L254" s="1866"/>
      <c r="M254" s="1819"/>
      <c r="N254" s="1819"/>
      <c r="O254" s="1819"/>
      <c r="P254" s="1819"/>
      <c r="Q254" s="1819"/>
      <c r="R254" s="1449" t="s">
        <v>119</v>
      </c>
      <c r="S254" s="1867" t="e">
        <f>+T254/#REF!</f>
        <v>#DIV/0!</v>
      </c>
      <c r="T254" s="1868" t="e">
        <f>+T252+#REF!</f>
        <v>#DIV/0!</v>
      </c>
      <c r="U254" s="1449" t="s">
        <v>119</v>
      </c>
      <c r="V254" s="1450" t="e">
        <f>+W254/#REF!</f>
        <v>#REF!</v>
      </c>
      <c r="W254" s="1451">
        <f>W252/W23</f>
        <v>0.20453951019703448</v>
      </c>
    </row>
  </sheetData>
  <mergeCells count="4">
    <mergeCell ref="F5:H5"/>
    <mergeCell ref="I5:K5"/>
    <mergeCell ref="N5:O5"/>
    <mergeCell ref="P5:Q5"/>
  </mergeCells>
  <conditionalFormatting sqref="B1:B1048576">
    <cfRule type="cellIs" dxfId="86" priority="21" operator="equal">
      <formula>"C"</formula>
    </cfRule>
    <cfRule type="cellIs" dxfId="85" priority="22" operator="equal">
      <formula>"R"</formula>
    </cfRule>
    <cfRule type="cellIs" dxfId="84" priority="23" operator="equal">
      <formula>"IN"</formula>
    </cfRule>
    <cfRule type="cellIs" dxfId="83" priority="24" operator="equal">
      <formula>"OK"</formula>
    </cfRule>
    <cfRule type="cellIs" dxfId="82" priority="25" operator="equal">
      <formula>"SR"</formula>
    </cfRule>
  </conditionalFormatting>
  <conditionalFormatting sqref="D3:D11 D19:D28 D56:D67 D78:D84 D88:D92 D96:D102 D105 D163:D193 D195 D202:D213">
    <cfRule type="cellIs" dxfId="81" priority="5" operator="equal">
      <formula>"x"</formula>
    </cfRule>
  </conditionalFormatting>
  <conditionalFormatting sqref="D41">
    <cfRule type="cellIs" dxfId="80" priority="6" operator="equal">
      <formula>"x"</formula>
    </cfRule>
  </conditionalFormatting>
  <conditionalFormatting sqref="D50">
    <cfRule type="cellIs" dxfId="79" priority="7" operator="equal">
      <formula>"x"</formula>
    </cfRule>
  </conditionalFormatting>
  <conditionalFormatting sqref="D69:D70">
    <cfRule type="cellIs" dxfId="78" priority="8" operator="equal">
      <formula>"x"</formula>
    </cfRule>
  </conditionalFormatting>
  <conditionalFormatting sqref="D107">
    <cfRule type="cellIs" dxfId="77" priority="9" operator="equal">
      <formula>"x"</formula>
    </cfRule>
  </conditionalFormatting>
  <conditionalFormatting sqref="D115">
    <cfRule type="cellIs" dxfId="76" priority="10" operator="equal">
      <formula>"x"</formula>
    </cfRule>
  </conditionalFormatting>
  <conditionalFormatting sqref="D125">
    <cfRule type="cellIs" dxfId="75" priority="11" operator="equal">
      <formula>"x"</formula>
    </cfRule>
  </conditionalFormatting>
  <conditionalFormatting sqref="D127">
    <cfRule type="cellIs" dxfId="74" priority="12" operator="equal">
      <formula>"x"</formula>
    </cfRule>
  </conditionalFormatting>
  <conditionalFormatting sqref="D132">
    <cfRule type="cellIs" dxfId="73" priority="13" operator="equal">
      <formula>"x"</formula>
    </cfRule>
  </conditionalFormatting>
  <conditionalFormatting sqref="D198">
    <cfRule type="cellIs" dxfId="72" priority="15" operator="equal">
      <formula>"x"</formula>
    </cfRule>
  </conditionalFormatting>
  <conditionalFormatting sqref="D216:D217">
    <cfRule type="cellIs" dxfId="71" priority="14" operator="equal">
      <formula>"x"</formula>
    </cfRule>
  </conditionalFormatting>
  <conditionalFormatting sqref="D222:D223">
    <cfRule type="cellIs" dxfId="70" priority="3" operator="equal">
      <formula>"x"</formula>
    </cfRule>
  </conditionalFormatting>
  <conditionalFormatting sqref="D230:D231">
    <cfRule type="cellIs" dxfId="69" priority="4" operator="equal">
      <formula>"x"</formula>
    </cfRule>
  </conditionalFormatting>
  <conditionalFormatting sqref="D243:D244">
    <cfRule type="cellIs" dxfId="68" priority="1" operator="equal">
      <formula>"x"</formula>
    </cfRule>
  </conditionalFormatting>
  <conditionalFormatting sqref="D250:D251">
    <cfRule type="cellIs" dxfId="67" priority="2" operator="equal">
      <formula>"x"</formula>
    </cfRule>
  </conditionalFormatting>
  <conditionalFormatting sqref="F1:F4">
    <cfRule type="cellIs" dxfId="66" priority="17" operator="equal">
      <formula>"R"</formula>
    </cfRule>
    <cfRule type="cellIs" dxfId="65" priority="18" operator="equal">
      <formula>"IN"</formula>
    </cfRule>
    <cfRule type="cellIs" dxfId="64" priority="19" operator="equal">
      <formula>"OK"</formula>
    </cfRule>
    <cfRule type="cellIs" dxfId="63" priority="20" operator="equal">
      <formula>"SR"</formula>
    </cfRule>
  </conditionalFormatting>
  <conditionalFormatting sqref="F2:F4">
    <cfRule type="cellIs" dxfId="62" priority="16" operator="equal">
      <formula>"C"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0" max="22" man="1"/>
    <brk id="131" max="22" man="1"/>
  </row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D2C8-BA6C-428A-BD2A-463B066C13EC}">
  <sheetPr>
    <tabColor rgb="FFFF0000"/>
  </sheetPr>
  <dimension ref="A2:AT100"/>
  <sheetViews>
    <sheetView workbookViewId="0">
      <selection activeCell="B1" sqref="B1"/>
    </sheetView>
  </sheetViews>
  <sheetFormatPr defaultColWidth="10.7265625" defaultRowHeight="14.5" x14ac:dyDescent="0.35"/>
  <cols>
    <col min="1" max="1" width="5" style="790" customWidth="1"/>
    <col min="2" max="2" width="43.26953125" style="795" bestFit="1" customWidth="1"/>
    <col min="3" max="3" width="4.26953125" style="790" bestFit="1" customWidth="1"/>
    <col min="4" max="4" width="5.7265625" style="796" bestFit="1" customWidth="1"/>
    <col min="5" max="5" width="6.54296875" style="796" bestFit="1" customWidth="1"/>
    <col min="6" max="6" width="13.54296875" style="560" bestFit="1" customWidth="1"/>
    <col min="7" max="7" width="16.1796875" style="796" bestFit="1" customWidth="1"/>
    <col min="8" max="8" width="14.7265625" style="796" customWidth="1"/>
    <col min="9" max="9" width="13.453125" style="796" bestFit="1" customWidth="1"/>
    <col min="10" max="10" width="11.54296875" style="797" bestFit="1" customWidth="1"/>
    <col min="11" max="11" width="15.81640625" style="797" bestFit="1" customWidth="1"/>
    <col min="12" max="12" width="17.7265625" style="796" customWidth="1"/>
    <col min="13" max="13" width="27.1796875" style="790" bestFit="1" customWidth="1"/>
    <col min="14" max="14" width="6.81640625" style="790" bestFit="1" customWidth="1"/>
    <col min="15" max="15" width="9.1796875" style="790" bestFit="1" customWidth="1"/>
    <col min="16" max="16" width="17.26953125" style="790" bestFit="1" customWidth="1"/>
    <col min="17" max="17" width="14.453125" style="790" bestFit="1" customWidth="1"/>
    <col min="18" max="18" width="27.54296875" style="790" bestFit="1" customWidth="1"/>
    <col min="19" max="19" width="14.81640625" style="790" bestFit="1" customWidth="1"/>
    <col min="20" max="16384" width="10.7265625" style="790"/>
  </cols>
  <sheetData>
    <row r="2" spans="1:46" s="209" customFormat="1" ht="13" x14ac:dyDescent="0.3">
      <c r="A2" s="762"/>
      <c r="B2" s="763"/>
      <c r="C2" s="210"/>
      <c r="D2" s="764"/>
      <c r="E2" s="764"/>
      <c r="F2" s="471"/>
      <c r="G2" s="765"/>
      <c r="H2" s="766">
        <v>45590</v>
      </c>
      <c r="I2" s="767"/>
      <c r="J2" s="765"/>
      <c r="K2" s="765"/>
      <c r="M2" s="767"/>
      <c r="N2" s="768"/>
      <c r="O2" s="768">
        <v>22</v>
      </c>
      <c r="P2" s="768"/>
      <c r="Q2" s="765"/>
      <c r="R2" s="769"/>
      <c r="S2" s="770"/>
      <c r="T2" s="771"/>
      <c r="U2" s="772"/>
      <c r="V2" s="773"/>
      <c r="W2" s="773"/>
      <c r="X2" s="774"/>
      <c r="Y2" s="774"/>
      <c r="Z2" s="774"/>
      <c r="AA2" s="774"/>
      <c r="AB2" s="774"/>
      <c r="AC2" s="774"/>
      <c r="AD2" s="774"/>
      <c r="AE2" s="774"/>
      <c r="AF2" s="774"/>
      <c r="AG2" s="774"/>
      <c r="AH2" s="774"/>
      <c r="AI2" s="774"/>
      <c r="AJ2" s="774"/>
      <c r="AK2" s="774"/>
      <c r="AL2" s="774"/>
      <c r="AM2" s="774"/>
      <c r="AN2" s="774"/>
      <c r="AO2" s="774"/>
      <c r="AP2" s="774"/>
      <c r="AQ2" s="774"/>
      <c r="AR2" s="774"/>
      <c r="AS2" s="774"/>
      <c r="AT2" s="774"/>
    </row>
    <row r="3" spans="1:46" s="209" customFormat="1" ht="15" customHeight="1" x14ac:dyDescent="0.3">
      <c r="A3" s="762"/>
      <c r="B3" s="775"/>
      <c r="C3" s="210"/>
      <c r="D3" s="764"/>
      <c r="E3" s="764"/>
      <c r="F3" s="465" t="s">
        <v>491</v>
      </c>
      <c r="G3" s="776" t="s">
        <v>77</v>
      </c>
      <c r="H3" s="776" t="s">
        <v>78</v>
      </c>
      <c r="I3" s="768"/>
      <c r="J3" s="768"/>
      <c r="K3" s="768"/>
      <c r="M3" s="776" t="s">
        <v>492</v>
      </c>
      <c r="N3" s="777" t="s">
        <v>493</v>
      </c>
      <c r="O3" s="777" t="s">
        <v>494</v>
      </c>
      <c r="Q3" s="765"/>
      <c r="R3" s="767"/>
      <c r="S3" s="778"/>
      <c r="T3" s="779"/>
      <c r="U3" s="780"/>
      <c r="V3" s="781"/>
      <c r="W3" s="782"/>
      <c r="X3" s="783"/>
      <c r="Y3" s="783"/>
      <c r="Z3" s="783"/>
      <c r="AA3" s="783"/>
      <c r="AB3" s="783"/>
      <c r="AC3" s="783"/>
      <c r="AD3" s="783"/>
      <c r="AE3" s="783"/>
      <c r="AF3" s="783"/>
      <c r="AG3" s="783"/>
      <c r="AH3" s="783"/>
      <c r="AI3" s="783"/>
      <c r="AJ3" s="783"/>
      <c r="AK3" s="783"/>
      <c r="AL3" s="783"/>
      <c r="AM3" s="783"/>
      <c r="AN3" s="783"/>
      <c r="AO3" s="783"/>
      <c r="AP3" s="783"/>
      <c r="AQ3" s="783"/>
      <c r="AR3" s="783"/>
      <c r="AS3" s="783"/>
      <c r="AT3" s="783"/>
    </row>
    <row r="4" spans="1:46" s="209" customFormat="1" ht="15" customHeight="1" x14ac:dyDescent="0.35">
      <c r="A4" s="762"/>
      <c r="B4" s="775" t="s">
        <v>495</v>
      </c>
      <c r="C4" s="210"/>
      <c r="D4" s="764"/>
      <c r="E4" s="764"/>
      <c r="F4" s="784">
        <v>14</v>
      </c>
      <c r="G4" s="785">
        <v>1005</v>
      </c>
      <c r="H4" s="785">
        <v>1170</v>
      </c>
      <c r="I4" s="786"/>
      <c r="J4" s="786"/>
      <c r="K4" s="787"/>
      <c r="M4" s="788" t="s">
        <v>496</v>
      </c>
      <c r="N4" s="789">
        <v>0.75</v>
      </c>
      <c r="O4" s="789">
        <f t="shared" ref="O4:O17" si="0">+N4*$O$2</f>
        <v>16.5</v>
      </c>
      <c r="P4" s="790"/>
      <c r="Q4" s="787" t="s">
        <v>497</v>
      </c>
      <c r="R4" s="787"/>
      <c r="S4" s="791"/>
      <c r="T4" s="779"/>
      <c r="U4" s="780"/>
      <c r="V4" s="781"/>
      <c r="W4" s="782"/>
      <c r="X4" s="792"/>
      <c r="Y4" s="792"/>
      <c r="Z4" s="792"/>
      <c r="AA4" s="792"/>
      <c r="AB4" s="792"/>
      <c r="AC4" s="793"/>
      <c r="AD4" s="794"/>
      <c r="AE4" s="793"/>
      <c r="AF4" s="794"/>
      <c r="AG4" s="793"/>
      <c r="AH4" s="794"/>
      <c r="AI4" s="792"/>
      <c r="AJ4" s="793"/>
      <c r="AK4" s="794"/>
      <c r="AL4" s="793"/>
      <c r="AM4" s="794"/>
      <c r="AN4" s="793"/>
      <c r="AO4" s="794"/>
      <c r="AP4" s="793"/>
      <c r="AQ4" s="794"/>
      <c r="AR4" s="792"/>
      <c r="AS4" s="792"/>
      <c r="AT4" s="792"/>
    </row>
    <row r="5" spans="1:46" x14ac:dyDescent="0.35">
      <c r="M5" s="798" t="s">
        <v>498</v>
      </c>
      <c r="N5" s="799">
        <v>2.5</v>
      </c>
      <c r="O5" s="799">
        <f t="shared" si="0"/>
        <v>55</v>
      </c>
      <c r="P5" s="796"/>
      <c r="Q5" s="800">
        <f>+ROUNDUP(SUM(N4:N5),0)</f>
        <v>4</v>
      </c>
    </row>
    <row r="6" spans="1:46" s="796" customFormat="1" x14ac:dyDescent="0.35">
      <c r="B6" s="801" t="s">
        <v>499</v>
      </c>
      <c r="C6" s="802" t="s">
        <v>91</v>
      </c>
      <c r="D6" s="803" t="s">
        <v>92</v>
      </c>
      <c r="E6" s="803"/>
      <c r="F6" s="804" t="s">
        <v>500</v>
      </c>
      <c r="G6" s="803" t="s">
        <v>98</v>
      </c>
      <c r="H6" s="805">
        <f>SUM(G7:G10)</f>
        <v>0</v>
      </c>
      <c r="I6" s="806"/>
      <c r="J6" s="806"/>
      <c r="K6" s="686"/>
      <c r="M6" s="798" t="s">
        <v>501</v>
      </c>
      <c r="N6" s="799">
        <v>0</v>
      </c>
      <c r="O6" s="799">
        <f t="shared" si="0"/>
        <v>0</v>
      </c>
    </row>
    <row r="7" spans="1:46" s="796" customFormat="1" x14ac:dyDescent="0.35">
      <c r="B7" s="807" t="s">
        <v>179</v>
      </c>
      <c r="C7" s="808" t="s">
        <v>101</v>
      </c>
      <c r="D7" s="809">
        <f>+$F$4</f>
        <v>14</v>
      </c>
      <c r="E7" s="809">
        <v>0</v>
      </c>
      <c r="F7" s="595">
        <f>E7*I7+J7</f>
        <v>0</v>
      </c>
      <c r="G7" s="680">
        <f>+F7*D7*E7</f>
        <v>0</v>
      </c>
      <c r="H7" s="806"/>
      <c r="I7" s="810"/>
      <c r="J7" s="806"/>
      <c r="K7" s="686"/>
      <c r="M7" s="811" t="s">
        <v>502</v>
      </c>
      <c r="N7" s="799">
        <v>1</v>
      </c>
      <c r="O7" s="799">
        <f t="shared" si="0"/>
        <v>22</v>
      </c>
    </row>
    <row r="8" spans="1:46" s="796" customFormat="1" x14ac:dyDescent="0.35">
      <c r="B8" s="812" t="s">
        <v>180</v>
      </c>
      <c r="C8" s="813" t="s">
        <v>101</v>
      </c>
      <c r="D8" s="809">
        <f t="shared" ref="D8" si="1">+$F$4</f>
        <v>14</v>
      </c>
      <c r="E8" s="814">
        <v>0</v>
      </c>
      <c r="F8" s="595">
        <f>E8*I8+J8</f>
        <v>0</v>
      </c>
      <c r="G8" s="680">
        <f t="shared" ref="G8:G18" si="2">+F8*D8*E8</f>
        <v>0</v>
      </c>
      <c r="H8" s="806"/>
      <c r="I8" s="810"/>
      <c r="J8" s="806"/>
      <c r="M8" s="811" t="s">
        <v>503</v>
      </c>
      <c r="N8" s="799">
        <v>1</v>
      </c>
      <c r="O8" s="799">
        <f t="shared" si="0"/>
        <v>22</v>
      </c>
    </row>
    <row r="9" spans="1:46" s="796" customFormat="1" x14ac:dyDescent="0.35">
      <c r="B9" s="812" t="s">
        <v>181</v>
      </c>
      <c r="C9" s="813" t="s">
        <v>101</v>
      </c>
      <c r="D9" s="809">
        <f>+$F$4</f>
        <v>14</v>
      </c>
      <c r="E9" s="814">
        <v>1</v>
      </c>
      <c r="F9" s="595">
        <f>E9*I9+J9</f>
        <v>0</v>
      </c>
      <c r="G9" s="680">
        <f t="shared" si="2"/>
        <v>0</v>
      </c>
      <c r="H9" s="806"/>
      <c r="I9" s="806"/>
      <c r="J9" s="806"/>
      <c r="M9" s="811" t="s">
        <v>504</v>
      </c>
      <c r="N9" s="799">
        <v>0.75</v>
      </c>
      <c r="O9" s="799">
        <f t="shared" si="0"/>
        <v>16.5</v>
      </c>
    </row>
    <row r="10" spans="1:46" s="796" customFormat="1" x14ac:dyDescent="0.35">
      <c r="B10" s="812" t="s">
        <v>182</v>
      </c>
      <c r="C10" s="813" t="s">
        <v>101</v>
      </c>
      <c r="D10" s="809">
        <f>+$F$4</f>
        <v>14</v>
      </c>
      <c r="E10" s="814">
        <v>2</v>
      </c>
      <c r="F10" s="595">
        <f>E10*I10+J10</f>
        <v>0</v>
      </c>
      <c r="G10" s="680">
        <f t="shared" si="2"/>
        <v>0</v>
      </c>
      <c r="H10" s="806"/>
      <c r="I10" s="806"/>
      <c r="J10" s="806"/>
      <c r="M10" s="811" t="s">
        <v>505</v>
      </c>
      <c r="N10" s="799">
        <v>0.75</v>
      </c>
      <c r="O10" s="799">
        <f t="shared" si="0"/>
        <v>16.5</v>
      </c>
      <c r="P10" s="796" t="s">
        <v>506</v>
      </c>
    </row>
    <row r="11" spans="1:46" s="796" customFormat="1" x14ac:dyDescent="0.35">
      <c r="B11" s="815" t="s">
        <v>499</v>
      </c>
      <c r="C11" s="816"/>
      <c r="D11" s="817"/>
      <c r="E11" s="817"/>
      <c r="F11" s="635"/>
      <c r="G11" s="818"/>
      <c r="H11" s="819">
        <f>SUM(G12:G18)</f>
        <v>16192179.259200001</v>
      </c>
      <c r="I11" s="806"/>
      <c r="J11" s="806"/>
      <c r="K11" s="686"/>
      <c r="M11" s="811" t="s">
        <v>507</v>
      </c>
      <c r="N11" s="799">
        <v>0.75</v>
      </c>
      <c r="O11" s="799">
        <f t="shared" si="0"/>
        <v>16.5</v>
      </c>
      <c r="Q11" s="796" t="s">
        <v>508</v>
      </c>
      <c r="R11" s="796" t="s">
        <v>509</v>
      </c>
    </row>
    <row r="12" spans="1:46" s="796" customFormat="1" x14ac:dyDescent="0.35">
      <c r="B12" s="820" t="s">
        <v>183</v>
      </c>
      <c r="C12" s="821" t="s">
        <v>101</v>
      </c>
      <c r="D12" s="822">
        <v>4</v>
      </c>
      <c r="E12" s="822">
        <v>1</v>
      </c>
      <c r="F12" s="671"/>
      <c r="G12" s="595">
        <f t="shared" ref="G12:G13" si="3">+F12*D12*E12</f>
        <v>0</v>
      </c>
      <c r="H12" s="806"/>
      <c r="J12" s="823">
        <v>2578960.5819999999</v>
      </c>
      <c r="K12" s="809">
        <f>+J12*D12*E12</f>
        <v>10315842.328</v>
      </c>
      <c r="M12" s="811" t="s">
        <v>510</v>
      </c>
      <c r="N12" s="799">
        <v>0.5</v>
      </c>
      <c r="O12" s="799">
        <f t="shared" si="0"/>
        <v>11</v>
      </c>
      <c r="Q12" s="796">
        <f>+SUM(N4:N12)</f>
        <v>8</v>
      </c>
      <c r="R12" s="796">
        <f>+Q12/2</f>
        <v>4</v>
      </c>
    </row>
    <row r="13" spans="1:46" s="796" customFormat="1" x14ac:dyDescent="0.35">
      <c r="B13" s="812" t="s">
        <v>511</v>
      </c>
      <c r="C13" s="813" t="s">
        <v>101</v>
      </c>
      <c r="D13" s="814">
        <f t="shared" ref="D13:D18" si="4">+$F$4</f>
        <v>14</v>
      </c>
      <c r="E13" s="814">
        <v>1</v>
      </c>
      <c r="F13" s="595"/>
      <c r="G13" s="595">
        <f t="shared" si="3"/>
        <v>0</v>
      </c>
      <c r="H13" s="806"/>
      <c r="J13" s="824">
        <v>150000</v>
      </c>
      <c r="K13" s="595">
        <f>+J13*D13*E13</f>
        <v>2100000</v>
      </c>
      <c r="M13" s="798" t="s">
        <v>512</v>
      </c>
      <c r="N13" s="799">
        <v>2</v>
      </c>
      <c r="O13" s="799">
        <f t="shared" si="0"/>
        <v>44</v>
      </c>
    </row>
    <row r="14" spans="1:46" s="796" customFormat="1" x14ac:dyDescent="0.35">
      <c r="B14" s="812" t="s">
        <v>184</v>
      </c>
      <c r="C14" s="813" t="s">
        <v>101</v>
      </c>
      <c r="D14" s="814">
        <f>+F4</f>
        <v>14</v>
      </c>
      <c r="E14" s="814">
        <v>0.5</v>
      </c>
      <c r="F14" s="595">
        <v>200000</v>
      </c>
      <c r="G14" s="595">
        <f t="shared" si="2"/>
        <v>1400000</v>
      </c>
      <c r="H14" s="806"/>
      <c r="I14" s="825">
        <f t="shared" ref="I14" si="5">+G14/$H$4</f>
        <v>1196.5811965811965</v>
      </c>
      <c r="J14" s="686"/>
      <c r="K14" s="686"/>
      <c r="M14" s="798" t="s">
        <v>513</v>
      </c>
      <c r="N14" s="799">
        <v>2</v>
      </c>
      <c r="O14" s="799">
        <f t="shared" si="0"/>
        <v>44</v>
      </c>
      <c r="P14" s="796">
        <f>+SUM(N13:N14)</f>
        <v>4</v>
      </c>
    </row>
    <row r="15" spans="1:46" s="796" customFormat="1" x14ac:dyDescent="0.35">
      <c r="B15" s="812" t="s">
        <v>185</v>
      </c>
      <c r="C15" s="813" t="s">
        <v>101</v>
      </c>
      <c r="D15" s="814">
        <f t="shared" si="4"/>
        <v>14</v>
      </c>
      <c r="E15" s="814">
        <v>1</v>
      </c>
      <c r="F15" s="595">
        <v>25000</v>
      </c>
      <c r="G15" s="595">
        <f t="shared" si="2"/>
        <v>350000</v>
      </c>
      <c r="H15" s="806"/>
      <c r="I15" s="825"/>
      <c r="J15" s="686"/>
      <c r="K15" s="686"/>
      <c r="M15" s="798" t="s">
        <v>514</v>
      </c>
      <c r="N15" s="799">
        <v>0</v>
      </c>
      <c r="O15" s="799">
        <f t="shared" si="0"/>
        <v>0</v>
      </c>
    </row>
    <row r="16" spans="1:46" s="796" customFormat="1" x14ac:dyDescent="0.35">
      <c r="B16" s="812" t="s">
        <v>515</v>
      </c>
      <c r="C16" s="813" t="s">
        <v>101</v>
      </c>
      <c r="D16" s="814">
        <f t="shared" si="4"/>
        <v>14</v>
      </c>
      <c r="E16" s="814">
        <v>0</v>
      </c>
      <c r="F16" s="595">
        <v>10000</v>
      </c>
      <c r="G16" s="595">
        <f t="shared" si="2"/>
        <v>0</v>
      </c>
      <c r="H16" s="806"/>
      <c r="I16" s="806"/>
      <c r="J16" s="686"/>
      <c r="K16" s="686"/>
      <c r="M16" s="798" t="s">
        <v>516</v>
      </c>
      <c r="N16" s="799">
        <v>2</v>
      </c>
      <c r="O16" s="799">
        <f t="shared" si="0"/>
        <v>44</v>
      </c>
    </row>
    <row r="17" spans="2:15" s="796" customFormat="1" x14ac:dyDescent="0.35">
      <c r="B17" s="812" t="s">
        <v>517</v>
      </c>
      <c r="C17" s="813" t="s">
        <v>101</v>
      </c>
      <c r="D17" s="814">
        <f t="shared" si="4"/>
        <v>14</v>
      </c>
      <c r="E17" s="814">
        <v>0</v>
      </c>
      <c r="F17" s="629">
        <v>2578960.5819999999</v>
      </c>
      <c r="G17" s="595">
        <f t="shared" si="2"/>
        <v>0</v>
      </c>
      <c r="H17" s="806"/>
      <c r="K17" s="686"/>
      <c r="M17" s="798" t="s">
        <v>134</v>
      </c>
      <c r="N17" s="826">
        <v>2</v>
      </c>
      <c r="O17" s="799">
        <f t="shared" si="0"/>
        <v>44</v>
      </c>
    </row>
    <row r="18" spans="2:15" s="796" customFormat="1" x14ac:dyDescent="0.35">
      <c r="B18" s="812" t="s">
        <v>186</v>
      </c>
      <c r="C18" s="813" t="s">
        <v>101</v>
      </c>
      <c r="D18" s="814">
        <f t="shared" si="4"/>
        <v>14</v>
      </c>
      <c r="E18" s="827">
        <v>0.4</v>
      </c>
      <c r="F18" s="629">
        <v>2578960.5819999999</v>
      </c>
      <c r="G18" s="595">
        <f t="shared" si="2"/>
        <v>14442179.259200001</v>
      </c>
      <c r="H18" s="806"/>
      <c r="I18" s="825">
        <f>+G18/$H$4</f>
        <v>12343.742956581198</v>
      </c>
      <c r="J18" s="686"/>
      <c r="K18" s="686"/>
      <c r="M18" s="828" t="s">
        <v>518</v>
      </c>
      <c r="N18" s="826">
        <v>0</v>
      </c>
      <c r="O18" s="829">
        <f>+L18*$O$2</f>
        <v>0</v>
      </c>
    </row>
    <row r="19" spans="2:15" s="796" customFormat="1" x14ac:dyDescent="0.35">
      <c r="B19" s="830" t="s">
        <v>41</v>
      </c>
      <c r="C19" s="831"/>
      <c r="D19" s="832"/>
      <c r="E19" s="832"/>
      <c r="F19" s="706"/>
      <c r="G19" s="833"/>
      <c r="H19" s="805">
        <f>SUM(G20:G30)</f>
        <v>38913603.305449083</v>
      </c>
      <c r="I19" s="806"/>
      <c r="J19" s="686"/>
      <c r="K19" s="686"/>
      <c r="N19" s="834">
        <f>SUM(N4:N18)</f>
        <v>16</v>
      </c>
      <c r="O19" s="834">
        <f>SUM(O4:O18)</f>
        <v>352</v>
      </c>
    </row>
    <row r="20" spans="2:15" s="796" customFormat="1" x14ac:dyDescent="0.35">
      <c r="B20" s="820" t="s">
        <v>187</v>
      </c>
      <c r="C20" s="821" t="s">
        <v>101</v>
      </c>
      <c r="D20" s="822">
        <f>+$F$4</f>
        <v>14</v>
      </c>
      <c r="E20" s="835">
        <v>0.15</v>
      </c>
      <c r="F20" s="671">
        <v>4680364.0999999996</v>
      </c>
      <c r="G20" s="671">
        <f>+F20*D20*E20</f>
        <v>9828764.6099999975</v>
      </c>
      <c r="H20" s="806"/>
      <c r="I20" s="825">
        <f t="shared" ref="I20" si="6">+G20/$H$4</f>
        <v>8400.6535128205105</v>
      </c>
      <c r="J20" s="806"/>
      <c r="K20" s="686"/>
    </row>
    <row r="21" spans="2:15" s="796" customFormat="1" x14ac:dyDescent="0.35">
      <c r="B21" s="812" t="s">
        <v>519</v>
      </c>
      <c r="C21" s="813" t="s">
        <v>101</v>
      </c>
      <c r="D21" s="814">
        <f>+$F$4</f>
        <v>14</v>
      </c>
      <c r="E21" s="814">
        <v>1</v>
      </c>
      <c r="F21" s="836"/>
      <c r="G21" s="595">
        <f>+F21*D21*E21</f>
        <v>0</v>
      </c>
      <c r="H21" s="806"/>
      <c r="J21" s="824">
        <v>3798370.5819999999</v>
      </c>
      <c r="K21" s="595">
        <f>+J21*D21*E21</f>
        <v>53177188.148000002</v>
      </c>
    </row>
    <row r="22" spans="2:15" s="796" customFormat="1" x14ac:dyDescent="0.35">
      <c r="B22" s="812" t="s">
        <v>188</v>
      </c>
      <c r="C22" s="813" t="s">
        <v>101</v>
      </c>
      <c r="D22" s="814">
        <f t="shared" ref="D22:D29" si="7">+$F$4</f>
        <v>14</v>
      </c>
      <c r="E22" s="827">
        <v>0</v>
      </c>
      <c r="F22" s="595">
        <v>2578960.5819999999</v>
      </c>
      <c r="G22" s="595">
        <f t="shared" ref="G22:G28" si="8">+F22*D22*E22</f>
        <v>0</v>
      </c>
      <c r="H22" s="806"/>
      <c r="I22" s="837"/>
      <c r="J22" s="837"/>
      <c r="K22" s="686"/>
    </row>
    <row r="23" spans="2:15" s="796" customFormat="1" x14ac:dyDescent="0.35">
      <c r="B23" s="812" t="s">
        <v>520</v>
      </c>
      <c r="C23" s="813" t="s">
        <v>101</v>
      </c>
      <c r="D23" s="814">
        <f t="shared" si="7"/>
        <v>14</v>
      </c>
      <c r="E23" s="814">
        <v>0</v>
      </c>
      <c r="F23" s="595">
        <f>+F22</f>
        <v>2578960.5819999999</v>
      </c>
      <c r="G23" s="595">
        <f t="shared" si="8"/>
        <v>0</v>
      </c>
      <c r="H23" s="806"/>
      <c r="I23" s="837"/>
      <c r="J23" s="837"/>
      <c r="K23" s="686"/>
      <c r="L23" s="838"/>
    </row>
    <row r="24" spans="2:15" s="796" customFormat="1" x14ac:dyDescent="0.35">
      <c r="B24" s="812" t="s">
        <v>144</v>
      </c>
      <c r="C24" s="813" t="s">
        <v>101</v>
      </c>
      <c r="D24" s="814">
        <f t="shared" si="7"/>
        <v>14</v>
      </c>
      <c r="E24" s="827">
        <v>0.5</v>
      </c>
      <c r="F24" s="595">
        <v>3154976.9564927267</v>
      </c>
      <c r="G24" s="595">
        <f t="shared" si="8"/>
        <v>22084838.695449088</v>
      </c>
      <c r="H24" s="806"/>
      <c r="I24" s="825">
        <f t="shared" ref="I24:I26" si="9">+G24/$H$4</f>
        <v>18875.930508930844</v>
      </c>
      <c r="J24" s="837"/>
      <c r="K24" s="686"/>
    </row>
    <row r="25" spans="2:15" s="796" customFormat="1" x14ac:dyDescent="0.35">
      <c r="B25" s="812" t="s">
        <v>189</v>
      </c>
      <c r="C25" s="813" t="s">
        <v>101</v>
      </c>
      <c r="D25" s="814">
        <f t="shared" si="7"/>
        <v>14</v>
      </c>
      <c r="E25" s="814">
        <v>0.5</v>
      </c>
      <c r="F25" s="595">
        <v>500000</v>
      </c>
      <c r="G25" s="595">
        <f t="shared" si="8"/>
        <v>3500000</v>
      </c>
      <c r="H25" s="806"/>
      <c r="I25" s="825">
        <f t="shared" si="9"/>
        <v>2991.4529914529912</v>
      </c>
      <c r="J25" s="837"/>
      <c r="K25" s="686"/>
    </row>
    <row r="26" spans="2:15" s="796" customFormat="1" x14ac:dyDescent="0.35">
      <c r="B26" s="812" t="s">
        <v>190</v>
      </c>
      <c r="C26" s="813" t="s">
        <v>101</v>
      </c>
      <c r="D26" s="814">
        <f t="shared" si="7"/>
        <v>14</v>
      </c>
      <c r="E26" s="814">
        <v>0.5</v>
      </c>
      <c r="F26" s="595">
        <f>F25</f>
        <v>500000</v>
      </c>
      <c r="G26" s="595">
        <f>+F26*D26*E26</f>
        <v>3500000</v>
      </c>
      <c r="H26" s="806"/>
      <c r="I26" s="825">
        <f t="shared" si="9"/>
        <v>2991.4529914529912</v>
      </c>
      <c r="J26" s="837"/>
      <c r="K26" s="686"/>
    </row>
    <row r="27" spans="2:15" s="796" customFormat="1" x14ac:dyDescent="0.35">
      <c r="B27" s="812" t="s">
        <v>521</v>
      </c>
      <c r="C27" s="813" t="s">
        <v>101</v>
      </c>
      <c r="D27" s="814">
        <f t="shared" si="7"/>
        <v>14</v>
      </c>
      <c r="E27" s="814">
        <v>1</v>
      </c>
      <c r="F27" s="836"/>
      <c r="G27" s="595">
        <f>+F27*D27*E27</f>
        <v>0</v>
      </c>
      <c r="H27" s="806"/>
      <c r="J27" s="824">
        <f>F25</f>
        <v>500000</v>
      </c>
      <c r="K27" s="595">
        <f>+J27*D27*E27</f>
        <v>7000000</v>
      </c>
      <c r="M27" s="790"/>
      <c r="N27" s="790"/>
    </row>
    <row r="28" spans="2:15" s="796" customFormat="1" x14ac:dyDescent="0.35">
      <c r="B28" s="812" t="s">
        <v>522</v>
      </c>
      <c r="C28" s="813" t="s">
        <v>101</v>
      </c>
      <c r="D28" s="814">
        <f t="shared" si="7"/>
        <v>14</v>
      </c>
      <c r="E28" s="814">
        <v>1</v>
      </c>
      <c r="F28" s="629"/>
      <c r="G28" s="595">
        <f t="shared" si="8"/>
        <v>0</v>
      </c>
      <c r="H28" s="806"/>
      <c r="K28" s="686"/>
      <c r="M28" s="790"/>
      <c r="N28" s="790"/>
    </row>
    <row r="29" spans="2:15" s="796" customFormat="1" x14ac:dyDescent="0.35">
      <c r="B29" s="812" t="s">
        <v>523</v>
      </c>
      <c r="C29" s="813" t="s">
        <v>101</v>
      </c>
      <c r="D29" s="814">
        <f t="shared" si="7"/>
        <v>14</v>
      </c>
      <c r="E29" s="814">
        <v>1</v>
      </c>
      <c r="F29" s="836"/>
      <c r="G29" s="836"/>
      <c r="H29" s="806"/>
      <c r="J29" s="824">
        <v>1198421.6934377272</v>
      </c>
      <c r="K29" s="595">
        <f>+J29*D29*E29</f>
        <v>16777903.70812818</v>
      </c>
    </row>
    <row r="30" spans="2:15" s="796" customFormat="1" x14ac:dyDescent="0.35">
      <c r="B30" s="839"/>
      <c r="C30" s="840"/>
      <c r="D30" s="841"/>
      <c r="E30" s="841"/>
      <c r="F30" s="842"/>
      <c r="G30" s="842"/>
      <c r="H30" s="806"/>
      <c r="I30" s="806"/>
      <c r="J30" s="843"/>
      <c r="K30" s="686"/>
    </row>
    <row r="31" spans="2:15" s="796" customFormat="1" x14ac:dyDescent="0.35">
      <c r="B31" s="830" t="s">
        <v>177</v>
      </c>
      <c r="C31" s="831"/>
      <c r="D31" s="832"/>
      <c r="E31" s="832"/>
      <c r="F31" s="706"/>
      <c r="G31" s="833"/>
      <c r="H31" s="805">
        <f>SUM(G32:G40)</f>
        <v>0</v>
      </c>
      <c r="I31" s="806"/>
      <c r="J31" s="686"/>
      <c r="K31" s="686"/>
    </row>
    <row r="32" spans="2:15" s="796" customFormat="1" x14ac:dyDescent="0.35">
      <c r="B32" s="820" t="s">
        <v>524</v>
      </c>
      <c r="C32" s="821" t="s">
        <v>101</v>
      </c>
      <c r="D32" s="822">
        <v>0</v>
      </c>
      <c r="E32" s="822"/>
      <c r="F32" s="671">
        <v>130000</v>
      </c>
      <c r="G32" s="671">
        <f>+F32*D32</f>
        <v>0</v>
      </c>
      <c r="H32" s="806"/>
      <c r="I32" s="806"/>
      <c r="J32" s="686"/>
      <c r="K32" s="686"/>
    </row>
    <row r="33" spans="2:15" s="796" customFormat="1" x14ac:dyDescent="0.35">
      <c r="B33" s="812" t="s">
        <v>525</v>
      </c>
      <c r="C33" s="813" t="s">
        <v>101</v>
      </c>
      <c r="D33" s="814">
        <v>0</v>
      </c>
      <c r="E33" s="814"/>
      <c r="F33" s="595">
        <v>100000</v>
      </c>
      <c r="G33" s="595">
        <f>+F33*D33</f>
        <v>0</v>
      </c>
      <c r="H33" s="806"/>
      <c r="I33" s="806"/>
      <c r="J33" s="686"/>
      <c r="K33" s="686"/>
    </row>
    <row r="34" spans="2:15" s="796" customFormat="1" x14ac:dyDescent="0.35">
      <c r="B34" s="812" t="s">
        <v>526</v>
      </c>
      <c r="C34" s="813" t="s">
        <v>101</v>
      </c>
      <c r="D34" s="814"/>
      <c r="E34" s="814"/>
      <c r="F34" s="595">
        <v>33600</v>
      </c>
      <c r="G34" s="595">
        <f>+F34*D34</f>
        <v>0</v>
      </c>
      <c r="H34" s="806"/>
      <c r="I34" s="806"/>
      <c r="J34" s="686"/>
      <c r="K34" s="686"/>
    </row>
    <row r="35" spans="2:15" s="796" customFormat="1" x14ac:dyDescent="0.35">
      <c r="B35" s="812" t="s">
        <v>527</v>
      </c>
      <c r="C35" s="813" t="s">
        <v>101</v>
      </c>
      <c r="D35" s="814"/>
      <c r="E35" s="814"/>
      <c r="F35" s="595">
        <v>89000</v>
      </c>
      <c r="G35" s="595">
        <f>+F35*D35</f>
        <v>0</v>
      </c>
      <c r="H35" s="806"/>
      <c r="I35" s="806"/>
      <c r="J35" s="686"/>
      <c r="K35" s="686"/>
    </row>
    <row r="36" spans="2:15" s="796" customFormat="1" x14ac:dyDescent="0.35">
      <c r="B36" s="812" t="s">
        <v>528</v>
      </c>
      <c r="C36" s="813" t="s">
        <v>101</v>
      </c>
      <c r="D36" s="814"/>
      <c r="E36" s="814"/>
      <c r="F36" s="595">
        <v>70000</v>
      </c>
      <c r="G36" s="595">
        <f>+F36*D36</f>
        <v>0</v>
      </c>
      <c r="H36" s="806"/>
      <c r="I36" s="806"/>
      <c r="J36" s="686"/>
      <c r="K36" s="686"/>
    </row>
    <row r="37" spans="2:15" s="796" customFormat="1" x14ac:dyDescent="0.35">
      <c r="B37" s="812"/>
      <c r="C37" s="813"/>
      <c r="D37" s="814"/>
      <c r="E37" s="814"/>
      <c r="F37" s="595"/>
      <c r="G37" s="595"/>
      <c r="H37" s="806"/>
      <c r="I37" s="806"/>
      <c r="J37" s="686"/>
      <c r="K37" s="686"/>
    </row>
    <row r="38" spans="2:15" s="796" customFormat="1" x14ac:dyDescent="0.35">
      <c r="B38" s="812"/>
      <c r="C38" s="813"/>
      <c r="D38" s="814"/>
      <c r="E38" s="814"/>
      <c r="F38" s="595"/>
      <c r="G38" s="595"/>
      <c r="H38" s="806"/>
      <c r="I38" s="806"/>
      <c r="J38" s="686"/>
      <c r="K38" s="686"/>
    </row>
    <row r="39" spans="2:15" s="796" customFormat="1" x14ac:dyDescent="0.35">
      <c r="B39" s="812"/>
      <c r="C39" s="813"/>
      <c r="D39" s="814"/>
      <c r="E39" s="814"/>
      <c r="F39" s="595"/>
      <c r="G39" s="595"/>
      <c r="H39" s="806"/>
      <c r="I39" s="806"/>
      <c r="J39" s="686"/>
      <c r="K39" s="686"/>
    </row>
    <row r="40" spans="2:15" s="796" customFormat="1" x14ac:dyDescent="0.35">
      <c r="B40" s="839"/>
      <c r="C40" s="840"/>
      <c r="D40" s="841"/>
      <c r="E40" s="841"/>
      <c r="F40" s="842"/>
      <c r="G40" s="842"/>
      <c r="H40" s="806"/>
      <c r="I40" s="806"/>
      <c r="J40" s="686"/>
      <c r="K40" s="686"/>
    </row>
    <row r="41" spans="2:15" s="796" customFormat="1" x14ac:dyDescent="0.35">
      <c r="B41" s="830" t="s">
        <v>42</v>
      </c>
      <c r="C41" s="831"/>
      <c r="D41" s="844"/>
      <c r="E41" s="844"/>
      <c r="F41" s="706"/>
      <c r="G41" s="833"/>
      <c r="H41" s="805">
        <f>SUM(G42:G47)</f>
        <v>58713324.074000001</v>
      </c>
      <c r="I41" s="806"/>
      <c r="J41" s="686"/>
      <c r="K41" s="686"/>
    </row>
    <row r="42" spans="2:15" s="796" customFormat="1" x14ac:dyDescent="0.35">
      <c r="B42" s="807" t="s">
        <v>529</v>
      </c>
      <c r="C42" s="845" t="s">
        <v>101</v>
      </c>
      <c r="D42" s="846">
        <f>+$F$4</f>
        <v>14</v>
      </c>
      <c r="E42" s="846">
        <v>0.5</v>
      </c>
      <c r="F42" s="680">
        <v>2578960.5819999999</v>
      </c>
      <c r="G42" s="595">
        <f t="shared" ref="G42" si="10">+F42*D42*E42</f>
        <v>18052724.074000001</v>
      </c>
      <c r="H42" s="806"/>
      <c r="I42" s="825">
        <f t="shared" ref="I42:I46" si="11">+G42/$H$4</f>
        <v>15429.678695726496</v>
      </c>
      <c r="J42" s="686"/>
      <c r="K42" s="686"/>
    </row>
    <row r="43" spans="2:15" s="796" customFormat="1" x14ac:dyDescent="0.35">
      <c r="B43" s="812" t="s">
        <v>530</v>
      </c>
      <c r="C43" s="847" t="s">
        <v>107</v>
      </c>
      <c r="D43" s="848">
        <f>+D42</f>
        <v>14</v>
      </c>
      <c r="E43" s="848">
        <v>1</v>
      </c>
      <c r="F43" s="595">
        <v>250000</v>
      </c>
      <c r="G43" s="595">
        <f>+F43*D43</f>
        <v>3500000</v>
      </c>
      <c r="H43" s="806"/>
      <c r="I43" s="825">
        <f t="shared" si="11"/>
        <v>2991.4529914529912</v>
      </c>
      <c r="J43" s="686"/>
      <c r="K43" s="686"/>
    </row>
    <row r="44" spans="2:15" s="796" customFormat="1" x14ac:dyDescent="0.3">
      <c r="B44" s="849" t="s">
        <v>531</v>
      </c>
      <c r="C44" s="847" t="s">
        <v>107</v>
      </c>
      <c r="D44" s="848">
        <v>0.04</v>
      </c>
      <c r="E44" s="848">
        <v>0.6</v>
      </c>
      <c r="F44" s="850">
        <v>1145000000</v>
      </c>
      <c r="G44" s="595">
        <f>+F44*D44*E44</f>
        <v>27480000</v>
      </c>
      <c r="H44" s="806"/>
      <c r="I44" s="825">
        <f t="shared" si="11"/>
        <v>23487.179487179488</v>
      </c>
      <c r="J44" s="686"/>
      <c r="K44" s="805"/>
    </row>
    <row r="45" spans="2:15" s="796" customFormat="1" x14ac:dyDescent="0.35">
      <c r="B45" s="812" t="s">
        <v>532</v>
      </c>
      <c r="C45" s="847" t="s">
        <v>107</v>
      </c>
      <c r="D45" s="848">
        <f>1.2/100</f>
        <v>1.2E-2</v>
      </c>
      <c r="E45" s="848">
        <f>+E44</f>
        <v>0.6</v>
      </c>
      <c r="F45" s="595">
        <f>+F44*1.15</f>
        <v>1316750000</v>
      </c>
      <c r="G45" s="595">
        <f>+F45*D45*E45</f>
        <v>9480600</v>
      </c>
      <c r="H45" s="806"/>
      <c r="I45" s="825">
        <f t="shared" si="11"/>
        <v>8103.0769230769229</v>
      </c>
      <c r="J45" s="686"/>
      <c r="K45" s="806"/>
    </row>
    <row r="46" spans="2:15" s="796" customFormat="1" x14ac:dyDescent="0.35">
      <c r="B46" s="812" t="s">
        <v>533</v>
      </c>
      <c r="C46" s="847" t="s">
        <v>107</v>
      </c>
      <c r="D46" s="848">
        <v>1</v>
      </c>
      <c r="E46" s="848">
        <v>1</v>
      </c>
      <c r="F46" s="595">
        <v>200000</v>
      </c>
      <c r="G46" s="595">
        <f>+F46*D46*E46</f>
        <v>200000</v>
      </c>
      <c r="H46" s="806"/>
      <c r="I46" s="825">
        <f t="shared" si="11"/>
        <v>170.94017094017093</v>
      </c>
      <c r="J46" s="686"/>
      <c r="K46" s="806"/>
      <c r="M46" s="806"/>
    </row>
    <row r="47" spans="2:15" s="796" customFormat="1" x14ac:dyDescent="0.35">
      <c r="B47" s="839"/>
      <c r="C47" s="840"/>
      <c r="D47" s="851"/>
      <c r="E47" s="851"/>
      <c r="F47" s="842"/>
      <c r="G47" s="842"/>
      <c r="H47" s="806"/>
      <c r="I47" s="806"/>
      <c r="J47" s="806"/>
      <c r="K47" s="806"/>
      <c r="M47" s="806"/>
    </row>
    <row r="48" spans="2:15" s="796" customFormat="1" x14ac:dyDescent="0.35">
      <c r="B48" s="795"/>
      <c r="C48" s="790"/>
      <c r="D48" s="852"/>
      <c r="E48" s="852"/>
      <c r="F48" s="560"/>
      <c r="G48" s="852">
        <f>SUM(G7:G47)</f>
        <v>113819106.63864909</v>
      </c>
      <c r="H48" s="819">
        <f>SUM(H6:H47)</f>
        <v>113819106.63864908</v>
      </c>
      <c r="I48" s="819">
        <f>SUM(I6:I47)</f>
        <v>96982.142426195816</v>
      </c>
      <c r="J48" s="806"/>
      <c r="K48" s="819">
        <f>SUM(K6:K47)</f>
        <v>89370934.184128195</v>
      </c>
      <c r="L48" s="853">
        <f>+K48+G64</f>
        <v>319805616.28814673</v>
      </c>
      <c r="M48" s="161">
        <f>+L48/N19</f>
        <v>19987851.018009171</v>
      </c>
      <c r="N48" s="854"/>
      <c r="O48" s="854"/>
    </row>
    <row r="49" spans="1:16" s="796" customFormat="1" x14ac:dyDescent="0.35">
      <c r="B49" s="855" t="s">
        <v>534</v>
      </c>
      <c r="C49" s="790"/>
      <c r="D49" s="852"/>
      <c r="E49" s="852"/>
      <c r="F49" s="560"/>
      <c r="G49" s="856"/>
      <c r="I49" s="852"/>
      <c r="L49" s="854"/>
      <c r="M49" s="686"/>
      <c r="N49" s="854"/>
      <c r="O49" s="854"/>
    </row>
    <row r="50" spans="1:16" s="796" customFormat="1" x14ac:dyDescent="0.35">
      <c r="B50" s="855" t="s">
        <v>535</v>
      </c>
      <c r="C50" s="790"/>
      <c r="D50" s="852"/>
      <c r="E50" s="852"/>
      <c r="F50" s="560"/>
      <c r="G50" s="852">
        <f>+G49+H48</f>
        <v>113819106.63864908</v>
      </c>
      <c r="H50" s="852"/>
      <c r="J50" s="852"/>
      <c r="M50" s="854"/>
      <c r="N50" s="686"/>
      <c r="O50" s="854"/>
      <c r="P50" s="854"/>
    </row>
    <row r="51" spans="1:16" s="854" customFormat="1" ht="13" x14ac:dyDescent="0.3">
      <c r="A51" s="857"/>
      <c r="B51" s="858"/>
      <c r="D51" s="859"/>
      <c r="E51" s="859"/>
      <c r="F51" s="458"/>
      <c r="G51" s="859"/>
      <c r="H51" s="859"/>
      <c r="I51" s="859"/>
      <c r="N51" s="686"/>
    </row>
    <row r="52" spans="1:16" s="854" customFormat="1" ht="13" x14ac:dyDescent="0.3">
      <c r="A52" s="857"/>
      <c r="B52" s="858" t="s">
        <v>93</v>
      </c>
      <c r="D52" s="859"/>
      <c r="E52" s="859"/>
      <c r="F52" s="458"/>
      <c r="G52" s="686">
        <v>152635787.39072511</v>
      </c>
      <c r="H52" s="686"/>
      <c r="I52" s="825">
        <f>+G52/$H$4</f>
        <v>130457.93794079068</v>
      </c>
      <c r="K52" s="860"/>
      <c r="N52" s="686"/>
    </row>
    <row r="53" spans="1:16" s="854" customFormat="1" ht="13" x14ac:dyDescent="0.3">
      <c r="B53" s="858" t="s">
        <v>536</v>
      </c>
      <c r="F53" s="458"/>
      <c r="G53" s="686">
        <v>89943824.963067681</v>
      </c>
      <c r="H53" s="686"/>
      <c r="I53" s="825">
        <f t="shared" ref="I53:I56" si="12">+G53/$H$4</f>
        <v>76875.064070998022</v>
      </c>
      <c r="K53" s="861"/>
      <c r="N53" s="686"/>
    </row>
    <row r="54" spans="1:16" s="854" customFormat="1" ht="13" x14ac:dyDescent="0.3">
      <c r="B54" s="858" t="s">
        <v>537</v>
      </c>
      <c r="F54" s="458"/>
      <c r="G54" s="686">
        <v>466157734.73748004</v>
      </c>
      <c r="H54" s="686"/>
      <c r="I54" s="825">
        <f t="shared" si="12"/>
        <v>398425.41430553852</v>
      </c>
      <c r="J54" s="861"/>
      <c r="K54" s="861"/>
    </row>
    <row r="55" spans="1:16" s="854" customFormat="1" ht="13" x14ac:dyDescent="0.3">
      <c r="B55" s="858" t="s">
        <v>538</v>
      </c>
      <c r="F55" s="458"/>
      <c r="G55" s="686">
        <v>167770803.14356178</v>
      </c>
      <c r="H55" s="686"/>
      <c r="I55" s="825">
        <f t="shared" si="12"/>
        <v>143393.8488406511</v>
      </c>
      <c r="J55" s="861"/>
      <c r="K55" s="861"/>
    </row>
    <row r="56" spans="1:16" s="854" customFormat="1" ht="13" x14ac:dyDescent="0.3">
      <c r="B56" s="858" t="s">
        <v>177</v>
      </c>
      <c r="F56" s="458"/>
      <c r="G56" s="686">
        <v>20534737.960315075</v>
      </c>
      <c r="H56" s="686"/>
      <c r="I56" s="825">
        <f t="shared" si="12"/>
        <v>17551.05808573938</v>
      </c>
      <c r="J56" s="861"/>
      <c r="K56" s="861"/>
    </row>
    <row r="57" spans="1:16" s="854" customFormat="1" ht="13" x14ac:dyDescent="0.3">
      <c r="B57" s="858"/>
      <c r="F57" s="458"/>
      <c r="G57" s="686"/>
      <c r="H57" s="686"/>
      <c r="I57" s="825"/>
      <c r="K57" s="861"/>
    </row>
    <row r="58" spans="1:16" s="854" customFormat="1" ht="13" x14ac:dyDescent="0.3">
      <c r="A58" s="862" t="s">
        <v>539</v>
      </c>
      <c r="B58" s="863"/>
      <c r="C58" s="816"/>
      <c r="D58" s="816"/>
      <c r="E58" s="816"/>
      <c r="F58" s="635"/>
      <c r="G58" s="864">
        <f>SUM(G52:G57)</f>
        <v>897042888.19514978</v>
      </c>
      <c r="H58" s="864"/>
      <c r="I58" s="865">
        <f>SUM(I52:I57)</f>
        <v>766703.32324371766</v>
      </c>
      <c r="J58" s="861"/>
    </row>
    <row r="59" spans="1:16" s="854" customFormat="1" ht="13" x14ac:dyDescent="0.3">
      <c r="A59" s="866"/>
      <c r="B59" s="858"/>
      <c r="F59" s="458"/>
      <c r="G59" s="867"/>
      <c r="H59" s="867"/>
      <c r="I59" s="868"/>
      <c r="M59" s="869"/>
    </row>
    <row r="60" spans="1:16" s="854" customFormat="1" ht="13" x14ac:dyDescent="0.3">
      <c r="A60" s="866"/>
      <c r="B60" s="858" t="s">
        <v>540</v>
      </c>
      <c r="E60" s="161"/>
      <c r="F60" s="161">
        <f>+G50/G58</f>
        <v>0.12688256953650578</v>
      </c>
      <c r="G60" s="161">
        <f>+F60*$G$58</f>
        <v>113819106.63864908</v>
      </c>
      <c r="H60" s="161"/>
      <c r="I60" s="825">
        <f>+G60/$H$4</f>
        <v>97281.287725341084</v>
      </c>
    </row>
    <row r="61" spans="1:16" s="854" customFormat="1" ht="13" x14ac:dyDescent="0.3">
      <c r="A61" s="866"/>
      <c r="B61" s="858" t="s">
        <v>177</v>
      </c>
      <c r="E61" s="161">
        <v>3</v>
      </c>
      <c r="F61" s="486">
        <v>0</v>
      </c>
      <c r="G61" s="161">
        <f>+F61*$G$58</f>
        <v>0</v>
      </c>
      <c r="H61" s="161"/>
      <c r="I61" s="825">
        <f t="shared" ref="I61:I63" si="13">+G61/$H$4</f>
        <v>0</v>
      </c>
    </row>
    <row r="62" spans="1:16" s="854" customFormat="1" ht="13" x14ac:dyDescent="0.3">
      <c r="A62" s="866"/>
      <c r="B62" s="858" t="s">
        <v>541</v>
      </c>
      <c r="E62" s="161">
        <v>5</v>
      </c>
      <c r="F62" s="486">
        <v>0.03</v>
      </c>
      <c r="G62" s="161">
        <f>+F62*$G$58</f>
        <v>26911286.645854492</v>
      </c>
      <c r="H62" s="161"/>
      <c r="I62" s="825">
        <f t="shared" si="13"/>
        <v>23001.099697311533</v>
      </c>
      <c r="J62" s="870"/>
      <c r="K62" s="869"/>
      <c r="L62" s="161">
        <v>987276976</v>
      </c>
    </row>
    <row r="63" spans="1:16" s="854" customFormat="1" ht="13" x14ac:dyDescent="0.3">
      <c r="A63" s="866"/>
      <c r="B63" s="858" t="s">
        <v>542</v>
      </c>
      <c r="E63" s="161">
        <v>9</v>
      </c>
      <c r="F63" s="161">
        <v>0.1</v>
      </c>
      <c r="G63" s="161">
        <f>+F63*$G$58</f>
        <v>89704288.81951499</v>
      </c>
      <c r="H63" s="161"/>
      <c r="I63" s="825">
        <f t="shared" si="13"/>
        <v>76670.33232437179</v>
      </c>
      <c r="J63" s="861"/>
      <c r="L63" s="161">
        <v>1127402758.0195</v>
      </c>
    </row>
    <row r="64" spans="1:16" s="854" customFormat="1" ht="13" x14ac:dyDescent="0.3">
      <c r="A64" s="862" t="s">
        <v>543</v>
      </c>
      <c r="B64" s="863"/>
      <c r="C64" s="816"/>
      <c r="D64" s="816"/>
      <c r="E64" s="871"/>
      <c r="F64" s="871">
        <f>SUM(F60:F63)</f>
        <v>0.25688256953650579</v>
      </c>
      <c r="G64" s="872">
        <f>SUM(G60:G63)</f>
        <v>230434682.10401857</v>
      </c>
      <c r="H64" s="872"/>
      <c r="I64" s="865">
        <f>+G64/$H$4</f>
        <v>196952.71974702441</v>
      </c>
      <c r="J64" s="861"/>
      <c r="L64" s="873">
        <f>+L63-L62</f>
        <v>140125782.01950002</v>
      </c>
    </row>
    <row r="65" spans="1:16" s="854" customFormat="1" ht="13" x14ac:dyDescent="0.3">
      <c r="A65" s="866"/>
      <c r="B65" s="858"/>
      <c r="E65" s="161"/>
      <c r="F65" s="161"/>
      <c r="G65" s="161"/>
      <c r="H65" s="161"/>
      <c r="I65" s="868"/>
    </row>
    <row r="66" spans="1:16" s="854" customFormat="1" ht="13" x14ac:dyDescent="0.3">
      <c r="A66" s="862" t="s">
        <v>544</v>
      </c>
      <c r="B66" s="863"/>
      <c r="C66" s="816"/>
      <c r="D66" s="816"/>
      <c r="E66" s="871"/>
      <c r="F66" s="872">
        <f>1+F64</f>
        <v>1.2568825695365058</v>
      </c>
      <c r="G66" s="871">
        <f>+G58*F66</f>
        <v>1127477570.2991683</v>
      </c>
      <c r="H66" s="871"/>
      <c r="I66" s="874"/>
      <c r="J66" s="686"/>
      <c r="K66" s="686"/>
      <c r="N66" s="875"/>
      <c r="O66" s="875"/>
      <c r="P66" s="861"/>
    </row>
    <row r="67" spans="1:16" s="854" customFormat="1" ht="13" x14ac:dyDescent="0.3">
      <c r="B67" s="858"/>
      <c r="E67" s="161"/>
      <c r="F67" s="161"/>
      <c r="G67" s="161"/>
      <c r="H67" s="161"/>
      <c r="I67" s="868"/>
      <c r="L67" s="702">
        <v>1138195271.5160999</v>
      </c>
      <c r="N67" s="875"/>
      <c r="O67" s="875"/>
      <c r="P67" s="861"/>
    </row>
    <row r="68" spans="1:16" s="854" customFormat="1" ht="13" x14ac:dyDescent="0.3">
      <c r="A68" s="862" t="s">
        <v>545</v>
      </c>
      <c r="B68" s="863"/>
      <c r="C68" s="816"/>
      <c r="D68" s="816"/>
      <c r="E68" s="871"/>
      <c r="F68" s="871"/>
      <c r="G68" s="871">
        <f>+G58+G64</f>
        <v>1127477570.2991683</v>
      </c>
      <c r="H68" s="871"/>
      <c r="I68" s="865">
        <f>+G68/$H$4</f>
        <v>963656.04299074213</v>
      </c>
      <c r="J68" s="876"/>
      <c r="K68" s="161"/>
    </row>
    <row r="69" spans="1:16" s="854" customFormat="1" ht="13" x14ac:dyDescent="0.3">
      <c r="B69" s="858"/>
      <c r="E69" s="161"/>
      <c r="F69" s="161"/>
      <c r="G69" s="161"/>
      <c r="H69" s="161"/>
      <c r="I69" s="877"/>
      <c r="K69" s="161"/>
      <c r="O69" s="870"/>
      <c r="P69" s="870"/>
    </row>
    <row r="70" spans="1:16" s="854" customFormat="1" ht="13" x14ac:dyDescent="0.3">
      <c r="B70" s="858"/>
      <c r="F70" s="878">
        <f>+G71/G58</f>
        <v>3.3443217035430711E-2</v>
      </c>
      <c r="G70" s="867"/>
      <c r="H70" s="867"/>
      <c r="I70" s="868"/>
      <c r="J70" s="875"/>
      <c r="N70" s="796"/>
      <c r="O70" s="879"/>
      <c r="P70" s="879"/>
    </row>
    <row r="71" spans="1:16" s="854" customFormat="1" ht="13" x14ac:dyDescent="0.3">
      <c r="B71" s="858"/>
      <c r="F71" s="880">
        <f>+G71/G66</f>
        <v>2.660806812506231E-2</v>
      </c>
      <c r="G71" s="458">
        <v>30000000</v>
      </c>
      <c r="H71" s="458"/>
      <c r="I71" s="881"/>
      <c r="J71" s="875"/>
      <c r="N71" s="796"/>
      <c r="O71" s="879"/>
      <c r="P71" s="879"/>
    </row>
    <row r="72" spans="1:16" s="854" customFormat="1" ht="13" x14ac:dyDescent="0.3">
      <c r="B72" s="858"/>
      <c r="F72" s="882"/>
      <c r="G72" s="881"/>
      <c r="H72" s="881"/>
      <c r="I72" s="883">
        <f>+I63+I62+I20</f>
        <v>108072.08553450383</v>
      </c>
      <c r="J72" s="875"/>
      <c r="N72" s="796"/>
      <c r="O72" s="879"/>
      <c r="P72" s="879"/>
    </row>
    <row r="73" spans="1:16" s="854" customFormat="1" ht="13" x14ac:dyDescent="0.3">
      <c r="B73" s="858"/>
      <c r="F73" s="458"/>
      <c r="G73" s="867"/>
      <c r="H73" s="867"/>
      <c r="I73" s="868"/>
      <c r="J73" s="875"/>
      <c r="N73" s="796"/>
      <c r="O73" s="879"/>
      <c r="P73" s="879"/>
    </row>
    <row r="74" spans="1:16" s="854" customFormat="1" ht="13" x14ac:dyDescent="0.3">
      <c r="B74" s="858"/>
      <c r="F74" s="458"/>
      <c r="G74" s="867"/>
      <c r="H74" s="867"/>
      <c r="I74" s="825"/>
      <c r="L74" s="860"/>
      <c r="N74" s="884"/>
      <c r="O74" s="885"/>
      <c r="P74" s="796"/>
    </row>
    <row r="75" spans="1:16" s="854" customFormat="1" ht="13" x14ac:dyDescent="0.3">
      <c r="B75" s="858"/>
      <c r="F75" s="458"/>
      <c r="L75" s="886"/>
      <c r="M75" s="884"/>
      <c r="N75" s="884"/>
      <c r="O75" s="796"/>
      <c r="P75" s="870"/>
    </row>
    <row r="76" spans="1:16" s="796" customFormat="1" x14ac:dyDescent="0.35">
      <c r="B76" s="795"/>
      <c r="C76" s="790"/>
      <c r="D76" s="852"/>
      <c r="E76" s="852"/>
      <c r="F76" s="560"/>
      <c r="G76" s="852"/>
      <c r="H76" s="852"/>
      <c r="I76" s="852"/>
      <c r="K76" s="884"/>
      <c r="L76" s="887"/>
      <c r="M76" s="884"/>
      <c r="N76" s="884"/>
      <c r="P76" s="888"/>
    </row>
    <row r="77" spans="1:16" s="796" customFormat="1" x14ac:dyDescent="0.35">
      <c r="B77" s="855"/>
      <c r="C77" s="790"/>
      <c r="D77" s="852"/>
      <c r="E77" s="852"/>
      <c r="F77" s="560"/>
      <c r="G77" s="852"/>
      <c r="H77" s="852"/>
      <c r="I77" s="852"/>
      <c r="K77" s="884"/>
      <c r="L77" s="887"/>
      <c r="M77" s="884"/>
      <c r="N77" s="884"/>
    </row>
    <row r="78" spans="1:16" s="796" customFormat="1" x14ac:dyDescent="0.35">
      <c r="B78" s="855"/>
      <c r="C78" s="790"/>
      <c r="D78" s="852"/>
      <c r="E78" s="852"/>
      <c r="F78" s="560"/>
      <c r="G78" s="852"/>
      <c r="H78" s="852"/>
      <c r="I78" s="852"/>
      <c r="K78" s="884"/>
      <c r="L78" s="889"/>
      <c r="M78" s="884"/>
      <c r="N78" s="884"/>
    </row>
    <row r="79" spans="1:16" s="796" customFormat="1" x14ac:dyDescent="0.35">
      <c r="B79" s="795"/>
      <c r="C79" s="790"/>
      <c r="D79" s="852"/>
      <c r="E79" s="852"/>
      <c r="F79" s="560"/>
      <c r="G79" s="852"/>
      <c r="H79" s="852"/>
      <c r="I79" s="852"/>
      <c r="K79" s="884"/>
      <c r="L79" s="887"/>
      <c r="M79" s="884"/>
      <c r="N79" s="884"/>
    </row>
    <row r="80" spans="1:16" s="796" customFormat="1" x14ac:dyDescent="0.35">
      <c r="B80" s="795"/>
      <c r="C80" s="790"/>
      <c r="D80" s="852"/>
      <c r="E80" s="852"/>
      <c r="F80" s="560"/>
      <c r="G80" s="852"/>
      <c r="H80" s="852"/>
      <c r="I80" s="852"/>
      <c r="K80" s="884"/>
      <c r="L80" s="889"/>
      <c r="M80" s="884"/>
      <c r="N80" s="884"/>
    </row>
    <row r="81" spans="1:16" s="796" customFormat="1" x14ac:dyDescent="0.35">
      <c r="B81" s="795"/>
      <c r="F81" s="560"/>
      <c r="G81" s="852"/>
      <c r="H81" s="852"/>
      <c r="I81" s="852"/>
      <c r="K81" s="890"/>
      <c r="L81" s="837"/>
      <c r="M81" s="884"/>
      <c r="N81" s="884"/>
    </row>
    <row r="82" spans="1:16" s="796" customFormat="1" x14ac:dyDescent="0.35">
      <c r="B82" s="795"/>
      <c r="C82" s="790"/>
      <c r="D82" s="852"/>
      <c r="E82" s="852"/>
      <c r="F82" s="560"/>
      <c r="G82" s="852"/>
      <c r="H82" s="852"/>
      <c r="I82" s="852"/>
      <c r="K82" s="884"/>
      <c r="L82" s="837"/>
      <c r="M82" s="884"/>
      <c r="N82" s="884"/>
    </row>
    <row r="83" spans="1:16" s="796" customFormat="1" x14ac:dyDescent="0.35">
      <c r="B83" s="795"/>
      <c r="C83" s="790"/>
      <c r="D83" s="852"/>
      <c r="E83" s="852"/>
      <c r="F83" s="560"/>
      <c r="G83" s="852"/>
      <c r="H83" s="852"/>
      <c r="I83" s="852"/>
      <c r="K83" s="884"/>
      <c r="L83" s="891"/>
      <c r="M83" s="884"/>
      <c r="N83" s="884"/>
    </row>
    <row r="84" spans="1:16" s="796" customFormat="1" x14ac:dyDescent="0.35">
      <c r="B84" s="795"/>
      <c r="C84" s="790"/>
      <c r="D84" s="852"/>
      <c r="E84" s="852"/>
      <c r="F84" s="560"/>
      <c r="G84" s="852"/>
      <c r="H84" s="852"/>
      <c r="I84" s="852"/>
      <c r="K84" s="884"/>
      <c r="L84" s="884"/>
      <c r="M84" s="884"/>
      <c r="N84" s="884"/>
    </row>
    <row r="85" spans="1:16" s="796" customFormat="1" x14ac:dyDescent="0.35">
      <c r="B85" s="795"/>
      <c r="C85" s="790"/>
      <c r="D85" s="852"/>
      <c r="E85" s="852"/>
      <c r="F85" s="560"/>
      <c r="G85" s="852"/>
      <c r="H85" s="852"/>
      <c r="I85" s="852"/>
      <c r="K85" s="884"/>
      <c r="L85" s="892"/>
      <c r="M85" s="884"/>
      <c r="N85" s="884"/>
    </row>
    <row r="86" spans="1:16" s="796" customFormat="1" x14ac:dyDescent="0.35">
      <c r="B86" s="795"/>
      <c r="C86" s="790"/>
      <c r="D86" s="852"/>
      <c r="E86" s="852"/>
      <c r="F86" s="560"/>
      <c r="G86" s="852"/>
      <c r="H86" s="852"/>
      <c r="I86" s="852"/>
      <c r="K86" s="884"/>
      <c r="L86" s="884"/>
      <c r="M86" s="884"/>
      <c r="N86" s="884"/>
    </row>
    <row r="87" spans="1:16" s="796" customFormat="1" x14ac:dyDescent="0.35">
      <c r="B87" s="795"/>
      <c r="C87" s="790"/>
      <c r="D87" s="852"/>
      <c r="E87" s="852"/>
      <c r="F87" s="560"/>
      <c r="G87" s="852"/>
      <c r="H87" s="852"/>
      <c r="I87" s="852"/>
      <c r="K87" s="884"/>
      <c r="L87" s="892"/>
      <c r="M87" s="884"/>
      <c r="N87" s="884"/>
    </row>
    <row r="88" spans="1:16" s="796" customFormat="1" x14ac:dyDescent="0.35">
      <c r="B88" s="795"/>
      <c r="C88" s="790"/>
      <c r="D88" s="852"/>
      <c r="E88" s="852"/>
      <c r="F88" s="560"/>
      <c r="G88" s="852"/>
      <c r="H88" s="852"/>
      <c r="I88" s="852"/>
    </row>
    <row r="89" spans="1:16" s="796" customFormat="1" x14ac:dyDescent="0.35">
      <c r="B89" s="795"/>
      <c r="C89" s="790"/>
      <c r="D89" s="852"/>
      <c r="E89" s="852"/>
      <c r="F89" s="560"/>
      <c r="G89" s="852"/>
      <c r="H89" s="852"/>
      <c r="I89" s="852"/>
    </row>
    <row r="90" spans="1:16" s="796" customFormat="1" x14ac:dyDescent="0.35">
      <c r="B90" s="795"/>
      <c r="C90" s="790"/>
      <c r="D90" s="852"/>
      <c r="E90" s="852"/>
      <c r="F90" s="560"/>
      <c r="G90" s="852"/>
      <c r="H90" s="852"/>
      <c r="I90" s="852"/>
    </row>
    <row r="91" spans="1:16" x14ac:dyDescent="0.35">
      <c r="A91" s="796"/>
      <c r="D91" s="852"/>
      <c r="E91" s="852"/>
      <c r="G91" s="852"/>
      <c r="H91" s="852"/>
      <c r="I91" s="852"/>
      <c r="J91" s="796"/>
      <c r="K91" s="796"/>
      <c r="M91" s="796"/>
      <c r="N91" s="796"/>
      <c r="O91" s="796"/>
      <c r="P91" s="796"/>
    </row>
    <row r="92" spans="1:16" x14ac:dyDescent="0.35">
      <c r="A92" s="796"/>
      <c r="D92" s="852"/>
      <c r="E92" s="852"/>
      <c r="G92" s="852"/>
      <c r="H92" s="852"/>
      <c r="I92" s="852"/>
      <c r="J92" s="796"/>
      <c r="K92" s="796"/>
      <c r="M92" s="796"/>
      <c r="N92" s="796"/>
      <c r="O92" s="796"/>
      <c r="P92" s="796"/>
    </row>
    <row r="93" spans="1:16" x14ac:dyDescent="0.35">
      <c r="A93" s="796"/>
      <c r="D93" s="852"/>
      <c r="E93" s="852"/>
      <c r="G93" s="852"/>
      <c r="H93" s="852"/>
      <c r="I93" s="852"/>
      <c r="J93" s="796"/>
      <c r="K93" s="796"/>
      <c r="M93" s="796"/>
      <c r="N93" s="796"/>
      <c r="O93" s="796"/>
      <c r="P93" s="796"/>
    </row>
    <row r="94" spans="1:16" x14ac:dyDescent="0.35">
      <c r="A94" s="796"/>
      <c r="D94" s="852"/>
      <c r="E94" s="852"/>
      <c r="G94" s="852"/>
      <c r="H94" s="852"/>
      <c r="I94" s="852"/>
      <c r="J94" s="796"/>
      <c r="K94" s="796"/>
      <c r="M94" s="796"/>
      <c r="N94" s="796"/>
      <c r="O94" s="796"/>
      <c r="P94" s="796"/>
    </row>
    <row r="95" spans="1:16" x14ac:dyDescent="0.35">
      <c r="A95" s="796"/>
      <c r="D95" s="852"/>
      <c r="E95" s="852"/>
      <c r="G95" s="852"/>
      <c r="H95" s="852"/>
      <c r="I95" s="852"/>
      <c r="J95" s="796"/>
      <c r="K95" s="796"/>
      <c r="M95" s="796"/>
      <c r="N95" s="796"/>
      <c r="O95" s="796"/>
      <c r="P95" s="796"/>
    </row>
    <row r="96" spans="1:16" x14ac:dyDescent="0.35">
      <c r="A96" s="796"/>
      <c r="D96" s="852"/>
      <c r="E96" s="852"/>
      <c r="G96" s="852"/>
      <c r="H96" s="852"/>
      <c r="I96" s="852"/>
      <c r="J96" s="796"/>
      <c r="K96" s="796"/>
      <c r="M96" s="796"/>
      <c r="N96" s="796"/>
      <c r="O96" s="796"/>
      <c r="P96" s="796"/>
    </row>
    <row r="97" spans="1:16" x14ac:dyDescent="0.35">
      <c r="A97" s="796"/>
      <c r="D97" s="852"/>
      <c r="E97" s="852"/>
      <c r="G97" s="852"/>
      <c r="H97" s="852"/>
      <c r="I97" s="852"/>
      <c r="J97" s="796"/>
      <c r="K97" s="796"/>
      <c r="P97" s="796"/>
    </row>
    <row r="98" spans="1:16" x14ac:dyDescent="0.35">
      <c r="A98" s="796"/>
      <c r="D98" s="852"/>
      <c r="E98" s="852"/>
      <c r="G98" s="852"/>
      <c r="H98" s="852"/>
      <c r="I98" s="852"/>
      <c r="J98" s="796"/>
      <c r="K98" s="796"/>
      <c r="P98" s="796"/>
    </row>
    <row r="99" spans="1:16" x14ac:dyDescent="0.35">
      <c r="A99" s="796"/>
      <c r="D99" s="852"/>
      <c r="E99" s="852"/>
      <c r="G99" s="852"/>
      <c r="H99" s="852"/>
      <c r="I99" s="852"/>
      <c r="J99" s="796"/>
      <c r="K99" s="796"/>
      <c r="P99" s="796"/>
    </row>
    <row r="100" spans="1:16" x14ac:dyDescent="0.35">
      <c r="H100" s="893"/>
      <c r="I100" s="893"/>
      <c r="J100" s="894"/>
    </row>
  </sheetData>
  <conditionalFormatting sqref="C2:C4">
    <cfRule type="cellIs" dxfId="61" priority="3" operator="equal">
      <formula>"x"</formula>
    </cfRule>
  </conditionalFormatting>
  <conditionalFormatting sqref="G20:G28 E20:E29 K27 K29">
    <cfRule type="cellIs" dxfId="60" priority="2" operator="equal">
      <formula>0</formula>
    </cfRule>
  </conditionalFormatting>
  <conditionalFormatting sqref="K21">
    <cfRule type="cellIs" dxfId="59" priority="1" operator="equal">
      <formula>0</formula>
    </cfRule>
  </conditionalFormatting>
  <conditionalFormatting sqref="X2:AT2">
    <cfRule type="cellIs" dxfId="58" priority="4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7E42-1A95-4F7C-AC70-419BC6F937CB}">
  <sheetPr codeName="Hoja8">
    <tabColor rgb="FFC6EFCE"/>
  </sheetPr>
  <dimension ref="B1:V39"/>
  <sheetViews>
    <sheetView showGridLines="0" topLeftCell="A2" workbookViewId="0">
      <selection activeCell="B20" sqref="B20"/>
    </sheetView>
  </sheetViews>
  <sheetFormatPr defaultColWidth="11.453125" defaultRowHeight="14.5" x14ac:dyDescent="0.35"/>
  <cols>
    <col min="1" max="1" width="4.453125" style="258" customWidth="1"/>
    <col min="2" max="2" width="24.81640625" style="65" customWidth="1"/>
    <col min="3" max="3" width="10" style="258" bestFit="1" customWidth="1"/>
    <col min="4" max="4" width="11.453125" style="258" customWidth="1"/>
    <col min="5" max="5" width="11.54296875" style="258" bestFit="1" customWidth="1"/>
    <col min="6" max="6" width="12.1796875" style="258" customWidth="1"/>
    <col min="7" max="7" width="11.26953125" style="258" bestFit="1" customWidth="1"/>
    <col min="8" max="9" width="10.81640625" style="258" customWidth="1"/>
    <col min="10" max="10" width="10.7265625" style="258" customWidth="1"/>
    <col min="11" max="11" width="11.54296875" style="258" bestFit="1" customWidth="1"/>
    <col min="12" max="12" width="11" style="258" bestFit="1" customWidth="1"/>
    <col min="13" max="13" width="13.1796875" style="258" bestFit="1" customWidth="1"/>
    <col min="14" max="14" width="11.54296875" style="258" bestFit="1" customWidth="1"/>
    <col min="15" max="15" width="11" style="258" bestFit="1" customWidth="1"/>
    <col min="16" max="16" width="11.54296875" style="258" bestFit="1" customWidth="1"/>
    <col min="17" max="16384" width="11.453125" style="258"/>
  </cols>
  <sheetData>
    <row r="1" spans="2:22" ht="15" thickBot="1" x14ac:dyDescent="0.4">
      <c r="B1" s="64" t="s">
        <v>238</v>
      </c>
      <c r="U1" s="193" t="s">
        <v>226</v>
      </c>
      <c r="V1" s="241">
        <v>46174</v>
      </c>
    </row>
    <row r="2" spans="2:22" x14ac:dyDescent="0.35">
      <c r="B2" s="903" t="s">
        <v>241</v>
      </c>
    </row>
    <row r="4" spans="2:22" s="259" customFormat="1" x14ac:dyDescent="0.35">
      <c r="B4" s="166" t="s">
        <v>160</v>
      </c>
      <c r="C4" s="141">
        <v>45658</v>
      </c>
      <c r="D4" s="141">
        <v>45689</v>
      </c>
      <c r="E4" s="141">
        <v>45717</v>
      </c>
      <c r="F4" s="141">
        <v>45748</v>
      </c>
      <c r="G4" s="141">
        <v>45778</v>
      </c>
      <c r="H4" s="141">
        <v>45809</v>
      </c>
      <c r="I4" s="141">
        <v>45839</v>
      </c>
      <c r="J4" s="141">
        <v>45870</v>
      </c>
      <c r="K4" s="141">
        <v>45901</v>
      </c>
      <c r="L4" s="141">
        <v>45931</v>
      </c>
      <c r="M4" s="141">
        <v>45962</v>
      </c>
      <c r="N4" s="141">
        <v>45992</v>
      </c>
      <c r="O4" s="141">
        <v>46023</v>
      </c>
      <c r="P4" s="141">
        <v>46054</v>
      </c>
      <c r="Q4" s="141">
        <v>46082</v>
      </c>
      <c r="R4" s="141">
        <v>46113</v>
      </c>
      <c r="S4" s="141">
        <v>46143</v>
      </c>
    </row>
    <row r="5" spans="2:22" s="259" customFormat="1" x14ac:dyDescent="0.35">
      <c r="B5" s="167" t="s">
        <v>221</v>
      </c>
      <c r="C5" s="266"/>
      <c r="D5" s="266"/>
      <c r="E5" s="266">
        <v>964000</v>
      </c>
      <c r="F5" s="266">
        <v>1763514.09</v>
      </c>
      <c r="G5" s="266">
        <v>1757000</v>
      </c>
      <c r="H5" s="266">
        <v>1902500.02</v>
      </c>
      <c r="I5" s="266">
        <v>1961406</v>
      </c>
      <c r="J5" s="266">
        <v>1951450</v>
      </c>
      <c r="K5" s="266">
        <v>853846</v>
      </c>
      <c r="L5" s="266">
        <v>622493.01</v>
      </c>
      <c r="M5" s="266">
        <v>907500</v>
      </c>
      <c r="N5" s="266">
        <v>625825</v>
      </c>
      <c r="O5" s="266">
        <v>1020778</v>
      </c>
      <c r="P5" s="266">
        <v>659001</v>
      </c>
      <c r="Q5" s="266">
        <v>1051000</v>
      </c>
      <c r="R5" s="266">
        <v>1227000</v>
      </c>
      <c r="S5" s="266"/>
    </row>
    <row r="6" spans="2:22" s="259" customFormat="1" x14ac:dyDescent="0.35">
      <c r="B6" s="165" t="s">
        <v>216</v>
      </c>
      <c r="C6" s="266">
        <v>150000</v>
      </c>
      <c r="D6" s="266"/>
      <c r="E6" s="266">
        <v>150000</v>
      </c>
      <c r="F6" s="990"/>
      <c r="G6" s="990"/>
      <c r="H6" s="990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</row>
    <row r="7" spans="2:22" s="259" customFormat="1" x14ac:dyDescent="0.35">
      <c r="B7" s="165" t="s">
        <v>100</v>
      </c>
      <c r="C7" s="266">
        <v>2240048.4</v>
      </c>
      <c r="D7" s="266">
        <v>1806402.83</v>
      </c>
      <c r="E7" s="266">
        <v>2447085</v>
      </c>
      <c r="F7" s="266">
        <v>2817108</v>
      </c>
      <c r="G7" s="266">
        <v>2817108</v>
      </c>
      <c r="H7" s="266">
        <v>2987662.5</v>
      </c>
      <c r="I7" s="266">
        <v>3018848</v>
      </c>
      <c r="J7" s="266">
        <v>3253763</v>
      </c>
      <c r="K7" s="266">
        <v>3252503</v>
      </c>
      <c r="L7" s="266">
        <v>3374035.2899999996</v>
      </c>
      <c r="M7" s="266">
        <v>3275352.8</v>
      </c>
      <c r="N7" s="266"/>
      <c r="O7" s="266"/>
      <c r="P7" s="266"/>
      <c r="Q7" s="266"/>
      <c r="R7" s="266"/>
      <c r="S7" s="266"/>
    </row>
    <row r="8" spans="2:22" s="259" customFormat="1" x14ac:dyDescent="0.35">
      <c r="B8" s="168" t="s">
        <v>218</v>
      </c>
      <c r="C8" s="266">
        <v>83133.290000000008</v>
      </c>
      <c r="D8" s="266">
        <v>108153.67</v>
      </c>
      <c r="E8" s="266">
        <v>111838.72999999998</v>
      </c>
      <c r="F8" s="266">
        <v>273194.45999999996</v>
      </c>
      <c r="G8" s="266">
        <v>382880.04</v>
      </c>
      <c r="H8" s="266">
        <v>245052.88999999998</v>
      </c>
      <c r="I8" s="266">
        <v>567556.66000000015</v>
      </c>
      <c r="J8" s="266">
        <v>322994.82</v>
      </c>
      <c r="K8" s="266">
        <v>567394.81999999983</v>
      </c>
      <c r="L8" s="266">
        <v>603374.92000000004</v>
      </c>
      <c r="M8" s="266">
        <v>447563.67999999993</v>
      </c>
      <c r="N8" s="266">
        <v>881403.34</v>
      </c>
      <c r="O8" s="266">
        <v>667797.87</v>
      </c>
      <c r="P8" s="266">
        <v>1489831.8699999999</v>
      </c>
      <c r="Q8" s="266">
        <v>869578.73</v>
      </c>
      <c r="R8" s="266">
        <v>660407.42000000004</v>
      </c>
      <c r="S8" s="266"/>
    </row>
    <row r="9" spans="2:22" s="259" customFormat="1" x14ac:dyDescent="0.35">
      <c r="B9" s="165" t="s">
        <v>106</v>
      </c>
      <c r="C9" s="266"/>
      <c r="D9" s="266">
        <v>3076445.84</v>
      </c>
      <c r="E9" s="266">
        <f>582391.93+SUM('M.O. ELE'!L17:L18)+(SUM('M.O. HORM'!L23:L24)*60%)</f>
        <v>4065955.33</v>
      </c>
      <c r="F9" s="266">
        <v>2170465.7999999998</v>
      </c>
      <c r="G9" s="266">
        <v>452739.93</v>
      </c>
      <c r="H9" s="266">
        <v>333787.7</v>
      </c>
      <c r="I9" s="268"/>
      <c r="J9" s="268"/>
      <c r="K9" s="268"/>
      <c r="L9" s="268">
        <v>562822.19999999995</v>
      </c>
      <c r="M9" s="1213">
        <v>202741.83</v>
      </c>
      <c r="N9" s="268"/>
      <c r="O9" s="268"/>
      <c r="P9" s="268"/>
      <c r="Q9" s="268"/>
      <c r="R9" s="268"/>
      <c r="S9" s="268"/>
    </row>
    <row r="10" spans="2:22" s="259" customFormat="1" x14ac:dyDescent="0.35">
      <c r="B10" s="165" t="s">
        <v>574</v>
      </c>
      <c r="C10" s="266"/>
      <c r="D10" s="266">
        <v>3900000</v>
      </c>
      <c r="E10" s="266">
        <v>3900000</v>
      </c>
      <c r="F10" s="990"/>
      <c r="G10" s="990"/>
      <c r="H10" s="990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</row>
    <row r="11" spans="2:22" s="259" customFormat="1" x14ac:dyDescent="0.35">
      <c r="B11" s="168" t="s">
        <v>161</v>
      </c>
      <c r="C11" s="267"/>
      <c r="D11" s="267">
        <f>SUM('M.O. HORM'!L22)</f>
        <v>2555627</v>
      </c>
      <c r="E11" s="267"/>
      <c r="F11" s="267">
        <v>5000000</v>
      </c>
      <c r="G11" s="267">
        <v>5000000</v>
      </c>
      <c r="H11" s="267">
        <v>5812500</v>
      </c>
      <c r="I11" s="267"/>
      <c r="J11" s="267">
        <f>SUM(Contratistas!C10:D11)</f>
        <v>6430886.3700000001</v>
      </c>
      <c r="K11" s="267"/>
      <c r="L11" s="267"/>
      <c r="M11" s="267"/>
      <c r="N11" s="267"/>
      <c r="O11" s="267"/>
      <c r="P11" s="267"/>
      <c r="Q11" s="267"/>
      <c r="R11" s="267"/>
      <c r="S11" s="267"/>
    </row>
    <row r="12" spans="2:22" s="259" customFormat="1" x14ac:dyDescent="0.35">
      <c r="B12" s="165" t="s">
        <v>162</v>
      </c>
      <c r="C12" s="266"/>
      <c r="D12" s="266">
        <v>7421307.1600000001</v>
      </c>
      <c r="E12" s="266">
        <v>934481.37</v>
      </c>
      <c r="F12" s="266">
        <v>6221403.1100000003</v>
      </c>
      <c r="G12" s="266">
        <v>3385750.4400000023</v>
      </c>
      <c r="H12" s="266">
        <v>3530590.83</v>
      </c>
      <c r="I12" s="266"/>
      <c r="J12" s="266">
        <v>3744037.29</v>
      </c>
      <c r="K12" s="266">
        <v>1646601.2200000002</v>
      </c>
      <c r="L12" s="266">
        <v>4258986.68</v>
      </c>
      <c r="M12" s="266">
        <v>1572093.6</v>
      </c>
      <c r="N12" s="266">
        <v>190000</v>
      </c>
      <c r="O12" s="266">
        <v>475000</v>
      </c>
      <c r="P12" s="266"/>
      <c r="Q12" s="266">
        <v>223140.49</v>
      </c>
      <c r="R12" s="266">
        <v>83123.600000000006</v>
      </c>
      <c r="S12" s="266"/>
    </row>
    <row r="13" spans="2:22" s="259" customFormat="1" x14ac:dyDescent="0.35">
      <c r="B13" s="165" t="s">
        <v>163</v>
      </c>
      <c r="C13" s="266"/>
      <c r="D13" s="999"/>
      <c r="E13" s="266">
        <f>SUM('M.O. HORM'!L23:L24)*40%</f>
        <v>2102991.6</v>
      </c>
      <c r="F13" s="266">
        <f>165240+SUM('M.O. HORM'!M25:M26)</f>
        <v>17862837</v>
      </c>
      <c r="G13" s="266">
        <f>SUM('M.O. HORM'!M27:M28)+257357.68</f>
        <v>18399394.009191982</v>
      </c>
      <c r="H13" s="266">
        <f>SUM('M.O. HORM'!M29:M30)</f>
        <v>21489374.760149814</v>
      </c>
      <c r="I13" s="266">
        <f>SUM('M.O. HORM'!M31:M32)+125685</f>
        <v>26401198</v>
      </c>
      <c r="J13" s="266">
        <f>SUM('M.O. HORM'!M33:M34)</f>
        <v>22702900.739999998</v>
      </c>
      <c r="K13" s="266">
        <f>100040+SUM('M.O. HORM'!M35:M36)</f>
        <v>26719160.39979323</v>
      </c>
      <c r="L13" s="266">
        <f>SUM('M.O. HORM'!M37:M38)</f>
        <v>31168841.275886506</v>
      </c>
      <c r="M13" s="266">
        <f>SUM('M.O. HORM'!M39:M40)</f>
        <v>30645861.5633334</v>
      </c>
      <c r="N13" s="266">
        <f>SUM('M.O. HORM'!M41:M42)</f>
        <v>29665402.632109251</v>
      </c>
      <c r="O13" s="266">
        <f>SUM('M.O. HORM'!M43:M44)</f>
        <v>26268531.441198006</v>
      </c>
      <c r="P13" s="266">
        <f>SUM('M.O. HORM'!M45:M46)</f>
        <v>17271364.254189882</v>
      </c>
      <c r="Q13" s="266">
        <f>SUM('M.O. HORM'!M47:M48)</f>
        <v>10692908.057170907</v>
      </c>
      <c r="R13" s="266">
        <f>SUM('M.O. HORM'!M49:M50)</f>
        <v>8760556.9012859296</v>
      </c>
      <c r="S13" s="266">
        <f>SUM('M.O. HORM'!M51:M52)</f>
        <v>7793473.3095860975</v>
      </c>
    </row>
    <row r="14" spans="2:22" s="259" customFormat="1" x14ac:dyDescent="0.35">
      <c r="B14" s="165" t="s">
        <v>164</v>
      </c>
      <c r="C14" s="266">
        <v>22000</v>
      </c>
      <c r="D14" s="999"/>
      <c r="E14" s="266"/>
      <c r="F14" s="990"/>
      <c r="G14" s="990"/>
      <c r="H14" s="990"/>
      <c r="I14" s="266">
        <v>203018.10999999987</v>
      </c>
      <c r="J14" s="266">
        <v>955956.22</v>
      </c>
      <c r="K14" s="266">
        <v>404650.26</v>
      </c>
      <c r="L14" s="266">
        <v>163547.59</v>
      </c>
      <c r="M14" s="266"/>
      <c r="N14" s="266"/>
      <c r="O14" s="266"/>
      <c r="P14" s="266"/>
      <c r="Q14" s="266"/>
      <c r="R14" s="266"/>
      <c r="S14" s="266"/>
    </row>
    <row r="15" spans="2:22" s="259" customFormat="1" x14ac:dyDescent="0.35">
      <c r="B15" s="165" t="s">
        <v>165</v>
      </c>
      <c r="C15" s="266"/>
      <c r="D15" s="999"/>
      <c r="E15" s="266">
        <v>67000</v>
      </c>
      <c r="F15" s="266">
        <v>240500</v>
      </c>
      <c r="G15" s="266">
        <f>240000+257357.68</f>
        <v>497357.68</v>
      </c>
      <c r="H15" s="266">
        <v>100000</v>
      </c>
      <c r="I15" s="266"/>
      <c r="J15" s="266"/>
      <c r="K15" s="266">
        <f>288000+SUM('M.O. ALBA'!M16)</f>
        <v>2134429.8361698673</v>
      </c>
      <c r="L15" s="266"/>
      <c r="M15" s="266"/>
      <c r="N15" s="266"/>
      <c r="O15" s="266"/>
      <c r="P15" s="266"/>
      <c r="Q15" s="266"/>
      <c r="R15" s="266"/>
      <c r="S15" s="266"/>
    </row>
    <row r="16" spans="2:22" s="259" customFormat="1" x14ac:dyDescent="0.35">
      <c r="B16" s="168" t="s">
        <v>103</v>
      </c>
      <c r="C16" s="268"/>
      <c r="D16" s="268">
        <v>165000</v>
      </c>
      <c r="E16" s="268">
        <v>80000</v>
      </c>
      <c r="F16" s="268">
        <v>237000</v>
      </c>
      <c r="G16" s="268">
        <v>337000</v>
      </c>
      <c r="H16" s="268">
        <v>543000</v>
      </c>
      <c r="I16" s="268">
        <v>256958.68</v>
      </c>
      <c r="J16" s="268">
        <v>425200</v>
      </c>
      <c r="K16" s="268">
        <v>246000</v>
      </c>
      <c r="L16" s="268">
        <v>479500</v>
      </c>
      <c r="M16" s="268"/>
      <c r="N16" s="268"/>
      <c r="O16" s="268">
        <v>1142857.1400000001</v>
      </c>
      <c r="P16" s="268">
        <v>26363.64</v>
      </c>
      <c r="Q16" s="268">
        <v>925142.86</v>
      </c>
      <c r="R16" s="268"/>
      <c r="S16" s="268"/>
    </row>
    <row r="17" spans="2:19" s="259" customFormat="1" x14ac:dyDescent="0.35">
      <c r="B17" s="168" t="s">
        <v>177</v>
      </c>
      <c r="C17" s="268">
        <v>296509.21399999998</v>
      </c>
      <c r="D17" s="268">
        <v>257327.67300000001</v>
      </c>
      <c r="E17" s="268">
        <v>257327.67300000001</v>
      </c>
      <c r="F17" s="268">
        <v>290739.62964016676</v>
      </c>
      <c r="G17" s="268">
        <v>296307.18208431051</v>
      </c>
      <c r="H17" s="268">
        <v>301650.01405171939</v>
      </c>
      <c r="I17" s="268">
        <v>315509.70330748591</v>
      </c>
      <c r="J17" s="268">
        <v>525701.05021261831</v>
      </c>
      <c r="K17" s="268">
        <v>562300.63181674632</v>
      </c>
      <c r="L17" s="268">
        <v>589101.03886858781</v>
      </c>
      <c r="M17" s="268">
        <v>574796.93957693304</v>
      </c>
      <c r="N17" s="268"/>
      <c r="O17" s="268"/>
      <c r="P17" s="268"/>
      <c r="Q17" s="268"/>
      <c r="R17" s="268"/>
      <c r="S17" s="268"/>
    </row>
    <row r="18" spans="2:19" s="259" customFormat="1" x14ac:dyDescent="0.35">
      <c r="B18" s="169" t="s">
        <v>52</v>
      </c>
      <c r="C18" s="269">
        <f t="shared" ref="C18:H18" si="0">SUM(C5:C17)</f>
        <v>2791690.9040000001</v>
      </c>
      <c r="D18" s="269">
        <f t="shared" si="0"/>
        <v>19290264.173</v>
      </c>
      <c r="E18" s="269">
        <f t="shared" si="0"/>
        <v>15080679.703</v>
      </c>
      <c r="F18" s="269">
        <f t="shared" si="0"/>
        <v>36876762.08964017</v>
      </c>
      <c r="G18" s="269">
        <f t="shared" si="0"/>
        <v>33325537.281276293</v>
      </c>
      <c r="H18" s="269">
        <f t="shared" si="0"/>
        <v>37246118.714201532</v>
      </c>
      <c r="I18" s="269">
        <f t="shared" ref="I18:J18" si="1">SUM(I5:I17)</f>
        <v>32724495.153307486</v>
      </c>
      <c r="J18" s="269">
        <f t="shared" si="1"/>
        <v>40312889.490212619</v>
      </c>
      <c r="K18" s="269">
        <f t="shared" ref="K18:P18" si="2">SUM(K5:K17)</f>
        <v>36386886.167779841</v>
      </c>
      <c r="L18" s="269">
        <f t="shared" si="2"/>
        <v>41822702.004755102</v>
      </c>
      <c r="M18" s="269">
        <f t="shared" si="2"/>
        <v>37625910.412910335</v>
      </c>
      <c r="N18" s="269">
        <f t="shared" si="2"/>
        <v>31362630.972109251</v>
      </c>
      <c r="O18" s="269">
        <f t="shared" si="2"/>
        <v>29574964.451198008</v>
      </c>
      <c r="P18" s="269">
        <f t="shared" si="2"/>
        <v>19446560.764189884</v>
      </c>
      <c r="Q18" s="269">
        <f t="shared" ref="Q18:R18" si="3">SUM(Q5:Q17)</f>
        <v>13761770.137170907</v>
      </c>
      <c r="R18" s="269">
        <f t="shared" si="3"/>
        <v>10731087.921285929</v>
      </c>
      <c r="S18" s="269">
        <f t="shared" ref="S18" si="4">SUM(S5:S17)</f>
        <v>7793473.3095860975</v>
      </c>
    </row>
    <row r="19" spans="2:19" x14ac:dyDescent="0.35">
      <c r="C19" s="926"/>
      <c r="D19" s="926"/>
      <c r="E19" s="933"/>
      <c r="F19" s="933"/>
    </row>
    <row r="20" spans="2:19" x14ac:dyDescent="0.35">
      <c r="B20" s="142" t="s">
        <v>549</v>
      </c>
      <c r="C20" s="141">
        <f t="shared" ref="C20:H20" si="5">C4</f>
        <v>45658</v>
      </c>
      <c r="D20" s="141">
        <f t="shared" si="5"/>
        <v>45689</v>
      </c>
      <c r="E20" s="141">
        <f t="shared" si="5"/>
        <v>45717</v>
      </c>
      <c r="F20" s="141">
        <f t="shared" si="5"/>
        <v>45748</v>
      </c>
      <c r="G20" s="141">
        <f t="shared" si="5"/>
        <v>45778</v>
      </c>
      <c r="H20" s="141">
        <f t="shared" si="5"/>
        <v>45809</v>
      </c>
      <c r="I20" s="141">
        <f t="shared" ref="I20:J20" si="6">I4</f>
        <v>45839</v>
      </c>
      <c r="J20" s="141">
        <f t="shared" si="6"/>
        <v>45870</v>
      </c>
      <c r="K20" s="141">
        <f t="shared" ref="K20:L20" si="7">K4</f>
        <v>45901</v>
      </c>
      <c r="L20" s="141">
        <f t="shared" si="7"/>
        <v>45931</v>
      </c>
      <c r="M20" s="141">
        <f t="shared" ref="M20:N20" si="8">M4</f>
        <v>45962</v>
      </c>
      <c r="N20" s="141">
        <f t="shared" si="8"/>
        <v>45992</v>
      </c>
      <c r="O20" s="141">
        <f t="shared" ref="O20:P20" si="9">O4</f>
        <v>46023</v>
      </c>
      <c r="P20" s="141">
        <f t="shared" si="9"/>
        <v>46054</v>
      </c>
      <c r="Q20" s="141">
        <f t="shared" ref="Q20:R20" si="10">Q4</f>
        <v>46082</v>
      </c>
      <c r="R20" s="141">
        <f t="shared" si="10"/>
        <v>46113</v>
      </c>
      <c r="S20" s="141">
        <f t="shared" ref="S20" si="11">S4</f>
        <v>46143</v>
      </c>
    </row>
    <row r="21" spans="2:19" x14ac:dyDescent="0.35">
      <c r="B21" s="143" t="s">
        <v>179</v>
      </c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</row>
    <row r="22" spans="2:19" x14ac:dyDescent="0.35">
      <c r="B22" s="143" t="s">
        <v>180</v>
      </c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</row>
    <row r="23" spans="2:19" x14ac:dyDescent="0.35">
      <c r="B23" s="143" t="s">
        <v>181</v>
      </c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</row>
    <row r="24" spans="2:19" x14ac:dyDescent="0.35">
      <c r="B24" s="143" t="s">
        <v>182</v>
      </c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</row>
    <row r="25" spans="2:19" x14ac:dyDescent="0.35">
      <c r="B25" s="143" t="s">
        <v>183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</row>
    <row r="26" spans="2:19" x14ac:dyDescent="0.35">
      <c r="B26" s="143" t="s">
        <v>184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</row>
    <row r="27" spans="2:19" x14ac:dyDescent="0.35">
      <c r="B27" s="143" t="s">
        <v>185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</row>
    <row r="28" spans="2:19" x14ac:dyDescent="0.35">
      <c r="B28" s="143" t="s">
        <v>186</v>
      </c>
      <c r="C28" s="265">
        <v>269532.42</v>
      </c>
      <c r="D28" s="264"/>
      <c r="E28" s="264">
        <v>1433795</v>
      </c>
      <c r="F28" s="264">
        <v>1040475.8361242213</v>
      </c>
      <c r="G28" s="264">
        <v>831588.94875638885</v>
      </c>
      <c r="H28" s="264">
        <v>421090.69063301501</v>
      </c>
      <c r="I28" s="264">
        <v>1437415.4332060486</v>
      </c>
      <c r="J28" s="264">
        <v>1898342.1384411291</v>
      </c>
      <c r="K28" s="264">
        <v>1141182.6750850002</v>
      </c>
      <c r="L28" s="264">
        <v>1965763.6974300002</v>
      </c>
      <c r="M28" s="264">
        <v>2005645.5177599993</v>
      </c>
      <c r="N28" s="264"/>
      <c r="O28" s="264"/>
      <c r="P28" s="264"/>
      <c r="Q28" s="264"/>
      <c r="R28" s="264"/>
      <c r="S28" s="264"/>
    </row>
    <row r="29" spans="2:19" x14ac:dyDescent="0.35">
      <c r="B29" s="143" t="s">
        <v>187</v>
      </c>
      <c r="C29" s="264">
        <v>380000</v>
      </c>
      <c r="D29" s="264">
        <v>400000</v>
      </c>
      <c r="E29" s="264">
        <v>404000</v>
      </c>
      <c r="F29" s="264">
        <v>300000</v>
      </c>
      <c r="G29" s="264">
        <v>400000</v>
      </c>
      <c r="H29" s="264">
        <v>580000</v>
      </c>
      <c r="I29" s="264">
        <v>400000</v>
      </c>
      <c r="J29" s="264">
        <v>803005.5</v>
      </c>
      <c r="K29" s="264">
        <v>594225.75</v>
      </c>
      <c r="L29" s="264">
        <v>609081.25</v>
      </c>
      <c r="M29" s="264">
        <v>494000</v>
      </c>
      <c r="N29" s="264"/>
      <c r="O29" s="264"/>
      <c r="P29" s="264"/>
      <c r="Q29" s="264"/>
      <c r="R29" s="264"/>
      <c r="S29" s="264"/>
    </row>
    <row r="30" spans="2:19" x14ac:dyDescent="0.35">
      <c r="B30" s="143" t="s">
        <v>188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</row>
    <row r="31" spans="2:19" x14ac:dyDescent="0.35">
      <c r="B31" s="143" t="s">
        <v>144</v>
      </c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</row>
    <row r="32" spans="2:19" x14ac:dyDescent="0.35">
      <c r="B32" s="143" t="s">
        <v>189</v>
      </c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</row>
    <row r="33" spans="2:19" x14ac:dyDescent="0.35">
      <c r="B33" s="143" t="s">
        <v>190</v>
      </c>
      <c r="C33" s="264">
        <v>317014.71999999997</v>
      </c>
      <c r="D33" s="264">
        <v>324628.2356713491</v>
      </c>
      <c r="E33" s="264">
        <v>209694.70014511026</v>
      </c>
      <c r="F33" s="264">
        <v>215525.96553149819</v>
      </c>
      <c r="G33" s="264">
        <v>219836.48484212812</v>
      </c>
      <c r="H33" s="264">
        <v>215572.72048379155</v>
      </c>
      <c r="I33" s="264">
        <v>291545.843242726</v>
      </c>
      <c r="J33" s="264">
        <v>371362.6539787706</v>
      </c>
      <c r="K33" s="264">
        <v>379161.26971232478</v>
      </c>
      <c r="L33" s="264">
        <v>387881.9789157082</v>
      </c>
      <c r="M33" s="264">
        <v>397579.02838860085</v>
      </c>
      <c r="N33" s="264"/>
      <c r="O33" s="264"/>
      <c r="P33" s="264"/>
      <c r="Q33" s="264"/>
      <c r="R33" s="264"/>
      <c r="S33" s="264"/>
    </row>
    <row r="34" spans="2:19" x14ac:dyDescent="0.35">
      <c r="B34" s="145" t="s">
        <v>41</v>
      </c>
      <c r="C34" s="322">
        <f t="shared" ref="C34" si="12">SUM(C21:C33)</f>
        <v>966547.1399999999</v>
      </c>
      <c r="D34" s="322">
        <f t="shared" ref="D34:E34" si="13">SUM(D21:D33)</f>
        <v>724628.2356713491</v>
      </c>
      <c r="E34" s="322">
        <f t="shared" si="13"/>
        <v>2047489.7001451103</v>
      </c>
      <c r="F34" s="322">
        <f t="shared" ref="F34:G34" si="14">SUM(F21:F33)</f>
        <v>1556001.8016557195</v>
      </c>
      <c r="G34" s="322">
        <f t="shared" si="14"/>
        <v>1451425.433598517</v>
      </c>
      <c r="H34" s="322">
        <f t="shared" ref="H34:I34" si="15">SUM(H21:H33)</f>
        <v>1216663.4111168066</v>
      </c>
      <c r="I34" s="322">
        <f t="shared" si="15"/>
        <v>2128961.2764487746</v>
      </c>
      <c r="J34" s="322">
        <f t="shared" ref="J34:K34" si="16">SUM(J21:J33)</f>
        <v>3072710.2924198997</v>
      </c>
      <c r="K34" s="322">
        <f t="shared" si="16"/>
        <v>2114569.6947973249</v>
      </c>
      <c r="L34" s="322">
        <f t="shared" ref="L34:M34" si="17">SUM(L21:L33)</f>
        <v>2962726.9263457083</v>
      </c>
      <c r="M34" s="322">
        <f t="shared" si="17"/>
        <v>2897224.5461486001</v>
      </c>
      <c r="N34" s="322">
        <f t="shared" ref="N34:O34" si="18">SUM(N21:N33)</f>
        <v>0</v>
      </c>
      <c r="O34" s="322">
        <f t="shared" si="18"/>
        <v>0</v>
      </c>
      <c r="P34" s="322">
        <f t="shared" ref="P34:Q34" si="19">SUM(P21:P33)</f>
        <v>0</v>
      </c>
      <c r="Q34" s="322">
        <f t="shared" si="19"/>
        <v>0</v>
      </c>
      <c r="R34" s="322">
        <f t="shared" ref="R34:S34" si="20">SUM(R21:R33)</f>
        <v>0</v>
      </c>
      <c r="S34" s="322">
        <f t="shared" si="20"/>
        <v>0</v>
      </c>
    </row>
    <row r="35" spans="2:19" x14ac:dyDescent="0.35">
      <c r="B35" s="144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x14ac:dyDescent="0.35">
      <c r="B36" s="142" t="s">
        <v>550</v>
      </c>
      <c r="C36" s="141">
        <f t="shared" ref="C36:H36" si="21">C4</f>
        <v>45658</v>
      </c>
      <c r="D36" s="141">
        <f t="shared" si="21"/>
        <v>45689</v>
      </c>
      <c r="E36" s="141">
        <f t="shared" si="21"/>
        <v>45717</v>
      </c>
      <c r="F36" s="141">
        <f t="shared" si="21"/>
        <v>45748</v>
      </c>
      <c r="G36" s="141">
        <f t="shared" si="21"/>
        <v>45778</v>
      </c>
      <c r="H36" s="141">
        <f t="shared" si="21"/>
        <v>45809</v>
      </c>
      <c r="I36" s="141">
        <f t="shared" ref="I36:J36" si="22">I4</f>
        <v>45839</v>
      </c>
      <c r="J36" s="141">
        <f t="shared" si="22"/>
        <v>45870</v>
      </c>
      <c r="K36" s="141">
        <f t="shared" ref="K36:L36" si="23">K4</f>
        <v>45901</v>
      </c>
      <c r="L36" s="141">
        <f t="shared" si="23"/>
        <v>45931</v>
      </c>
      <c r="M36" s="141">
        <f t="shared" ref="M36:N36" si="24">M4</f>
        <v>45962</v>
      </c>
      <c r="N36" s="141">
        <f t="shared" si="24"/>
        <v>45992</v>
      </c>
      <c r="O36" s="141">
        <f t="shared" ref="O36:P36" si="25">O4</f>
        <v>46023</v>
      </c>
      <c r="P36" s="141">
        <f t="shared" si="25"/>
        <v>46054</v>
      </c>
      <c r="Q36" s="141">
        <f t="shared" ref="Q36:R36" si="26">Q4</f>
        <v>46082</v>
      </c>
      <c r="R36" s="141">
        <f t="shared" si="26"/>
        <v>46113</v>
      </c>
      <c r="S36" s="141">
        <f t="shared" ref="S36" si="27">S4</f>
        <v>46143</v>
      </c>
    </row>
    <row r="37" spans="2:19" x14ac:dyDescent="0.35">
      <c r="B37" s="143" t="s">
        <v>191</v>
      </c>
      <c r="C37" s="263">
        <v>1284241.8496825288</v>
      </c>
      <c r="D37" s="263">
        <v>645563.28</v>
      </c>
      <c r="E37" s="263">
        <v>648051</v>
      </c>
      <c r="F37" s="263">
        <v>651253.32128970907</v>
      </c>
      <c r="G37" s="263">
        <v>651253.32128970907</v>
      </c>
      <c r="H37" s="263">
        <v>651253.32128970907</v>
      </c>
      <c r="I37" s="263">
        <v>651253.32128970907</v>
      </c>
      <c r="J37" s="263">
        <v>677659.8378326667</v>
      </c>
      <c r="K37" s="263">
        <v>1016489.7567489999</v>
      </c>
      <c r="L37" s="263">
        <v>677659.8</v>
      </c>
      <c r="M37" s="263">
        <v>771924.6</v>
      </c>
      <c r="N37" s="263"/>
      <c r="O37" s="263"/>
      <c r="P37" s="263"/>
      <c r="Q37" s="263"/>
      <c r="R37" s="263"/>
      <c r="S37" s="263"/>
    </row>
    <row r="38" spans="2:19" x14ac:dyDescent="0.35">
      <c r="B38" s="143" t="s">
        <v>192</v>
      </c>
      <c r="C38" s="265">
        <v>541548.42914753465</v>
      </c>
      <c r="D38" s="265">
        <v>722455.51</v>
      </c>
      <c r="E38" s="265">
        <v>1489141</v>
      </c>
      <c r="F38" s="265">
        <v>1517775.9897</v>
      </c>
      <c r="G38" s="265">
        <v>1149002.8797298786</v>
      </c>
      <c r="H38" s="265">
        <v>2298005.7594597572</v>
      </c>
      <c r="I38" s="265">
        <v>1149002.8797298786</v>
      </c>
      <c r="J38" s="265">
        <v>1557715.5044999998</v>
      </c>
      <c r="K38" s="265">
        <v>2058987.8146795826</v>
      </c>
      <c r="L38" s="265">
        <v>1544240.8610096867</v>
      </c>
      <c r="M38" s="265">
        <v>1448633.1548999997</v>
      </c>
      <c r="N38" s="265"/>
      <c r="O38" s="265"/>
      <c r="P38" s="265"/>
      <c r="Q38" s="265"/>
      <c r="R38" s="265"/>
      <c r="S38" s="265"/>
    </row>
    <row r="39" spans="2:19" x14ac:dyDescent="0.35">
      <c r="B39" s="145" t="s">
        <v>42</v>
      </c>
      <c r="C39" s="322">
        <f>SUM(C37:C38)</f>
        <v>1825790.2788300635</v>
      </c>
      <c r="D39" s="322">
        <f>SUM(D37:D38)</f>
        <v>1368018.79</v>
      </c>
      <c r="E39" s="322">
        <f>SUM(E37:E38)</f>
        <v>2137192</v>
      </c>
      <c r="F39" s="322">
        <f>SUM(F37:F38)</f>
        <v>2169029.3109897091</v>
      </c>
      <c r="G39" s="322">
        <f>SUM(G37:G38)</f>
        <v>1800256.2010195877</v>
      </c>
      <c r="H39" s="322">
        <f t="shared" ref="H39:I39" si="28">SUM(H37:H38)</f>
        <v>2949259.0807494661</v>
      </c>
      <c r="I39" s="322">
        <f t="shared" si="28"/>
        <v>1800256.2010195877</v>
      </c>
      <c r="J39" s="322">
        <f t="shared" ref="J39:K39" si="29">SUM(J37:J38)</f>
        <v>2235375.3423326667</v>
      </c>
      <c r="K39" s="322">
        <f t="shared" si="29"/>
        <v>3075477.5714285825</v>
      </c>
      <c r="L39" s="322">
        <f t="shared" ref="L39:M39" si="30">SUM(L37:L38)</f>
        <v>2221900.661009687</v>
      </c>
      <c r="M39" s="322">
        <f t="shared" si="30"/>
        <v>2220557.7548999996</v>
      </c>
      <c r="N39" s="322">
        <f t="shared" ref="N39:O39" si="31">SUM(N37:N38)</f>
        <v>0</v>
      </c>
      <c r="O39" s="322">
        <f t="shared" si="31"/>
        <v>0</v>
      </c>
      <c r="P39" s="322">
        <f t="shared" ref="P39:Q39" si="32">SUM(P37:P38)</f>
        <v>0</v>
      </c>
      <c r="Q39" s="322">
        <f t="shared" si="32"/>
        <v>0</v>
      </c>
      <c r="R39" s="322">
        <f t="shared" ref="R39:S39" si="33">SUM(R37:R38)</f>
        <v>0</v>
      </c>
      <c r="S39" s="322">
        <f t="shared" si="33"/>
        <v>0</v>
      </c>
    </row>
  </sheetData>
  <phoneticPr fontId="23" type="noConversion"/>
  <pageMargins left="0.7" right="0.7" top="0.75" bottom="0.75" header="0.3" footer="0.3"/>
  <pageSetup paperSize="9" orientation="portrait" r:id="rId1"/>
  <ignoredErrors>
    <ignoredError sqref="C18:F18 C39:D39 C34:D34 G18:I18 J18:K18" formulaRange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E4CC-9AE7-4FCA-824E-A7DFB0AF9BF7}">
  <sheetPr>
    <tabColor rgb="FFC6EFCE"/>
  </sheetPr>
  <dimension ref="B1:O46"/>
  <sheetViews>
    <sheetView showGridLines="0" topLeftCell="A15" workbookViewId="0">
      <selection activeCell="Q40" sqref="Q40"/>
    </sheetView>
  </sheetViews>
  <sheetFormatPr defaultColWidth="11.453125" defaultRowHeight="14.5" x14ac:dyDescent="0.35"/>
  <cols>
    <col min="1" max="1" width="4.453125" style="258" customWidth="1"/>
    <col min="2" max="2" width="27.1796875" style="65" customWidth="1"/>
    <col min="3" max="3" width="9.26953125" style="258" customWidth="1"/>
    <col min="4" max="4" width="10" style="258" bestFit="1" customWidth="1"/>
    <col min="5" max="5" width="9.81640625" style="258" customWidth="1"/>
    <col min="6" max="6" width="11.453125" style="258"/>
    <col min="7" max="7" width="11" style="258" bestFit="1" customWidth="1"/>
    <col min="8" max="8" width="10.81640625" style="258" customWidth="1"/>
    <col min="9" max="10" width="11" style="258" bestFit="1" customWidth="1"/>
    <col min="11" max="12" width="11.453125" style="258"/>
    <col min="13" max="13" width="12.26953125" style="258" customWidth="1"/>
    <col min="14" max="16384" width="11.453125" style="258"/>
  </cols>
  <sheetData>
    <row r="1" spans="2:15" ht="15" thickBot="1" x14ac:dyDescent="0.4">
      <c r="B1" s="64" t="s">
        <v>238</v>
      </c>
      <c r="N1" s="193" t="s">
        <v>226</v>
      </c>
      <c r="O1" s="241">
        <v>46174</v>
      </c>
    </row>
    <row r="2" spans="2:15" x14ac:dyDescent="0.35">
      <c r="B2" s="904" t="s">
        <v>240</v>
      </c>
    </row>
    <row r="4" spans="2:15" s="259" customFormat="1" x14ac:dyDescent="0.35">
      <c r="B4" s="166" t="s">
        <v>160</v>
      </c>
      <c r="C4" s="141">
        <v>45839</v>
      </c>
      <c r="D4" s="141">
        <v>45870</v>
      </c>
      <c r="E4" s="141">
        <v>45901</v>
      </c>
      <c r="F4" s="141">
        <v>45931</v>
      </c>
      <c r="G4" s="141">
        <v>45962</v>
      </c>
      <c r="H4" s="141">
        <v>45992</v>
      </c>
      <c r="I4" s="141">
        <v>46023</v>
      </c>
      <c r="J4" s="141">
        <v>46054</v>
      </c>
      <c r="K4" s="141">
        <v>46082</v>
      </c>
      <c r="L4" s="141">
        <v>46113</v>
      </c>
      <c r="M4" s="141">
        <v>46143</v>
      </c>
    </row>
    <row r="5" spans="2:15" s="259" customFormat="1" x14ac:dyDescent="0.35">
      <c r="B5" s="167" t="s">
        <v>221</v>
      </c>
      <c r="C5" s="266"/>
      <c r="D5" s="990"/>
      <c r="E5" s="266"/>
      <c r="F5" s="266"/>
      <c r="G5" s="266"/>
      <c r="H5" s="266"/>
      <c r="I5" s="266"/>
      <c r="J5" s="266"/>
      <c r="K5" s="266"/>
      <c r="L5" s="266"/>
      <c r="M5" s="266">
        <v>1407000</v>
      </c>
    </row>
    <row r="6" spans="2:15" s="259" customFormat="1" x14ac:dyDescent="0.35">
      <c r="B6" s="165" t="s">
        <v>100</v>
      </c>
      <c r="C6" s="266"/>
      <c r="D6" s="990"/>
      <c r="E6" s="266"/>
      <c r="F6" s="266"/>
      <c r="G6" s="266"/>
      <c r="H6" s="266">
        <v>4921623.7399999993</v>
      </c>
      <c r="I6" s="266">
        <v>3399806.5099999993</v>
      </c>
      <c r="J6" s="266">
        <v>3458743.6231999998</v>
      </c>
      <c r="K6" s="266">
        <v>3333288.8032</v>
      </c>
      <c r="L6" s="266">
        <v>3958811.9777828003</v>
      </c>
      <c r="M6" s="266">
        <v>3838186.8462220905</v>
      </c>
    </row>
    <row r="7" spans="2:15" s="259" customFormat="1" x14ac:dyDescent="0.35">
      <c r="B7" s="168" t="s">
        <v>218</v>
      </c>
      <c r="C7" s="266"/>
      <c r="D7" s="990"/>
      <c r="E7" s="266"/>
      <c r="F7" s="266"/>
      <c r="G7" s="266"/>
      <c r="H7" s="266"/>
      <c r="I7" s="266"/>
      <c r="J7" s="266"/>
      <c r="K7" s="266"/>
      <c r="L7" s="266"/>
      <c r="M7" s="266">
        <v>324436.07</v>
      </c>
    </row>
    <row r="8" spans="2:15" s="259" customFormat="1" x14ac:dyDescent="0.35">
      <c r="B8" s="165" t="s">
        <v>164</v>
      </c>
      <c r="C8" s="266"/>
      <c r="D8" s="990"/>
      <c r="E8" s="266"/>
      <c r="F8" s="266">
        <v>21385400.670000002</v>
      </c>
      <c r="G8" s="266">
        <v>5653260.9299999997</v>
      </c>
      <c r="H8" s="266">
        <v>524503.91</v>
      </c>
      <c r="I8" s="266">
        <v>4059472.75</v>
      </c>
      <c r="J8" s="266">
        <v>3330609.25</v>
      </c>
      <c r="K8" s="266">
        <v>3645438.85</v>
      </c>
      <c r="L8" s="266">
        <f>21849800.31+26100-600000</f>
        <v>21275900.309999999</v>
      </c>
      <c r="M8" s="266">
        <v>23833773.690000001</v>
      </c>
    </row>
    <row r="9" spans="2:15" s="259" customFormat="1" x14ac:dyDescent="0.35">
      <c r="B9" s="165" t="s">
        <v>165</v>
      </c>
      <c r="C9" s="266"/>
      <c r="D9" s="990"/>
      <c r="E9" s="266"/>
      <c r="F9" s="266">
        <f>1402000+SUM('M.O. ALBA'!M17:M18)</f>
        <v>10224408.09419016</v>
      </c>
      <c r="G9" s="266">
        <f>500000+SUM('M.O. ALBA'!M19:M20)</f>
        <v>9687819.9101137407</v>
      </c>
      <c r="H9" s="266">
        <f>511000+SUM('M.O. ALBA'!M21:M22)</f>
        <v>15241735.310235361</v>
      </c>
      <c r="I9" s="266">
        <f>521000+SUM('M.O. ALBA'!M23:M24)</f>
        <v>23120863.1291482</v>
      </c>
      <c r="J9" s="266">
        <f>SUM('M.O. ALBA'!M25:M26)</f>
        <v>23725838.653781451</v>
      </c>
      <c r="K9" s="266">
        <f>SUM('M.O. ALBA'!M27:M28)</f>
        <v>26071566.495779902</v>
      </c>
      <c r="L9" s="266">
        <f>290000+SUM(Contratistas!C67,Contratistas!C70,Contratistas!C72)+SUM('M.O. ALBA'!M29:M30)</f>
        <v>31653420.821541026</v>
      </c>
      <c r="M9" s="266">
        <f>SUM(Contratistas!C74,Contratistas!C76,Contratistas!C77,Contratistas!C78,Contratistas!C80:D81,'M.O. ALBA'!M31:M32)</f>
        <v>34129759.93553669</v>
      </c>
    </row>
    <row r="10" spans="2:15" s="259" customFormat="1" x14ac:dyDescent="0.35">
      <c r="B10" s="240" t="s">
        <v>166</v>
      </c>
      <c r="C10" s="266"/>
      <c r="D10" s="990"/>
      <c r="E10" s="266">
        <v>14055.62</v>
      </c>
      <c r="F10" s="266"/>
      <c r="G10" s="266"/>
      <c r="H10" s="266"/>
      <c r="I10" s="266"/>
      <c r="J10" s="266">
        <v>6856283.7000000002</v>
      </c>
      <c r="K10" s="266">
        <v>1071902.3</v>
      </c>
      <c r="L10" s="266">
        <v>491875.55</v>
      </c>
      <c r="M10" s="266">
        <v>12647942.870000001</v>
      </c>
    </row>
    <row r="11" spans="2:15" s="259" customFormat="1" x14ac:dyDescent="0.35">
      <c r="B11" s="168" t="s">
        <v>167</v>
      </c>
      <c r="C11" s="266"/>
      <c r="D11" s="990"/>
      <c r="E11" s="266"/>
      <c r="F11" s="266"/>
      <c r="G11" s="266"/>
      <c r="H11" s="266"/>
      <c r="I11" s="266">
        <v>1027500</v>
      </c>
      <c r="J11" s="266">
        <v>1288504.57</v>
      </c>
      <c r="K11" s="266">
        <f>SUM(Contratistas!C65:D66)</f>
        <v>943540.89</v>
      </c>
      <c r="L11" s="266">
        <f>SUM(Contratistas!C68:D69,Contratistas!C71:D71,Contratistas!C73:D73)</f>
        <v>5822807.1900000004</v>
      </c>
      <c r="M11" s="266"/>
    </row>
    <row r="12" spans="2:15" s="259" customFormat="1" x14ac:dyDescent="0.35">
      <c r="B12" s="168" t="s">
        <v>169</v>
      </c>
      <c r="C12" s="268"/>
      <c r="D12" s="1033"/>
      <c r="E12" s="268"/>
      <c r="F12" s="268"/>
      <c r="G12" s="268"/>
      <c r="H12" s="268">
        <v>57872.52</v>
      </c>
      <c r="I12" s="268"/>
      <c r="J12" s="268"/>
      <c r="K12" s="268"/>
      <c r="L12" s="268"/>
      <c r="M12" s="268"/>
    </row>
    <row r="13" spans="2:15" s="259" customFormat="1" x14ac:dyDescent="0.35">
      <c r="B13" s="168" t="s">
        <v>170</v>
      </c>
      <c r="C13" s="268"/>
      <c r="D13" s="268">
        <v>93600</v>
      </c>
      <c r="E13" s="268"/>
      <c r="F13" s="268"/>
      <c r="G13" s="268"/>
      <c r="H13" s="268"/>
      <c r="I13" s="268"/>
      <c r="J13" s="268"/>
      <c r="K13" s="268"/>
      <c r="L13" s="268"/>
      <c r="M13" s="268"/>
    </row>
    <row r="14" spans="2:15" s="259" customFormat="1" x14ac:dyDescent="0.35">
      <c r="B14" s="168" t="s">
        <v>171</v>
      </c>
      <c r="C14" s="268"/>
      <c r="D14" s="268">
        <v>278030.38</v>
      </c>
      <c r="E14" s="268">
        <v>1035273.8300000001</v>
      </c>
      <c r="F14" s="268">
        <v>2959054.59</v>
      </c>
      <c r="G14" s="268">
        <v>1344156.8900000001</v>
      </c>
      <c r="H14" s="268">
        <v>48067.03</v>
      </c>
      <c r="I14" s="268">
        <v>529125.51</v>
      </c>
      <c r="J14" s="268"/>
      <c r="K14" s="268"/>
      <c r="L14" s="268">
        <v>157662.81</v>
      </c>
      <c r="M14" s="268">
        <v>6134204.3799999999</v>
      </c>
    </row>
    <row r="15" spans="2:15" s="259" customFormat="1" x14ac:dyDescent="0.35">
      <c r="B15" s="168" t="s">
        <v>172</v>
      </c>
      <c r="C15" s="268">
        <v>550000</v>
      </c>
      <c r="D15" s="1033"/>
      <c r="E15" s="268">
        <f>SUM(Contratistas!C28:D28)</f>
        <v>163802.48000000001</v>
      </c>
      <c r="F15" s="268"/>
      <c r="G15" s="268"/>
      <c r="H15" s="268">
        <v>605000</v>
      </c>
      <c r="I15" s="268">
        <v>2580200</v>
      </c>
      <c r="J15" s="268"/>
      <c r="K15" s="268">
        <f>SUM(Contratistas!C36:D36)</f>
        <v>1111287.06</v>
      </c>
      <c r="L15" s="268">
        <f>SUM(Contratistas!C37:D37)</f>
        <v>1406504.05</v>
      </c>
      <c r="M15" s="268">
        <f>SUM(Contratistas!C38:D39,'M.O. ELE'!M24)</f>
        <v>6915189.5338380989</v>
      </c>
    </row>
    <row r="16" spans="2:15" s="259" customFormat="1" x14ac:dyDescent="0.35">
      <c r="B16" s="168" t="s">
        <v>173</v>
      </c>
      <c r="C16" s="268"/>
      <c r="D16" s="268">
        <v>1350839.15</v>
      </c>
      <c r="E16" s="268">
        <v>261266.49</v>
      </c>
      <c r="F16" s="268">
        <v>950806.06</v>
      </c>
      <c r="G16" s="268">
        <v>230784.75</v>
      </c>
      <c r="H16" s="268">
        <v>6006212.0999999996</v>
      </c>
      <c r="I16" s="268">
        <v>13136482.760000002</v>
      </c>
      <c r="J16" s="268">
        <v>3423387.6999999997</v>
      </c>
      <c r="K16" s="268">
        <v>19034834.049999997</v>
      </c>
      <c r="L16" s="268">
        <v>657082.75</v>
      </c>
      <c r="M16" s="268">
        <v>934654.5199999999</v>
      </c>
    </row>
    <row r="17" spans="2:13" s="259" customFormat="1" x14ac:dyDescent="0.35">
      <c r="B17" s="168" t="s">
        <v>174</v>
      </c>
      <c r="C17" s="268"/>
      <c r="D17" s="1033"/>
      <c r="E17" s="268">
        <f>'M.O. PLO'!M15</f>
        <v>709198.4632325758</v>
      </c>
      <c r="F17" s="268">
        <f>'M.O. PLO'!M18</f>
        <v>177942.14548814393</v>
      </c>
      <c r="G17" s="268">
        <v>390000</v>
      </c>
      <c r="H17" s="268">
        <f>SUM('M.O. PLO'!M21:M22)</f>
        <v>523583.09882154985</v>
      </c>
      <c r="I17" s="268">
        <f>260000+SUM('M.O. PLO'!M23:M24)</f>
        <v>6425606.5015986627</v>
      </c>
      <c r="J17" s="268">
        <f>SUM('M.O. PLO'!M25:M26)</f>
        <v>7858885.0801549889</v>
      </c>
      <c r="K17" s="268">
        <f>800000+SUM('M.O. PLO'!M27:M28)</f>
        <v>12737400.82528547</v>
      </c>
      <c r="L17" s="268">
        <f>SUM('M.O. PLO'!M29:M30)</f>
        <v>11243672.649399186</v>
      </c>
      <c r="M17" s="268">
        <f>SUM('M.O. PLO'!M31:M32)</f>
        <v>10832621.700179478</v>
      </c>
    </row>
    <row r="18" spans="2:13" s="259" customFormat="1" x14ac:dyDescent="0.35">
      <c r="B18" s="168" t="s">
        <v>668</v>
      </c>
      <c r="C18" s="268"/>
      <c r="D18" s="1033"/>
      <c r="E18" s="268"/>
      <c r="F18" s="268"/>
      <c r="G18" s="268"/>
      <c r="H18" s="268">
        <v>4076500</v>
      </c>
      <c r="I18" s="268"/>
      <c r="J18" s="268"/>
      <c r="K18" s="268"/>
      <c r="L18" s="268">
        <f>735597.51+7806000</f>
        <v>8541597.5099999998</v>
      </c>
      <c r="M18" s="268"/>
    </row>
    <row r="19" spans="2:13" s="259" customFormat="1" x14ac:dyDescent="0.35">
      <c r="B19" s="168" t="s">
        <v>669</v>
      </c>
      <c r="C19" s="268"/>
      <c r="D19" s="1033"/>
      <c r="E19" s="268"/>
      <c r="F19" s="268"/>
      <c r="G19" s="268"/>
      <c r="H19" s="268"/>
      <c r="I19" s="268"/>
      <c r="J19" s="268"/>
      <c r="K19" s="268"/>
      <c r="L19" s="268">
        <f>SUM(Contratistas!C108:C112)</f>
        <v>4011700</v>
      </c>
      <c r="M19" s="268">
        <f>SUM(Contratistas!C113:C114)</f>
        <v>350000</v>
      </c>
    </row>
    <row r="20" spans="2:13" s="259" customFormat="1" x14ac:dyDescent="0.35">
      <c r="B20" s="168" t="s">
        <v>175</v>
      </c>
      <c r="C20" s="268"/>
      <c r="D20" s="1033"/>
      <c r="E20" s="268"/>
      <c r="F20" s="268"/>
      <c r="G20" s="268"/>
      <c r="H20" s="268"/>
      <c r="I20" s="268"/>
      <c r="J20" s="268"/>
      <c r="K20" s="268"/>
      <c r="L20" s="268"/>
      <c r="M20" s="268"/>
    </row>
    <row r="21" spans="2:13" s="259" customFormat="1" x14ac:dyDescent="0.35">
      <c r="B21" s="168" t="s">
        <v>176</v>
      </c>
      <c r="C21" s="268"/>
      <c r="D21" s="1033"/>
      <c r="E21" s="268"/>
      <c r="F21" s="268"/>
      <c r="G21" s="268"/>
      <c r="H21" s="268"/>
      <c r="I21" s="268">
        <v>4235000</v>
      </c>
      <c r="J21" s="268"/>
      <c r="K21" s="268">
        <f>SUM(Contratistas!C92,Contratistas!C101)</f>
        <v>1944000</v>
      </c>
      <c r="L21" s="268">
        <f>SUM(Contratistas!C93:C94)</f>
        <v>5040000</v>
      </c>
      <c r="M21" s="268"/>
    </row>
    <row r="22" spans="2:13" s="259" customFormat="1" x14ac:dyDescent="0.35">
      <c r="B22" s="168" t="s">
        <v>103</v>
      </c>
      <c r="C22" s="268"/>
      <c r="D22" s="1033"/>
      <c r="E22" s="268"/>
      <c r="F22" s="268"/>
      <c r="G22" s="268"/>
      <c r="H22" s="268"/>
      <c r="I22" s="268"/>
      <c r="J22" s="268"/>
      <c r="K22" s="268"/>
      <c r="L22" s="268">
        <v>600000</v>
      </c>
      <c r="M22" s="268">
        <v>120000</v>
      </c>
    </row>
    <row r="23" spans="2:13" s="259" customFormat="1" x14ac:dyDescent="0.35">
      <c r="B23" s="168" t="s">
        <v>177</v>
      </c>
      <c r="C23" s="268"/>
      <c r="D23" s="1033"/>
      <c r="E23" s="268"/>
      <c r="F23" s="268"/>
      <c r="G23" s="268"/>
      <c r="H23" s="268">
        <v>594839.98861811135</v>
      </c>
      <c r="I23" s="268">
        <v>617445.22659030394</v>
      </c>
      <c r="J23" s="268">
        <v>637742.1293521357</v>
      </c>
      <c r="K23" s="268">
        <v>659477.43565845408</v>
      </c>
      <c r="L23" s="268">
        <v>676623.84898557386</v>
      </c>
      <c r="M23" s="268">
        <v>702737.42243214278</v>
      </c>
    </row>
    <row r="24" spans="2:13" s="259" customFormat="1" x14ac:dyDescent="0.35">
      <c r="B24" s="169" t="s">
        <v>52</v>
      </c>
      <c r="C24" s="269">
        <f t="shared" ref="C24:D24" si="0">SUM(C5:C23)</f>
        <v>550000</v>
      </c>
      <c r="D24" s="269">
        <f t="shared" si="0"/>
        <v>1722469.5299999998</v>
      </c>
      <c r="E24" s="269">
        <f t="shared" ref="E24:F24" si="1">SUM(E5:E23)</f>
        <v>2183596.8832325758</v>
      </c>
      <c r="F24" s="269">
        <f t="shared" si="1"/>
        <v>35697611.559678301</v>
      </c>
      <c r="G24" s="269">
        <f t="shared" ref="G24:H24" si="2">SUM(G5:G23)</f>
        <v>17306022.480113741</v>
      </c>
      <c r="H24" s="269">
        <f t="shared" si="2"/>
        <v>32599937.697675027</v>
      </c>
      <c r="I24" s="269">
        <f>SUM(I5:I23)</f>
        <v>59131502.387337171</v>
      </c>
      <c r="J24" s="269">
        <f>SUM(J5:J23)</f>
        <v>50579994.70648858</v>
      </c>
      <c r="K24" s="269">
        <f>SUM(K5:K23)</f>
        <v>70552736.709923819</v>
      </c>
      <c r="L24" s="269">
        <f>SUM(L5:L23)</f>
        <v>95537659.467708588</v>
      </c>
      <c r="M24" s="269">
        <f>SUM(M5:M23)</f>
        <v>102170506.96820848</v>
      </c>
    </row>
    <row r="25" spans="2:13" x14ac:dyDescent="0.35">
      <c r="C25" s="933"/>
      <c r="D25" s="933"/>
      <c r="E25" s="933"/>
      <c r="F25" s="933"/>
      <c r="G25" s="933"/>
      <c r="H25" s="933"/>
      <c r="I25" s="933"/>
      <c r="J25" s="933"/>
      <c r="K25" s="933"/>
      <c r="L25" s="933"/>
      <c r="M25" s="933"/>
    </row>
    <row r="27" spans="2:13" x14ac:dyDescent="0.35">
      <c r="B27" s="142" t="s">
        <v>549</v>
      </c>
      <c r="C27" s="141">
        <f>C4</f>
        <v>45839</v>
      </c>
      <c r="D27" s="141">
        <f t="shared" ref="D27:E27" si="3">D4</f>
        <v>45870</v>
      </c>
      <c r="E27" s="141">
        <f t="shared" si="3"/>
        <v>45901</v>
      </c>
      <c r="F27" s="141">
        <f t="shared" ref="F27:G27" si="4">F4</f>
        <v>45931</v>
      </c>
      <c r="G27" s="141">
        <f t="shared" si="4"/>
        <v>45962</v>
      </c>
      <c r="H27" s="141">
        <f t="shared" ref="H27:I27" si="5">H4</f>
        <v>45992</v>
      </c>
      <c r="I27" s="141">
        <f t="shared" si="5"/>
        <v>46023</v>
      </c>
      <c r="J27" s="141">
        <f t="shared" ref="J27:K27" si="6">J4</f>
        <v>46054</v>
      </c>
      <c r="K27" s="141">
        <f t="shared" si="6"/>
        <v>46082</v>
      </c>
      <c r="L27" s="141">
        <f t="shared" ref="L27:M27" si="7">L4</f>
        <v>46113</v>
      </c>
      <c r="M27" s="141">
        <f t="shared" si="7"/>
        <v>46143</v>
      </c>
    </row>
    <row r="28" spans="2:13" x14ac:dyDescent="0.35">
      <c r="B28" s="143" t="s">
        <v>179</v>
      </c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</row>
    <row r="29" spans="2:13" x14ac:dyDescent="0.35">
      <c r="B29" s="143" t="s">
        <v>180</v>
      </c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</row>
    <row r="30" spans="2:13" x14ac:dyDescent="0.35">
      <c r="B30" s="143" t="s">
        <v>181</v>
      </c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</row>
    <row r="31" spans="2:13" x14ac:dyDescent="0.35">
      <c r="B31" s="143" t="s">
        <v>182</v>
      </c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</row>
    <row r="32" spans="2:13" x14ac:dyDescent="0.35">
      <c r="B32" s="143" t="s">
        <v>183</v>
      </c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</row>
    <row r="33" spans="2:13" x14ac:dyDescent="0.35">
      <c r="B33" s="143" t="s">
        <v>184</v>
      </c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</row>
    <row r="34" spans="2:13" x14ac:dyDescent="0.35">
      <c r="B34" s="143" t="s">
        <v>185</v>
      </c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</row>
    <row r="35" spans="2:13" x14ac:dyDescent="0.35">
      <c r="B35" s="143" t="s">
        <v>186</v>
      </c>
      <c r="C35" s="264"/>
      <c r="D35" s="264"/>
      <c r="E35" s="264"/>
      <c r="F35" s="264"/>
      <c r="G35" s="264"/>
      <c r="H35" s="264">
        <v>2870210.2899291008</v>
      </c>
      <c r="I35" s="264">
        <v>1119889.7549464591</v>
      </c>
      <c r="J35" s="264">
        <v>1238690.1498306396</v>
      </c>
      <c r="K35" s="264">
        <v>1313548.9779472956</v>
      </c>
      <c r="L35" s="264">
        <v>1330801.9738381784</v>
      </c>
      <c r="M35" s="264">
        <v>994750.56568802462</v>
      </c>
    </row>
    <row r="36" spans="2:13" x14ac:dyDescent="0.35">
      <c r="B36" s="143" t="s">
        <v>187</v>
      </c>
      <c r="C36" s="264"/>
      <c r="D36" s="264"/>
      <c r="E36" s="264"/>
      <c r="F36" s="264"/>
      <c r="G36" s="264"/>
      <c r="H36" s="264">
        <v>755700</v>
      </c>
      <c r="I36" s="264">
        <v>513876</v>
      </c>
      <c r="J36" s="264">
        <v>523125.60000000003</v>
      </c>
      <c r="K36" s="264">
        <v>523125.60000000003</v>
      </c>
      <c r="L36" s="264">
        <v>533588</v>
      </c>
      <c r="M36" s="264">
        <v>543192.4</v>
      </c>
    </row>
    <row r="37" spans="2:13" x14ac:dyDescent="0.35">
      <c r="B37" s="143" t="s">
        <v>188</v>
      </c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>
        <v>1040000</v>
      </c>
    </row>
    <row r="38" spans="2:13" x14ac:dyDescent="0.35">
      <c r="B38" s="143" t="s">
        <v>144</v>
      </c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</row>
    <row r="39" spans="2:13" x14ac:dyDescent="0.35">
      <c r="B39" s="143" t="s">
        <v>189</v>
      </c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2:13" x14ac:dyDescent="0.35">
      <c r="B40" s="143" t="s">
        <v>190</v>
      </c>
      <c r="C40" s="264"/>
      <c r="D40" s="264"/>
      <c r="E40" s="264"/>
      <c r="F40" s="264"/>
      <c r="G40" s="264"/>
      <c r="H40" s="264">
        <v>408711.2411834817</v>
      </c>
      <c r="I40" s="264">
        <v>420563.8671778026</v>
      </c>
      <c r="J40" s="264">
        <v>432760.21932595887</v>
      </c>
      <c r="K40" s="264">
        <v>447474.06678304152</v>
      </c>
      <c r="L40" s="264">
        <v>459108.39251940063</v>
      </c>
      <c r="M40" s="264">
        <v>469667.88554734678</v>
      </c>
    </row>
    <row r="41" spans="2:13" x14ac:dyDescent="0.35">
      <c r="B41" s="145" t="s">
        <v>41</v>
      </c>
      <c r="C41" s="322">
        <f t="shared" ref="C41" si="8">SUM(C28:C40)</f>
        <v>0</v>
      </c>
      <c r="D41" s="322">
        <f t="shared" ref="D41:E41" si="9">SUM(D28:D40)</f>
        <v>0</v>
      </c>
      <c r="E41" s="322">
        <f t="shared" si="9"/>
        <v>0</v>
      </c>
      <c r="F41" s="322">
        <f t="shared" ref="F41:G41" si="10">SUM(F28:F40)</f>
        <v>0</v>
      </c>
      <c r="G41" s="322">
        <f t="shared" si="10"/>
        <v>0</v>
      </c>
      <c r="H41" s="322">
        <f t="shared" ref="H41:I41" si="11">SUM(H28:H40)</f>
        <v>4034621.5311125824</v>
      </c>
      <c r="I41" s="322">
        <f t="shared" si="11"/>
        <v>2054329.6221242617</v>
      </c>
      <c r="J41" s="322">
        <f t="shared" ref="J41:K41" si="12">SUM(J28:J40)</f>
        <v>2194575.9691565987</v>
      </c>
      <c r="K41" s="322">
        <f t="shared" si="12"/>
        <v>2284148.6447303374</v>
      </c>
      <c r="L41" s="322">
        <f t="shared" ref="L41:M41" si="13">SUM(L28:L40)</f>
        <v>2323498.3663575789</v>
      </c>
      <c r="M41" s="322">
        <f t="shared" si="13"/>
        <v>3047610.8512353715</v>
      </c>
    </row>
    <row r="42" spans="2:13" x14ac:dyDescent="0.35">
      <c r="B42" s="144"/>
    </row>
    <row r="43" spans="2:13" x14ac:dyDescent="0.35">
      <c r="B43" s="142" t="s">
        <v>550</v>
      </c>
      <c r="C43" s="141">
        <f>C4</f>
        <v>45839</v>
      </c>
      <c r="D43" s="141">
        <f t="shared" ref="D43:E43" si="14">D4</f>
        <v>45870</v>
      </c>
      <c r="E43" s="141">
        <f t="shared" si="14"/>
        <v>45901</v>
      </c>
      <c r="F43" s="141">
        <f t="shared" ref="F43:G43" si="15">F4</f>
        <v>45931</v>
      </c>
      <c r="G43" s="141">
        <f t="shared" si="15"/>
        <v>45962</v>
      </c>
      <c r="H43" s="141">
        <f t="shared" ref="H43:I43" si="16">H4</f>
        <v>45992</v>
      </c>
      <c r="I43" s="141">
        <f t="shared" si="16"/>
        <v>46023</v>
      </c>
      <c r="J43" s="141">
        <f t="shared" ref="J43:K43" si="17">J4</f>
        <v>46054</v>
      </c>
      <c r="K43" s="141">
        <f t="shared" si="17"/>
        <v>46082</v>
      </c>
      <c r="L43" s="141">
        <f t="shared" ref="L43:M43" si="18">L4</f>
        <v>46113</v>
      </c>
      <c r="M43" s="141">
        <f t="shared" si="18"/>
        <v>46143</v>
      </c>
    </row>
    <row r="44" spans="2:13" x14ac:dyDescent="0.35">
      <c r="B44" s="143" t="s">
        <v>191</v>
      </c>
      <c r="C44" s="263"/>
      <c r="D44" s="263"/>
      <c r="E44" s="263"/>
      <c r="F44" s="263"/>
      <c r="G44" s="263"/>
      <c r="H44" s="263">
        <v>1157886.9750000001</v>
      </c>
      <c r="I44" s="263">
        <v>937500</v>
      </c>
      <c r="J44" s="263">
        <v>937500.07499999995</v>
      </c>
      <c r="K44" s="263">
        <v>937500.07499999995</v>
      </c>
      <c r="L44" s="263">
        <v>937500.07499999995</v>
      </c>
      <c r="M44" s="263">
        <v>937500</v>
      </c>
    </row>
    <row r="45" spans="2:13" x14ac:dyDescent="0.35">
      <c r="B45" s="143" t="s">
        <v>192</v>
      </c>
      <c r="C45" s="265"/>
      <c r="D45" s="265"/>
      <c r="E45" s="265"/>
      <c r="F45" s="265"/>
      <c r="G45" s="265"/>
      <c r="H45" s="265">
        <v>2034382.4605809362</v>
      </c>
      <c r="I45" s="265">
        <v>1609073.8068855698</v>
      </c>
      <c r="J45" s="265">
        <v>1663872.2154952104</v>
      </c>
      <c r="K45" s="265">
        <v>1663872.2154952104</v>
      </c>
      <c r="L45" s="265">
        <v>1892919.5246425427</v>
      </c>
      <c r="M45" s="265">
        <v>1813103.86527244</v>
      </c>
    </row>
    <row r="46" spans="2:13" x14ac:dyDescent="0.35">
      <c r="B46" s="145" t="s">
        <v>42</v>
      </c>
      <c r="C46" s="322">
        <f t="shared" ref="C46:I46" si="19">SUM(C44:C45)</f>
        <v>0</v>
      </c>
      <c r="D46" s="322">
        <f t="shared" si="19"/>
        <v>0</v>
      </c>
      <c r="E46" s="322">
        <f t="shared" si="19"/>
        <v>0</v>
      </c>
      <c r="F46" s="322">
        <f t="shared" si="19"/>
        <v>0</v>
      </c>
      <c r="G46" s="322">
        <f t="shared" si="19"/>
        <v>0</v>
      </c>
      <c r="H46" s="322">
        <f t="shared" si="19"/>
        <v>3192269.4355809363</v>
      </c>
      <c r="I46" s="322">
        <f t="shared" si="19"/>
        <v>2546573.8068855698</v>
      </c>
      <c r="J46" s="322">
        <f t="shared" ref="J46:K46" si="20">SUM(J44:J45)</f>
        <v>2601372.2904952103</v>
      </c>
      <c r="K46" s="322">
        <f t="shared" si="20"/>
        <v>2601372.2904952103</v>
      </c>
      <c r="L46" s="322">
        <f t="shared" ref="L46:M46" si="21">SUM(L44:L45)</f>
        <v>2830419.5996425427</v>
      </c>
      <c r="M46" s="322">
        <f t="shared" si="21"/>
        <v>2750603.86527244</v>
      </c>
    </row>
  </sheetData>
  <pageMargins left="0.7" right="0.7" top="0.75" bottom="0.75" header="0.3" footer="0.3"/>
  <pageSetup paperSize="9" orientation="portrait" r:id="rId1"/>
  <ignoredErrors>
    <ignoredError sqref="C24 D24:E24 G24:H24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FED9-6B93-4B60-A4CC-2346DC2240D1}">
  <sheetPr>
    <tabColor rgb="FF66FFFF"/>
  </sheetPr>
  <dimension ref="A5:D30"/>
  <sheetViews>
    <sheetView showGridLines="0" topLeftCell="A4" workbookViewId="0">
      <selection activeCell="B27" sqref="B27"/>
    </sheetView>
  </sheetViews>
  <sheetFormatPr defaultColWidth="11.453125" defaultRowHeight="14.5" x14ac:dyDescent="0.35"/>
  <cols>
    <col min="1" max="1" width="13.1796875" bestFit="1" customWidth="1"/>
    <col min="2" max="2" width="11.453125" bestFit="1" customWidth="1"/>
    <col min="3" max="3" width="11.81640625" bestFit="1" customWidth="1"/>
  </cols>
  <sheetData>
    <row r="5" spans="1:4" x14ac:dyDescent="0.35">
      <c r="A5" s="290" t="s">
        <v>227</v>
      </c>
      <c r="B5" s="290" t="s">
        <v>228</v>
      </c>
      <c r="C5" s="290" t="s">
        <v>229</v>
      </c>
    </row>
    <row r="6" spans="1:4" x14ac:dyDescent="0.35">
      <c r="A6" s="943">
        <v>45536</v>
      </c>
      <c r="B6" s="944">
        <v>14366.9</v>
      </c>
      <c r="C6" s="945">
        <f>$B$6/B6</f>
        <v>1</v>
      </c>
      <c r="D6" s="946" t="s">
        <v>600</v>
      </c>
    </row>
    <row r="7" spans="1:4" x14ac:dyDescent="0.35">
      <c r="A7" s="291">
        <v>45566</v>
      </c>
      <c r="B7" s="292">
        <v>14614.9</v>
      </c>
      <c r="C7" s="947">
        <f t="shared" ref="C7:C19" si="0">$B$6/B7</f>
        <v>0.98303101629159284</v>
      </c>
    </row>
    <row r="8" spans="1:4" x14ac:dyDescent="0.35">
      <c r="A8" s="291">
        <v>45597</v>
      </c>
      <c r="B8" s="292">
        <v>15043</v>
      </c>
      <c r="C8" s="947">
        <f t="shared" si="0"/>
        <v>0.95505550754503754</v>
      </c>
    </row>
    <row r="9" spans="1:4" x14ac:dyDescent="0.35">
      <c r="A9" s="291">
        <v>45627</v>
      </c>
      <c r="B9" s="292">
        <v>15356.4</v>
      </c>
      <c r="C9" s="947">
        <f t="shared" si="0"/>
        <v>0.9355643249719986</v>
      </c>
    </row>
    <row r="10" spans="1:4" x14ac:dyDescent="0.35">
      <c r="A10" s="291">
        <v>45658</v>
      </c>
      <c r="B10" s="292">
        <v>15592.5</v>
      </c>
      <c r="C10" s="947">
        <f t="shared" si="0"/>
        <v>0.92139810806477473</v>
      </c>
    </row>
    <row r="11" spans="1:4" x14ac:dyDescent="0.35">
      <c r="A11" s="291">
        <v>45689</v>
      </c>
      <c r="B11" s="292">
        <v>15852.4</v>
      </c>
      <c r="C11" s="947">
        <f t="shared" si="0"/>
        <v>0.90629179177916275</v>
      </c>
    </row>
    <row r="12" spans="1:4" x14ac:dyDescent="0.35">
      <c r="A12" s="291">
        <v>45717</v>
      </c>
      <c r="B12" s="292">
        <v>15995.4</v>
      </c>
      <c r="C12" s="947">
        <f t="shared" si="0"/>
        <v>0.89818947947534911</v>
      </c>
    </row>
    <row r="13" spans="1:4" x14ac:dyDescent="0.35">
      <c r="A13" s="291">
        <v>45748</v>
      </c>
      <c r="B13" s="292">
        <v>16253.5</v>
      </c>
      <c r="C13" s="947">
        <f t="shared" si="0"/>
        <v>0.88392653889931394</v>
      </c>
    </row>
    <row r="14" spans="1:4" x14ac:dyDescent="0.35">
      <c r="A14" s="291">
        <v>45778</v>
      </c>
      <c r="B14" s="292">
        <v>16521.3</v>
      </c>
      <c r="C14" s="947">
        <f t="shared" si="0"/>
        <v>0.86959863933225601</v>
      </c>
    </row>
    <row r="15" spans="1:4" x14ac:dyDescent="0.35">
      <c r="A15" s="291">
        <v>45809</v>
      </c>
      <c r="B15" s="292">
        <v>16643.400000000001</v>
      </c>
      <c r="C15" s="947">
        <f t="shared" si="0"/>
        <v>0.86321905379910346</v>
      </c>
    </row>
    <row r="16" spans="1:4" x14ac:dyDescent="0.35">
      <c r="A16" s="291">
        <v>45839</v>
      </c>
      <c r="B16" s="292">
        <v>16939.5</v>
      </c>
      <c r="C16" s="1056">
        <f t="shared" si="0"/>
        <v>0.84813011009770067</v>
      </c>
    </row>
    <row r="17" spans="1:3" x14ac:dyDescent="0.35">
      <c r="A17" s="291">
        <v>45870</v>
      </c>
      <c r="B17" s="292">
        <v>17187.599999999999</v>
      </c>
      <c r="C17" s="1056">
        <f t="shared" si="0"/>
        <v>0.83588750029090741</v>
      </c>
    </row>
    <row r="18" spans="1:3" x14ac:dyDescent="0.35">
      <c r="A18" s="291">
        <v>45901</v>
      </c>
      <c r="B18" s="292">
        <v>17762.3</v>
      </c>
      <c r="C18" s="1056">
        <f t="shared" si="0"/>
        <v>0.80884232334776462</v>
      </c>
    </row>
    <row r="19" spans="1:3" x14ac:dyDescent="0.35">
      <c r="A19" s="291">
        <v>45931</v>
      </c>
      <c r="B19" s="292">
        <v>18172.8</v>
      </c>
      <c r="C19" s="1056">
        <f t="shared" si="0"/>
        <v>0.79057162352526855</v>
      </c>
    </row>
    <row r="20" spans="1:3" x14ac:dyDescent="0.35">
      <c r="A20" s="291">
        <v>45962</v>
      </c>
      <c r="B20" s="292">
        <v>18534.900000000001</v>
      </c>
      <c r="C20" s="1056">
        <f t="shared" ref="C20:C28" si="1">$B$6/B20</f>
        <v>0.77512692272415817</v>
      </c>
    </row>
    <row r="21" spans="1:3" x14ac:dyDescent="0.35">
      <c r="A21" s="291">
        <v>45992</v>
      </c>
      <c r="B21" s="292">
        <v>18776.5</v>
      </c>
      <c r="C21" s="1056">
        <f t="shared" si="1"/>
        <v>0.76515325007322976</v>
      </c>
    </row>
    <row r="22" spans="1:3" x14ac:dyDescent="0.35">
      <c r="A22" s="291">
        <v>46023</v>
      </c>
      <c r="B22" s="292">
        <v>19209.400000000001</v>
      </c>
      <c r="C22" s="1056">
        <f t="shared" si="1"/>
        <v>0.74790987745582882</v>
      </c>
    </row>
    <row r="23" spans="1:3" x14ac:dyDescent="0.35">
      <c r="A23" s="291">
        <v>46054</v>
      </c>
      <c r="B23" s="292">
        <v>19453</v>
      </c>
      <c r="C23" s="1056">
        <f t="shared" si="1"/>
        <v>0.73854418341643957</v>
      </c>
    </row>
    <row r="24" spans="1:3" x14ac:dyDescent="0.35">
      <c r="A24" s="293">
        <v>46082</v>
      </c>
      <c r="B24" s="294">
        <v>19806.240593911236</v>
      </c>
      <c r="C24" s="1026">
        <f t="shared" si="1"/>
        <v>0.72537238613655042</v>
      </c>
    </row>
    <row r="25" spans="1:3" x14ac:dyDescent="0.35">
      <c r="A25" s="293">
        <v>46113</v>
      </c>
      <c r="B25" s="294">
        <v>20138.793405782737</v>
      </c>
      <c r="C25" s="1026">
        <f t="shared" si="1"/>
        <v>0.71339427891815144</v>
      </c>
    </row>
    <row r="26" spans="1:3" x14ac:dyDescent="0.35">
      <c r="A26" s="293">
        <v>46143</v>
      </c>
      <c r="B26" s="294">
        <v>20471.346217654242</v>
      </c>
      <c r="C26" s="1026">
        <f t="shared" si="1"/>
        <v>0.70180533547960611</v>
      </c>
    </row>
    <row r="27" spans="1:3" x14ac:dyDescent="0.35">
      <c r="A27" s="293">
        <v>46174</v>
      </c>
      <c r="B27" s="294">
        <v>20471.346217654242</v>
      </c>
      <c r="C27" s="1026">
        <f t="shared" si="1"/>
        <v>0.70180533547960611</v>
      </c>
    </row>
    <row r="28" spans="1:3" x14ac:dyDescent="0.35">
      <c r="A28" s="1214"/>
      <c r="B28" s="1215"/>
      <c r="C28" s="1026" t="e">
        <f t="shared" si="1"/>
        <v>#DIV/0!</v>
      </c>
    </row>
    <row r="29" spans="1:3" x14ac:dyDescent="0.35">
      <c r="A29" s="1214"/>
      <c r="B29" s="1215"/>
      <c r="C29" s="1216" t="e">
        <f t="shared" ref="C29:C30" si="2">$B$15/B29</f>
        <v>#DIV/0!</v>
      </c>
    </row>
    <row r="30" spans="1:3" x14ac:dyDescent="0.35">
      <c r="A30" s="1214"/>
      <c r="B30" s="1215"/>
      <c r="C30" s="1216" t="e">
        <f t="shared" si="2"/>
        <v>#DIV/0!</v>
      </c>
    </row>
  </sheetData>
  <pageMargins left="0.7" right="0.7" top="0.75" bottom="0.75" header="0.3" footer="0.3"/>
  <pageSetup orientation="portrait" r:id="rId1"/>
  <ignoredErrors>
    <ignoredError sqref="C6 C7:C16 C17:C19 C20:C22" calculatedColumn="1"/>
  </ignoredErrors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F185-4609-4239-AD81-21F51B3C74C4}">
  <dimension ref="B3:K23"/>
  <sheetViews>
    <sheetView workbookViewId="0">
      <selection activeCell="I7" sqref="I7"/>
    </sheetView>
  </sheetViews>
  <sheetFormatPr defaultColWidth="10.90625" defaultRowHeight="14.5" x14ac:dyDescent="0.35"/>
  <cols>
    <col min="2" max="2" width="12.81640625" bestFit="1" customWidth="1"/>
    <col min="3" max="3" width="29.7265625" bestFit="1" customWidth="1"/>
    <col min="4" max="4" width="14.7265625" bestFit="1" customWidth="1"/>
    <col min="5" max="6" width="14" bestFit="1" customWidth="1"/>
    <col min="11" max="11" width="12.7265625" bestFit="1" customWidth="1"/>
  </cols>
  <sheetData>
    <row r="3" spans="2:11" x14ac:dyDescent="0.35">
      <c r="B3" s="106"/>
      <c r="C3" s="106"/>
      <c r="D3" s="106"/>
      <c r="E3" s="239"/>
      <c r="F3" s="110"/>
      <c r="G3" s="106"/>
      <c r="H3" s="906">
        <v>45536</v>
      </c>
      <c r="I3" s="907">
        <v>14366.9</v>
      </c>
      <c r="J3" s="106"/>
      <c r="K3" s="106"/>
    </row>
    <row r="4" spans="2:11" x14ac:dyDescent="0.35">
      <c r="B4" s="911" t="s">
        <v>552</v>
      </c>
      <c r="C4" s="106"/>
      <c r="D4" s="106"/>
      <c r="E4" s="122" t="s">
        <v>64</v>
      </c>
      <c r="F4" s="122" t="s">
        <v>551</v>
      </c>
      <c r="G4" s="106"/>
      <c r="H4" s="906">
        <v>45627</v>
      </c>
      <c r="I4" s="908">
        <v>15356.4</v>
      </c>
      <c r="J4" s="106">
        <v>15503.4</v>
      </c>
      <c r="K4" s="106"/>
    </row>
    <row r="5" spans="2:11" x14ac:dyDescent="0.35">
      <c r="B5" s="912">
        <v>421306052</v>
      </c>
      <c r="C5" s="106"/>
      <c r="D5" s="106"/>
      <c r="E5" s="122">
        <v>0.7</v>
      </c>
      <c r="F5" s="122">
        <v>0.3</v>
      </c>
      <c r="G5" s="106"/>
      <c r="H5" s="106"/>
      <c r="I5" s="106">
        <v>6.8873591380186339E-2</v>
      </c>
      <c r="J5" s="106">
        <v>7.9105443763094252E-2</v>
      </c>
      <c r="K5" s="106"/>
    </row>
    <row r="6" spans="2:11" x14ac:dyDescent="0.35">
      <c r="B6" s="106"/>
      <c r="C6" s="106" t="s">
        <v>553</v>
      </c>
      <c r="D6" s="110">
        <v>84261210.400000006</v>
      </c>
      <c r="E6" s="120">
        <v>58982847.280000001</v>
      </c>
      <c r="F6" s="120">
        <v>25278363.120000001</v>
      </c>
      <c r="G6" s="106"/>
      <c r="H6" s="106"/>
      <c r="I6" s="106"/>
      <c r="J6" s="106"/>
      <c r="K6" s="106"/>
    </row>
    <row r="7" spans="2:11" x14ac:dyDescent="0.35">
      <c r="B7" s="106"/>
      <c r="C7" s="113" t="s">
        <v>577</v>
      </c>
      <c r="D7" s="120">
        <v>5803372.1742895078</v>
      </c>
      <c r="E7" s="110">
        <v>4062360.5220026551</v>
      </c>
      <c r="F7" s="120">
        <v>1741011.6522868522</v>
      </c>
      <c r="G7" s="106"/>
      <c r="H7" s="106"/>
      <c r="I7" s="106"/>
      <c r="J7" s="106"/>
      <c r="K7" s="110">
        <v>6665520.4407074526</v>
      </c>
    </row>
    <row r="8" spans="2:11" x14ac:dyDescent="0.35">
      <c r="B8" s="106"/>
      <c r="C8" s="913" t="s">
        <v>554</v>
      </c>
      <c r="D8" s="909">
        <v>90064582.574289516</v>
      </c>
      <c r="E8" s="910">
        <v>63045207.802002653</v>
      </c>
      <c r="F8" s="910">
        <v>27019374.772286855</v>
      </c>
      <c r="G8" s="106"/>
      <c r="H8" s="106"/>
      <c r="I8" s="106"/>
      <c r="J8" s="106"/>
      <c r="K8" s="106"/>
    </row>
    <row r="9" spans="2:11" x14ac:dyDescent="0.35">
      <c r="B9" s="106"/>
      <c r="C9" s="106"/>
      <c r="D9" s="106"/>
      <c r="E9" s="106"/>
      <c r="F9" s="110"/>
      <c r="G9" s="106"/>
      <c r="H9" s="106"/>
      <c r="I9" s="106"/>
      <c r="J9" s="106"/>
      <c r="K9" s="120">
        <v>862148.2664179448</v>
      </c>
    </row>
    <row r="10" spans="2:11" x14ac:dyDescent="0.35">
      <c r="B10" s="106"/>
      <c r="C10" s="914" t="s">
        <v>555</v>
      </c>
      <c r="D10" s="914"/>
      <c r="E10" s="915">
        <v>21000000</v>
      </c>
      <c r="F10" s="915">
        <v>27019374.772286855</v>
      </c>
      <c r="G10" s="106"/>
      <c r="H10" s="106"/>
      <c r="I10" s="106"/>
      <c r="J10" s="106"/>
      <c r="K10" s="106"/>
    </row>
    <row r="11" spans="2:11" x14ac:dyDescent="0.35">
      <c r="B11" s="106"/>
      <c r="C11" s="914" t="s">
        <v>556</v>
      </c>
      <c r="D11" s="914"/>
      <c r="E11" s="915">
        <v>21000000</v>
      </c>
      <c r="F11" s="915"/>
      <c r="G11" s="106"/>
      <c r="H11" s="106"/>
      <c r="I11" s="106"/>
      <c r="J11" s="106"/>
      <c r="K11" s="106"/>
    </row>
    <row r="12" spans="2:11" x14ac:dyDescent="0.35">
      <c r="B12" s="106"/>
      <c r="C12" s="914" t="s">
        <v>557</v>
      </c>
      <c r="D12" s="914"/>
      <c r="E12" s="915">
        <v>21045207.802002653</v>
      </c>
      <c r="F12" s="915"/>
      <c r="G12" s="106"/>
      <c r="H12" s="106"/>
      <c r="I12" s="106"/>
      <c r="J12" s="106"/>
      <c r="K12" s="919"/>
    </row>
    <row r="13" spans="2:11" x14ac:dyDescent="0.35">
      <c r="B13" s="106"/>
      <c r="C13" s="106"/>
      <c r="D13" s="106"/>
      <c r="E13" s="239"/>
      <c r="F13" s="110"/>
      <c r="G13" s="106"/>
      <c r="H13" s="106"/>
      <c r="I13" s="106"/>
      <c r="J13" s="106"/>
      <c r="K13" s="919"/>
    </row>
    <row r="14" spans="2:11" x14ac:dyDescent="0.35">
      <c r="B14" s="106"/>
      <c r="C14" s="106"/>
      <c r="D14" s="106"/>
      <c r="E14" s="239"/>
      <c r="F14" s="110"/>
      <c r="G14" s="106"/>
      <c r="H14" s="106"/>
      <c r="I14" s="106"/>
      <c r="J14" s="106"/>
      <c r="K14" s="919" t="s">
        <v>159</v>
      </c>
    </row>
    <row r="15" spans="2:11" x14ac:dyDescent="0.35">
      <c r="B15" s="106"/>
      <c r="C15" s="106" t="s">
        <v>561</v>
      </c>
      <c r="D15" s="106"/>
      <c r="E15" s="110">
        <v>12250000</v>
      </c>
      <c r="F15" s="110"/>
      <c r="G15" s="106"/>
      <c r="H15" s="106"/>
      <c r="I15" s="106"/>
      <c r="J15" s="106"/>
      <c r="K15" s="106"/>
    </row>
    <row r="16" spans="2:11" x14ac:dyDescent="0.35">
      <c r="B16" s="106"/>
      <c r="C16" s="106" t="s">
        <v>562</v>
      </c>
      <c r="D16" s="106"/>
      <c r="E16" s="110"/>
      <c r="F16" s="110">
        <v>26200000</v>
      </c>
      <c r="G16" s="106"/>
      <c r="H16" s="106"/>
      <c r="I16" s="106"/>
      <c r="J16" s="921" t="s">
        <v>570</v>
      </c>
      <c r="K16" s="922">
        <v>12250000</v>
      </c>
    </row>
    <row r="17" spans="2:11" x14ac:dyDescent="0.35">
      <c r="B17" s="106"/>
      <c r="C17" s="106" t="s">
        <v>563</v>
      </c>
      <c r="D17" s="106"/>
      <c r="E17" s="239"/>
      <c r="F17" s="110">
        <v>11000000</v>
      </c>
      <c r="G17" s="106"/>
      <c r="H17" s="106"/>
      <c r="I17" s="106"/>
      <c r="J17" s="921"/>
      <c r="K17" s="922">
        <v>1286250</v>
      </c>
    </row>
    <row r="18" spans="2:11" x14ac:dyDescent="0.35">
      <c r="B18" s="106"/>
      <c r="C18" s="106" t="s">
        <v>565</v>
      </c>
      <c r="D18" s="106"/>
      <c r="E18" s="239"/>
      <c r="F18" s="110">
        <v>19784000</v>
      </c>
      <c r="G18" s="106"/>
      <c r="H18" s="106"/>
      <c r="I18" s="106"/>
      <c r="J18" s="921"/>
      <c r="K18" s="922">
        <v>13536250</v>
      </c>
    </row>
    <row r="19" spans="2:11" x14ac:dyDescent="0.35">
      <c r="B19" s="106"/>
      <c r="C19" s="106"/>
      <c r="D19" s="130">
        <v>69234000</v>
      </c>
      <c r="E19" s="130">
        <v>12250000</v>
      </c>
      <c r="F19" s="130">
        <v>56984000</v>
      </c>
      <c r="G19" s="106"/>
      <c r="H19" s="106">
        <v>0.76871504892494813</v>
      </c>
      <c r="I19" s="106"/>
      <c r="J19" s="923" t="s">
        <v>566</v>
      </c>
      <c r="K19" s="922">
        <v>549906.6</v>
      </c>
    </row>
    <row r="20" spans="2:11" x14ac:dyDescent="0.35">
      <c r="B20" s="106"/>
      <c r="C20" s="106"/>
      <c r="D20" s="106"/>
      <c r="E20" s="918">
        <v>0.17693618742236472</v>
      </c>
      <c r="F20" s="918">
        <v>0.82306381257763528</v>
      </c>
      <c r="G20" s="106"/>
      <c r="H20" s="106"/>
      <c r="I20" s="106"/>
      <c r="J20" s="923" t="s">
        <v>567</v>
      </c>
      <c r="K20" s="922">
        <v>12986343.4</v>
      </c>
    </row>
    <row r="21" spans="2:11" x14ac:dyDescent="0.35">
      <c r="B21" s="106"/>
      <c r="C21" s="916" t="s">
        <v>564</v>
      </c>
      <c r="D21" s="917">
        <v>-20830582.574289516</v>
      </c>
      <c r="E21" s="239"/>
      <c r="F21" s="110"/>
      <c r="G21" s="106"/>
      <c r="H21" s="106"/>
      <c r="I21" s="106"/>
      <c r="J21" s="923" t="s">
        <v>568</v>
      </c>
      <c r="K21" s="922">
        <v>11000000</v>
      </c>
    </row>
    <row r="22" spans="2:11" x14ac:dyDescent="0.35">
      <c r="B22" s="106"/>
      <c r="C22" s="106"/>
      <c r="D22" s="106"/>
      <c r="E22" s="239"/>
      <c r="F22" s="110"/>
      <c r="G22" s="106"/>
      <c r="H22" s="106"/>
      <c r="I22" s="106"/>
      <c r="J22" s="923" t="s">
        <v>569</v>
      </c>
      <c r="K22" s="924">
        <v>1986343.4000000004</v>
      </c>
    </row>
    <row r="23" spans="2:11" x14ac:dyDescent="0.35">
      <c r="B23" s="106"/>
      <c r="C23" s="106"/>
      <c r="D23" s="106"/>
      <c r="E23" s="918">
        <v>0.13601350997097691</v>
      </c>
      <c r="F23" s="110"/>
      <c r="G23" s="106"/>
      <c r="H23" s="106"/>
      <c r="I23" s="106"/>
      <c r="J23" s="106"/>
      <c r="K23" s="10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57CC-FE85-4700-ABD9-E7E623B1F898}">
  <dimension ref="A1:V70"/>
  <sheetViews>
    <sheetView workbookViewId="0"/>
  </sheetViews>
  <sheetFormatPr defaultColWidth="11.54296875" defaultRowHeight="12.75" customHeight="1" outlineLevelRow="1" outlineLevelCol="1" x14ac:dyDescent="0.3"/>
  <cols>
    <col min="1" max="1" width="11.54296875" style="333"/>
    <col min="2" max="2" width="6.54296875" style="327" bestFit="1" customWidth="1"/>
    <col min="3" max="3" width="82.7265625" style="328" bestFit="1" customWidth="1"/>
    <col min="4" max="4" width="5.26953125" style="329" customWidth="1" outlineLevel="1"/>
    <col min="5" max="5" width="6.54296875" style="330" customWidth="1" outlineLevel="1"/>
    <col min="6" max="6" width="10.453125" style="330" customWidth="1" outlineLevel="1"/>
    <col min="7" max="7" width="13" style="330" customWidth="1" outlineLevel="1"/>
    <col min="8" max="9" width="11" style="331" customWidth="1" outlineLevel="1"/>
    <col min="10" max="10" width="13" style="331" customWidth="1" outlineLevel="1"/>
    <col min="11" max="11" width="11.7265625" style="331" customWidth="1" outlineLevel="1"/>
    <col min="12" max="12" width="11.7265625" style="353" customWidth="1" outlineLevel="1"/>
    <col min="13" max="13" width="5.26953125" style="333" customWidth="1" outlineLevel="1"/>
    <col min="14" max="14" width="12.7265625" style="333" bestFit="1" customWidth="1"/>
    <col min="15" max="15" width="12.1796875" style="333" bestFit="1" customWidth="1"/>
    <col min="16" max="16" width="10.81640625" style="333" bestFit="1" customWidth="1"/>
    <col min="17" max="17" width="12" style="333" bestFit="1" customWidth="1"/>
    <col min="18" max="18" width="11.54296875" style="333"/>
    <col min="19" max="19" width="14.453125" style="333" bestFit="1" customWidth="1"/>
    <col min="20" max="20" width="12.453125" style="333" bestFit="1" customWidth="1"/>
    <col min="21" max="21" width="13" style="333" bestFit="1" customWidth="1"/>
    <col min="22" max="22" width="12.54296875" style="333" customWidth="1"/>
    <col min="23" max="16384" width="11.54296875" style="333"/>
  </cols>
  <sheetData>
    <row r="1" spans="1:22" ht="12.75" customHeight="1" x14ac:dyDescent="0.3">
      <c r="K1" s="332" t="s">
        <v>77</v>
      </c>
      <c r="L1" s="332" t="s">
        <v>78</v>
      </c>
    </row>
    <row r="2" spans="1:22" ht="13" x14ac:dyDescent="0.3">
      <c r="H2" s="334" t="s">
        <v>244</v>
      </c>
      <c r="I2" s="334"/>
      <c r="J2" s="334"/>
      <c r="K2" s="335">
        <v>1005</v>
      </c>
      <c r="L2" s="335">
        <v>1170</v>
      </c>
    </row>
    <row r="3" spans="1:22" s="341" customFormat="1" ht="13" x14ac:dyDescent="0.35">
      <c r="B3" s="336"/>
      <c r="C3" s="337"/>
      <c r="D3" s="338"/>
      <c r="E3" s="339"/>
      <c r="F3" s="339"/>
      <c r="G3" s="339"/>
      <c r="H3" s="339"/>
      <c r="I3" s="339"/>
      <c r="J3" s="339"/>
      <c r="K3" s="339"/>
      <c r="L3" s="340"/>
    </row>
    <row r="4" spans="1:22" s="341" customFormat="1" ht="13" x14ac:dyDescent="0.35">
      <c r="B4" s="336"/>
      <c r="C4" s="337"/>
      <c r="D4" s="338"/>
      <c r="E4" s="339"/>
      <c r="F4" s="339"/>
      <c r="G4" s="339"/>
      <c r="H4" s="339"/>
      <c r="I4" s="339"/>
      <c r="J4" s="339"/>
      <c r="K4" s="342">
        <v>45628</v>
      </c>
      <c r="L4" s="340"/>
    </row>
    <row r="5" spans="1:22" s="341" customFormat="1" ht="13" x14ac:dyDescent="0.3">
      <c r="B5" s="336"/>
      <c r="C5" s="343" t="s">
        <v>245</v>
      </c>
      <c r="D5" s="338"/>
      <c r="E5" s="339"/>
      <c r="F5" s="339"/>
      <c r="G5" s="339"/>
      <c r="H5" s="344"/>
      <c r="I5" s="344"/>
      <c r="J5" s="344"/>
      <c r="K5" s="344"/>
      <c r="L5" s="340"/>
      <c r="N5" s="949" t="s">
        <v>606</v>
      </c>
      <c r="O5" s="950">
        <v>12</v>
      </c>
      <c r="P5" s="951"/>
      <c r="S5" s="952">
        <v>46080</v>
      </c>
    </row>
    <row r="6" spans="1:22" s="341" customFormat="1" ht="13" x14ac:dyDescent="0.35">
      <c r="B6" s="336"/>
      <c r="C6" s="343" t="s">
        <v>87</v>
      </c>
      <c r="D6" s="345"/>
      <c r="E6" s="346"/>
      <c r="F6" s="339"/>
      <c r="G6" s="339"/>
      <c r="H6" s="347"/>
      <c r="I6" s="347"/>
      <c r="J6" s="347"/>
      <c r="K6" s="347"/>
      <c r="L6" s="340"/>
      <c r="N6" s="953"/>
      <c r="O6" s="954"/>
      <c r="P6" s="953"/>
    </row>
    <row r="7" spans="1:22" ht="13" x14ac:dyDescent="0.3">
      <c r="B7" s="348" t="s">
        <v>88</v>
      </c>
      <c r="C7" s="349" t="s">
        <v>90</v>
      </c>
      <c r="D7" s="350" t="s">
        <v>91</v>
      </c>
      <c r="E7" s="351" t="s">
        <v>92</v>
      </c>
      <c r="F7" s="352" t="s">
        <v>195</v>
      </c>
      <c r="G7" s="352" t="s">
        <v>538</v>
      </c>
      <c r="H7" s="352" t="s">
        <v>99</v>
      </c>
      <c r="I7" s="352" t="s">
        <v>195</v>
      </c>
      <c r="J7" s="352" t="s">
        <v>538</v>
      </c>
      <c r="K7" s="352" t="s">
        <v>98</v>
      </c>
      <c r="N7" s="1922" t="s">
        <v>607</v>
      </c>
      <c r="O7" s="1922"/>
      <c r="P7" s="1922"/>
      <c r="Q7" s="1923" t="s">
        <v>50</v>
      </c>
      <c r="R7" s="1923"/>
      <c r="S7" s="1923"/>
      <c r="T7" s="1923" t="s">
        <v>50</v>
      </c>
      <c r="U7" s="1923"/>
    </row>
    <row r="8" spans="1:22" ht="13" x14ac:dyDescent="0.3">
      <c r="B8" s="354"/>
      <c r="C8" s="355" t="s">
        <v>265</v>
      </c>
      <c r="D8" s="356"/>
      <c r="E8" s="357"/>
      <c r="F8" s="357"/>
      <c r="G8" s="357"/>
      <c r="H8" s="357"/>
      <c r="I8" s="357"/>
      <c r="J8" s="357"/>
      <c r="K8" s="357"/>
      <c r="L8" s="358"/>
      <c r="M8" s="359"/>
      <c r="N8" s="955" t="s">
        <v>608</v>
      </c>
      <c r="O8" s="955" t="s">
        <v>609</v>
      </c>
      <c r="P8" s="955" t="s">
        <v>610</v>
      </c>
      <c r="Q8" s="956" t="s">
        <v>608</v>
      </c>
      <c r="R8" s="956" t="s">
        <v>609</v>
      </c>
      <c r="S8" s="956" t="s">
        <v>610</v>
      </c>
      <c r="T8" s="956" t="s">
        <v>634</v>
      </c>
      <c r="U8" s="956" t="s">
        <v>538</v>
      </c>
      <c r="V8" s="956" t="s">
        <v>52</v>
      </c>
    </row>
    <row r="9" spans="1:22" ht="13" x14ac:dyDescent="0.3">
      <c r="A9" s="440"/>
      <c r="B9" s="354">
        <v>1</v>
      </c>
      <c r="C9" s="355" t="s">
        <v>105</v>
      </c>
      <c r="D9" s="356"/>
      <c r="E9" s="357"/>
      <c r="F9" s="357"/>
      <c r="G9" s="357"/>
      <c r="H9" s="357"/>
      <c r="I9" s="357"/>
      <c r="J9" s="357"/>
      <c r="K9" s="357"/>
      <c r="L9" s="358">
        <f>SUM(K10:K19)</f>
        <v>24784163</v>
      </c>
      <c r="M9" s="359">
        <f>+L9/$L$58</f>
        <v>5.9002957984713708E-2</v>
      </c>
      <c r="N9" s="957"/>
      <c r="O9" s="958"/>
      <c r="P9" s="959"/>
      <c r="Q9" s="959"/>
      <c r="R9" s="959"/>
      <c r="S9" s="959"/>
      <c r="T9" s="959"/>
      <c r="U9" s="959"/>
      <c r="V9" s="416"/>
    </row>
    <row r="10" spans="1:22" ht="13" outlineLevel="1" x14ac:dyDescent="0.3">
      <c r="A10" s="441" t="s">
        <v>106</v>
      </c>
      <c r="B10" s="360">
        <v>1.01</v>
      </c>
      <c r="C10" s="361" t="s">
        <v>266</v>
      </c>
      <c r="D10" s="362" t="s">
        <v>107</v>
      </c>
      <c r="E10" s="363">
        <v>0</v>
      </c>
      <c r="F10" s="761">
        <f>'01 (2)'!I9*'01 (2)'!$N$3</f>
        <v>0</v>
      </c>
      <c r="G10" s="363">
        <f>H10-F10</f>
        <v>0</v>
      </c>
      <c r="H10" s="364">
        <v>0</v>
      </c>
      <c r="I10" s="364">
        <f>E10*F10</f>
        <v>0</v>
      </c>
      <c r="J10" s="364">
        <f>F10*G10</f>
        <v>0</v>
      </c>
      <c r="K10" s="364">
        <f t="shared" ref="K10:K19" si="0">+H10*E10</f>
        <v>0</v>
      </c>
      <c r="M10" s="359"/>
      <c r="N10" s="960">
        <v>0</v>
      </c>
      <c r="O10" s="960"/>
      <c r="P10" s="961">
        <f>SUM(N10:O10)</f>
        <v>0</v>
      </c>
      <c r="Q10" s="962">
        <f>K10*N10</f>
        <v>0</v>
      </c>
      <c r="R10" s="962">
        <f>K10*O10</f>
        <v>0</v>
      </c>
      <c r="S10" s="962">
        <f>K10*P10</f>
        <v>0</v>
      </c>
      <c r="T10" s="962">
        <f>I10*P10</f>
        <v>0</v>
      </c>
      <c r="U10" s="962">
        <f>J10*P10</f>
        <v>0</v>
      </c>
      <c r="V10" s="962">
        <f>SUM(T10:U10)</f>
        <v>0</v>
      </c>
    </row>
    <row r="11" spans="1:22" ht="13" outlineLevel="1" x14ac:dyDescent="0.3">
      <c r="A11" s="442" t="s">
        <v>216</v>
      </c>
      <c r="B11" s="365">
        <v>1.02</v>
      </c>
      <c r="C11" s="366" t="s">
        <v>267</v>
      </c>
      <c r="D11" s="367" t="s">
        <v>104</v>
      </c>
      <c r="E11" s="368">
        <v>3</v>
      </c>
      <c r="F11" s="761">
        <f>'01 (2)'!I10*'01 (2)'!$N$3</f>
        <v>52370.107064021075</v>
      </c>
      <c r="G11" s="368">
        <f t="shared" ref="G11:G19" si="1">H11-F11</f>
        <v>327217.89293597895</v>
      </c>
      <c r="H11" s="369">
        <v>379588</v>
      </c>
      <c r="I11" s="369">
        <f t="shared" ref="I11:I19" si="2">E11*F11</f>
        <v>157110.32119206322</v>
      </c>
      <c r="J11" s="369">
        <f t="shared" ref="J11:J19" si="3">E11*G11</f>
        <v>981653.67880793684</v>
      </c>
      <c r="K11" s="369">
        <f t="shared" si="0"/>
        <v>1138764</v>
      </c>
      <c r="M11" s="359"/>
      <c r="N11" s="963">
        <v>1</v>
      </c>
      <c r="O11" s="963"/>
      <c r="P11" s="964">
        <f t="shared" ref="P11:P19" si="4">SUM(N11:O11)</f>
        <v>1</v>
      </c>
      <c r="Q11" s="962">
        <f t="shared" ref="Q11:Q19" si="5">K11*N11</f>
        <v>1138764</v>
      </c>
      <c r="R11" s="962">
        <f t="shared" ref="R11:R19" si="6">K11*O11</f>
        <v>0</v>
      </c>
      <c r="S11" s="962">
        <f t="shared" ref="S11:S19" si="7">K11*P11</f>
        <v>1138764</v>
      </c>
      <c r="T11" s="962">
        <f t="shared" ref="T11:T19" si="8">I11*P11</f>
        <v>157110.32119206322</v>
      </c>
      <c r="U11" s="962">
        <f t="shared" ref="U11:U19" si="9">J11*P11</f>
        <v>981653.67880793684</v>
      </c>
      <c r="V11" s="962">
        <f t="shared" ref="V11:V19" si="10">SUM(T11:U11)</f>
        <v>1138764</v>
      </c>
    </row>
    <row r="12" spans="1:22" ht="13" outlineLevel="1" x14ac:dyDescent="0.3">
      <c r="A12" s="442" t="s">
        <v>106</v>
      </c>
      <c r="B12" s="365">
        <v>1.03</v>
      </c>
      <c r="C12" s="366" t="s">
        <v>268</v>
      </c>
      <c r="D12" s="370" t="s">
        <v>107</v>
      </c>
      <c r="E12" s="371">
        <v>0</v>
      </c>
      <c r="F12" s="761">
        <f>'01 (2)'!I11*'01 (2)'!$N$3</f>
        <v>0</v>
      </c>
      <c r="G12" s="371">
        <f t="shared" si="1"/>
        <v>0</v>
      </c>
      <c r="H12" s="369">
        <v>0</v>
      </c>
      <c r="I12" s="369">
        <f t="shared" si="2"/>
        <v>0</v>
      </c>
      <c r="J12" s="369">
        <f t="shared" si="3"/>
        <v>0</v>
      </c>
      <c r="K12" s="369">
        <f t="shared" si="0"/>
        <v>0</v>
      </c>
      <c r="M12" s="359"/>
      <c r="N12" s="963">
        <v>0</v>
      </c>
      <c r="O12" s="963"/>
      <c r="P12" s="964">
        <f t="shared" si="4"/>
        <v>0</v>
      </c>
      <c r="Q12" s="962">
        <f t="shared" si="5"/>
        <v>0</v>
      </c>
      <c r="R12" s="962">
        <f t="shared" si="6"/>
        <v>0</v>
      </c>
      <c r="S12" s="962">
        <f t="shared" si="7"/>
        <v>0</v>
      </c>
      <c r="T12" s="962">
        <f t="shared" si="8"/>
        <v>0</v>
      </c>
      <c r="U12" s="962">
        <f t="shared" si="9"/>
        <v>0</v>
      </c>
      <c r="V12" s="962">
        <f t="shared" si="10"/>
        <v>0</v>
      </c>
    </row>
    <row r="13" spans="1:22" ht="13" outlineLevel="1" x14ac:dyDescent="0.3">
      <c r="A13" s="442" t="s">
        <v>106</v>
      </c>
      <c r="B13" s="365">
        <v>1.04</v>
      </c>
      <c r="C13" s="366" t="s">
        <v>269</v>
      </c>
      <c r="D13" s="367" t="s">
        <v>124</v>
      </c>
      <c r="E13" s="368">
        <v>11</v>
      </c>
      <c r="F13" s="761">
        <f>'01 (2)'!I12*'01 (2)'!$N$3</f>
        <v>100265.52287691658</v>
      </c>
      <c r="G13" s="368">
        <f t="shared" si="1"/>
        <v>40954.477123083416</v>
      </c>
      <c r="H13" s="369">
        <v>141220</v>
      </c>
      <c r="I13" s="369">
        <f t="shared" si="2"/>
        <v>1102920.7516460824</v>
      </c>
      <c r="J13" s="369">
        <f t="shared" si="3"/>
        <v>450499.24835391756</v>
      </c>
      <c r="K13" s="369">
        <f t="shared" si="0"/>
        <v>1553420</v>
      </c>
      <c r="M13" s="359"/>
      <c r="N13" s="963">
        <v>1</v>
      </c>
      <c r="O13" s="963"/>
      <c r="P13" s="964">
        <f t="shared" si="4"/>
        <v>1</v>
      </c>
      <c r="Q13" s="962">
        <f t="shared" si="5"/>
        <v>1553420</v>
      </c>
      <c r="R13" s="962">
        <f t="shared" si="6"/>
        <v>0</v>
      </c>
      <c r="S13" s="962">
        <f t="shared" si="7"/>
        <v>1553420</v>
      </c>
      <c r="T13" s="962">
        <f t="shared" si="8"/>
        <v>1102920.7516460824</v>
      </c>
      <c r="U13" s="962">
        <f t="shared" si="9"/>
        <v>450499.24835391756</v>
      </c>
      <c r="V13" s="962">
        <f t="shared" si="10"/>
        <v>1553420</v>
      </c>
    </row>
    <row r="14" spans="1:22" ht="13" outlineLevel="1" x14ac:dyDescent="0.3">
      <c r="A14" s="442" t="s">
        <v>106</v>
      </c>
      <c r="B14" s="365">
        <v>1.05</v>
      </c>
      <c r="C14" s="366" t="s">
        <v>270</v>
      </c>
      <c r="D14" s="367" t="s">
        <v>107</v>
      </c>
      <c r="E14" s="368">
        <v>1</v>
      </c>
      <c r="F14" s="761">
        <f>'01 (2)'!I13*'01 (2)'!$N$3</f>
        <v>3017594.9348609489</v>
      </c>
      <c r="G14" s="368">
        <f t="shared" si="1"/>
        <v>4531176.0651390515</v>
      </c>
      <c r="H14" s="369">
        <v>7548771</v>
      </c>
      <c r="I14" s="369">
        <f t="shared" si="2"/>
        <v>3017594.9348609489</v>
      </c>
      <c r="J14" s="369">
        <f t="shared" si="3"/>
        <v>4531176.0651390515</v>
      </c>
      <c r="K14" s="369">
        <f t="shared" si="0"/>
        <v>7548771</v>
      </c>
      <c r="M14" s="359"/>
      <c r="N14" s="963">
        <v>0.8</v>
      </c>
      <c r="O14" s="963">
        <v>0.2</v>
      </c>
      <c r="P14" s="964">
        <f t="shared" si="4"/>
        <v>1</v>
      </c>
      <c r="Q14" s="962">
        <f t="shared" si="5"/>
        <v>6039016.8000000007</v>
      </c>
      <c r="R14" s="962">
        <f t="shared" si="6"/>
        <v>1509754.2000000002</v>
      </c>
      <c r="S14" s="962">
        <f t="shared" si="7"/>
        <v>7548771</v>
      </c>
      <c r="T14" s="962">
        <f>I14*P14</f>
        <v>3017594.9348609489</v>
      </c>
      <c r="U14" s="962">
        <f t="shared" si="9"/>
        <v>4531176.0651390515</v>
      </c>
      <c r="V14" s="962">
        <f t="shared" si="10"/>
        <v>7548771</v>
      </c>
    </row>
    <row r="15" spans="1:22" ht="13" outlineLevel="1" x14ac:dyDescent="0.3">
      <c r="A15" s="442" t="s">
        <v>103</v>
      </c>
      <c r="B15" s="365">
        <v>1.06</v>
      </c>
      <c r="C15" s="366" t="s">
        <v>271</v>
      </c>
      <c r="D15" s="367" t="s">
        <v>101</v>
      </c>
      <c r="E15" s="368">
        <v>3</v>
      </c>
      <c r="F15" s="761">
        <f>'01 (2)'!I14*'01 (2)'!$N$3</f>
        <v>0</v>
      </c>
      <c r="G15" s="368">
        <f t="shared" si="1"/>
        <v>392028</v>
      </c>
      <c r="H15" s="369">
        <v>392028</v>
      </c>
      <c r="I15" s="369">
        <f t="shared" si="2"/>
        <v>0</v>
      </c>
      <c r="J15" s="369">
        <f t="shared" si="3"/>
        <v>1176084</v>
      </c>
      <c r="K15" s="369">
        <f t="shared" si="0"/>
        <v>1176084</v>
      </c>
      <c r="M15" s="359"/>
      <c r="N15" s="963">
        <v>1</v>
      </c>
      <c r="O15" s="963"/>
      <c r="P15" s="964">
        <f t="shared" si="4"/>
        <v>1</v>
      </c>
      <c r="Q15" s="962">
        <f t="shared" si="5"/>
        <v>1176084</v>
      </c>
      <c r="R15" s="962">
        <f t="shared" si="6"/>
        <v>0</v>
      </c>
      <c r="S15" s="962">
        <f t="shared" si="7"/>
        <v>1176084</v>
      </c>
      <c r="T15" s="962">
        <f t="shared" si="8"/>
        <v>0</v>
      </c>
      <c r="U15" s="962">
        <f t="shared" si="9"/>
        <v>1176084</v>
      </c>
      <c r="V15" s="962">
        <f t="shared" si="10"/>
        <v>1176084</v>
      </c>
    </row>
    <row r="16" spans="1:22" ht="13" outlineLevel="1" x14ac:dyDescent="0.3">
      <c r="A16" s="442" t="s">
        <v>106</v>
      </c>
      <c r="B16" s="365">
        <v>1.07</v>
      </c>
      <c r="C16" s="366" t="s">
        <v>272</v>
      </c>
      <c r="D16" s="367" t="s">
        <v>107</v>
      </c>
      <c r="E16" s="368">
        <v>1</v>
      </c>
      <c r="F16" s="761">
        <f>'01 (2)'!I15*'01 (2)'!$N$3</f>
        <v>1062792.893406013</v>
      </c>
      <c r="G16" s="368">
        <f t="shared" si="1"/>
        <v>668527.10659398697</v>
      </c>
      <c r="H16" s="369">
        <v>1731320</v>
      </c>
      <c r="I16" s="369">
        <f t="shared" si="2"/>
        <v>1062792.893406013</v>
      </c>
      <c r="J16" s="369">
        <f t="shared" si="3"/>
        <v>668527.10659398697</v>
      </c>
      <c r="K16" s="369">
        <f t="shared" si="0"/>
        <v>1731320</v>
      </c>
      <c r="M16" s="359"/>
      <c r="N16" s="963">
        <v>1</v>
      </c>
      <c r="O16" s="963"/>
      <c r="P16" s="964">
        <f t="shared" si="4"/>
        <v>1</v>
      </c>
      <c r="Q16" s="962">
        <f t="shared" si="5"/>
        <v>1731320</v>
      </c>
      <c r="R16" s="962">
        <f t="shared" si="6"/>
        <v>0</v>
      </c>
      <c r="S16" s="962">
        <f t="shared" si="7"/>
        <v>1731320</v>
      </c>
      <c r="T16" s="962">
        <f t="shared" si="8"/>
        <v>1062792.893406013</v>
      </c>
      <c r="U16" s="962">
        <f t="shared" si="9"/>
        <v>668527.10659398697</v>
      </c>
      <c r="V16" s="962">
        <f t="shared" si="10"/>
        <v>1731320</v>
      </c>
    </row>
    <row r="17" spans="1:22" ht="13" outlineLevel="1" x14ac:dyDescent="0.3">
      <c r="A17" s="442" t="s">
        <v>106</v>
      </c>
      <c r="B17" s="365">
        <v>1.08</v>
      </c>
      <c r="C17" s="366" t="s">
        <v>273</v>
      </c>
      <c r="D17" s="367" t="s">
        <v>107</v>
      </c>
      <c r="E17" s="368">
        <v>1</v>
      </c>
      <c r="F17" s="761">
        <f>'01 (2)'!I16*'01 (2)'!$N$3</f>
        <v>855182.90031263849</v>
      </c>
      <c r="G17" s="368">
        <f t="shared" si="1"/>
        <v>550449.09968736151</v>
      </c>
      <c r="H17" s="369">
        <v>1405632</v>
      </c>
      <c r="I17" s="369">
        <f t="shared" si="2"/>
        <v>855182.90031263849</v>
      </c>
      <c r="J17" s="369">
        <f t="shared" si="3"/>
        <v>550449.09968736151</v>
      </c>
      <c r="K17" s="369">
        <f t="shared" si="0"/>
        <v>1405632</v>
      </c>
      <c r="M17" s="359"/>
      <c r="N17" s="963">
        <v>0</v>
      </c>
      <c r="O17" s="963">
        <v>1</v>
      </c>
      <c r="P17" s="964">
        <f t="shared" si="4"/>
        <v>1</v>
      </c>
      <c r="Q17" s="962">
        <f t="shared" si="5"/>
        <v>0</v>
      </c>
      <c r="R17" s="962">
        <f t="shared" si="6"/>
        <v>1405632</v>
      </c>
      <c r="S17" s="962">
        <f t="shared" si="7"/>
        <v>1405632</v>
      </c>
      <c r="T17" s="962">
        <f t="shared" si="8"/>
        <v>855182.90031263849</v>
      </c>
      <c r="U17" s="962">
        <f t="shared" si="9"/>
        <v>550449.09968736151</v>
      </c>
      <c r="V17" s="962">
        <f t="shared" si="10"/>
        <v>1405632</v>
      </c>
    </row>
    <row r="18" spans="1:22" ht="13" outlineLevel="1" x14ac:dyDescent="0.3">
      <c r="A18" s="442" t="s">
        <v>103</v>
      </c>
      <c r="B18" s="365">
        <v>1.0900000000000001</v>
      </c>
      <c r="C18" s="366" t="s">
        <v>274</v>
      </c>
      <c r="D18" s="367" t="s">
        <v>107</v>
      </c>
      <c r="E18" s="368">
        <v>1</v>
      </c>
      <c r="F18" s="761">
        <f>'01 (2)'!I17*'01 (2)'!$N$3</f>
        <v>0</v>
      </c>
      <c r="G18" s="368">
        <f t="shared" si="1"/>
        <v>426487</v>
      </c>
      <c r="H18" s="369">
        <v>426487</v>
      </c>
      <c r="I18" s="369">
        <f t="shared" si="2"/>
        <v>0</v>
      </c>
      <c r="J18" s="369">
        <f t="shared" si="3"/>
        <v>426487</v>
      </c>
      <c r="K18" s="369">
        <f t="shared" si="0"/>
        <v>426487</v>
      </c>
      <c r="M18" s="359"/>
      <c r="N18" s="963">
        <v>0.65</v>
      </c>
      <c r="O18" s="963">
        <v>0.35</v>
      </c>
      <c r="P18" s="964">
        <f t="shared" si="4"/>
        <v>1</v>
      </c>
      <c r="Q18" s="962">
        <f t="shared" si="5"/>
        <v>277216.55</v>
      </c>
      <c r="R18" s="962">
        <f t="shared" si="6"/>
        <v>149270.44999999998</v>
      </c>
      <c r="S18" s="962">
        <f t="shared" si="7"/>
        <v>426487</v>
      </c>
      <c r="T18" s="962">
        <f t="shared" si="8"/>
        <v>0</v>
      </c>
      <c r="U18" s="962">
        <f t="shared" si="9"/>
        <v>426487</v>
      </c>
      <c r="V18" s="962">
        <f t="shared" si="10"/>
        <v>426487</v>
      </c>
    </row>
    <row r="19" spans="1:22" ht="13" outlineLevel="1" x14ac:dyDescent="0.3">
      <c r="A19" s="443" t="s">
        <v>574</v>
      </c>
      <c r="B19" s="372">
        <v>1.1000000000000001</v>
      </c>
      <c r="C19" s="373" t="s">
        <v>275</v>
      </c>
      <c r="D19" s="374" t="s">
        <v>107</v>
      </c>
      <c r="E19" s="375">
        <v>1</v>
      </c>
      <c r="F19" s="761">
        <f>'01 (2)'!I18*'01 (2)'!$N$3</f>
        <v>0</v>
      </c>
      <c r="G19" s="761">
        <f t="shared" si="1"/>
        <v>9803685</v>
      </c>
      <c r="H19" s="369">
        <v>9803685</v>
      </c>
      <c r="I19" s="369">
        <f t="shared" si="2"/>
        <v>0</v>
      </c>
      <c r="J19" s="369">
        <f t="shared" si="3"/>
        <v>9803685</v>
      </c>
      <c r="K19" s="369">
        <f t="shared" si="0"/>
        <v>9803685</v>
      </c>
      <c r="M19" s="359"/>
      <c r="N19" s="965">
        <v>1</v>
      </c>
      <c r="O19" s="965"/>
      <c r="P19" s="966">
        <f t="shared" si="4"/>
        <v>1</v>
      </c>
      <c r="Q19" s="962">
        <f t="shared" si="5"/>
        <v>9803685</v>
      </c>
      <c r="R19" s="962">
        <f t="shared" si="6"/>
        <v>0</v>
      </c>
      <c r="S19" s="962">
        <f t="shared" si="7"/>
        <v>9803685</v>
      </c>
      <c r="T19" s="962">
        <f t="shared" si="8"/>
        <v>0</v>
      </c>
      <c r="U19" s="962">
        <f t="shared" si="9"/>
        <v>9803685</v>
      </c>
      <c r="V19" s="962">
        <f t="shared" si="10"/>
        <v>9803685</v>
      </c>
    </row>
    <row r="20" spans="1:22" ht="13" x14ac:dyDescent="0.3">
      <c r="A20" s="440"/>
      <c r="B20" s="354">
        <v>2</v>
      </c>
      <c r="C20" s="355" t="s">
        <v>196</v>
      </c>
      <c r="D20" s="356"/>
      <c r="E20" s="357"/>
      <c r="F20" s="357"/>
      <c r="G20" s="357"/>
      <c r="H20" s="357"/>
      <c r="I20" s="357"/>
      <c r="J20" s="357"/>
      <c r="K20" s="357"/>
      <c r="L20" s="358">
        <f>SUM(K21:K24)</f>
        <v>42017464</v>
      </c>
      <c r="M20" s="359">
        <f>+L20/$L$58</f>
        <v>0.10002979172692743</v>
      </c>
      <c r="N20" s="957"/>
      <c r="O20" s="958"/>
      <c r="P20" s="959"/>
      <c r="Q20" s="959"/>
      <c r="R20" s="959"/>
      <c r="S20" s="416"/>
      <c r="T20" s="416"/>
      <c r="U20" s="416"/>
      <c r="V20" s="416"/>
    </row>
    <row r="21" spans="1:22" ht="13" outlineLevel="1" x14ac:dyDescent="0.3">
      <c r="A21" s="442" t="s">
        <v>161</v>
      </c>
      <c r="B21" s="365" t="s">
        <v>488</v>
      </c>
      <c r="C21" s="376" t="s">
        <v>276</v>
      </c>
      <c r="D21" s="377" t="s">
        <v>108</v>
      </c>
      <c r="E21" s="378">
        <v>1266</v>
      </c>
      <c r="F21" s="378">
        <f>'01 (2)'!I20*'01 (2)'!$N$3</f>
        <v>0</v>
      </c>
      <c r="G21" s="378">
        <f t="shared" ref="G21:G24" si="11">H21-F21</f>
        <v>33090</v>
      </c>
      <c r="H21" s="369">
        <v>33090</v>
      </c>
      <c r="I21" s="369">
        <f>E21*F21</f>
        <v>0</v>
      </c>
      <c r="J21" s="369">
        <f>E21*G21</f>
        <v>41891940</v>
      </c>
      <c r="K21" s="369">
        <f>+H21*E21</f>
        <v>41891940</v>
      </c>
      <c r="M21" s="359"/>
      <c r="N21" s="963">
        <v>0.99999999999999989</v>
      </c>
      <c r="O21" s="963"/>
      <c r="P21" s="964">
        <f>SUM(N21:O21)</f>
        <v>0.99999999999999989</v>
      </c>
      <c r="Q21" s="962">
        <f t="shared" ref="Q21:Q24" si="12">K21*N21</f>
        <v>41891939.999999993</v>
      </c>
      <c r="R21" s="962">
        <f t="shared" ref="R21:R24" si="13">K21*O21</f>
        <v>0</v>
      </c>
      <c r="S21" s="962">
        <f t="shared" ref="S21:S24" si="14">K21*P21</f>
        <v>41891939.999999993</v>
      </c>
      <c r="T21" s="962">
        <f t="shared" ref="T21:T24" si="15">I21*P21</f>
        <v>0</v>
      </c>
      <c r="U21" s="962">
        <f t="shared" ref="U21:U24" si="16">J21*P21</f>
        <v>41891939.999999993</v>
      </c>
      <c r="V21" s="962">
        <f t="shared" ref="V21:V24" si="17">SUM(T21:U21)</f>
        <v>41891939.999999993</v>
      </c>
    </row>
    <row r="22" spans="1:22" ht="13" outlineLevel="1" x14ac:dyDescent="0.3">
      <c r="A22" s="442" t="s">
        <v>110</v>
      </c>
      <c r="B22" s="365" t="s">
        <v>487</v>
      </c>
      <c r="C22" s="376" t="s">
        <v>276</v>
      </c>
      <c r="D22" s="377"/>
      <c r="E22" s="378"/>
      <c r="F22" s="378">
        <f>'01 (2)'!I21*'01 (2)'!$N$3</f>
        <v>0</v>
      </c>
      <c r="G22" s="378">
        <f t="shared" si="11"/>
        <v>0</v>
      </c>
      <c r="H22" s="369"/>
      <c r="I22" s="369">
        <f t="shared" ref="I22:I24" si="18">E22*F22</f>
        <v>0</v>
      </c>
      <c r="J22" s="369">
        <f t="shared" ref="J22:J24" si="19">E22*G22</f>
        <v>0</v>
      </c>
      <c r="K22" s="369"/>
      <c r="M22" s="359"/>
      <c r="N22" s="963">
        <v>0.99999999999999989</v>
      </c>
      <c r="O22" s="963"/>
      <c r="P22" s="964">
        <f t="shared" ref="P22:P24" si="20">SUM(N22:O22)</f>
        <v>0.99999999999999989</v>
      </c>
      <c r="Q22" s="962">
        <f t="shared" si="12"/>
        <v>0</v>
      </c>
      <c r="R22" s="962">
        <f t="shared" si="13"/>
        <v>0</v>
      </c>
      <c r="S22" s="962">
        <f t="shared" si="14"/>
        <v>0</v>
      </c>
      <c r="T22" s="962">
        <f t="shared" si="15"/>
        <v>0</v>
      </c>
      <c r="U22" s="962">
        <f t="shared" si="16"/>
        <v>0</v>
      </c>
      <c r="V22" s="962">
        <f t="shared" si="17"/>
        <v>0</v>
      </c>
    </row>
    <row r="23" spans="1:22" ht="13" outlineLevel="1" x14ac:dyDescent="0.3">
      <c r="A23" s="442" t="s">
        <v>161</v>
      </c>
      <c r="B23" s="365">
        <v>2.02</v>
      </c>
      <c r="C23" s="379" t="s">
        <v>277</v>
      </c>
      <c r="D23" s="367" t="s">
        <v>107</v>
      </c>
      <c r="E23" s="378">
        <v>0</v>
      </c>
      <c r="F23" s="378">
        <f>'01 (2)'!I22*'01 (2)'!$N$3</f>
        <v>0</v>
      </c>
      <c r="G23" s="378">
        <f t="shared" si="11"/>
        <v>0</v>
      </c>
      <c r="H23" s="369">
        <v>0</v>
      </c>
      <c r="I23" s="369">
        <f t="shared" si="18"/>
        <v>0</v>
      </c>
      <c r="J23" s="369">
        <f t="shared" si="19"/>
        <v>0</v>
      </c>
      <c r="K23" s="369">
        <f>+H23*E23</f>
        <v>0</v>
      </c>
      <c r="M23" s="359"/>
      <c r="N23" s="963">
        <v>0</v>
      </c>
      <c r="O23" s="963"/>
      <c r="P23" s="964">
        <f t="shared" si="20"/>
        <v>0</v>
      </c>
      <c r="Q23" s="962">
        <f t="shared" si="12"/>
        <v>0</v>
      </c>
      <c r="R23" s="962">
        <f t="shared" si="13"/>
        <v>0</v>
      </c>
      <c r="S23" s="962">
        <f t="shared" si="14"/>
        <v>0</v>
      </c>
      <c r="T23" s="962">
        <f t="shared" si="15"/>
        <v>0</v>
      </c>
      <c r="U23" s="962">
        <f t="shared" si="16"/>
        <v>0</v>
      </c>
      <c r="V23" s="962">
        <f t="shared" si="17"/>
        <v>0</v>
      </c>
    </row>
    <row r="24" spans="1:22" ht="13" outlineLevel="1" x14ac:dyDescent="0.3">
      <c r="A24" s="442" t="s">
        <v>110</v>
      </c>
      <c r="B24" s="365">
        <v>2.0299999999999998</v>
      </c>
      <c r="C24" s="376" t="s">
        <v>278</v>
      </c>
      <c r="D24" s="377" t="s">
        <v>108</v>
      </c>
      <c r="E24" s="378">
        <v>2</v>
      </c>
      <c r="F24" s="378">
        <f>'01 (2)'!I23*'01 (2)'!$N$3</f>
        <v>0</v>
      </c>
      <c r="G24" s="378">
        <f t="shared" si="11"/>
        <v>62762</v>
      </c>
      <c r="H24" s="369">
        <v>62762</v>
      </c>
      <c r="I24" s="369">
        <f t="shared" si="18"/>
        <v>0</v>
      </c>
      <c r="J24" s="369">
        <f t="shared" si="19"/>
        <v>125524</v>
      </c>
      <c r="K24" s="369">
        <f>+H24*E24</f>
        <v>125524</v>
      </c>
      <c r="M24" s="359"/>
      <c r="N24" s="963">
        <v>1</v>
      </c>
      <c r="O24" s="965"/>
      <c r="P24" s="964">
        <f t="shared" si="20"/>
        <v>1</v>
      </c>
      <c r="Q24" s="962">
        <f t="shared" si="12"/>
        <v>125524</v>
      </c>
      <c r="R24" s="962">
        <f t="shared" si="13"/>
        <v>0</v>
      </c>
      <c r="S24" s="962">
        <f t="shared" si="14"/>
        <v>125524</v>
      </c>
      <c r="T24" s="962">
        <f t="shared" si="15"/>
        <v>0</v>
      </c>
      <c r="U24" s="962">
        <f t="shared" si="16"/>
        <v>125524</v>
      </c>
      <c r="V24" s="962">
        <f t="shared" si="17"/>
        <v>125524</v>
      </c>
    </row>
    <row r="25" spans="1:22" ht="13" x14ac:dyDescent="0.3">
      <c r="A25" s="440"/>
      <c r="B25" s="354">
        <v>3</v>
      </c>
      <c r="C25" s="355" t="s">
        <v>279</v>
      </c>
      <c r="D25" s="356"/>
      <c r="E25" s="357"/>
      <c r="F25" s="357"/>
      <c r="G25" s="357"/>
      <c r="H25" s="357"/>
      <c r="I25" s="357"/>
      <c r="J25" s="357"/>
      <c r="K25" s="357"/>
      <c r="L25" s="358">
        <f>SUM(K26:K42)</f>
        <v>277149875</v>
      </c>
      <c r="M25" s="359">
        <f>+L25/$L$58</f>
        <v>0.65980289227817202</v>
      </c>
      <c r="N25" s="957"/>
      <c r="O25" s="958"/>
      <c r="P25" s="959"/>
      <c r="Q25" s="959"/>
      <c r="R25" s="959"/>
      <c r="S25" s="959"/>
      <c r="T25" s="959"/>
      <c r="U25" s="959"/>
      <c r="V25" s="959"/>
    </row>
    <row r="26" spans="1:22" ht="13" outlineLevel="1" x14ac:dyDescent="0.3">
      <c r="A26" s="442" t="s">
        <v>110</v>
      </c>
      <c r="B26" s="365">
        <v>3.01</v>
      </c>
      <c r="C26" s="381" t="s">
        <v>280</v>
      </c>
      <c r="D26" s="370" t="s">
        <v>108</v>
      </c>
      <c r="E26" s="371">
        <v>35</v>
      </c>
      <c r="F26" s="371">
        <f>'01 (2)'!I24*'01 (2)'!$N$3</f>
        <v>247068.99778684677</v>
      </c>
      <c r="G26" s="371">
        <f t="shared" ref="G26:G42" si="21">H26-F26</f>
        <v>67409.002213153231</v>
      </c>
      <c r="H26" s="369">
        <v>314478</v>
      </c>
      <c r="I26" s="369">
        <f>E26*F26</f>
        <v>8647414.9225396365</v>
      </c>
      <c r="J26" s="369">
        <f>E26*G26</f>
        <v>2359315.077460363</v>
      </c>
      <c r="K26" s="369">
        <f t="shared" ref="K26:K42" si="22">+H26*E26</f>
        <v>11006730</v>
      </c>
      <c r="M26" s="359"/>
      <c r="N26" s="960">
        <v>1</v>
      </c>
      <c r="O26" s="960"/>
      <c r="P26" s="964">
        <f t="shared" ref="P26:P42" si="23">SUM(N26:O26)</f>
        <v>1</v>
      </c>
      <c r="Q26" s="962">
        <f t="shared" ref="Q26:Q42" si="24">K26*N26</f>
        <v>11006730</v>
      </c>
      <c r="R26" s="962">
        <f t="shared" ref="R26:R42" si="25">K26*O26</f>
        <v>0</v>
      </c>
      <c r="S26" s="962">
        <f t="shared" ref="S26:S42" si="26">K26*P26</f>
        <v>11006730</v>
      </c>
      <c r="T26" s="962">
        <f t="shared" ref="T26:T42" si="27">I26*P26</f>
        <v>8647414.9225396365</v>
      </c>
      <c r="U26" s="962">
        <f t="shared" ref="U26:U42" si="28">J26*P26</f>
        <v>2359315.077460363</v>
      </c>
      <c r="V26" s="962">
        <f t="shared" ref="V26:V42" si="29">SUM(T26:U26)</f>
        <v>11006730</v>
      </c>
    </row>
    <row r="27" spans="1:22" ht="13" outlineLevel="1" x14ac:dyDescent="0.3">
      <c r="A27" s="442" t="s">
        <v>110</v>
      </c>
      <c r="B27" s="365">
        <v>3.02</v>
      </c>
      <c r="C27" s="381" t="s">
        <v>281</v>
      </c>
      <c r="D27" s="370" t="s">
        <v>108</v>
      </c>
      <c r="E27" s="371">
        <v>40</v>
      </c>
      <c r="F27" s="371">
        <f>'01 (2)'!I25*'01 (2)'!$N$3</f>
        <v>89041.892084191393</v>
      </c>
      <c r="G27" s="371">
        <f t="shared" si="21"/>
        <v>447019.71255080117</v>
      </c>
      <c r="H27" s="369">
        <v>536061.60463499255</v>
      </c>
      <c r="I27" s="369">
        <f t="shared" ref="I27:I42" si="30">E27*F27</f>
        <v>3561675.6833676556</v>
      </c>
      <c r="J27" s="369">
        <f t="shared" ref="J27:J42" si="31">E27*G27</f>
        <v>17880788.502032045</v>
      </c>
      <c r="K27" s="369">
        <f t="shared" si="22"/>
        <v>21442464.185399704</v>
      </c>
      <c r="M27" s="359"/>
      <c r="N27" s="963">
        <v>1</v>
      </c>
      <c r="O27" s="963"/>
      <c r="P27" s="964">
        <f t="shared" si="23"/>
        <v>1</v>
      </c>
      <c r="Q27" s="962">
        <f t="shared" si="24"/>
        <v>21442464.185399704</v>
      </c>
      <c r="R27" s="962">
        <f t="shared" si="25"/>
        <v>0</v>
      </c>
      <c r="S27" s="962">
        <f t="shared" si="26"/>
        <v>21442464.185399704</v>
      </c>
      <c r="T27" s="962">
        <f t="shared" si="27"/>
        <v>3561675.6833676556</v>
      </c>
      <c r="U27" s="962">
        <f t="shared" si="28"/>
        <v>17880788.502032045</v>
      </c>
      <c r="V27" s="962">
        <f t="shared" si="29"/>
        <v>21442464.1853997</v>
      </c>
    </row>
    <row r="28" spans="1:22" ht="13" outlineLevel="1" x14ac:dyDescent="0.3">
      <c r="A28" s="442" t="s">
        <v>110</v>
      </c>
      <c r="B28" s="365">
        <v>3.03</v>
      </c>
      <c r="C28" s="381" t="s">
        <v>282</v>
      </c>
      <c r="D28" s="370" t="s">
        <v>108</v>
      </c>
      <c r="E28" s="371">
        <v>28</v>
      </c>
      <c r="F28" s="371">
        <f>'01 (2)'!I26*'01 (2)'!$N$3</f>
        <v>69215.042176588715</v>
      </c>
      <c r="G28" s="371">
        <f t="shared" si="21"/>
        <v>368465.71684902231</v>
      </c>
      <c r="H28" s="369">
        <v>437680.75902561104</v>
      </c>
      <c r="I28" s="369">
        <f t="shared" si="30"/>
        <v>1938021.180944484</v>
      </c>
      <c r="J28" s="369">
        <f t="shared" si="31"/>
        <v>10317040.071772624</v>
      </c>
      <c r="K28" s="369">
        <f t="shared" si="22"/>
        <v>12255061.252717109</v>
      </c>
      <c r="M28" s="359"/>
      <c r="N28" s="963">
        <v>1</v>
      </c>
      <c r="O28" s="963"/>
      <c r="P28" s="964">
        <f t="shared" si="23"/>
        <v>1</v>
      </c>
      <c r="Q28" s="962">
        <f t="shared" si="24"/>
        <v>12255061.252717109</v>
      </c>
      <c r="R28" s="962">
        <f t="shared" si="25"/>
        <v>0</v>
      </c>
      <c r="S28" s="962">
        <f t="shared" si="26"/>
        <v>12255061.252717109</v>
      </c>
      <c r="T28" s="962">
        <f t="shared" si="27"/>
        <v>1938021.180944484</v>
      </c>
      <c r="U28" s="962">
        <f t="shared" si="28"/>
        <v>10317040.071772624</v>
      </c>
      <c r="V28" s="962">
        <f t="shared" si="29"/>
        <v>12255061.252717108</v>
      </c>
    </row>
    <row r="29" spans="1:22" ht="13" outlineLevel="1" x14ac:dyDescent="0.3">
      <c r="A29" s="442" t="s">
        <v>110</v>
      </c>
      <c r="B29" s="365">
        <v>3.04</v>
      </c>
      <c r="C29" s="381" t="s">
        <v>283</v>
      </c>
      <c r="D29" s="370" t="s">
        <v>108</v>
      </c>
      <c r="E29" s="371">
        <v>179</v>
      </c>
      <c r="F29" s="371">
        <f>'01 (2)'!I27*'01 (2)'!$N$3</f>
        <v>3106.2718740133155</v>
      </c>
      <c r="G29" s="371">
        <f t="shared" si="21"/>
        <v>211355.44623574786</v>
      </c>
      <c r="H29" s="369">
        <v>214461.71810976119</v>
      </c>
      <c r="I29" s="369">
        <f t="shared" si="30"/>
        <v>556022.66544838343</v>
      </c>
      <c r="J29" s="369">
        <f t="shared" si="31"/>
        <v>37832624.876198865</v>
      </c>
      <c r="K29" s="369">
        <f t="shared" si="22"/>
        <v>38388647.541647255</v>
      </c>
      <c r="M29" s="359"/>
      <c r="N29" s="963">
        <v>1</v>
      </c>
      <c r="O29" s="963"/>
      <c r="P29" s="964">
        <f t="shared" si="23"/>
        <v>1</v>
      </c>
      <c r="Q29" s="962">
        <f t="shared" si="24"/>
        <v>38388647.541647255</v>
      </c>
      <c r="R29" s="962">
        <f t="shared" si="25"/>
        <v>0</v>
      </c>
      <c r="S29" s="962">
        <f t="shared" si="26"/>
        <v>38388647.541647255</v>
      </c>
      <c r="T29" s="962">
        <f t="shared" si="27"/>
        <v>556022.66544838343</v>
      </c>
      <c r="U29" s="962">
        <f t="shared" si="28"/>
        <v>37832624.876198865</v>
      </c>
      <c r="V29" s="962">
        <f t="shared" si="29"/>
        <v>38388647.541647248</v>
      </c>
    </row>
    <row r="30" spans="1:22" ht="13" outlineLevel="1" x14ac:dyDescent="0.3">
      <c r="A30" s="442" t="s">
        <v>110</v>
      </c>
      <c r="B30" s="365">
        <v>3.05</v>
      </c>
      <c r="C30" s="381" t="s">
        <v>284</v>
      </c>
      <c r="D30" s="370" t="s">
        <v>108</v>
      </c>
      <c r="E30" s="371">
        <v>10</v>
      </c>
      <c r="F30" s="371">
        <f>'01 (2)'!I28*'01 (2)'!$N$3</f>
        <v>50463.841915253499</v>
      </c>
      <c r="G30" s="371">
        <f t="shared" si="21"/>
        <v>412267.81123698986</v>
      </c>
      <c r="H30" s="369">
        <v>462731.65315224335</v>
      </c>
      <c r="I30" s="369">
        <f t="shared" si="30"/>
        <v>504638.41915253497</v>
      </c>
      <c r="J30" s="369">
        <f t="shared" si="31"/>
        <v>4122678.1123698987</v>
      </c>
      <c r="K30" s="369">
        <f t="shared" si="22"/>
        <v>4627316.5315224333</v>
      </c>
      <c r="M30" s="359"/>
      <c r="N30" s="963">
        <v>1</v>
      </c>
      <c r="O30" s="963"/>
      <c r="P30" s="964">
        <f t="shared" si="23"/>
        <v>1</v>
      </c>
      <c r="Q30" s="962">
        <f t="shared" si="24"/>
        <v>4627316.5315224333</v>
      </c>
      <c r="R30" s="962">
        <f t="shared" si="25"/>
        <v>0</v>
      </c>
      <c r="S30" s="962">
        <f t="shared" si="26"/>
        <v>4627316.5315224333</v>
      </c>
      <c r="T30" s="962">
        <f t="shared" si="27"/>
        <v>504638.41915253497</v>
      </c>
      <c r="U30" s="962">
        <f t="shared" si="28"/>
        <v>4122678.1123698987</v>
      </c>
      <c r="V30" s="962">
        <f t="shared" si="29"/>
        <v>4627316.5315224333</v>
      </c>
    </row>
    <row r="31" spans="1:22" ht="13" outlineLevel="1" x14ac:dyDescent="0.3">
      <c r="A31" s="442" t="s">
        <v>110</v>
      </c>
      <c r="B31" s="365">
        <v>3.06</v>
      </c>
      <c r="C31" s="366" t="s">
        <v>285</v>
      </c>
      <c r="D31" s="377" t="s">
        <v>108</v>
      </c>
      <c r="E31" s="368">
        <v>177</v>
      </c>
      <c r="F31" s="371">
        <f>'01 (2)'!I29*'01 (2)'!$N$3</f>
        <v>41446.332979348219</v>
      </c>
      <c r="G31" s="371">
        <f t="shared" si="21"/>
        <v>275834.28075611382</v>
      </c>
      <c r="H31" s="369">
        <v>317280.61373546202</v>
      </c>
      <c r="I31" s="369">
        <f t="shared" si="30"/>
        <v>7336000.9373446349</v>
      </c>
      <c r="J31" s="369">
        <f t="shared" si="31"/>
        <v>48822667.693832144</v>
      </c>
      <c r="K31" s="369">
        <f t="shared" si="22"/>
        <v>56158668.631176777</v>
      </c>
      <c r="M31" s="359"/>
      <c r="N31" s="963">
        <v>1</v>
      </c>
      <c r="O31" s="963"/>
      <c r="P31" s="964">
        <f t="shared" si="23"/>
        <v>1</v>
      </c>
      <c r="Q31" s="962">
        <f t="shared" si="24"/>
        <v>56158668.631176777</v>
      </c>
      <c r="R31" s="962">
        <f t="shared" si="25"/>
        <v>0</v>
      </c>
      <c r="S31" s="962">
        <f t="shared" si="26"/>
        <v>56158668.631176777</v>
      </c>
      <c r="T31" s="962">
        <f t="shared" si="27"/>
        <v>7336000.9373446349</v>
      </c>
      <c r="U31" s="962">
        <f t="shared" si="28"/>
        <v>48822667.693832144</v>
      </c>
      <c r="V31" s="962">
        <f t="shared" si="29"/>
        <v>56158668.631176777</v>
      </c>
    </row>
    <row r="32" spans="1:22" ht="13" outlineLevel="1" x14ac:dyDescent="0.3">
      <c r="A32" s="442" t="s">
        <v>110</v>
      </c>
      <c r="B32" s="365">
        <v>3.07</v>
      </c>
      <c r="C32" s="366" t="s">
        <v>286</v>
      </c>
      <c r="D32" s="377" t="s">
        <v>108</v>
      </c>
      <c r="E32" s="368">
        <v>65</v>
      </c>
      <c r="F32" s="371">
        <f>'01 (2)'!I30*'01 (2)'!$N$3</f>
        <v>118434.73502369318</v>
      </c>
      <c r="G32" s="371">
        <f t="shared" si="21"/>
        <v>670615.70175717655</v>
      </c>
      <c r="H32" s="369">
        <v>789050.43678086973</v>
      </c>
      <c r="I32" s="369">
        <f t="shared" si="30"/>
        <v>7698257.7765400568</v>
      </c>
      <c r="J32" s="369">
        <f t="shared" si="31"/>
        <v>43590020.614216477</v>
      </c>
      <c r="K32" s="369">
        <f t="shared" si="22"/>
        <v>51288278.390756533</v>
      </c>
      <c r="M32" s="359"/>
      <c r="N32" s="963">
        <v>1</v>
      </c>
      <c r="O32" s="963"/>
      <c r="P32" s="964">
        <f t="shared" si="23"/>
        <v>1</v>
      </c>
      <c r="Q32" s="962">
        <f t="shared" si="24"/>
        <v>51288278.390756533</v>
      </c>
      <c r="R32" s="962">
        <f t="shared" si="25"/>
        <v>0</v>
      </c>
      <c r="S32" s="962">
        <f t="shared" si="26"/>
        <v>51288278.390756533</v>
      </c>
      <c r="T32" s="962">
        <f t="shared" si="27"/>
        <v>7698257.7765400568</v>
      </c>
      <c r="U32" s="962">
        <f t="shared" si="28"/>
        <v>43590020.614216477</v>
      </c>
      <c r="V32" s="962">
        <f t="shared" si="29"/>
        <v>51288278.390756533</v>
      </c>
    </row>
    <row r="33" spans="1:22" ht="13" outlineLevel="1" x14ac:dyDescent="0.3">
      <c r="A33" s="442" t="s">
        <v>110</v>
      </c>
      <c r="B33" s="365">
        <v>3.08</v>
      </c>
      <c r="C33" s="366" t="s">
        <v>287</v>
      </c>
      <c r="D33" s="377" t="s">
        <v>108</v>
      </c>
      <c r="E33" s="368">
        <v>12</v>
      </c>
      <c r="F33" s="371">
        <f>'01 (2)'!I31*'01 (2)'!$N$3</f>
        <v>115724.08981458795</v>
      </c>
      <c r="G33" s="371">
        <f t="shared" si="21"/>
        <v>801393.72874035209</v>
      </c>
      <c r="H33" s="369">
        <v>917117.81855494005</v>
      </c>
      <c r="I33" s="369">
        <f t="shared" si="30"/>
        <v>1388689.0777750553</v>
      </c>
      <c r="J33" s="369">
        <f t="shared" si="31"/>
        <v>9616724.7448842246</v>
      </c>
      <c r="K33" s="369">
        <f t="shared" si="22"/>
        <v>11005413.82265928</v>
      </c>
      <c r="M33" s="359"/>
      <c r="N33" s="963">
        <v>1</v>
      </c>
      <c r="O33" s="963"/>
      <c r="P33" s="964">
        <f t="shared" si="23"/>
        <v>1</v>
      </c>
      <c r="Q33" s="962">
        <f t="shared" si="24"/>
        <v>11005413.82265928</v>
      </c>
      <c r="R33" s="962">
        <f t="shared" si="25"/>
        <v>0</v>
      </c>
      <c r="S33" s="962">
        <f t="shared" si="26"/>
        <v>11005413.82265928</v>
      </c>
      <c r="T33" s="962">
        <f t="shared" si="27"/>
        <v>1388689.0777750553</v>
      </c>
      <c r="U33" s="962">
        <f t="shared" si="28"/>
        <v>9616724.7448842246</v>
      </c>
      <c r="V33" s="962">
        <f t="shared" si="29"/>
        <v>11005413.82265928</v>
      </c>
    </row>
    <row r="34" spans="1:22" ht="13" outlineLevel="1" x14ac:dyDescent="0.3">
      <c r="A34" s="442" t="s">
        <v>110</v>
      </c>
      <c r="B34" s="365">
        <v>3.09</v>
      </c>
      <c r="C34" s="366" t="s">
        <v>288</v>
      </c>
      <c r="D34" s="377" t="s">
        <v>108</v>
      </c>
      <c r="E34" s="368">
        <v>28</v>
      </c>
      <c r="F34" s="371">
        <f>'01 (2)'!I32*'01 (2)'!$N$3</f>
        <v>89041.892084191393</v>
      </c>
      <c r="G34" s="371">
        <f t="shared" si="21"/>
        <v>447019.71255080128</v>
      </c>
      <c r="H34" s="369">
        <v>536061.60463499266</v>
      </c>
      <c r="I34" s="369">
        <f t="shared" si="30"/>
        <v>2493172.9783573588</v>
      </c>
      <c r="J34" s="369">
        <f t="shared" si="31"/>
        <v>12516551.951422436</v>
      </c>
      <c r="K34" s="369">
        <f t="shared" si="22"/>
        <v>15009724.929779794</v>
      </c>
      <c r="M34" s="359"/>
      <c r="N34" s="963">
        <v>1</v>
      </c>
      <c r="O34" s="963"/>
      <c r="P34" s="964">
        <f t="shared" si="23"/>
        <v>1</v>
      </c>
      <c r="Q34" s="962">
        <f t="shared" si="24"/>
        <v>15009724.929779794</v>
      </c>
      <c r="R34" s="962">
        <f t="shared" si="25"/>
        <v>0</v>
      </c>
      <c r="S34" s="962">
        <f t="shared" si="26"/>
        <v>15009724.929779794</v>
      </c>
      <c r="T34" s="962">
        <f t="shared" si="27"/>
        <v>2493172.9783573588</v>
      </c>
      <c r="U34" s="962">
        <f t="shared" si="28"/>
        <v>12516551.951422436</v>
      </c>
      <c r="V34" s="962">
        <f t="shared" si="29"/>
        <v>15009724.929779794</v>
      </c>
    </row>
    <row r="35" spans="1:22" ht="13" outlineLevel="1" x14ac:dyDescent="0.3">
      <c r="A35" s="442" t="s">
        <v>110</v>
      </c>
      <c r="B35" s="365">
        <v>3.1</v>
      </c>
      <c r="C35" s="366" t="s">
        <v>289</v>
      </c>
      <c r="D35" s="377" t="s">
        <v>108</v>
      </c>
      <c r="E35" s="368">
        <v>54</v>
      </c>
      <c r="F35" s="371">
        <f>'01 (2)'!I33*'01 (2)'!$N$3</f>
        <v>76608.72549640917</v>
      </c>
      <c r="G35" s="371">
        <f t="shared" si="21"/>
        <v>397250.24465522985</v>
      </c>
      <c r="H35" s="369">
        <v>473858.97015163902</v>
      </c>
      <c r="I35" s="369">
        <f t="shared" si="30"/>
        <v>4136871.1768060951</v>
      </c>
      <c r="J35" s="369">
        <f t="shared" si="31"/>
        <v>21451513.211382411</v>
      </c>
      <c r="K35" s="369">
        <f t="shared" si="22"/>
        <v>25588384.388188507</v>
      </c>
      <c r="M35" s="359"/>
      <c r="N35" s="963">
        <v>1</v>
      </c>
      <c r="O35" s="963"/>
      <c r="P35" s="964">
        <f t="shared" si="23"/>
        <v>1</v>
      </c>
      <c r="Q35" s="962">
        <f t="shared" si="24"/>
        <v>25588384.388188507</v>
      </c>
      <c r="R35" s="962">
        <f t="shared" si="25"/>
        <v>0</v>
      </c>
      <c r="S35" s="962">
        <f t="shared" si="26"/>
        <v>25588384.388188507</v>
      </c>
      <c r="T35" s="962">
        <f t="shared" si="27"/>
        <v>4136871.1768060951</v>
      </c>
      <c r="U35" s="962">
        <f t="shared" si="28"/>
        <v>21451513.211382411</v>
      </c>
      <c r="V35" s="962">
        <f t="shared" si="29"/>
        <v>25588384.388188507</v>
      </c>
    </row>
    <row r="36" spans="1:22" ht="13" outlineLevel="1" x14ac:dyDescent="0.3">
      <c r="A36" s="442" t="s">
        <v>110</v>
      </c>
      <c r="B36" s="365">
        <v>3.11</v>
      </c>
      <c r="C36" s="366" t="s">
        <v>290</v>
      </c>
      <c r="D36" s="377" t="s">
        <v>108</v>
      </c>
      <c r="E36" s="368">
        <v>11</v>
      </c>
      <c r="F36" s="371">
        <f>'01 (2)'!I34*'01 (2)'!$N$3</f>
        <v>85700.589574835059</v>
      </c>
      <c r="G36" s="371">
        <f t="shared" si="21"/>
        <v>411887.18426585849</v>
      </c>
      <c r="H36" s="369">
        <v>497587.77384069352</v>
      </c>
      <c r="I36" s="369">
        <f t="shared" si="30"/>
        <v>942706.48532318568</v>
      </c>
      <c r="J36" s="369">
        <f t="shared" si="31"/>
        <v>4530759.0269244434</v>
      </c>
      <c r="K36" s="369">
        <f t="shared" si="22"/>
        <v>5473465.5122476285</v>
      </c>
      <c r="M36" s="359"/>
      <c r="N36" s="963">
        <v>1</v>
      </c>
      <c r="O36" s="963"/>
      <c r="P36" s="964">
        <f t="shared" si="23"/>
        <v>1</v>
      </c>
      <c r="Q36" s="962">
        <f t="shared" si="24"/>
        <v>5473465.5122476285</v>
      </c>
      <c r="R36" s="962">
        <f t="shared" si="25"/>
        <v>0</v>
      </c>
      <c r="S36" s="962">
        <f t="shared" si="26"/>
        <v>5473465.5122476285</v>
      </c>
      <c r="T36" s="962">
        <f t="shared" si="27"/>
        <v>942706.48532318568</v>
      </c>
      <c r="U36" s="962">
        <f t="shared" si="28"/>
        <v>4530759.0269244434</v>
      </c>
      <c r="V36" s="962">
        <f t="shared" si="29"/>
        <v>5473465.5122476295</v>
      </c>
    </row>
    <row r="37" spans="1:22" ht="13" outlineLevel="1" x14ac:dyDescent="0.3">
      <c r="A37" s="442" t="s">
        <v>110</v>
      </c>
      <c r="B37" s="365">
        <v>3.12</v>
      </c>
      <c r="C37" s="366" t="s">
        <v>291</v>
      </c>
      <c r="D37" s="377" t="s">
        <v>108</v>
      </c>
      <c r="E37" s="368">
        <v>3</v>
      </c>
      <c r="F37" s="371">
        <f>'01 (2)'!I35*'01 (2)'!$N$3</f>
        <v>89041.892084191393</v>
      </c>
      <c r="G37" s="371">
        <f t="shared" si="21"/>
        <v>447019.71255080128</v>
      </c>
      <c r="H37" s="369">
        <v>536061.60463499266</v>
      </c>
      <c r="I37" s="369">
        <f t="shared" si="30"/>
        <v>267125.67625257419</v>
      </c>
      <c r="J37" s="369">
        <f t="shared" si="31"/>
        <v>1341059.1376524039</v>
      </c>
      <c r="K37" s="369">
        <f t="shared" si="22"/>
        <v>1608184.8139049779</v>
      </c>
      <c r="M37" s="359"/>
      <c r="N37" s="963">
        <v>1</v>
      </c>
      <c r="O37" s="963"/>
      <c r="P37" s="964">
        <f t="shared" si="23"/>
        <v>1</v>
      </c>
      <c r="Q37" s="962">
        <f t="shared" si="24"/>
        <v>1608184.8139049779</v>
      </c>
      <c r="R37" s="962">
        <f t="shared" si="25"/>
        <v>0</v>
      </c>
      <c r="S37" s="962">
        <f t="shared" si="26"/>
        <v>1608184.8139049779</v>
      </c>
      <c r="T37" s="962">
        <f t="shared" si="27"/>
        <v>267125.67625257419</v>
      </c>
      <c r="U37" s="962">
        <f t="shared" si="28"/>
        <v>1341059.1376524039</v>
      </c>
      <c r="V37" s="962">
        <f t="shared" si="29"/>
        <v>1608184.8139049781</v>
      </c>
    </row>
    <row r="38" spans="1:22" ht="13" outlineLevel="1" x14ac:dyDescent="0.3">
      <c r="A38" s="442" t="s">
        <v>110</v>
      </c>
      <c r="B38" s="365">
        <v>3.13</v>
      </c>
      <c r="C38" s="366" t="s">
        <v>292</v>
      </c>
      <c r="D38" s="377" t="s">
        <v>124</v>
      </c>
      <c r="E38" s="368">
        <v>240</v>
      </c>
      <c r="F38" s="371">
        <f>'01 (2)'!I36*'01 (2)'!$N$3</f>
        <v>31136.409108972533</v>
      </c>
      <c r="G38" s="371">
        <f t="shared" si="21"/>
        <v>0.59089102746656863</v>
      </c>
      <c r="H38" s="369">
        <v>31137</v>
      </c>
      <c r="I38" s="369">
        <f t="shared" si="30"/>
        <v>7472738.1861534081</v>
      </c>
      <c r="J38" s="369">
        <f t="shared" si="31"/>
        <v>141.81384659197647</v>
      </c>
      <c r="K38" s="369">
        <f t="shared" si="22"/>
        <v>7472880</v>
      </c>
      <c r="M38" s="359"/>
      <c r="N38" s="963">
        <v>1</v>
      </c>
      <c r="O38" s="963"/>
      <c r="P38" s="964">
        <f t="shared" si="23"/>
        <v>1</v>
      </c>
      <c r="Q38" s="962">
        <f t="shared" si="24"/>
        <v>7472880</v>
      </c>
      <c r="R38" s="962">
        <f t="shared" si="25"/>
        <v>0</v>
      </c>
      <c r="S38" s="962">
        <f t="shared" si="26"/>
        <v>7472880</v>
      </c>
      <c r="T38" s="962">
        <f t="shared" si="27"/>
        <v>7472738.1861534081</v>
      </c>
      <c r="U38" s="962">
        <f t="shared" si="28"/>
        <v>141.81384659197647</v>
      </c>
      <c r="V38" s="962">
        <f t="shared" si="29"/>
        <v>7472880</v>
      </c>
    </row>
    <row r="39" spans="1:22" ht="13" outlineLevel="1" x14ac:dyDescent="0.3">
      <c r="A39" s="442" t="s">
        <v>110</v>
      </c>
      <c r="B39" s="365">
        <v>3.14</v>
      </c>
      <c r="C39" s="383" t="s">
        <v>112</v>
      </c>
      <c r="D39" s="377" t="s">
        <v>107</v>
      </c>
      <c r="E39" s="378">
        <v>1</v>
      </c>
      <c r="F39" s="371">
        <f>'01 (2)'!I37*'01 (2)'!$N$3</f>
        <v>0</v>
      </c>
      <c r="G39" s="371">
        <f t="shared" si="21"/>
        <v>11089161</v>
      </c>
      <c r="H39" s="369">
        <v>11089161</v>
      </c>
      <c r="I39" s="369">
        <f t="shared" si="30"/>
        <v>0</v>
      </c>
      <c r="J39" s="369">
        <f t="shared" si="31"/>
        <v>11089161</v>
      </c>
      <c r="K39" s="369">
        <f t="shared" si="22"/>
        <v>11089161</v>
      </c>
      <c r="M39" s="359"/>
      <c r="N39" s="963">
        <v>0.8</v>
      </c>
      <c r="O39" s="963">
        <v>0.2</v>
      </c>
      <c r="P39" s="964">
        <f t="shared" si="23"/>
        <v>1</v>
      </c>
      <c r="Q39" s="962">
        <f t="shared" si="24"/>
        <v>8871328.8000000007</v>
      </c>
      <c r="R39" s="962">
        <f t="shared" si="25"/>
        <v>2217832.2000000002</v>
      </c>
      <c r="S39" s="962">
        <f t="shared" si="26"/>
        <v>11089161</v>
      </c>
      <c r="T39" s="962">
        <f t="shared" si="27"/>
        <v>0</v>
      </c>
      <c r="U39" s="962">
        <f t="shared" si="28"/>
        <v>11089161</v>
      </c>
      <c r="V39" s="962">
        <f t="shared" si="29"/>
        <v>11089161</v>
      </c>
    </row>
    <row r="40" spans="1:22" ht="13" outlineLevel="1" x14ac:dyDescent="0.3">
      <c r="A40" s="442" t="s">
        <v>110</v>
      </c>
      <c r="B40" s="365">
        <v>3.15</v>
      </c>
      <c r="C40" s="383" t="s">
        <v>198</v>
      </c>
      <c r="D40" s="377" t="s">
        <v>111</v>
      </c>
      <c r="E40" s="378">
        <v>14</v>
      </c>
      <c r="F40" s="371">
        <f>'01 (2)'!I38*'01 (2)'!$N$3</f>
        <v>155216.01960511893</v>
      </c>
      <c r="G40" s="371">
        <f t="shared" si="21"/>
        <v>0.98039488107315265</v>
      </c>
      <c r="H40" s="369">
        <v>155217</v>
      </c>
      <c r="I40" s="369">
        <f t="shared" si="30"/>
        <v>2173024.2744716648</v>
      </c>
      <c r="J40" s="369">
        <f t="shared" si="31"/>
        <v>13.725528335024137</v>
      </c>
      <c r="K40" s="369">
        <f t="shared" si="22"/>
        <v>2173038</v>
      </c>
      <c r="M40" s="359"/>
      <c r="N40" s="963">
        <v>1</v>
      </c>
      <c r="O40" s="963"/>
      <c r="P40" s="964">
        <f t="shared" si="23"/>
        <v>1</v>
      </c>
      <c r="Q40" s="962">
        <f t="shared" si="24"/>
        <v>2173038</v>
      </c>
      <c r="R40" s="962">
        <f t="shared" si="25"/>
        <v>0</v>
      </c>
      <c r="S40" s="962">
        <f t="shared" si="26"/>
        <v>2173038</v>
      </c>
      <c r="T40" s="962">
        <f t="shared" si="27"/>
        <v>2173024.2744716648</v>
      </c>
      <c r="U40" s="962">
        <f t="shared" si="28"/>
        <v>13.725528335024137</v>
      </c>
      <c r="V40" s="962">
        <f t="shared" si="29"/>
        <v>2173038</v>
      </c>
    </row>
    <row r="41" spans="1:22" ht="13" outlineLevel="1" x14ac:dyDescent="0.3">
      <c r="A41" s="442" t="s">
        <v>110</v>
      </c>
      <c r="B41" s="365">
        <v>3.16</v>
      </c>
      <c r="C41" s="384" t="s">
        <v>293</v>
      </c>
      <c r="D41" s="385" t="s">
        <v>107</v>
      </c>
      <c r="E41" s="386">
        <v>4</v>
      </c>
      <c r="F41" s="371">
        <f>'01 (2)'!I39*'01 (2)'!$N$3</f>
        <v>69128.541324507823</v>
      </c>
      <c r="G41" s="371">
        <f t="shared" si="21"/>
        <v>0.45867549217655323</v>
      </c>
      <c r="H41" s="369">
        <v>69129</v>
      </c>
      <c r="I41" s="369">
        <f t="shared" si="30"/>
        <v>276514.16529803129</v>
      </c>
      <c r="J41" s="369">
        <f t="shared" si="31"/>
        <v>1.8347019687062129</v>
      </c>
      <c r="K41" s="369">
        <f t="shared" si="22"/>
        <v>276516</v>
      </c>
      <c r="M41" s="359"/>
      <c r="N41" s="963">
        <v>1</v>
      </c>
      <c r="O41" s="963"/>
      <c r="P41" s="964">
        <f t="shared" si="23"/>
        <v>1</v>
      </c>
      <c r="Q41" s="962">
        <f t="shared" si="24"/>
        <v>276516</v>
      </c>
      <c r="R41" s="962">
        <f t="shared" si="25"/>
        <v>0</v>
      </c>
      <c r="S41" s="962">
        <f t="shared" si="26"/>
        <v>276516</v>
      </c>
      <c r="T41" s="962">
        <f t="shared" si="27"/>
        <v>276514.16529803129</v>
      </c>
      <c r="U41" s="962">
        <f t="shared" si="28"/>
        <v>1.8347019687062129</v>
      </c>
      <c r="V41" s="962">
        <f t="shared" si="29"/>
        <v>276516</v>
      </c>
    </row>
    <row r="42" spans="1:22" ht="13" outlineLevel="1" x14ac:dyDescent="0.3">
      <c r="A42" s="442" t="s">
        <v>110</v>
      </c>
      <c r="B42" s="365">
        <v>3.17</v>
      </c>
      <c r="C42" s="373" t="s">
        <v>294</v>
      </c>
      <c r="D42" s="374" t="s">
        <v>109</v>
      </c>
      <c r="E42" s="387">
        <v>93</v>
      </c>
      <c r="F42" s="371">
        <f>'01 (2)'!I40*'01 (2)'!$N$3</f>
        <v>6351.9871793780403</v>
      </c>
      <c r="G42" s="371">
        <f t="shared" si="21"/>
        <v>18228.01282062196</v>
      </c>
      <c r="H42" s="369">
        <v>24580</v>
      </c>
      <c r="I42" s="369">
        <f t="shared" si="30"/>
        <v>590734.80768215773</v>
      </c>
      <c r="J42" s="369">
        <f t="shared" si="31"/>
        <v>1695205.1923178423</v>
      </c>
      <c r="K42" s="369">
        <f t="shared" si="22"/>
        <v>2285940</v>
      </c>
      <c r="M42" s="359"/>
      <c r="N42" s="965">
        <v>1</v>
      </c>
      <c r="O42" s="965"/>
      <c r="P42" s="964">
        <f t="shared" si="23"/>
        <v>1</v>
      </c>
      <c r="Q42" s="962">
        <f t="shared" si="24"/>
        <v>2285940</v>
      </c>
      <c r="R42" s="962">
        <f t="shared" si="25"/>
        <v>0</v>
      </c>
      <c r="S42" s="962">
        <f t="shared" si="26"/>
        <v>2285940</v>
      </c>
      <c r="T42" s="962">
        <f t="shared" si="27"/>
        <v>590734.80768215773</v>
      </c>
      <c r="U42" s="962">
        <f t="shared" si="28"/>
        <v>1695205.1923178423</v>
      </c>
      <c r="V42" s="962">
        <f t="shared" si="29"/>
        <v>2285940</v>
      </c>
    </row>
    <row r="43" spans="1:22" ht="13" x14ac:dyDescent="0.3">
      <c r="A43" s="440"/>
      <c r="B43" s="354">
        <v>24</v>
      </c>
      <c r="C43" s="355" t="s">
        <v>212</v>
      </c>
      <c r="D43" s="356"/>
      <c r="E43" s="357"/>
      <c r="F43" s="357"/>
      <c r="G43" s="357"/>
      <c r="H43" s="357"/>
      <c r="I43" s="357"/>
      <c r="J43" s="357"/>
      <c r="K43" s="357"/>
      <c r="L43" s="358">
        <f>SUM(K44:K53)</f>
        <v>32877614</v>
      </c>
      <c r="M43" s="359">
        <f>+L43/$L$58</f>
        <v>7.82708085594674E-2</v>
      </c>
      <c r="N43" s="957"/>
      <c r="O43" s="958"/>
      <c r="P43" s="959"/>
      <c r="Q43" s="959"/>
      <c r="R43" s="959"/>
      <c r="S43" s="959"/>
      <c r="T43" s="959"/>
      <c r="U43" s="959"/>
      <c r="V43" s="959"/>
    </row>
    <row r="44" spans="1:22" ht="13" outlineLevel="1" x14ac:dyDescent="0.3">
      <c r="A44" s="441" t="s">
        <v>113</v>
      </c>
      <c r="B44" s="360">
        <v>24.01</v>
      </c>
      <c r="C44" s="388" t="s">
        <v>135</v>
      </c>
      <c r="D44" s="362" t="s">
        <v>101</v>
      </c>
      <c r="E44" s="363">
        <v>8</v>
      </c>
      <c r="F44" s="392">
        <f>'01 (2)'!I203*'01 (2)'!$N$3</f>
        <v>0</v>
      </c>
      <c r="G44" s="392">
        <f t="shared" ref="G44:G54" si="32">H44-F44</f>
        <v>753138</v>
      </c>
      <c r="H44" s="369">
        <v>753138</v>
      </c>
      <c r="I44" s="369">
        <f>E44*F44</f>
        <v>0</v>
      </c>
      <c r="J44" s="369">
        <f>E44*G44</f>
        <v>6025104</v>
      </c>
      <c r="K44" s="369">
        <f t="shared" ref="K44:K53" si="33">+H44*E44</f>
        <v>6025104</v>
      </c>
      <c r="N44" s="960">
        <v>1</v>
      </c>
      <c r="O44" s="960"/>
      <c r="P44" s="964">
        <f t="shared" ref="P44:P54" si="34">SUM(N44:O44)</f>
        <v>1</v>
      </c>
      <c r="Q44" s="962">
        <f t="shared" ref="Q44:Q54" si="35">K44*N44</f>
        <v>6025104</v>
      </c>
      <c r="R44" s="962">
        <f t="shared" ref="R44:R54" si="36">K44*O44</f>
        <v>0</v>
      </c>
      <c r="S44" s="962">
        <f t="shared" ref="S44:S54" si="37">K44*P44</f>
        <v>6025104</v>
      </c>
      <c r="T44" s="962">
        <f t="shared" ref="T44:T54" si="38">I44*P44</f>
        <v>0</v>
      </c>
      <c r="U44" s="962">
        <f t="shared" ref="U44:U54" si="39">J44*P44</f>
        <v>6025104</v>
      </c>
      <c r="V44" s="962">
        <f t="shared" ref="V44:V54" si="40">SUM(T44:U44)</f>
        <v>6025104</v>
      </c>
    </row>
    <row r="45" spans="1:22" ht="13" outlineLevel="1" x14ac:dyDescent="0.3">
      <c r="A45" s="444" t="s">
        <v>221</v>
      </c>
      <c r="B45" s="389">
        <v>24.02</v>
      </c>
      <c r="C45" s="390" t="s">
        <v>295</v>
      </c>
      <c r="D45" s="391" t="s">
        <v>101</v>
      </c>
      <c r="E45" s="392">
        <v>4</v>
      </c>
      <c r="F45" s="392">
        <f>'01 (2)'!I204*'01 (2)'!$N$3</f>
        <v>0</v>
      </c>
      <c r="G45" s="392">
        <f t="shared" si="32"/>
        <v>1944871</v>
      </c>
      <c r="H45" s="369">
        <v>1944871</v>
      </c>
      <c r="I45" s="369">
        <f t="shared" ref="I45:I54" si="41">E45*F45</f>
        <v>0</v>
      </c>
      <c r="J45" s="369">
        <f t="shared" ref="J45:J54" si="42">E45*G45</f>
        <v>7779484</v>
      </c>
      <c r="K45" s="369">
        <f t="shared" si="33"/>
        <v>7779484</v>
      </c>
      <c r="N45" s="963">
        <v>1</v>
      </c>
      <c r="O45" s="963"/>
      <c r="P45" s="964">
        <f t="shared" si="34"/>
        <v>1</v>
      </c>
      <c r="Q45" s="962">
        <f t="shared" si="35"/>
        <v>7779484</v>
      </c>
      <c r="R45" s="962">
        <f t="shared" si="36"/>
        <v>0</v>
      </c>
      <c r="S45" s="962">
        <f t="shared" si="37"/>
        <v>7779484</v>
      </c>
      <c r="T45" s="962">
        <f t="shared" si="38"/>
        <v>0</v>
      </c>
      <c r="U45" s="962">
        <f t="shared" si="39"/>
        <v>7779484</v>
      </c>
      <c r="V45" s="962">
        <f t="shared" si="40"/>
        <v>7779484</v>
      </c>
    </row>
    <row r="46" spans="1:22" ht="13" outlineLevel="1" x14ac:dyDescent="0.3">
      <c r="A46" s="442" t="s">
        <v>221</v>
      </c>
      <c r="B46" s="365">
        <v>24.03</v>
      </c>
      <c r="C46" s="393" t="s">
        <v>213</v>
      </c>
      <c r="D46" s="367" t="s">
        <v>101</v>
      </c>
      <c r="E46" s="368">
        <v>8</v>
      </c>
      <c r="F46" s="392">
        <f>'01 (2)'!I205*'01 (2)'!$N$3</f>
        <v>0</v>
      </c>
      <c r="G46" s="392">
        <f t="shared" si="32"/>
        <v>188533</v>
      </c>
      <c r="H46" s="369">
        <v>188533</v>
      </c>
      <c r="I46" s="369">
        <f t="shared" si="41"/>
        <v>0</v>
      </c>
      <c r="J46" s="369">
        <f t="shared" si="42"/>
        <v>1508264</v>
      </c>
      <c r="K46" s="369">
        <f t="shared" si="33"/>
        <v>1508264</v>
      </c>
      <c r="N46" s="963">
        <v>1</v>
      </c>
      <c r="O46" s="963"/>
      <c r="P46" s="964">
        <f t="shared" si="34"/>
        <v>1</v>
      </c>
      <c r="Q46" s="962">
        <f t="shared" si="35"/>
        <v>1508264</v>
      </c>
      <c r="R46" s="962">
        <f t="shared" si="36"/>
        <v>0</v>
      </c>
      <c r="S46" s="962">
        <f t="shared" si="37"/>
        <v>1508264</v>
      </c>
      <c r="T46" s="962">
        <f t="shared" si="38"/>
        <v>0</v>
      </c>
      <c r="U46" s="962">
        <f t="shared" si="39"/>
        <v>1508264</v>
      </c>
      <c r="V46" s="962">
        <f t="shared" si="40"/>
        <v>1508264</v>
      </c>
    </row>
    <row r="47" spans="1:22" ht="13" outlineLevel="1" x14ac:dyDescent="0.3">
      <c r="A47" s="442" t="s">
        <v>113</v>
      </c>
      <c r="B47" s="389">
        <v>24.04</v>
      </c>
      <c r="C47" s="393" t="s">
        <v>214</v>
      </c>
      <c r="D47" s="367" t="s">
        <v>107</v>
      </c>
      <c r="E47" s="368">
        <v>1</v>
      </c>
      <c r="F47" s="392">
        <f>'01 (2)'!I206*'01 (2)'!$N$3</f>
        <v>3001557.8321827929</v>
      </c>
      <c r="G47" s="392">
        <f t="shared" si="32"/>
        <v>1605004.1678172071</v>
      </c>
      <c r="H47" s="369">
        <v>4606562</v>
      </c>
      <c r="I47" s="369">
        <f t="shared" si="41"/>
        <v>3001557.8321827929</v>
      </c>
      <c r="J47" s="369">
        <f t="shared" si="42"/>
        <v>1605004.1678172071</v>
      </c>
      <c r="K47" s="369">
        <f t="shared" si="33"/>
        <v>4606562</v>
      </c>
      <c r="N47" s="963">
        <v>0.8</v>
      </c>
      <c r="O47" s="963">
        <v>0.2</v>
      </c>
      <c r="P47" s="964">
        <f t="shared" si="34"/>
        <v>1</v>
      </c>
      <c r="Q47" s="962">
        <f t="shared" si="35"/>
        <v>3685249.6</v>
      </c>
      <c r="R47" s="962">
        <f t="shared" si="36"/>
        <v>921312.4</v>
      </c>
      <c r="S47" s="962">
        <f t="shared" si="37"/>
        <v>4606562</v>
      </c>
      <c r="T47" s="962">
        <f t="shared" si="38"/>
        <v>3001557.8321827929</v>
      </c>
      <c r="U47" s="962">
        <f t="shared" si="39"/>
        <v>1605004.1678172071</v>
      </c>
      <c r="V47" s="962">
        <f t="shared" si="40"/>
        <v>4606562</v>
      </c>
    </row>
    <row r="48" spans="1:22" s="425" customFormat="1" ht="13" outlineLevel="1" x14ac:dyDescent="0.3">
      <c r="A48" s="442" t="s">
        <v>113</v>
      </c>
      <c r="B48" s="365">
        <v>24.05</v>
      </c>
      <c r="C48" s="393" t="s">
        <v>296</v>
      </c>
      <c r="D48" s="967" t="s">
        <v>101</v>
      </c>
      <c r="E48" s="368">
        <v>8</v>
      </c>
      <c r="F48" s="392">
        <f>'01 (2)'!I207*'01 (2)'!$N$3</f>
        <v>62844.128476825288</v>
      </c>
      <c r="G48" s="392">
        <f t="shared" si="32"/>
        <v>633307.87152317469</v>
      </c>
      <c r="H48" s="369">
        <v>696152</v>
      </c>
      <c r="I48" s="369">
        <f t="shared" si="41"/>
        <v>502753.0278146023</v>
      </c>
      <c r="J48" s="369">
        <f t="shared" si="42"/>
        <v>5066462.9721853975</v>
      </c>
      <c r="K48" s="369">
        <f t="shared" si="33"/>
        <v>5569216</v>
      </c>
      <c r="L48" s="394"/>
      <c r="M48" s="359"/>
      <c r="N48" s="968">
        <v>0.8</v>
      </c>
      <c r="O48" s="968">
        <v>0.2</v>
      </c>
      <c r="P48" s="964">
        <f t="shared" si="34"/>
        <v>1</v>
      </c>
      <c r="Q48" s="962">
        <f t="shared" si="35"/>
        <v>4455372.7999999998</v>
      </c>
      <c r="R48" s="962">
        <f t="shared" si="36"/>
        <v>1113843.2</v>
      </c>
      <c r="S48" s="962">
        <f t="shared" si="37"/>
        <v>5569216</v>
      </c>
      <c r="T48" s="962">
        <f t="shared" si="38"/>
        <v>502753.0278146023</v>
      </c>
      <c r="U48" s="962">
        <f t="shared" si="39"/>
        <v>5066462.9721853975</v>
      </c>
      <c r="V48" s="962">
        <f t="shared" si="40"/>
        <v>5569216</v>
      </c>
    </row>
    <row r="49" spans="1:22" s="425" customFormat="1" ht="13" outlineLevel="1" x14ac:dyDescent="0.3">
      <c r="A49" s="442" t="s">
        <v>113</v>
      </c>
      <c r="B49" s="389">
        <v>24.06</v>
      </c>
      <c r="C49" s="393" t="s">
        <v>114</v>
      </c>
      <c r="D49" s="967" t="s">
        <v>101</v>
      </c>
      <c r="E49" s="368">
        <v>8</v>
      </c>
      <c r="F49" s="392">
        <f>'01 (2)'!I208*'01 (2)'!$N$3</f>
        <v>31422.064238412644</v>
      </c>
      <c r="G49" s="392">
        <f t="shared" si="32"/>
        <v>420910.93576158735</v>
      </c>
      <c r="H49" s="369">
        <v>452333</v>
      </c>
      <c r="I49" s="369">
        <f t="shared" si="41"/>
        <v>251376.51390730115</v>
      </c>
      <c r="J49" s="369">
        <f t="shared" si="42"/>
        <v>3367287.4860926988</v>
      </c>
      <c r="K49" s="369">
        <f t="shared" si="33"/>
        <v>3618664</v>
      </c>
      <c r="L49" s="394"/>
      <c r="M49" s="359"/>
      <c r="N49" s="968">
        <v>0.9</v>
      </c>
      <c r="O49" s="968">
        <v>0.1</v>
      </c>
      <c r="P49" s="964">
        <f t="shared" si="34"/>
        <v>1</v>
      </c>
      <c r="Q49" s="962">
        <f t="shared" si="35"/>
        <v>3256797.6</v>
      </c>
      <c r="R49" s="962">
        <f t="shared" si="36"/>
        <v>361866.4</v>
      </c>
      <c r="S49" s="962">
        <f t="shared" si="37"/>
        <v>3618664</v>
      </c>
      <c r="T49" s="962">
        <f t="shared" si="38"/>
        <v>251376.51390730115</v>
      </c>
      <c r="U49" s="962">
        <f t="shared" si="39"/>
        <v>3367287.4860926988</v>
      </c>
      <c r="V49" s="962">
        <f t="shared" si="40"/>
        <v>3618664</v>
      </c>
    </row>
    <row r="50" spans="1:22" s="425" customFormat="1" ht="13" outlineLevel="1" x14ac:dyDescent="0.3">
      <c r="A50" s="442" t="s">
        <v>113</v>
      </c>
      <c r="B50" s="365">
        <v>24.07</v>
      </c>
      <c r="C50" s="393" t="s">
        <v>297</v>
      </c>
      <c r="D50" s="967" t="s">
        <v>107</v>
      </c>
      <c r="E50" s="368">
        <v>0</v>
      </c>
      <c r="F50" s="392">
        <f>'01 (2)'!I209*'01 (2)'!$N$3</f>
        <v>0</v>
      </c>
      <c r="G50" s="392">
        <f t="shared" si="32"/>
        <v>0</v>
      </c>
      <c r="H50" s="369">
        <v>0</v>
      </c>
      <c r="I50" s="369">
        <f t="shared" si="41"/>
        <v>0</v>
      </c>
      <c r="J50" s="369">
        <f t="shared" si="42"/>
        <v>0</v>
      </c>
      <c r="K50" s="369">
        <f t="shared" si="33"/>
        <v>0</v>
      </c>
      <c r="L50" s="394"/>
      <c r="M50" s="359"/>
      <c r="N50" s="968">
        <v>0</v>
      </c>
      <c r="O50" s="968"/>
      <c r="P50" s="964">
        <f t="shared" si="34"/>
        <v>0</v>
      </c>
      <c r="Q50" s="962">
        <f t="shared" si="35"/>
        <v>0</v>
      </c>
      <c r="R50" s="962">
        <f t="shared" si="36"/>
        <v>0</v>
      </c>
      <c r="S50" s="962">
        <f t="shared" si="37"/>
        <v>0</v>
      </c>
      <c r="T50" s="962">
        <f t="shared" si="38"/>
        <v>0</v>
      </c>
      <c r="U50" s="962">
        <f t="shared" si="39"/>
        <v>0</v>
      </c>
      <c r="V50" s="962">
        <f t="shared" si="40"/>
        <v>0</v>
      </c>
    </row>
    <row r="51" spans="1:22" s="425" customFormat="1" ht="13" outlineLevel="1" x14ac:dyDescent="0.3">
      <c r="A51" s="444" t="s">
        <v>218</v>
      </c>
      <c r="B51" s="389">
        <v>24.08</v>
      </c>
      <c r="C51" s="393" t="s">
        <v>115</v>
      </c>
      <c r="D51" s="967" t="s">
        <v>101</v>
      </c>
      <c r="E51" s="368">
        <v>8</v>
      </c>
      <c r="F51" s="392">
        <f>'01 (2)'!I210*'01 (2)'!$N$3</f>
        <v>0</v>
      </c>
      <c r="G51" s="392">
        <f t="shared" si="32"/>
        <v>314221</v>
      </c>
      <c r="H51" s="369">
        <v>314221</v>
      </c>
      <c r="I51" s="369">
        <f t="shared" si="41"/>
        <v>0</v>
      </c>
      <c r="J51" s="369">
        <f t="shared" si="42"/>
        <v>2513768</v>
      </c>
      <c r="K51" s="369">
        <f t="shared" si="33"/>
        <v>2513768</v>
      </c>
      <c r="L51" s="394"/>
      <c r="M51" s="359"/>
      <c r="N51" s="968">
        <v>1</v>
      </c>
      <c r="O51" s="968"/>
      <c r="P51" s="964">
        <f t="shared" si="34"/>
        <v>1</v>
      </c>
      <c r="Q51" s="962">
        <f t="shared" si="35"/>
        <v>2513768</v>
      </c>
      <c r="R51" s="962">
        <f t="shared" si="36"/>
        <v>0</v>
      </c>
      <c r="S51" s="962">
        <f t="shared" si="37"/>
        <v>2513768</v>
      </c>
      <c r="T51" s="962">
        <f t="shared" si="38"/>
        <v>0</v>
      </c>
      <c r="U51" s="962">
        <f t="shared" si="39"/>
        <v>2513768</v>
      </c>
      <c r="V51" s="962">
        <f t="shared" si="40"/>
        <v>2513768</v>
      </c>
    </row>
    <row r="52" spans="1:22" s="969" customFormat="1" ht="13" outlineLevel="1" x14ac:dyDescent="0.3">
      <c r="A52" s="442" t="s">
        <v>177</v>
      </c>
      <c r="B52" s="365">
        <v>24.09</v>
      </c>
      <c r="C52" s="393" t="s">
        <v>298</v>
      </c>
      <c r="D52" s="967" t="s">
        <v>101</v>
      </c>
      <c r="E52" s="368">
        <v>4</v>
      </c>
      <c r="F52" s="392">
        <f>'01 (2)'!I211*'01 (2)'!$N$3</f>
        <v>0</v>
      </c>
      <c r="G52" s="392">
        <f t="shared" si="32"/>
        <v>0</v>
      </c>
      <c r="H52" s="368">
        <v>0</v>
      </c>
      <c r="I52" s="369">
        <f t="shared" si="41"/>
        <v>0</v>
      </c>
      <c r="J52" s="369">
        <f t="shared" si="42"/>
        <v>0</v>
      </c>
      <c r="K52" s="368">
        <f t="shared" si="33"/>
        <v>0</v>
      </c>
      <c r="L52" s="394"/>
      <c r="M52" s="359"/>
      <c r="N52" s="963">
        <v>0</v>
      </c>
      <c r="O52" s="963"/>
      <c r="P52" s="964">
        <f t="shared" si="34"/>
        <v>0</v>
      </c>
      <c r="Q52" s="962">
        <f t="shared" si="35"/>
        <v>0</v>
      </c>
      <c r="R52" s="962">
        <f t="shared" si="36"/>
        <v>0</v>
      </c>
      <c r="S52" s="962">
        <f t="shared" si="37"/>
        <v>0</v>
      </c>
      <c r="T52" s="962">
        <f t="shared" si="38"/>
        <v>0</v>
      </c>
      <c r="U52" s="962">
        <f t="shared" si="39"/>
        <v>0</v>
      </c>
      <c r="V52" s="962">
        <f t="shared" si="40"/>
        <v>0</v>
      </c>
    </row>
    <row r="53" spans="1:22" s="969" customFormat="1" ht="13" outlineLevel="1" x14ac:dyDescent="0.3">
      <c r="A53" s="442" t="s">
        <v>113</v>
      </c>
      <c r="B53" s="389" t="s">
        <v>489</v>
      </c>
      <c r="C53" s="760" t="s">
        <v>116</v>
      </c>
      <c r="D53" s="967" t="s">
        <v>101</v>
      </c>
      <c r="E53" s="368">
        <v>4</v>
      </c>
      <c r="F53" s="392">
        <f>'01 (2)'!I212*'01 (2)'!$N$3</f>
        <v>251376.51390730115</v>
      </c>
      <c r="G53" s="392">
        <f t="shared" si="32"/>
        <v>62761.486092698848</v>
      </c>
      <c r="H53" s="369">
        <v>314138</v>
      </c>
      <c r="I53" s="369">
        <f t="shared" si="41"/>
        <v>1005506.0556292046</v>
      </c>
      <c r="J53" s="369">
        <f t="shared" si="42"/>
        <v>251045.94437079539</v>
      </c>
      <c r="K53" s="369">
        <f t="shared" si="33"/>
        <v>1256552</v>
      </c>
      <c r="L53" s="394"/>
      <c r="M53" s="359"/>
      <c r="N53" s="963">
        <v>0.79999999999999993</v>
      </c>
      <c r="O53" s="963">
        <v>0.2</v>
      </c>
      <c r="P53" s="964">
        <f t="shared" si="34"/>
        <v>1</v>
      </c>
      <c r="Q53" s="962">
        <f t="shared" si="35"/>
        <v>1005241.5999999999</v>
      </c>
      <c r="R53" s="962">
        <f t="shared" si="36"/>
        <v>251310.40000000002</v>
      </c>
      <c r="S53" s="962">
        <f t="shared" si="37"/>
        <v>1256552</v>
      </c>
      <c r="T53" s="962">
        <f t="shared" si="38"/>
        <v>1005506.0556292046</v>
      </c>
      <c r="U53" s="962">
        <f t="shared" si="39"/>
        <v>251045.94437079539</v>
      </c>
      <c r="V53" s="962">
        <f t="shared" si="40"/>
        <v>1256552</v>
      </c>
    </row>
    <row r="54" spans="1:22" s="969" customFormat="1" ht="13" outlineLevel="1" x14ac:dyDescent="0.3">
      <c r="A54" s="444" t="s">
        <v>103</v>
      </c>
      <c r="B54" s="389" t="s">
        <v>490</v>
      </c>
      <c r="C54" s="395" t="s">
        <v>116</v>
      </c>
      <c r="D54" s="970" t="s">
        <v>101</v>
      </c>
      <c r="E54" s="375">
        <v>4</v>
      </c>
      <c r="F54" s="392">
        <f>'01 (2)'!I213*'01 (2)'!$N$3</f>
        <v>0</v>
      </c>
      <c r="G54" s="392">
        <f t="shared" si="32"/>
        <v>314138</v>
      </c>
      <c r="H54" s="396">
        <v>314138</v>
      </c>
      <c r="I54" s="369">
        <f t="shared" si="41"/>
        <v>0</v>
      </c>
      <c r="J54" s="369">
        <f t="shared" si="42"/>
        <v>1256552</v>
      </c>
      <c r="K54" s="396">
        <f t="shared" ref="K54" si="43">+H54*E54</f>
        <v>1256552</v>
      </c>
      <c r="L54" s="394"/>
      <c r="M54" s="359"/>
      <c r="N54" s="963">
        <v>0.79999999999999993</v>
      </c>
      <c r="O54" s="963">
        <v>0.2</v>
      </c>
      <c r="P54" s="964">
        <f t="shared" si="34"/>
        <v>1</v>
      </c>
      <c r="Q54" s="962">
        <f t="shared" si="35"/>
        <v>1005241.5999999999</v>
      </c>
      <c r="R54" s="962">
        <f t="shared" si="36"/>
        <v>251310.40000000002</v>
      </c>
      <c r="S54" s="962">
        <f t="shared" si="37"/>
        <v>1256552</v>
      </c>
      <c r="T54" s="962">
        <f t="shared" si="38"/>
        <v>0</v>
      </c>
      <c r="U54" s="962">
        <f t="shared" si="39"/>
        <v>1256552</v>
      </c>
      <c r="V54" s="962">
        <f t="shared" si="40"/>
        <v>1256552</v>
      </c>
    </row>
    <row r="55" spans="1:22" ht="13" x14ac:dyDescent="0.3">
      <c r="A55" s="440"/>
      <c r="B55" s="354">
        <v>25</v>
      </c>
      <c r="C55" s="355" t="s">
        <v>215</v>
      </c>
      <c r="D55" s="356"/>
      <c r="E55" s="357"/>
      <c r="F55" s="357"/>
      <c r="G55" s="357"/>
      <c r="H55" s="357"/>
      <c r="I55" s="357"/>
      <c r="J55" s="357"/>
      <c r="K55" s="357"/>
      <c r="L55" s="358">
        <f>SUM(K56:K57)</f>
        <v>43220384</v>
      </c>
      <c r="M55" s="359">
        <f>+L55/$L$58</f>
        <v>0.1028935494507195</v>
      </c>
      <c r="N55" s="957"/>
      <c r="O55" s="958"/>
      <c r="P55" s="959"/>
      <c r="Q55" s="959"/>
      <c r="R55" s="959"/>
      <c r="S55" s="959"/>
      <c r="T55" s="959"/>
      <c r="U55" s="959"/>
      <c r="V55" s="959"/>
    </row>
    <row r="56" spans="1:22" s="402" customFormat="1" ht="13" outlineLevel="1" x14ac:dyDescent="0.3">
      <c r="A56" s="441" t="s">
        <v>100</v>
      </c>
      <c r="B56" s="360">
        <v>25.01</v>
      </c>
      <c r="C56" s="361" t="s">
        <v>299</v>
      </c>
      <c r="D56" s="397" t="s">
        <v>101</v>
      </c>
      <c r="E56" s="398">
        <v>8</v>
      </c>
      <c r="F56" s="1001">
        <f>'01 (2)'!I214*'01 (2)'!$N$3</f>
        <v>0</v>
      </c>
      <c r="G56" s="1001">
        <f t="shared" ref="G56:G57" si="44">H56-F56</f>
        <v>4774106</v>
      </c>
      <c r="H56" s="399">
        <v>4774106</v>
      </c>
      <c r="I56" s="399">
        <f>E56*F56</f>
        <v>0</v>
      </c>
      <c r="J56" s="399">
        <f>E56*G56</f>
        <v>38192848</v>
      </c>
      <c r="K56" s="400">
        <f>+H56*E56</f>
        <v>38192848</v>
      </c>
      <c r="L56" s="401"/>
      <c r="N56" s="971">
        <v>1</v>
      </c>
      <c r="O56" s="971"/>
      <c r="P56" s="964">
        <f>SUM(N56:O56)</f>
        <v>1</v>
      </c>
      <c r="Q56" s="962">
        <f t="shared" ref="Q56:Q57" si="45">K56*N56</f>
        <v>38192848</v>
      </c>
      <c r="R56" s="962">
        <f t="shared" ref="R56:R57" si="46">K56*O56</f>
        <v>0</v>
      </c>
      <c r="S56" s="962">
        <f t="shared" ref="S56:S57" si="47">K56*P56</f>
        <v>38192848</v>
      </c>
      <c r="T56" s="962">
        <f t="shared" ref="T56:T57" si="48">I56*P56</f>
        <v>0</v>
      </c>
      <c r="U56" s="962">
        <f t="shared" ref="U56:U57" si="49">J56*P56</f>
        <v>38192848</v>
      </c>
      <c r="V56" s="962">
        <f t="shared" ref="V56:V57" si="50">SUM(T56:U56)</f>
        <v>38192848</v>
      </c>
    </row>
    <row r="57" spans="1:22" s="402" customFormat="1" ht="13" outlineLevel="1" x14ac:dyDescent="0.3">
      <c r="A57" s="443" t="s">
        <v>218</v>
      </c>
      <c r="B57" s="372">
        <v>25.02</v>
      </c>
      <c r="C57" s="373" t="s">
        <v>102</v>
      </c>
      <c r="D57" s="403" t="s">
        <v>101</v>
      </c>
      <c r="E57" s="387">
        <v>8</v>
      </c>
      <c r="F57" s="1001">
        <f>'01 (2)'!I215*'01 (2)'!$N$3</f>
        <v>0</v>
      </c>
      <c r="G57" s="1001">
        <f t="shared" si="44"/>
        <v>628442</v>
      </c>
      <c r="H57" s="399">
        <v>628442</v>
      </c>
      <c r="I57" s="399">
        <f>E57*F57</f>
        <v>0</v>
      </c>
      <c r="J57" s="399">
        <f>E57*G57</f>
        <v>5027536</v>
      </c>
      <c r="K57" s="369">
        <f>+H57*E57</f>
        <v>5027536</v>
      </c>
      <c r="L57" s="404"/>
      <c r="N57" s="972">
        <v>1</v>
      </c>
      <c r="O57" s="972"/>
      <c r="P57" s="964">
        <f>SUM(N57:O57)</f>
        <v>1</v>
      </c>
      <c r="Q57" s="962">
        <f t="shared" si="45"/>
        <v>5027536</v>
      </c>
      <c r="R57" s="962">
        <f t="shared" si="46"/>
        <v>0</v>
      </c>
      <c r="S57" s="962">
        <f t="shared" si="47"/>
        <v>5027536</v>
      </c>
      <c r="T57" s="962">
        <f t="shared" si="48"/>
        <v>0</v>
      </c>
      <c r="U57" s="962">
        <f t="shared" si="49"/>
        <v>5027536</v>
      </c>
      <c r="V57" s="962">
        <f t="shared" si="50"/>
        <v>5027536</v>
      </c>
    </row>
    <row r="58" spans="1:22" s="402" customFormat="1" ht="13" x14ac:dyDescent="0.3">
      <c r="A58" s="440"/>
      <c r="B58" s="354"/>
      <c r="C58" s="355" t="s">
        <v>300</v>
      </c>
      <c r="D58" s="356"/>
      <c r="E58" s="357"/>
      <c r="F58" s="357"/>
      <c r="G58" s="357"/>
      <c r="H58" s="357"/>
      <c r="I58" s="357"/>
      <c r="J58" s="357"/>
      <c r="K58" s="415">
        <f>SUM(K9:K57)</f>
        <v>421306051.99999994</v>
      </c>
      <c r="L58" s="358">
        <f>SUM(L9:L57)</f>
        <v>420049500</v>
      </c>
      <c r="M58" s="359">
        <f>+SUM(M9:M57)</f>
        <v>1.0000000000000002</v>
      </c>
      <c r="N58" s="973"/>
      <c r="O58" s="974"/>
      <c r="P58" s="974"/>
      <c r="Q58" s="974">
        <f>+SUM(Q9:Q57)</f>
        <v>413123920.35000002</v>
      </c>
      <c r="R58" s="975">
        <f>+SUM(R9:R57)</f>
        <v>8182131.6500000022</v>
      </c>
      <c r="S58" s="975">
        <f>+SUM(S9:S57)</f>
        <v>421306051.99999994</v>
      </c>
      <c r="T58" s="974">
        <f>SUM(T10:T57)</f>
        <v>60940403.644408546</v>
      </c>
      <c r="U58" s="974">
        <f t="shared" ref="U58:V58" si="51">SUM(U10:U57)</f>
        <v>360365648.35559142</v>
      </c>
      <c r="V58" s="975">
        <f t="shared" si="51"/>
        <v>421306051.99999988</v>
      </c>
    </row>
    <row r="59" spans="1:22" s="425" customFormat="1" ht="13" x14ac:dyDescent="0.3">
      <c r="B59" s="420"/>
      <c r="C59" s="976" t="s">
        <v>611</v>
      </c>
      <c r="D59" s="977"/>
      <c r="E59" s="421"/>
      <c r="F59" s="421"/>
      <c r="G59" s="421"/>
      <c r="H59" s="422"/>
      <c r="I59" s="422"/>
      <c r="J59" s="422"/>
      <c r="K59" s="422"/>
      <c r="L59" s="422"/>
      <c r="M59" s="359"/>
      <c r="S59" s="1017">
        <f>S58/L58</f>
        <v>1.0029914379138647</v>
      </c>
    </row>
    <row r="60" spans="1:22" ht="12.75" customHeight="1" x14ac:dyDescent="0.3">
      <c r="O60" s="423"/>
      <c r="P60" s="423"/>
    </row>
    <row r="61" spans="1:22" ht="12.75" customHeight="1" x14ac:dyDescent="0.3">
      <c r="J61" s="1014"/>
    </row>
    <row r="62" spans="1:22" ht="12.75" customHeight="1" x14ac:dyDescent="0.3"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S62" s="1210"/>
    </row>
    <row r="63" spans="1:22" ht="12.75" customHeight="1" x14ac:dyDescent="0.3">
      <c r="B63" s="333"/>
      <c r="C63" s="333"/>
      <c r="D63" s="333"/>
      <c r="E63" s="333"/>
      <c r="F63" s="333"/>
      <c r="G63" s="333"/>
      <c r="H63" s="333"/>
      <c r="I63" s="333"/>
      <c r="J63" s="1015"/>
      <c r="K63" s="333"/>
      <c r="L63" s="333"/>
      <c r="O63" s="426"/>
    </row>
    <row r="64" spans="1:22" ht="12.75" customHeight="1" x14ac:dyDescent="0.3"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</row>
    <row r="65" s="333" customFormat="1" ht="12.75" customHeight="1" x14ac:dyDescent="0.3"/>
    <row r="66" s="333" customFormat="1" ht="12.75" customHeight="1" x14ac:dyDescent="0.3"/>
    <row r="67" s="333" customFormat="1" ht="12.75" customHeight="1" x14ac:dyDescent="0.3"/>
    <row r="68" s="333" customFormat="1" ht="12.75" customHeight="1" x14ac:dyDescent="0.3"/>
    <row r="69" s="333" customFormat="1" ht="12.75" customHeight="1" x14ac:dyDescent="0.3"/>
    <row r="70" s="333" customFormat="1" ht="12.75" customHeight="1" x14ac:dyDescent="0.3"/>
  </sheetData>
  <mergeCells count="3">
    <mergeCell ref="N7:P7"/>
    <mergeCell ref="Q7:S7"/>
    <mergeCell ref="T7:U7"/>
  </mergeCells>
  <conditionalFormatting sqref="D3:D12 D20:D30">
    <cfRule type="cellIs" dxfId="57" priority="4" operator="equal">
      <formula>"x"</formula>
    </cfRule>
  </conditionalFormatting>
  <conditionalFormatting sqref="D43:D55">
    <cfRule type="cellIs" dxfId="56" priority="3" operator="equal">
      <formula>"x"</formula>
    </cfRule>
  </conditionalFormatting>
  <conditionalFormatting sqref="D58:D59">
    <cfRule type="cellIs" dxfId="55" priority="2" operator="equal">
      <formula>"x"</formula>
    </cfRule>
  </conditionalFormatting>
  <conditionalFormatting sqref="P10:P19 P21:P24 P26:P42 P44:P54 P56:P57">
    <cfRule type="cellIs" dxfId="54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3A34-488D-4143-A419-20720837A789}">
  <dimension ref="A1:W203"/>
  <sheetViews>
    <sheetView workbookViewId="0">
      <pane xSplit="5" ySplit="8" topLeftCell="K176" activePane="bottomRight" state="frozen"/>
      <selection pane="topRight" activeCell="E1" sqref="E1"/>
      <selection pane="bottomLeft" activeCell="A9" sqref="A9"/>
      <selection pane="bottomRight" activeCell="L192" sqref="L192"/>
    </sheetView>
  </sheetViews>
  <sheetFormatPr defaultColWidth="11.54296875" defaultRowHeight="12.75" customHeight="1" outlineLevelRow="1" x14ac:dyDescent="0.3"/>
  <cols>
    <col min="1" max="1" width="11.54296875" style="333"/>
    <col min="2" max="2" width="6.54296875" style="327" bestFit="1" customWidth="1"/>
    <col min="3" max="3" width="82.7265625" style="328" bestFit="1" customWidth="1"/>
    <col min="4" max="4" width="5.26953125" style="329" bestFit="1" customWidth="1"/>
    <col min="5" max="5" width="8.1796875" style="330" customWidth="1"/>
    <col min="6" max="6" width="10.453125" style="330" bestFit="1" customWidth="1"/>
    <col min="7" max="7" width="12" style="330" bestFit="1" customWidth="1"/>
    <col min="8" max="8" width="11" style="331" bestFit="1" customWidth="1"/>
    <col min="9" max="9" width="11" style="331" customWidth="1"/>
    <col min="10" max="10" width="13" style="331" bestFit="1" customWidth="1"/>
    <col min="11" max="11" width="11.7265625" style="331" bestFit="1" customWidth="1"/>
    <col min="12" max="12" width="11.7265625" style="353" bestFit="1" customWidth="1"/>
    <col min="13" max="13" width="5.26953125" style="333" bestFit="1" customWidth="1"/>
    <col min="14" max="14" width="11" style="333" bestFit="1" customWidth="1"/>
    <col min="15" max="15" width="7" style="333" bestFit="1" customWidth="1"/>
    <col min="16" max="16" width="10.81640625" style="333" bestFit="1" customWidth="1"/>
    <col min="17" max="17" width="12.26953125" style="333" customWidth="1"/>
    <col min="18" max="18" width="11" style="333" bestFit="1" customWidth="1"/>
    <col min="19" max="19" width="13.1796875" style="333" customWidth="1"/>
    <col min="20" max="20" width="11.7265625" style="333" customWidth="1"/>
    <col min="21" max="21" width="13" style="333" bestFit="1" customWidth="1"/>
    <col min="22" max="22" width="12" style="333" bestFit="1" customWidth="1"/>
    <col min="23" max="23" width="12.453125" style="333" bestFit="1" customWidth="1"/>
    <col min="24" max="16384" width="11.54296875" style="333"/>
  </cols>
  <sheetData>
    <row r="1" spans="1:22" ht="12.75" customHeight="1" x14ac:dyDescent="0.3">
      <c r="K1" s="332" t="s">
        <v>77</v>
      </c>
      <c r="L1" s="332" t="s">
        <v>78</v>
      </c>
    </row>
    <row r="2" spans="1:22" ht="13" x14ac:dyDescent="0.3">
      <c r="H2" s="334"/>
      <c r="I2" s="334"/>
      <c r="J2" s="334"/>
      <c r="K2" s="335">
        <v>1005</v>
      </c>
      <c r="L2" s="335">
        <v>1170</v>
      </c>
    </row>
    <row r="3" spans="1:22" s="341" customFormat="1" ht="13" x14ac:dyDescent="0.35">
      <c r="B3" s="336"/>
      <c r="C3" s="337"/>
      <c r="D3" s="338"/>
      <c r="E3" s="339"/>
      <c r="F3" s="339"/>
      <c r="G3" s="339"/>
      <c r="H3" s="339"/>
      <c r="I3" s="339"/>
      <c r="J3" s="339"/>
      <c r="K3" s="339"/>
      <c r="L3" s="340"/>
    </row>
    <row r="4" spans="1:22" s="341" customFormat="1" ht="13" x14ac:dyDescent="0.35">
      <c r="B4" s="336"/>
      <c r="C4" s="337"/>
      <c r="D4" s="338"/>
      <c r="E4" s="339"/>
      <c r="F4" s="339"/>
      <c r="G4" s="339"/>
      <c r="H4" s="339"/>
      <c r="I4" s="339"/>
      <c r="J4" s="339"/>
      <c r="K4" s="342">
        <v>45628</v>
      </c>
      <c r="L4" s="340"/>
    </row>
    <row r="5" spans="1:22" s="341" customFormat="1" ht="13" x14ac:dyDescent="0.3">
      <c r="B5" s="336"/>
      <c r="C5" s="343" t="s">
        <v>245</v>
      </c>
      <c r="D5" s="338"/>
      <c r="E5" s="339"/>
      <c r="F5" s="339"/>
      <c r="G5" s="339"/>
      <c r="H5" s="344"/>
      <c r="I5" s="344"/>
      <c r="J5" s="344"/>
      <c r="K5" s="344"/>
      <c r="L5" s="340"/>
      <c r="N5" s="949" t="s">
        <v>606</v>
      </c>
      <c r="O5" s="950">
        <v>8</v>
      </c>
      <c r="P5" s="951"/>
      <c r="Q5" s="1072"/>
      <c r="R5" s="1073"/>
      <c r="S5" s="952">
        <v>46174</v>
      </c>
    </row>
    <row r="6" spans="1:22" s="341" customFormat="1" ht="13" x14ac:dyDescent="0.35">
      <c r="B6" s="336"/>
      <c r="C6" s="343" t="s">
        <v>87</v>
      </c>
      <c r="D6" s="345"/>
      <c r="E6" s="346"/>
      <c r="F6" s="339"/>
      <c r="G6" s="339"/>
      <c r="H6" s="347"/>
      <c r="I6" s="347"/>
      <c r="J6" s="347"/>
      <c r="K6" s="347"/>
      <c r="L6" s="340"/>
      <c r="N6" s="953"/>
      <c r="O6" s="954"/>
      <c r="P6" s="953"/>
      <c r="Q6" s="1074"/>
      <c r="R6" s="1074"/>
      <c r="S6" s="1074"/>
    </row>
    <row r="7" spans="1:22" ht="13" x14ac:dyDescent="0.3">
      <c r="B7" s="348" t="s">
        <v>88</v>
      </c>
      <c r="C7" s="349" t="s">
        <v>90</v>
      </c>
      <c r="D7" s="350" t="s">
        <v>91</v>
      </c>
      <c r="E7" s="351" t="s">
        <v>92</v>
      </c>
      <c r="F7" s="352" t="s">
        <v>195</v>
      </c>
      <c r="G7" s="352" t="s">
        <v>538</v>
      </c>
      <c r="H7" s="352" t="s">
        <v>99</v>
      </c>
      <c r="I7" s="352" t="s">
        <v>195</v>
      </c>
      <c r="J7" s="352" t="s">
        <v>538</v>
      </c>
      <c r="K7" s="352" t="s">
        <v>98</v>
      </c>
      <c r="N7" s="1922" t="s">
        <v>607</v>
      </c>
      <c r="O7" s="1922"/>
      <c r="P7" s="1922"/>
      <c r="Q7" s="1923" t="s">
        <v>50</v>
      </c>
      <c r="R7" s="1923"/>
      <c r="S7" s="1923"/>
      <c r="T7" s="1923" t="s">
        <v>50</v>
      </c>
      <c r="U7" s="1923"/>
    </row>
    <row r="8" spans="1:22" ht="13" x14ac:dyDescent="0.3">
      <c r="B8" s="1075"/>
      <c r="C8" s="1076" t="s">
        <v>301</v>
      </c>
      <c r="D8" s="356"/>
      <c r="E8" s="357"/>
      <c r="F8" s="357"/>
      <c r="G8" s="357"/>
      <c r="H8" s="357"/>
      <c r="I8" s="357"/>
      <c r="J8" s="357"/>
      <c r="K8" s="357"/>
      <c r="L8" s="900"/>
      <c r="M8" s="359"/>
      <c r="N8" s="955" t="s">
        <v>608</v>
      </c>
      <c r="O8" s="955" t="s">
        <v>609</v>
      </c>
      <c r="P8" s="955" t="s">
        <v>610</v>
      </c>
      <c r="Q8" s="956" t="s">
        <v>608</v>
      </c>
      <c r="R8" s="956" t="s">
        <v>609</v>
      </c>
      <c r="S8" s="956" t="s">
        <v>610</v>
      </c>
      <c r="T8" s="956" t="s">
        <v>634</v>
      </c>
      <c r="U8" s="956" t="s">
        <v>538</v>
      </c>
      <c r="V8" s="956" t="s">
        <v>52</v>
      </c>
    </row>
    <row r="9" spans="1:22" ht="13" x14ac:dyDescent="0.3">
      <c r="B9" s="354">
        <v>4</v>
      </c>
      <c r="C9" s="355" t="s">
        <v>125</v>
      </c>
      <c r="D9" s="1077"/>
      <c r="E9" s="415"/>
      <c r="F9" s="415"/>
      <c r="G9" s="415"/>
      <c r="H9" s="415"/>
      <c r="I9" s="415"/>
      <c r="J9" s="415"/>
      <c r="K9" s="415"/>
      <c r="L9" s="358">
        <f>+SUM(K10:K17)</f>
        <v>54302889.68</v>
      </c>
      <c r="M9" s="359">
        <f>+L9/$L$186</f>
        <v>7.3967096138605956E-2</v>
      </c>
      <c r="N9" s="957"/>
      <c r="O9" s="958"/>
      <c r="P9" s="959"/>
      <c r="Q9" s="959"/>
      <c r="R9" s="959"/>
      <c r="S9" s="416"/>
      <c r="T9" s="959"/>
      <c r="U9" s="959"/>
      <c r="V9" s="416"/>
    </row>
    <row r="10" spans="1:22" ht="13" outlineLevel="1" x14ac:dyDescent="0.3">
      <c r="A10" s="441" t="s">
        <v>113</v>
      </c>
      <c r="B10" s="360">
        <v>4.01</v>
      </c>
      <c r="C10" s="361" t="s">
        <v>302</v>
      </c>
      <c r="D10" s="362" t="s">
        <v>109</v>
      </c>
      <c r="E10" s="363">
        <v>819</v>
      </c>
      <c r="F10" s="363">
        <f>'01 (2)'!I42*'01 (2)'!$N$3</f>
        <v>8226.5489737158859</v>
      </c>
      <c r="G10" s="363">
        <f>H10-F10</f>
        <v>10766.451026284114</v>
      </c>
      <c r="H10" s="364">
        <v>18993</v>
      </c>
      <c r="I10" s="364">
        <f>$E10*F10</f>
        <v>6737543.6094733104</v>
      </c>
      <c r="J10" s="364">
        <f>$E10*G10</f>
        <v>8817723.3905266896</v>
      </c>
      <c r="K10" s="364">
        <f t="shared" ref="K10:K17" si="0">+E10*H10</f>
        <v>15555267</v>
      </c>
      <c r="L10" s="331"/>
      <c r="M10" s="359"/>
      <c r="N10" s="1078">
        <v>0.85000000000000009</v>
      </c>
      <c r="O10" s="1078">
        <v>0.05</v>
      </c>
      <c r="P10" s="961">
        <f t="shared" ref="P10:P55" si="1">+N10+O10</f>
        <v>0.90000000000000013</v>
      </c>
      <c r="Q10" s="962">
        <f t="shared" ref="Q10:Q55" si="2">+K10*N10</f>
        <v>13221976.950000001</v>
      </c>
      <c r="R10" s="962">
        <f t="shared" ref="R10:R55" si="3">+K10*O10</f>
        <v>777763.35000000009</v>
      </c>
      <c r="S10" s="962">
        <f t="shared" ref="S10:S55" si="4">+K10*P10</f>
        <v>13999740.300000003</v>
      </c>
      <c r="T10" s="962">
        <f>I10*$P10</f>
        <v>6063789.2485259799</v>
      </c>
      <c r="U10" s="962">
        <f>J10*$P10</f>
        <v>7935951.0514740217</v>
      </c>
      <c r="V10" s="962">
        <f>SUM(T10:U10)</f>
        <v>13999740.300000001</v>
      </c>
    </row>
    <row r="11" spans="1:22" ht="13" outlineLevel="1" x14ac:dyDescent="0.3">
      <c r="A11" s="442" t="s">
        <v>113</v>
      </c>
      <c r="B11" s="365">
        <v>4.0199999999999996</v>
      </c>
      <c r="C11" s="366" t="s">
        <v>303</v>
      </c>
      <c r="D11" s="367" t="s">
        <v>109</v>
      </c>
      <c r="E11" s="368">
        <v>612</v>
      </c>
      <c r="F11" s="368">
        <f>'01 (2)'!I43*'01 (2)'!$N$3</f>
        <v>14405.841895081046</v>
      </c>
      <c r="G11" s="368">
        <f t="shared" ref="G11:G17" si="5">H11-F11</f>
        <v>10766.158104918954</v>
      </c>
      <c r="H11" s="369">
        <v>25172</v>
      </c>
      <c r="I11" s="369">
        <f t="shared" ref="I11:I17" si="6">$E11*F11</f>
        <v>8816375.2397895996</v>
      </c>
      <c r="J11" s="369">
        <f t="shared" ref="J11:J17" si="7">$E11*G11</f>
        <v>6588888.7602103995</v>
      </c>
      <c r="K11" s="369">
        <f t="shared" si="0"/>
        <v>15405264</v>
      </c>
      <c r="L11" s="331"/>
      <c r="M11" s="359"/>
      <c r="N11" s="1079">
        <v>0.85</v>
      </c>
      <c r="O11" s="1079">
        <v>0.1</v>
      </c>
      <c r="P11" s="964">
        <f t="shared" si="1"/>
        <v>0.95</v>
      </c>
      <c r="Q11" s="962">
        <f t="shared" si="2"/>
        <v>13094474.4</v>
      </c>
      <c r="R11" s="962">
        <f t="shared" si="3"/>
        <v>1540526.4000000001</v>
      </c>
      <c r="S11" s="962">
        <f t="shared" si="4"/>
        <v>14635000.799999999</v>
      </c>
      <c r="T11" s="962">
        <f t="shared" ref="T11:T17" si="8">I11*$P11</f>
        <v>8375556.4778001187</v>
      </c>
      <c r="U11" s="962">
        <f t="shared" ref="U11:U17" si="9">J11*$P11</f>
        <v>6259444.3221998792</v>
      </c>
      <c r="V11" s="962">
        <f t="shared" ref="V11:V76" si="10">SUM(T11:U11)</f>
        <v>14635000.799999997</v>
      </c>
    </row>
    <row r="12" spans="1:22" ht="13" outlineLevel="1" x14ac:dyDescent="0.3">
      <c r="A12" s="442" t="s">
        <v>113</v>
      </c>
      <c r="B12" s="365">
        <v>4.03</v>
      </c>
      <c r="C12" s="366" t="s">
        <v>304</v>
      </c>
      <c r="D12" s="370" t="s">
        <v>109</v>
      </c>
      <c r="E12" s="371">
        <v>636</v>
      </c>
      <c r="F12" s="371">
        <f>'01 (2)'!I44*'01 (2)'!$N$3</f>
        <v>10342.949427147014</v>
      </c>
      <c r="G12" s="371">
        <f t="shared" si="5"/>
        <v>10766.050572852986</v>
      </c>
      <c r="H12" s="369">
        <v>21109</v>
      </c>
      <c r="I12" s="369">
        <f t="shared" si="6"/>
        <v>6578115.8356655007</v>
      </c>
      <c r="J12" s="369">
        <f t="shared" si="7"/>
        <v>6847208.1643344993</v>
      </c>
      <c r="K12" s="369">
        <f t="shared" si="0"/>
        <v>13425324</v>
      </c>
      <c r="L12" s="331"/>
      <c r="M12" s="359"/>
      <c r="N12" s="1079">
        <v>0.85000000000000009</v>
      </c>
      <c r="O12" s="1079">
        <v>0.05</v>
      </c>
      <c r="P12" s="964">
        <f t="shared" si="1"/>
        <v>0.90000000000000013</v>
      </c>
      <c r="Q12" s="962">
        <f t="shared" si="2"/>
        <v>11411525.4</v>
      </c>
      <c r="R12" s="962">
        <f t="shared" si="3"/>
        <v>671266.20000000007</v>
      </c>
      <c r="S12" s="962">
        <f t="shared" si="4"/>
        <v>12082791.600000001</v>
      </c>
      <c r="T12" s="962">
        <f t="shared" si="8"/>
        <v>5920304.2520989515</v>
      </c>
      <c r="U12" s="962">
        <f t="shared" si="9"/>
        <v>6162487.34790105</v>
      </c>
      <c r="V12" s="962">
        <f t="shared" si="10"/>
        <v>12082791.600000001</v>
      </c>
    </row>
    <row r="13" spans="1:22" ht="26" outlineLevel="1" x14ac:dyDescent="0.3">
      <c r="A13" s="442" t="s">
        <v>113</v>
      </c>
      <c r="B13" s="365">
        <v>4.04</v>
      </c>
      <c r="C13" s="366" t="s">
        <v>716</v>
      </c>
      <c r="D13" s="367" t="s">
        <v>109</v>
      </c>
      <c r="E13" s="368">
        <v>195</v>
      </c>
      <c r="F13" s="368">
        <f>'01 (2)'!I45*'01 (2)'!$N$3</f>
        <v>7298.9168870844269</v>
      </c>
      <c r="G13" s="368">
        <f t="shared" si="5"/>
        <v>7793.0831129155731</v>
      </c>
      <c r="H13" s="369">
        <v>15092</v>
      </c>
      <c r="I13" s="369">
        <f t="shared" si="6"/>
        <v>1423288.7929814633</v>
      </c>
      <c r="J13" s="369">
        <f t="shared" si="7"/>
        <v>1519651.2070185367</v>
      </c>
      <c r="K13" s="369">
        <f t="shared" si="0"/>
        <v>2942940</v>
      </c>
      <c r="L13" s="331"/>
      <c r="M13" s="359"/>
      <c r="N13" s="1079">
        <v>0.15</v>
      </c>
      <c r="O13" s="1079"/>
      <c r="P13" s="964">
        <f t="shared" si="1"/>
        <v>0.15</v>
      </c>
      <c r="Q13" s="962">
        <f t="shared" si="2"/>
        <v>441441</v>
      </c>
      <c r="R13" s="962">
        <f t="shared" si="3"/>
        <v>0</v>
      </c>
      <c r="S13" s="962">
        <f t="shared" si="4"/>
        <v>441441</v>
      </c>
      <c r="T13" s="962">
        <f t="shared" si="8"/>
        <v>213493.31894721949</v>
      </c>
      <c r="U13" s="962">
        <f t="shared" si="9"/>
        <v>227947.68105278051</v>
      </c>
      <c r="V13" s="962">
        <f t="shared" si="10"/>
        <v>441441</v>
      </c>
    </row>
    <row r="14" spans="1:22" ht="13" outlineLevel="1" x14ac:dyDescent="0.3">
      <c r="A14" s="442" t="s">
        <v>113</v>
      </c>
      <c r="B14" s="365">
        <v>4.05</v>
      </c>
      <c r="C14" s="366" t="s">
        <v>305</v>
      </c>
      <c r="D14" s="367" t="s">
        <v>109</v>
      </c>
      <c r="E14" s="368">
        <v>30.053999999999998</v>
      </c>
      <c r="F14" s="368">
        <f>'01 (2)'!I46*'01 (2)'!$N$3</f>
        <v>21896.750661253282</v>
      </c>
      <c r="G14" s="368">
        <f t="shared" si="5"/>
        <v>45523.249338746718</v>
      </c>
      <c r="H14" s="369">
        <v>67420</v>
      </c>
      <c r="I14" s="369">
        <f t="shared" si="6"/>
        <v>658084.94437330612</v>
      </c>
      <c r="J14" s="369">
        <f t="shared" si="7"/>
        <v>1368155.7356266938</v>
      </c>
      <c r="K14" s="369">
        <f t="shared" si="0"/>
        <v>2026240.68</v>
      </c>
      <c r="L14" s="331"/>
      <c r="M14" s="359"/>
      <c r="N14" s="1079">
        <v>0</v>
      </c>
      <c r="O14" s="1079"/>
      <c r="P14" s="964">
        <f t="shared" si="1"/>
        <v>0</v>
      </c>
      <c r="Q14" s="962">
        <f t="shared" si="2"/>
        <v>0</v>
      </c>
      <c r="R14" s="962">
        <f t="shared" si="3"/>
        <v>0</v>
      </c>
      <c r="S14" s="962">
        <f t="shared" si="4"/>
        <v>0</v>
      </c>
      <c r="T14" s="962">
        <f t="shared" si="8"/>
        <v>0</v>
      </c>
      <c r="U14" s="962">
        <f t="shared" si="9"/>
        <v>0</v>
      </c>
      <c r="V14" s="962">
        <f t="shared" si="10"/>
        <v>0</v>
      </c>
    </row>
    <row r="15" spans="1:22" ht="13" outlineLevel="1" x14ac:dyDescent="0.3">
      <c r="A15" s="442" t="s">
        <v>113</v>
      </c>
      <c r="B15" s="365">
        <v>4.0599999999999996</v>
      </c>
      <c r="C15" s="366" t="s">
        <v>306</v>
      </c>
      <c r="D15" s="367" t="s">
        <v>109</v>
      </c>
      <c r="E15" s="368">
        <v>24</v>
      </c>
      <c r="F15" s="368">
        <f>'01 (2)'!I47*'01 (2)'!$N$3</f>
        <v>36077.682877379819</v>
      </c>
      <c r="G15" s="368">
        <f t="shared" si="5"/>
        <v>18830.317122620181</v>
      </c>
      <c r="H15" s="369">
        <v>54908</v>
      </c>
      <c r="I15" s="369">
        <f t="shared" si="6"/>
        <v>865864.38905711565</v>
      </c>
      <c r="J15" s="369">
        <f t="shared" si="7"/>
        <v>451927.61094288435</v>
      </c>
      <c r="K15" s="369">
        <f t="shared" si="0"/>
        <v>1317792</v>
      </c>
      <c r="L15" s="331"/>
      <c r="M15" s="359"/>
      <c r="N15" s="1079">
        <v>1</v>
      </c>
      <c r="O15" s="1079"/>
      <c r="P15" s="964">
        <f t="shared" si="1"/>
        <v>1</v>
      </c>
      <c r="Q15" s="962">
        <f t="shared" si="2"/>
        <v>1317792</v>
      </c>
      <c r="R15" s="962">
        <f t="shared" si="3"/>
        <v>0</v>
      </c>
      <c r="S15" s="962">
        <f t="shared" si="4"/>
        <v>1317792</v>
      </c>
      <c r="T15" s="962">
        <f t="shared" si="8"/>
        <v>865864.38905711565</v>
      </c>
      <c r="U15" s="962">
        <f t="shared" si="9"/>
        <v>451927.61094288435</v>
      </c>
      <c r="V15" s="962">
        <f t="shared" si="10"/>
        <v>1317792</v>
      </c>
    </row>
    <row r="16" spans="1:22" ht="13" outlineLevel="1" x14ac:dyDescent="0.3">
      <c r="A16" s="442" t="s">
        <v>113</v>
      </c>
      <c r="B16" s="365">
        <v>4.07</v>
      </c>
      <c r="C16" s="366" t="s">
        <v>307</v>
      </c>
      <c r="D16" s="367" t="s">
        <v>124</v>
      </c>
      <c r="E16" s="368">
        <v>81</v>
      </c>
      <c r="F16" s="368">
        <f>'01 (2)'!I48*'01 (2)'!$N$3</f>
        <v>21824.669585644751</v>
      </c>
      <c r="G16" s="368">
        <f t="shared" si="5"/>
        <v>9164.3304143552486</v>
      </c>
      <c r="H16" s="369">
        <v>30989</v>
      </c>
      <c r="I16" s="369">
        <f t="shared" si="6"/>
        <v>1767798.2364372248</v>
      </c>
      <c r="J16" s="369">
        <f t="shared" si="7"/>
        <v>742310.7635627751</v>
      </c>
      <c r="K16" s="369">
        <f t="shared" si="0"/>
        <v>2510109</v>
      </c>
      <c r="L16" s="331"/>
      <c r="M16" s="359"/>
      <c r="N16" s="1079">
        <v>0.9</v>
      </c>
      <c r="O16" s="1079"/>
      <c r="P16" s="964">
        <f t="shared" si="1"/>
        <v>0.9</v>
      </c>
      <c r="Q16" s="962">
        <f t="shared" si="2"/>
        <v>2259098.1</v>
      </c>
      <c r="R16" s="962">
        <f t="shared" si="3"/>
        <v>0</v>
      </c>
      <c r="S16" s="962">
        <f t="shared" si="4"/>
        <v>2259098.1</v>
      </c>
      <c r="T16" s="962">
        <f t="shared" si="8"/>
        <v>1591018.4127935024</v>
      </c>
      <c r="U16" s="962">
        <f t="shared" si="9"/>
        <v>668079.68720649765</v>
      </c>
      <c r="V16" s="962">
        <f t="shared" si="10"/>
        <v>2259098.1</v>
      </c>
    </row>
    <row r="17" spans="1:23" ht="13" outlineLevel="1" x14ac:dyDescent="0.3">
      <c r="A17" s="442" t="s">
        <v>113</v>
      </c>
      <c r="B17" s="365">
        <v>4.08</v>
      </c>
      <c r="C17" s="366" t="s">
        <v>308</v>
      </c>
      <c r="D17" s="367" t="s">
        <v>107</v>
      </c>
      <c r="E17" s="368">
        <v>1</v>
      </c>
      <c r="F17" s="368">
        <f>'01 (2)'!I49*'01 (2)'!$N$3</f>
        <v>567127.97409154917</v>
      </c>
      <c r="G17" s="368">
        <f t="shared" si="5"/>
        <v>552825.02590845083</v>
      </c>
      <c r="H17" s="369">
        <v>1119953</v>
      </c>
      <c r="I17" s="369">
        <f t="shared" si="6"/>
        <v>567127.97409154917</v>
      </c>
      <c r="J17" s="369">
        <f t="shared" si="7"/>
        <v>552825.02590845083</v>
      </c>
      <c r="K17" s="369">
        <f t="shared" si="0"/>
        <v>1119953</v>
      </c>
      <c r="L17" s="331"/>
      <c r="M17" s="359"/>
      <c r="N17" s="1079">
        <v>0.5</v>
      </c>
      <c r="O17" s="1079"/>
      <c r="P17" s="964">
        <f t="shared" si="1"/>
        <v>0.5</v>
      </c>
      <c r="Q17" s="962">
        <f t="shared" si="2"/>
        <v>559976.5</v>
      </c>
      <c r="R17" s="962">
        <f t="shared" si="3"/>
        <v>0</v>
      </c>
      <c r="S17" s="962">
        <f t="shared" si="4"/>
        <v>559976.5</v>
      </c>
      <c r="T17" s="962">
        <f t="shared" si="8"/>
        <v>283563.98704577459</v>
      </c>
      <c r="U17" s="962">
        <f t="shared" si="9"/>
        <v>276412.51295422541</v>
      </c>
      <c r="V17" s="962">
        <f t="shared" si="10"/>
        <v>559976.5</v>
      </c>
    </row>
    <row r="18" spans="1:23" ht="13" x14ac:dyDescent="0.3">
      <c r="A18" s="440"/>
      <c r="B18" s="354">
        <v>5</v>
      </c>
      <c r="C18" s="355" t="s">
        <v>121</v>
      </c>
      <c r="D18" s="1077"/>
      <c r="E18" s="415"/>
      <c r="F18" s="415"/>
      <c r="G18" s="415"/>
      <c r="H18" s="415"/>
      <c r="I18" s="415"/>
      <c r="J18" s="415"/>
      <c r="K18" s="415"/>
      <c r="L18" s="358">
        <f>+SUM(K19:K25)</f>
        <v>35966419</v>
      </c>
      <c r="M18" s="359">
        <f>+L18/$L$186</f>
        <v>4.8990607822371489E-2</v>
      </c>
      <c r="N18" s="957"/>
      <c r="O18" s="958"/>
      <c r="P18" s="959"/>
      <c r="Q18" s="959"/>
      <c r="R18" s="959"/>
      <c r="S18" s="416"/>
      <c r="T18" s="959"/>
      <c r="U18" s="416"/>
      <c r="V18" s="959"/>
    </row>
    <row r="19" spans="1:23" ht="13" outlineLevel="1" x14ac:dyDescent="0.3">
      <c r="A19" s="442" t="s">
        <v>113</v>
      </c>
      <c r="B19" s="360">
        <v>5.01</v>
      </c>
      <c r="C19" s="361" t="s">
        <v>717</v>
      </c>
      <c r="D19" s="362" t="s">
        <v>109</v>
      </c>
      <c r="E19" s="363">
        <v>139.05000000000001</v>
      </c>
      <c r="F19" s="363">
        <f>'01 (2)'!I51*'01 (2)'!$N$3</f>
        <v>12329.465486688498</v>
      </c>
      <c r="G19" s="363">
        <f t="shared" ref="G19:G25" si="11">H19-F19</f>
        <v>9470.5345133115025</v>
      </c>
      <c r="H19" s="364">
        <v>21800</v>
      </c>
      <c r="I19" s="364">
        <f t="shared" ref="I19:I25" si="12">$E19*F19</f>
        <v>1714412.1759240357</v>
      </c>
      <c r="J19" s="364">
        <f t="shared" ref="J19:J25" si="13">$E19*G19</f>
        <v>1316877.8240759645</v>
      </c>
      <c r="K19" s="364">
        <f t="shared" ref="K19:K25" si="14">+E19*H19</f>
        <v>3031290.0000000005</v>
      </c>
      <c r="L19" s="1080"/>
      <c r="M19" s="359"/>
      <c r="N19" s="1078">
        <v>0</v>
      </c>
      <c r="O19" s="1078">
        <v>0.3</v>
      </c>
      <c r="P19" s="961">
        <f t="shared" ref="P19:P20" si="15">+N19+O19</f>
        <v>0.3</v>
      </c>
      <c r="Q19" s="1081">
        <f t="shared" ref="Q19:Q20" si="16">+K19*N19</f>
        <v>0</v>
      </c>
      <c r="R19" s="1081">
        <f t="shared" ref="R19:R20" si="17">+K19*O19</f>
        <v>909387.00000000012</v>
      </c>
      <c r="S19" s="1081">
        <f t="shared" ref="S19:S20" si="18">+K19*P19</f>
        <v>909387.00000000012</v>
      </c>
      <c r="T19" s="962">
        <f t="shared" ref="T19:T25" si="19">I19*$P19</f>
        <v>514323.65277721069</v>
      </c>
      <c r="U19" s="962">
        <f t="shared" ref="U19:U25" si="20">J19*$P19</f>
        <v>395063.34722278937</v>
      </c>
      <c r="V19" s="962">
        <f t="shared" si="10"/>
        <v>909387</v>
      </c>
    </row>
    <row r="20" spans="1:23" ht="13" outlineLevel="1" x14ac:dyDescent="0.3">
      <c r="A20" s="442" t="s">
        <v>113</v>
      </c>
      <c r="B20" s="406">
        <v>5.0199999999999996</v>
      </c>
      <c r="C20" s="405" t="s">
        <v>718</v>
      </c>
      <c r="D20" s="370" t="s">
        <v>109</v>
      </c>
      <c r="E20" s="371">
        <v>300</v>
      </c>
      <c r="F20" s="371">
        <f>'01 (2)'!I52*'01 (2)'!$N$3</f>
        <v>952.85195552963592</v>
      </c>
      <c r="G20" s="371">
        <f t="shared" si="11"/>
        <v>4423.1480444703639</v>
      </c>
      <c r="H20" s="371">
        <v>5376</v>
      </c>
      <c r="I20" s="371">
        <f t="shared" si="12"/>
        <v>285855.58665889077</v>
      </c>
      <c r="J20" s="371">
        <f t="shared" si="13"/>
        <v>1326944.4133411092</v>
      </c>
      <c r="K20" s="371">
        <f t="shared" si="14"/>
        <v>1612800</v>
      </c>
      <c r="L20" s="1082"/>
      <c r="M20" s="359"/>
      <c r="N20" s="1079">
        <v>0.75</v>
      </c>
      <c r="O20" s="1079">
        <v>0.25</v>
      </c>
      <c r="P20" s="964">
        <f t="shared" si="15"/>
        <v>1</v>
      </c>
      <c r="Q20" s="1083">
        <f t="shared" si="16"/>
        <v>1209600</v>
      </c>
      <c r="R20" s="1083">
        <f t="shared" si="17"/>
        <v>403200</v>
      </c>
      <c r="S20" s="1083">
        <f t="shared" si="18"/>
        <v>1612800</v>
      </c>
      <c r="T20" s="962">
        <f t="shared" si="19"/>
        <v>285855.58665889077</v>
      </c>
      <c r="U20" s="962">
        <f t="shared" si="20"/>
        <v>1326944.4133411092</v>
      </c>
      <c r="V20" s="962">
        <f t="shared" si="10"/>
        <v>1612800</v>
      </c>
    </row>
    <row r="21" spans="1:23" ht="13" outlineLevel="1" x14ac:dyDescent="0.3">
      <c r="A21" s="442" t="s">
        <v>113</v>
      </c>
      <c r="B21" s="365">
        <v>5.03</v>
      </c>
      <c r="C21" s="383" t="s">
        <v>719</v>
      </c>
      <c r="D21" s="377" t="s">
        <v>109</v>
      </c>
      <c r="E21" s="378">
        <v>48</v>
      </c>
      <c r="F21" s="378">
        <f>'01 (2)'!I53*'01 (2)'!$N$3</f>
        <v>952.85195552963592</v>
      </c>
      <c r="G21" s="378">
        <f t="shared" si="11"/>
        <v>4423.1480444703639</v>
      </c>
      <c r="H21" s="369">
        <v>5376</v>
      </c>
      <c r="I21" s="369">
        <f t="shared" si="12"/>
        <v>45736.89386542252</v>
      </c>
      <c r="J21" s="369">
        <f t="shared" si="13"/>
        <v>212311.10613457748</v>
      </c>
      <c r="K21" s="369">
        <f t="shared" si="14"/>
        <v>258048</v>
      </c>
      <c r="L21" s="1084"/>
      <c r="M21" s="359"/>
      <c r="N21" s="1079">
        <v>0</v>
      </c>
      <c r="O21" s="1079"/>
      <c r="P21" s="964">
        <f t="shared" si="1"/>
        <v>0</v>
      </c>
      <c r="Q21" s="1083">
        <f t="shared" si="2"/>
        <v>0</v>
      </c>
      <c r="R21" s="1083">
        <f t="shared" si="3"/>
        <v>0</v>
      </c>
      <c r="S21" s="1083">
        <f t="shared" si="4"/>
        <v>0</v>
      </c>
      <c r="T21" s="962">
        <f t="shared" si="19"/>
        <v>0</v>
      </c>
      <c r="U21" s="962">
        <f t="shared" si="20"/>
        <v>0</v>
      </c>
      <c r="V21" s="962">
        <f t="shared" si="10"/>
        <v>0</v>
      </c>
      <c r="W21" s="1072"/>
    </row>
    <row r="22" spans="1:23" ht="13" outlineLevel="1" x14ac:dyDescent="0.3">
      <c r="A22" s="442" t="s">
        <v>113</v>
      </c>
      <c r="B22" s="365">
        <v>5.04</v>
      </c>
      <c r="C22" s="366" t="s">
        <v>309</v>
      </c>
      <c r="D22" s="367" t="s">
        <v>109</v>
      </c>
      <c r="E22" s="378">
        <v>262</v>
      </c>
      <c r="F22" s="378">
        <f>'01 (2)'!I54*'01 (2)'!$N$3</f>
        <v>4402.6082645724728</v>
      </c>
      <c r="G22" s="378">
        <f t="shared" si="11"/>
        <v>0.39173542752723733</v>
      </c>
      <c r="H22" s="369">
        <v>4403</v>
      </c>
      <c r="I22" s="369">
        <f t="shared" si="12"/>
        <v>1153483.365317988</v>
      </c>
      <c r="J22" s="369">
        <f t="shared" si="13"/>
        <v>102.63468201213618</v>
      </c>
      <c r="K22" s="369">
        <f t="shared" si="14"/>
        <v>1153586</v>
      </c>
      <c r="L22" s="1084"/>
      <c r="M22" s="359"/>
      <c r="N22" s="1079">
        <v>0</v>
      </c>
      <c r="O22" s="1079"/>
      <c r="P22" s="964">
        <f t="shared" si="1"/>
        <v>0</v>
      </c>
      <c r="Q22" s="1083">
        <f t="shared" si="2"/>
        <v>0</v>
      </c>
      <c r="R22" s="1083">
        <f t="shared" si="3"/>
        <v>0</v>
      </c>
      <c r="S22" s="1083">
        <f t="shared" si="4"/>
        <v>0</v>
      </c>
      <c r="T22" s="962">
        <f t="shared" si="19"/>
        <v>0</v>
      </c>
      <c r="U22" s="962">
        <f t="shared" si="20"/>
        <v>0</v>
      </c>
      <c r="V22" s="962">
        <f t="shared" si="10"/>
        <v>0</v>
      </c>
    </row>
    <row r="23" spans="1:23" ht="13" outlineLevel="1" x14ac:dyDescent="0.3">
      <c r="A23" s="442" t="s">
        <v>113</v>
      </c>
      <c r="B23" s="365">
        <v>5.05</v>
      </c>
      <c r="C23" s="383" t="s">
        <v>199</v>
      </c>
      <c r="D23" s="377" t="s">
        <v>109</v>
      </c>
      <c r="E23" s="378">
        <v>510</v>
      </c>
      <c r="F23" s="378">
        <f>'01 (2)'!I55*'01 (2)'!$N$3</f>
        <v>1600.4397680592756</v>
      </c>
      <c r="G23" s="378">
        <f t="shared" si="11"/>
        <v>1977.5602319407244</v>
      </c>
      <c r="H23" s="369">
        <v>3578</v>
      </c>
      <c r="I23" s="369">
        <f t="shared" si="12"/>
        <v>816224.28171023051</v>
      </c>
      <c r="J23" s="369">
        <f t="shared" si="13"/>
        <v>1008555.7182897695</v>
      </c>
      <c r="K23" s="369">
        <f t="shared" si="14"/>
        <v>1824780</v>
      </c>
      <c r="L23" s="1084"/>
      <c r="M23" s="359"/>
      <c r="N23" s="1079">
        <v>0</v>
      </c>
      <c r="O23" s="1079">
        <v>0.7</v>
      </c>
      <c r="P23" s="964">
        <f t="shared" si="1"/>
        <v>0.7</v>
      </c>
      <c r="Q23" s="1083">
        <f t="shared" si="2"/>
        <v>0</v>
      </c>
      <c r="R23" s="1083">
        <f t="shared" si="3"/>
        <v>1277346</v>
      </c>
      <c r="S23" s="1083">
        <f t="shared" si="4"/>
        <v>1277346</v>
      </c>
      <c r="T23" s="962">
        <f t="shared" si="19"/>
        <v>571356.99719716131</v>
      </c>
      <c r="U23" s="962">
        <f t="shared" si="20"/>
        <v>705989.00280283857</v>
      </c>
      <c r="V23" s="962">
        <f t="shared" si="10"/>
        <v>1277346</v>
      </c>
    </row>
    <row r="24" spans="1:23" ht="13" outlineLevel="1" x14ac:dyDescent="0.3">
      <c r="A24" s="442" t="s">
        <v>113</v>
      </c>
      <c r="B24" s="406">
        <v>5.0599999999999996</v>
      </c>
      <c r="C24" s="405" t="s">
        <v>720</v>
      </c>
      <c r="D24" s="370" t="s">
        <v>109</v>
      </c>
      <c r="E24" s="371">
        <v>510</v>
      </c>
      <c r="F24" s="371">
        <f>'01 (2)'!I56*'01 (2)'!$N$3</f>
        <v>12329.465486688498</v>
      </c>
      <c r="G24" s="371">
        <f t="shared" si="11"/>
        <v>9470.5345133115025</v>
      </c>
      <c r="H24" s="371">
        <v>21800</v>
      </c>
      <c r="I24" s="371">
        <f t="shared" si="12"/>
        <v>6288027.3982111337</v>
      </c>
      <c r="J24" s="371">
        <f t="shared" si="13"/>
        <v>4829972.6017888663</v>
      </c>
      <c r="K24" s="371">
        <f t="shared" si="14"/>
        <v>11118000</v>
      </c>
      <c r="L24" s="1082"/>
      <c r="M24" s="359"/>
      <c r="N24" s="1079">
        <v>0</v>
      </c>
      <c r="O24" s="1079"/>
      <c r="P24" s="964">
        <f t="shared" si="1"/>
        <v>0</v>
      </c>
      <c r="Q24" s="1083">
        <f t="shared" si="2"/>
        <v>0</v>
      </c>
      <c r="R24" s="1083">
        <f t="shared" si="3"/>
        <v>0</v>
      </c>
      <c r="S24" s="1083">
        <f t="shared" si="4"/>
        <v>0</v>
      </c>
      <c r="T24" s="962">
        <f t="shared" si="19"/>
        <v>0</v>
      </c>
      <c r="U24" s="962">
        <f t="shared" si="20"/>
        <v>0</v>
      </c>
      <c r="V24" s="962">
        <f t="shared" si="10"/>
        <v>0</v>
      </c>
    </row>
    <row r="25" spans="1:23" ht="13" outlineLevel="1" x14ac:dyDescent="0.3">
      <c r="A25" s="442" t="s">
        <v>113</v>
      </c>
      <c r="B25" s="372">
        <v>5.07</v>
      </c>
      <c r="C25" s="418" t="s">
        <v>310</v>
      </c>
      <c r="D25" s="412" t="s">
        <v>107</v>
      </c>
      <c r="E25" s="413">
        <v>1</v>
      </c>
      <c r="F25" s="413">
        <f>'01 (2)'!I57*'01 (2)'!$N$3</f>
        <v>0</v>
      </c>
      <c r="G25" s="413">
        <f t="shared" si="11"/>
        <v>16967915</v>
      </c>
      <c r="H25" s="396">
        <v>16967915</v>
      </c>
      <c r="I25" s="396">
        <f t="shared" si="12"/>
        <v>0</v>
      </c>
      <c r="J25" s="396">
        <f t="shared" si="13"/>
        <v>16967915</v>
      </c>
      <c r="K25" s="396">
        <f t="shared" si="14"/>
        <v>16967915</v>
      </c>
      <c r="L25" s="1085"/>
      <c r="M25" s="359"/>
      <c r="N25" s="1086">
        <v>1</v>
      </c>
      <c r="O25" s="1086"/>
      <c r="P25" s="966">
        <f t="shared" si="1"/>
        <v>1</v>
      </c>
      <c r="Q25" s="1087">
        <f t="shared" si="2"/>
        <v>16967915</v>
      </c>
      <c r="R25" s="1087">
        <f t="shared" si="3"/>
        <v>0</v>
      </c>
      <c r="S25" s="1087">
        <f t="shared" si="4"/>
        <v>16967915</v>
      </c>
      <c r="T25" s="962">
        <f t="shared" si="19"/>
        <v>0</v>
      </c>
      <c r="U25" s="962">
        <f t="shared" si="20"/>
        <v>16967915</v>
      </c>
      <c r="V25" s="962">
        <f t="shared" si="10"/>
        <v>16967915</v>
      </c>
    </row>
    <row r="26" spans="1:23" ht="13" x14ac:dyDescent="0.3">
      <c r="A26" s="440"/>
      <c r="B26" s="354">
        <v>6</v>
      </c>
      <c r="C26" s="355" t="s">
        <v>200</v>
      </c>
      <c r="D26" s="1077"/>
      <c r="E26" s="415"/>
      <c r="F26" s="415"/>
      <c r="G26" s="415"/>
      <c r="H26" s="415"/>
      <c r="I26" s="415"/>
      <c r="J26" s="415"/>
      <c r="K26" s="415"/>
      <c r="L26" s="358">
        <f>+SUM(K27)</f>
        <v>2433900</v>
      </c>
      <c r="M26" s="359">
        <f>+L26/$L$186</f>
        <v>3.3152658422532962E-3</v>
      </c>
      <c r="N26" s="957"/>
      <c r="O26" s="958"/>
      <c r="P26" s="959"/>
      <c r="Q26" s="959"/>
      <c r="R26" s="959"/>
      <c r="S26" s="416"/>
      <c r="T26" s="959"/>
      <c r="U26" s="416"/>
      <c r="V26" s="959"/>
    </row>
    <row r="27" spans="1:23" ht="13" outlineLevel="1" x14ac:dyDescent="0.3">
      <c r="A27" s="442" t="s">
        <v>113</v>
      </c>
      <c r="B27" s="365">
        <v>6.02</v>
      </c>
      <c r="C27" s="381" t="s">
        <v>201</v>
      </c>
      <c r="D27" s="370" t="s">
        <v>124</v>
      </c>
      <c r="E27" s="371">
        <v>60</v>
      </c>
      <c r="F27" s="371">
        <f>'01 (2)'!I59*'01 (2)'!$N$3</f>
        <v>17520.181272327052</v>
      </c>
      <c r="G27" s="371">
        <f>H27-F27</f>
        <v>23044.818727672948</v>
      </c>
      <c r="H27" s="369">
        <v>40565</v>
      </c>
      <c r="I27" s="369">
        <f>$E27*F27</f>
        <v>1051210.8763396232</v>
      </c>
      <c r="J27" s="369">
        <f>$E27*G27</f>
        <v>1382689.1236603768</v>
      </c>
      <c r="K27" s="369">
        <f>+E27*H27</f>
        <v>2433900</v>
      </c>
      <c r="L27" s="331"/>
      <c r="M27" s="359"/>
      <c r="N27" s="1079">
        <v>0</v>
      </c>
      <c r="O27" s="1079"/>
      <c r="P27" s="964">
        <f t="shared" si="1"/>
        <v>0</v>
      </c>
      <c r="Q27" s="962">
        <f t="shared" si="2"/>
        <v>0</v>
      </c>
      <c r="R27" s="962">
        <f t="shared" si="3"/>
        <v>0</v>
      </c>
      <c r="S27" s="962">
        <f t="shared" si="4"/>
        <v>0</v>
      </c>
      <c r="T27" s="962">
        <f>I27*$P27</f>
        <v>0</v>
      </c>
      <c r="U27" s="962">
        <f>J27*$P27</f>
        <v>0</v>
      </c>
      <c r="V27" s="962">
        <f t="shared" si="10"/>
        <v>0</v>
      </c>
    </row>
    <row r="28" spans="1:23" ht="13" x14ac:dyDescent="0.3">
      <c r="A28" s="440"/>
      <c r="B28" s="354">
        <v>7</v>
      </c>
      <c r="C28" s="355" t="s">
        <v>122</v>
      </c>
      <c r="D28" s="1077"/>
      <c r="E28" s="415"/>
      <c r="F28" s="415"/>
      <c r="G28" s="415"/>
      <c r="H28" s="415"/>
      <c r="I28" s="415"/>
      <c r="J28" s="415"/>
      <c r="K28" s="415"/>
      <c r="L28" s="358">
        <f>+SUM(K29:K36)</f>
        <v>136390555.29860002</v>
      </c>
      <c r="M28" s="359">
        <f>+L28/$L$186</f>
        <v>0.18578041381626526</v>
      </c>
      <c r="N28" s="957"/>
      <c r="O28" s="958"/>
      <c r="P28" s="959"/>
      <c r="Q28" s="959"/>
      <c r="R28" s="959"/>
      <c r="S28" s="416"/>
      <c r="T28" s="959"/>
      <c r="U28" s="416"/>
      <c r="V28" s="959"/>
    </row>
    <row r="29" spans="1:23" ht="13" outlineLevel="1" x14ac:dyDescent="0.3">
      <c r="A29" s="442" t="s">
        <v>113</v>
      </c>
      <c r="B29" s="365">
        <v>7.01</v>
      </c>
      <c r="C29" s="381" t="s">
        <v>311</v>
      </c>
      <c r="D29" s="370" t="s">
        <v>109</v>
      </c>
      <c r="E29" s="371">
        <v>678.25199999999995</v>
      </c>
      <c r="F29" s="371">
        <f>'01 (2)'!I61*'01 (2)'!$N$3</f>
        <v>4710.6316249792844</v>
      </c>
      <c r="G29" s="371">
        <f t="shared" ref="G29:G36" si="21">H29-F29</f>
        <v>11860.368375020716</v>
      </c>
      <c r="H29" s="369">
        <v>16571</v>
      </c>
      <c r="I29" s="369">
        <f t="shared" ref="I29:I36" si="22">$E29*F29</f>
        <v>3194995.3209054493</v>
      </c>
      <c r="J29" s="369">
        <f t="shared" ref="J29:J36" si="23">$E29*G29</f>
        <v>8044318.5710945502</v>
      </c>
      <c r="K29" s="369">
        <f t="shared" ref="K29:K36" si="24">+E29*H29</f>
        <v>11239313.891999999</v>
      </c>
      <c r="L29" s="331"/>
      <c r="M29" s="359"/>
      <c r="N29" s="1079">
        <v>0.05</v>
      </c>
      <c r="O29" s="1079">
        <v>0.1</v>
      </c>
      <c r="P29" s="964">
        <f t="shared" si="1"/>
        <v>0.15000000000000002</v>
      </c>
      <c r="Q29" s="962">
        <f t="shared" si="2"/>
        <v>561965.69459999993</v>
      </c>
      <c r="R29" s="962">
        <f t="shared" si="3"/>
        <v>1123931.3891999999</v>
      </c>
      <c r="S29" s="962">
        <f t="shared" si="4"/>
        <v>1685897.0838000001</v>
      </c>
      <c r="T29" s="962">
        <f t="shared" ref="T29:T36" si="25">I29*$P29</f>
        <v>479249.29813581746</v>
      </c>
      <c r="U29" s="962">
        <f t="shared" ref="U29:U36" si="26">J29*$P29</f>
        <v>1206647.7856641826</v>
      </c>
      <c r="V29" s="962">
        <f t="shared" si="10"/>
        <v>1685897.0838000001</v>
      </c>
    </row>
    <row r="30" spans="1:23" ht="13" outlineLevel="1" x14ac:dyDescent="0.3">
      <c r="A30" s="442" t="s">
        <v>113</v>
      </c>
      <c r="B30" s="365">
        <v>7.02</v>
      </c>
      <c r="C30" s="366" t="s">
        <v>721</v>
      </c>
      <c r="D30" s="377" t="s">
        <v>109</v>
      </c>
      <c r="E30" s="368">
        <v>876.08119999999985</v>
      </c>
      <c r="F30" s="368">
        <f>'01 (2)'!I62*'01 (2)'!$N$3</f>
        <v>4710.6316249792844</v>
      </c>
      <c r="G30" s="368">
        <f t="shared" si="21"/>
        <v>17472.368375020716</v>
      </c>
      <c r="H30" s="369">
        <v>22183</v>
      </c>
      <c r="I30" s="369">
        <f t="shared" si="22"/>
        <v>4126895.8067698008</v>
      </c>
      <c r="J30" s="369">
        <f t="shared" si="23"/>
        <v>15307213.452830197</v>
      </c>
      <c r="K30" s="369">
        <f t="shared" si="24"/>
        <v>19434109.259599999</v>
      </c>
      <c r="L30" s="331"/>
      <c r="M30" s="359"/>
      <c r="N30" s="1079">
        <v>0.5</v>
      </c>
      <c r="O30" s="1079">
        <v>0.25</v>
      </c>
      <c r="P30" s="964">
        <f t="shared" si="1"/>
        <v>0.75</v>
      </c>
      <c r="Q30" s="962">
        <f t="shared" si="2"/>
        <v>9717054.6297999993</v>
      </c>
      <c r="R30" s="962">
        <f t="shared" si="3"/>
        <v>4858527.3148999996</v>
      </c>
      <c r="S30" s="962">
        <f t="shared" si="4"/>
        <v>14575581.944699999</v>
      </c>
      <c r="T30" s="962">
        <f t="shared" si="25"/>
        <v>3095171.8550773505</v>
      </c>
      <c r="U30" s="962">
        <f t="shared" si="26"/>
        <v>11480410.089622648</v>
      </c>
      <c r="V30" s="962">
        <f t="shared" si="10"/>
        <v>14575581.944699999</v>
      </c>
    </row>
    <row r="31" spans="1:23" ht="13" outlineLevel="1" x14ac:dyDescent="0.3">
      <c r="A31" s="442" t="s">
        <v>113</v>
      </c>
      <c r="B31" s="365">
        <v>7.03</v>
      </c>
      <c r="C31" s="366" t="s">
        <v>312</v>
      </c>
      <c r="D31" s="377" t="s">
        <v>124</v>
      </c>
      <c r="E31" s="368">
        <v>182</v>
      </c>
      <c r="F31" s="368">
        <f>'01 (2)'!I63*'01 (2)'!$N$3</f>
        <v>0</v>
      </c>
      <c r="G31" s="368">
        <f t="shared" si="21"/>
        <v>10806</v>
      </c>
      <c r="H31" s="369">
        <v>10806</v>
      </c>
      <c r="I31" s="369">
        <f t="shared" si="22"/>
        <v>0</v>
      </c>
      <c r="J31" s="369">
        <f t="shared" si="23"/>
        <v>1966692</v>
      </c>
      <c r="K31" s="369">
        <f t="shared" si="24"/>
        <v>1966692</v>
      </c>
      <c r="L31" s="331"/>
      <c r="M31" s="359"/>
      <c r="N31" s="1079">
        <v>0.5</v>
      </c>
      <c r="O31" s="1079">
        <v>0.15</v>
      </c>
      <c r="P31" s="964">
        <f t="shared" si="1"/>
        <v>0.65</v>
      </c>
      <c r="Q31" s="962">
        <f t="shared" si="2"/>
        <v>983346</v>
      </c>
      <c r="R31" s="962">
        <f t="shared" si="3"/>
        <v>295003.8</v>
      </c>
      <c r="S31" s="962">
        <f t="shared" si="4"/>
        <v>1278349.8</v>
      </c>
      <c r="T31" s="962">
        <f t="shared" si="25"/>
        <v>0</v>
      </c>
      <c r="U31" s="962">
        <f t="shared" si="26"/>
        <v>1278349.8</v>
      </c>
      <c r="V31" s="962">
        <f t="shared" si="10"/>
        <v>1278349.8</v>
      </c>
    </row>
    <row r="32" spans="1:23" ht="13" outlineLevel="1" x14ac:dyDescent="0.3">
      <c r="A32" s="442" t="s">
        <v>113</v>
      </c>
      <c r="B32" s="365">
        <v>7.04</v>
      </c>
      <c r="C32" s="366" t="s">
        <v>202</v>
      </c>
      <c r="D32" s="377" t="s">
        <v>109</v>
      </c>
      <c r="E32" s="368">
        <v>995.85109999999997</v>
      </c>
      <c r="F32" s="368">
        <f>'01 (2)'!I64*'01 (2)'!$N$3</f>
        <v>3275.5309877362138</v>
      </c>
      <c r="G32" s="368">
        <f t="shared" si="21"/>
        <v>23254.469012263788</v>
      </c>
      <c r="H32" s="369">
        <v>26530</v>
      </c>
      <c r="I32" s="369">
        <f t="shared" si="22"/>
        <v>3261941.1372211948</v>
      </c>
      <c r="J32" s="369">
        <f t="shared" si="23"/>
        <v>23157988.545778807</v>
      </c>
      <c r="K32" s="369">
        <f t="shared" si="24"/>
        <v>26419929.682999998</v>
      </c>
      <c r="L32" s="331"/>
      <c r="M32" s="359"/>
      <c r="N32" s="1079">
        <v>0.45</v>
      </c>
      <c r="O32" s="1079">
        <v>0.15</v>
      </c>
      <c r="P32" s="964">
        <f t="shared" si="1"/>
        <v>0.6</v>
      </c>
      <c r="Q32" s="962">
        <f t="shared" si="2"/>
        <v>11888968.357349999</v>
      </c>
      <c r="R32" s="962">
        <f t="shared" si="3"/>
        <v>3962989.4524499997</v>
      </c>
      <c r="S32" s="962">
        <f t="shared" si="4"/>
        <v>15851957.809799999</v>
      </c>
      <c r="T32" s="962">
        <f t="shared" si="25"/>
        <v>1957164.6823327169</v>
      </c>
      <c r="U32" s="962">
        <f t="shared" si="26"/>
        <v>13894793.127467284</v>
      </c>
      <c r="V32" s="962">
        <f t="shared" si="10"/>
        <v>15851957.809800001</v>
      </c>
    </row>
    <row r="33" spans="1:22" ht="13" outlineLevel="1" x14ac:dyDescent="0.3">
      <c r="A33" s="442" t="s">
        <v>127</v>
      </c>
      <c r="B33" s="365">
        <v>7.05</v>
      </c>
      <c r="C33" s="366" t="s">
        <v>203</v>
      </c>
      <c r="D33" s="377" t="s">
        <v>109</v>
      </c>
      <c r="E33" s="368">
        <v>2514.8970000000013</v>
      </c>
      <c r="F33" s="368">
        <f>'01 (2)'!I65*'01 (2)'!$N$3</f>
        <v>6454.5191947166013</v>
      </c>
      <c r="G33" s="368">
        <f t="shared" si="21"/>
        <v>16111.480805283398</v>
      </c>
      <c r="H33" s="369">
        <v>22566</v>
      </c>
      <c r="I33" s="369">
        <f t="shared" si="22"/>
        <v>16232450.959235204</v>
      </c>
      <c r="J33" s="369">
        <f t="shared" si="23"/>
        <v>40518714.742764823</v>
      </c>
      <c r="K33" s="369">
        <f t="shared" si="24"/>
        <v>56751165.702000029</v>
      </c>
      <c r="L33" s="331"/>
      <c r="M33" s="359"/>
      <c r="N33" s="1079">
        <v>0.2</v>
      </c>
      <c r="O33" s="1079">
        <v>0.3</v>
      </c>
      <c r="P33" s="964">
        <f t="shared" si="1"/>
        <v>0.5</v>
      </c>
      <c r="Q33" s="962">
        <f t="shared" si="2"/>
        <v>11350233.140400007</v>
      </c>
      <c r="R33" s="962">
        <f t="shared" si="3"/>
        <v>17025349.710600007</v>
      </c>
      <c r="S33" s="962">
        <f t="shared" si="4"/>
        <v>28375582.851000015</v>
      </c>
      <c r="T33" s="962">
        <f t="shared" si="25"/>
        <v>8116225.4796176022</v>
      </c>
      <c r="U33" s="962">
        <f t="shared" si="26"/>
        <v>20259357.371382412</v>
      </c>
      <c r="V33" s="962">
        <f t="shared" si="10"/>
        <v>28375582.851000015</v>
      </c>
    </row>
    <row r="34" spans="1:22" ht="13" outlineLevel="1" x14ac:dyDescent="0.3">
      <c r="A34" s="442" t="s">
        <v>127</v>
      </c>
      <c r="B34" s="365">
        <v>7.06</v>
      </c>
      <c r="C34" s="366" t="s">
        <v>313</v>
      </c>
      <c r="D34" s="377" t="s">
        <v>124</v>
      </c>
      <c r="E34" s="368">
        <v>509.9</v>
      </c>
      <c r="F34" s="368">
        <f>'01 (2)'!I66*'01 (2)'!$N$3</f>
        <v>0</v>
      </c>
      <c r="G34" s="368">
        <f t="shared" si="21"/>
        <v>12771</v>
      </c>
      <c r="H34" s="369">
        <v>12771</v>
      </c>
      <c r="I34" s="369">
        <f t="shared" si="22"/>
        <v>0</v>
      </c>
      <c r="J34" s="369">
        <f t="shared" si="23"/>
        <v>6511932.8999999994</v>
      </c>
      <c r="K34" s="369">
        <f t="shared" si="24"/>
        <v>6511932.8999999994</v>
      </c>
      <c r="L34" s="331"/>
      <c r="M34" s="359"/>
      <c r="N34" s="1079">
        <v>0.2</v>
      </c>
      <c r="O34" s="1079">
        <v>0.3</v>
      </c>
      <c r="P34" s="964">
        <f t="shared" si="1"/>
        <v>0.5</v>
      </c>
      <c r="Q34" s="962">
        <f t="shared" si="2"/>
        <v>1302386.58</v>
      </c>
      <c r="R34" s="962">
        <f t="shared" si="3"/>
        <v>1953579.8699999996</v>
      </c>
      <c r="S34" s="962">
        <f t="shared" si="4"/>
        <v>3255966.4499999997</v>
      </c>
      <c r="T34" s="962">
        <f t="shared" si="25"/>
        <v>0</v>
      </c>
      <c r="U34" s="962">
        <f t="shared" si="26"/>
        <v>3255966.4499999997</v>
      </c>
      <c r="V34" s="962">
        <f t="shared" si="10"/>
        <v>3255966.4499999997</v>
      </c>
    </row>
    <row r="35" spans="1:22" ht="13" outlineLevel="1" x14ac:dyDescent="0.3">
      <c r="A35" s="442" t="s">
        <v>127</v>
      </c>
      <c r="B35" s="365">
        <v>7.07</v>
      </c>
      <c r="C35" s="366" t="s">
        <v>314</v>
      </c>
      <c r="D35" s="377" t="s">
        <v>111</v>
      </c>
      <c r="E35" s="368">
        <v>198</v>
      </c>
      <c r="F35" s="368">
        <f>'01 (2)'!I67*'01 (2)'!$N$3</f>
        <v>1530.5630359504912</v>
      </c>
      <c r="G35" s="368">
        <f t="shared" si="21"/>
        <v>13416.43696404951</v>
      </c>
      <c r="H35" s="369">
        <v>14947</v>
      </c>
      <c r="I35" s="369">
        <f t="shared" si="22"/>
        <v>303051.48111819726</v>
      </c>
      <c r="J35" s="369">
        <f t="shared" si="23"/>
        <v>2656454.5188818029</v>
      </c>
      <c r="K35" s="369">
        <f t="shared" si="24"/>
        <v>2959506</v>
      </c>
      <c r="L35" s="331"/>
      <c r="M35" s="359"/>
      <c r="N35" s="1079">
        <v>0.15</v>
      </c>
      <c r="O35" s="1079">
        <v>0.35</v>
      </c>
      <c r="P35" s="964">
        <f t="shared" si="1"/>
        <v>0.5</v>
      </c>
      <c r="Q35" s="962">
        <f t="shared" si="2"/>
        <v>443925.89999999997</v>
      </c>
      <c r="R35" s="962">
        <f t="shared" si="3"/>
        <v>1035827.1</v>
      </c>
      <c r="S35" s="962">
        <f t="shared" si="4"/>
        <v>1479753</v>
      </c>
      <c r="T35" s="962">
        <f t="shared" si="25"/>
        <v>151525.74055909863</v>
      </c>
      <c r="U35" s="962">
        <f t="shared" si="26"/>
        <v>1328227.2594409015</v>
      </c>
      <c r="V35" s="962">
        <f t="shared" si="10"/>
        <v>1479753</v>
      </c>
    </row>
    <row r="36" spans="1:22" ht="13" outlineLevel="1" x14ac:dyDescent="0.3">
      <c r="A36" s="442" t="s">
        <v>113</v>
      </c>
      <c r="B36" s="365">
        <v>7.08</v>
      </c>
      <c r="C36" s="366" t="s">
        <v>123</v>
      </c>
      <c r="D36" s="377" t="s">
        <v>109</v>
      </c>
      <c r="E36" s="368">
        <v>670.322</v>
      </c>
      <c r="F36" s="368">
        <f>'01 (2)'!I68*'01 (2)'!$N$3</f>
        <v>4710.6316249792844</v>
      </c>
      <c r="G36" s="368">
        <f t="shared" si="21"/>
        <v>11860.368375020716</v>
      </c>
      <c r="H36" s="369">
        <v>16571</v>
      </c>
      <c r="I36" s="369">
        <f t="shared" si="22"/>
        <v>3157640.012119364</v>
      </c>
      <c r="J36" s="369">
        <f t="shared" si="23"/>
        <v>7950265.8498806367</v>
      </c>
      <c r="K36" s="369">
        <f t="shared" si="24"/>
        <v>11107905.862</v>
      </c>
      <c r="L36" s="331"/>
      <c r="M36" s="359"/>
      <c r="N36" s="1079">
        <v>0.15</v>
      </c>
      <c r="O36" s="1079">
        <v>0.4</v>
      </c>
      <c r="P36" s="964">
        <f t="shared" si="1"/>
        <v>0.55000000000000004</v>
      </c>
      <c r="Q36" s="962">
        <f t="shared" si="2"/>
        <v>1666185.8792999999</v>
      </c>
      <c r="R36" s="962">
        <f t="shared" si="3"/>
        <v>4443162.3448000001</v>
      </c>
      <c r="S36" s="962">
        <f t="shared" si="4"/>
        <v>6109348.2241000002</v>
      </c>
      <c r="T36" s="962">
        <f t="shared" si="25"/>
        <v>1736702.0066656503</v>
      </c>
      <c r="U36" s="962">
        <f t="shared" si="26"/>
        <v>4372646.2174343504</v>
      </c>
      <c r="V36" s="962">
        <f t="shared" si="10"/>
        <v>6109348.2241000012</v>
      </c>
    </row>
    <row r="37" spans="1:22" ht="13" x14ac:dyDescent="0.3">
      <c r="A37" s="440"/>
      <c r="B37" s="354">
        <v>8</v>
      </c>
      <c r="C37" s="355" t="s">
        <v>120</v>
      </c>
      <c r="D37" s="1077"/>
      <c r="E37" s="415"/>
      <c r="F37" s="415"/>
      <c r="G37" s="415"/>
      <c r="H37" s="415"/>
      <c r="I37" s="415"/>
      <c r="J37" s="415"/>
      <c r="K37" s="415"/>
      <c r="L37" s="358">
        <f>+SUM(K38:K45)</f>
        <v>44788107</v>
      </c>
      <c r="M37" s="359">
        <f>+L37/$L$186</f>
        <v>6.100681263662671E-2</v>
      </c>
      <c r="N37" s="957"/>
      <c r="O37" s="958"/>
      <c r="P37" s="959"/>
      <c r="Q37" s="959"/>
      <c r="R37" s="959"/>
      <c r="S37" s="416"/>
      <c r="T37" s="959"/>
      <c r="U37" s="416"/>
      <c r="V37" s="959"/>
    </row>
    <row r="38" spans="1:22" ht="13" outlineLevel="1" x14ac:dyDescent="0.3">
      <c r="A38" s="442" t="s">
        <v>113</v>
      </c>
      <c r="B38" s="360">
        <v>8.01</v>
      </c>
      <c r="C38" s="1088" t="s">
        <v>315</v>
      </c>
      <c r="D38" s="397" t="s">
        <v>109</v>
      </c>
      <c r="E38" s="398">
        <v>104</v>
      </c>
      <c r="F38" s="398">
        <f>'01 (2)'!I70*'01 (2)'!$N$3</f>
        <v>12271.596886961946</v>
      </c>
      <c r="G38" s="398">
        <f t="shared" ref="G38:G45" si="27">H38-F38</f>
        <v>19648.403113038054</v>
      </c>
      <c r="H38" s="364">
        <v>31920</v>
      </c>
      <c r="I38" s="364">
        <f t="shared" ref="I38:I45" si="28">$E38*F38</f>
        <v>1276246.0762440425</v>
      </c>
      <c r="J38" s="364">
        <f t="shared" ref="J38:J45" si="29">$E38*G38</f>
        <v>2043433.9237559575</v>
      </c>
      <c r="K38" s="364">
        <f t="shared" ref="K38:K45" si="30">+E38*H38</f>
        <v>3319680</v>
      </c>
      <c r="L38" s="331"/>
      <c r="M38" s="359"/>
      <c r="N38" s="1078">
        <v>1</v>
      </c>
      <c r="O38" s="1078"/>
      <c r="P38" s="961">
        <f t="shared" si="1"/>
        <v>1</v>
      </c>
      <c r="Q38" s="1081">
        <f t="shared" si="2"/>
        <v>3319680</v>
      </c>
      <c r="R38" s="1081">
        <f t="shared" si="3"/>
        <v>0</v>
      </c>
      <c r="S38" s="1081">
        <f t="shared" si="4"/>
        <v>3319680</v>
      </c>
      <c r="T38" s="962">
        <f t="shared" ref="T38:T45" si="31">I38*$P38</f>
        <v>1276246.0762440425</v>
      </c>
      <c r="U38" s="962">
        <f t="shared" ref="U38:U45" si="32">J38*$P38</f>
        <v>2043433.9237559575</v>
      </c>
      <c r="V38" s="962">
        <f t="shared" si="10"/>
        <v>3319680</v>
      </c>
    </row>
    <row r="39" spans="1:22" ht="13" outlineLevel="1" x14ac:dyDescent="0.3">
      <c r="A39" s="442" t="s">
        <v>113</v>
      </c>
      <c r="B39" s="365">
        <v>8.02</v>
      </c>
      <c r="C39" s="383" t="s">
        <v>316</v>
      </c>
      <c r="D39" s="377" t="s">
        <v>109</v>
      </c>
      <c r="E39" s="378">
        <v>48</v>
      </c>
      <c r="F39" s="378">
        <f>'01 (2)'!I71*'01 (2)'!$N$3</f>
        <v>16990.570467384183</v>
      </c>
      <c r="G39" s="378">
        <f t="shared" si="27"/>
        <v>20277.429532615817</v>
      </c>
      <c r="H39" s="369">
        <v>37268</v>
      </c>
      <c r="I39" s="369">
        <f t="shared" si="28"/>
        <v>815547.38243444078</v>
      </c>
      <c r="J39" s="369">
        <f t="shared" si="29"/>
        <v>973316.61756555922</v>
      </c>
      <c r="K39" s="369">
        <f t="shared" si="30"/>
        <v>1788864</v>
      </c>
      <c r="L39" s="331"/>
      <c r="M39" s="359"/>
      <c r="N39" s="1079">
        <v>0</v>
      </c>
      <c r="O39" s="1079"/>
      <c r="P39" s="964">
        <f t="shared" si="1"/>
        <v>0</v>
      </c>
      <c r="Q39" s="1083">
        <f t="shared" si="2"/>
        <v>0</v>
      </c>
      <c r="R39" s="1083">
        <f t="shared" si="3"/>
        <v>0</v>
      </c>
      <c r="S39" s="1083">
        <f t="shared" si="4"/>
        <v>0</v>
      </c>
      <c r="T39" s="962">
        <f t="shared" si="31"/>
        <v>0</v>
      </c>
      <c r="U39" s="962">
        <f t="shared" si="32"/>
        <v>0</v>
      </c>
      <c r="V39" s="962">
        <f t="shared" si="10"/>
        <v>0</v>
      </c>
    </row>
    <row r="40" spans="1:22" ht="13" outlineLevel="1" x14ac:dyDescent="0.3">
      <c r="A40" s="442" t="s">
        <v>113</v>
      </c>
      <c r="B40" s="365">
        <v>8.0299999999999994</v>
      </c>
      <c r="C40" s="383" t="s">
        <v>317</v>
      </c>
      <c r="D40" s="377" t="s">
        <v>109</v>
      </c>
      <c r="E40" s="378">
        <v>235</v>
      </c>
      <c r="F40" s="378">
        <f>'01 (2)'!I72*'01 (2)'!$N$3</f>
        <v>14725.916264354337</v>
      </c>
      <c r="G40" s="378">
        <f t="shared" si="27"/>
        <v>17684.083735645661</v>
      </c>
      <c r="H40" s="369">
        <v>32410</v>
      </c>
      <c r="I40" s="369">
        <f t="shared" si="28"/>
        <v>3460590.3221232691</v>
      </c>
      <c r="J40" s="369">
        <f t="shared" si="29"/>
        <v>4155759.6778767304</v>
      </c>
      <c r="K40" s="369">
        <f t="shared" si="30"/>
        <v>7616350</v>
      </c>
      <c r="L40" s="331"/>
      <c r="M40" s="359"/>
      <c r="N40" s="1079">
        <v>0</v>
      </c>
      <c r="O40" s="1079"/>
      <c r="P40" s="964">
        <f t="shared" si="1"/>
        <v>0</v>
      </c>
      <c r="Q40" s="1083">
        <f t="shared" si="2"/>
        <v>0</v>
      </c>
      <c r="R40" s="1083">
        <f t="shared" si="3"/>
        <v>0</v>
      </c>
      <c r="S40" s="1083">
        <f t="shared" si="4"/>
        <v>0</v>
      </c>
      <c r="T40" s="962">
        <f t="shared" si="31"/>
        <v>0</v>
      </c>
      <c r="U40" s="962">
        <f t="shared" si="32"/>
        <v>0</v>
      </c>
      <c r="V40" s="962">
        <f t="shared" si="10"/>
        <v>0</v>
      </c>
    </row>
    <row r="41" spans="1:22" ht="13" outlineLevel="1" x14ac:dyDescent="0.3">
      <c r="A41" s="442" t="s">
        <v>113</v>
      </c>
      <c r="B41" s="365">
        <v>8.0399999999999991</v>
      </c>
      <c r="C41" s="366" t="s">
        <v>204</v>
      </c>
      <c r="D41" s="367" t="s">
        <v>109</v>
      </c>
      <c r="E41" s="378">
        <v>878</v>
      </c>
      <c r="F41" s="378">
        <f>'01 (2)'!I73*'01 (2)'!$N$3</f>
        <v>8084.0376170591489</v>
      </c>
      <c r="G41" s="378">
        <f t="shared" si="27"/>
        <v>10921.962382940852</v>
      </c>
      <c r="H41" s="369">
        <v>19006</v>
      </c>
      <c r="I41" s="369">
        <f t="shared" si="28"/>
        <v>7097785.0277779326</v>
      </c>
      <c r="J41" s="369">
        <f t="shared" si="29"/>
        <v>9589482.9722220674</v>
      </c>
      <c r="K41" s="369">
        <f t="shared" si="30"/>
        <v>16687268</v>
      </c>
      <c r="L41" s="331"/>
      <c r="M41" s="359"/>
      <c r="N41" s="1079">
        <v>0</v>
      </c>
      <c r="O41" s="1079">
        <v>0.05</v>
      </c>
      <c r="P41" s="964">
        <f t="shared" si="1"/>
        <v>0.05</v>
      </c>
      <c r="Q41" s="1083">
        <f t="shared" si="2"/>
        <v>0</v>
      </c>
      <c r="R41" s="1083">
        <f t="shared" si="3"/>
        <v>834363.4</v>
      </c>
      <c r="S41" s="1083">
        <f t="shared" si="4"/>
        <v>834363.4</v>
      </c>
      <c r="T41" s="962">
        <f t="shared" si="31"/>
        <v>354889.25138889666</v>
      </c>
      <c r="U41" s="962">
        <f t="shared" si="32"/>
        <v>479474.14861110342</v>
      </c>
      <c r="V41" s="962">
        <f t="shared" si="10"/>
        <v>834363.40000000014</v>
      </c>
    </row>
    <row r="42" spans="1:22" ht="13" outlineLevel="1" x14ac:dyDescent="0.3">
      <c r="A42" s="442" t="s">
        <v>113</v>
      </c>
      <c r="B42" s="406">
        <v>8.0500000000000007</v>
      </c>
      <c r="C42" s="405" t="s">
        <v>318</v>
      </c>
      <c r="D42" s="370" t="s">
        <v>109</v>
      </c>
      <c r="E42" s="371">
        <v>564</v>
      </c>
      <c r="F42" s="371">
        <f>'01 (2)'!I74*'01 (2)'!$N$3</f>
        <v>3997.0003692739356</v>
      </c>
      <c r="G42" s="371">
        <f t="shared" si="27"/>
        <v>8441.9996307260644</v>
      </c>
      <c r="H42" s="371">
        <v>12439</v>
      </c>
      <c r="I42" s="371">
        <f t="shared" si="28"/>
        <v>2254308.2082704995</v>
      </c>
      <c r="J42" s="371">
        <f t="shared" si="29"/>
        <v>4761287.7917295005</v>
      </c>
      <c r="K42" s="371">
        <f t="shared" si="30"/>
        <v>7015596</v>
      </c>
      <c r="L42" s="331"/>
      <c r="M42" s="359"/>
      <c r="N42" s="414">
        <v>0</v>
      </c>
      <c r="O42" s="414"/>
      <c r="P42" s="964">
        <f t="shared" si="1"/>
        <v>0</v>
      </c>
      <c r="Q42" s="1083">
        <f t="shared" si="2"/>
        <v>0</v>
      </c>
      <c r="R42" s="1083">
        <f t="shared" si="3"/>
        <v>0</v>
      </c>
      <c r="S42" s="1083">
        <f t="shared" si="4"/>
        <v>0</v>
      </c>
      <c r="T42" s="962">
        <f t="shared" si="31"/>
        <v>0</v>
      </c>
      <c r="U42" s="962">
        <f t="shared" si="32"/>
        <v>0</v>
      </c>
      <c r="V42" s="962">
        <f t="shared" si="10"/>
        <v>0</v>
      </c>
    </row>
    <row r="43" spans="1:22" ht="13" outlineLevel="1" x14ac:dyDescent="0.3">
      <c r="A43" s="442" t="s">
        <v>113</v>
      </c>
      <c r="B43" s="365">
        <v>8.06</v>
      </c>
      <c r="C43" s="1089" t="s">
        <v>319</v>
      </c>
      <c r="D43" s="367" t="s">
        <v>109</v>
      </c>
      <c r="E43" s="368">
        <v>438</v>
      </c>
      <c r="F43" s="368">
        <f>'01 (2)'!I75*'01 (2)'!$N$3</f>
        <v>3997.0003692739356</v>
      </c>
      <c r="G43" s="368">
        <f t="shared" si="27"/>
        <v>8441.9996307260644</v>
      </c>
      <c r="H43" s="369">
        <v>12439</v>
      </c>
      <c r="I43" s="369">
        <f t="shared" si="28"/>
        <v>1750686.1617419838</v>
      </c>
      <c r="J43" s="369">
        <f t="shared" si="29"/>
        <v>3697595.8382580164</v>
      </c>
      <c r="K43" s="369">
        <f t="shared" si="30"/>
        <v>5448282</v>
      </c>
      <c r="L43" s="331"/>
      <c r="N43" s="1079">
        <v>0</v>
      </c>
      <c r="O43" s="1079"/>
      <c r="P43" s="964">
        <f t="shared" si="1"/>
        <v>0</v>
      </c>
      <c r="Q43" s="1083">
        <f t="shared" si="2"/>
        <v>0</v>
      </c>
      <c r="R43" s="1083">
        <f t="shared" si="3"/>
        <v>0</v>
      </c>
      <c r="S43" s="1083">
        <f t="shared" si="4"/>
        <v>0</v>
      </c>
      <c r="T43" s="962">
        <f t="shared" si="31"/>
        <v>0</v>
      </c>
      <c r="U43" s="962">
        <f t="shared" si="32"/>
        <v>0</v>
      </c>
      <c r="V43" s="962">
        <f t="shared" si="10"/>
        <v>0</v>
      </c>
    </row>
    <row r="44" spans="1:22" ht="13" outlineLevel="1" x14ac:dyDescent="0.3">
      <c r="A44" s="442" t="s">
        <v>113</v>
      </c>
      <c r="B44" s="365">
        <v>8.07</v>
      </c>
      <c r="C44" s="1089" t="s">
        <v>320</v>
      </c>
      <c r="D44" s="367" t="s">
        <v>107</v>
      </c>
      <c r="E44" s="368">
        <v>1</v>
      </c>
      <c r="F44" s="368">
        <f>'01 (2)'!I76*'01 (2)'!$N$3</f>
        <v>1352691.7863299961</v>
      </c>
      <c r="G44" s="368">
        <f t="shared" si="27"/>
        <v>1074232.2136700039</v>
      </c>
      <c r="H44" s="369">
        <v>2426924</v>
      </c>
      <c r="I44" s="369">
        <f t="shared" si="28"/>
        <v>1352691.7863299961</v>
      </c>
      <c r="J44" s="369">
        <f t="shared" si="29"/>
        <v>1074232.2136700039</v>
      </c>
      <c r="K44" s="369">
        <f t="shared" si="30"/>
        <v>2426924</v>
      </c>
      <c r="L44" s="331"/>
      <c r="N44" s="1079">
        <v>0</v>
      </c>
      <c r="O44" s="1079">
        <v>0.05</v>
      </c>
      <c r="P44" s="964">
        <f t="shared" si="1"/>
        <v>0.05</v>
      </c>
      <c r="Q44" s="1083">
        <f t="shared" si="2"/>
        <v>0</v>
      </c>
      <c r="R44" s="1083">
        <f t="shared" si="3"/>
        <v>121346.20000000001</v>
      </c>
      <c r="S44" s="1083">
        <f t="shared" si="4"/>
        <v>121346.20000000001</v>
      </c>
      <c r="T44" s="962">
        <f t="shared" si="31"/>
        <v>67634.589316499812</v>
      </c>
      <c r="U44" s="962">
        <f t="shared" si="32"/>
        <v>53711.610683500199</v>
      </c>
      <c r="V44" s="962">
        <f t="shared" si="10"/>
        <v>121346.20000000001</v>
      </c>
    </row>
    <row r="45" spans="1:22" ht="13" outlineLevel="1" x14ac:dyDescent="0.3">
      <c r="A45" s="442" t="s">
        <v>113</v>
      </c>
      <c r="B45" s="372">
        <v>8.08</v>
      </c>
      <c r="C45" s="395" t="s">
        <v>321</v>
      </c>
      <c r="D45" s="374" t="s">
        <v>107</v>
      </c>
      <c r="E45" s="375">
        <v>1</v>
      </c>
      <c r="F45" s="375">
        <f>'01 (2)'!I77*'01 (2)'!$N$3</f>
        <v>270299.50344215299</v>
      </c>
      <c r="G45" s="375">
        <f t="shared" si="27"/>
        <v>214843.49655784701</v>
      </c>
      <c r="H45" s="396">
        <v>485143</v>
      </c>
      <c r="I45" s="396">
        <f t="shared" si="28"/>
        <v>270299.50344215299</v>
      </c>
      <c r="J45" s="396">
        <f t="shared" si="29"/>
        <v>214843.49655784701</v>
      </c>
      <c r="K45" s="396">
        <f t="shared" si="30"/>
        <v>485143</v>
      </c>
      <c r="L45" s="331"/>
      <c r="N45" s="1086">
        <v>0</v>
      </c>
      <c r="O45" s="1086"/>
      <c r="P45" s="966">
        <f t="shared" si="1"/>
        <v>0</v>
      </c>
      <c r="Q45" s="1087">
        <f t="shared" si="2"/>
        <v>0</v>
      </c>
      <c r="R45" s="1087">
        <f t="shared" si="3"/>
        <v>0</v>
      </c>
      <c r="S45" s="1087">
        <f t="shared" si="4"/>
        <v>0</v>
      </c>
      <c r="T45" s="962">
        <f t="shared" si="31"/>
        <v>0</v>
      </c>
      <c r="U45" s="962">
        <f t="shared" si="32"/>
        <v>0</v>
      </c>
      <c r="V45" s="962">
        <f t="shared" si="10"/>
        <v>0</v>
      </c>
    </row>
    <row r="46" spans="1:22" ht="13" x14ac:dyDescent="0.3">
      <c r="A46" s="440"/>
      <c r="B46" s="354">
        <v>9</v>
      </c>
      <c r="C46" s="355" t="s">
        <v>205</v>
      </c>
      <c r="D46" s="1077"/>
      <c r="E46" s="415"/>
      <c r="F46" s="415"/>
      <c r="G46" s="415"/>
      <c r="H46" s="415"/>
      <c r="I46" s="415"/>
      <c r="J46" s="415"/>
      <c r="K46" s="415"/>
      <c r="L46" s="358">
        <f>+SUM(K47:K50)</f>
        <v>5769056.5999999996</v>
      </c>
      <c r="M46" s="359">
        <f>+L46/$L$186</f>
        <v>7.8581520555511472E-3</v>
      </c>
      <c r="N46" s="957"/>
      <c r="O46" s="958"/>
      <c r="P46" s="959"/>
      <c r="Q46" s="959"/>
      <c r="R46" s="959"/>
      <c r="S46" s="416"/>
      <c r="T46" s="959"/>
      <c r="U46" s="416"/>
      <c r="V46" s="959"/>
    </row>
    <row r="47" spans="1:22" s="425" customFormat="1" ht="13" outlineLevel="1" x14ac:dyDescent="0.3">
      <c r="A47" s="442" t="s">
        <v>113</v>
      </c>
      <c r="B47" s="365">
        <v>9.01</v>
      </c>
      <c r="C47" s="393" t="s">
        <v>322</v>
      </c>
      <c r="D47" s="967" t="s">
        <v>107</v>
      </c>
      <c r="E47" s="368">
        <v>1</v>
      </c>
      <c r="F47" s="368">
        <f>'01 (2)'!I79*'01 (2)'!$N$3</f>
        <v>255782.44283116853</v>
      </c>
      <c r="G47" s="368">
        <f t="shared" ref="G47:G50" si="33">H47-F47</f>
        <v>1768860.5571688316</v>
      </c>
      <c r="H47" s="369">
        <v>2024643</v>
      </c>
      <c r="I47" s="369">
        <f t="shared" ref="I47:I50" si="34">$E47*F47</f>
        <v>255782.44283116853</v>
      </c>
      <c r="J47" s="369">
        <f t="shared" ref="J47:J50" si="35">$E47*G47</f>
        <v>1768860.5571688316</v>
      </c>
      <c r="K47" s="369">
        <f>+E47*H47</f>
        <v>2024643</v>
      </c>
      <c r="L47" s="1090"/>
      <c r="M47" s="359"/>
      <c r="N47" s="1091">
        <v>0</v>
      </c>
      <c r="O47" s="1091"/>
      <c r="P47" s="964">
        <f t="shared" si="1"/>
        <v>0</v>
      </c>
      <c r="Q47" s="962">
        <f t="shared" si="2"/>
        <v>0</v>
      </c>
      <c r="R47" s="962">
        <f t="shared" si="3"/>
        <v>0</v>
      </c>
      <c r="S47" s="962">
        <f t="shared" si="4"/>
        <v>0</v>
      </c>
      <c r="T47" s="962">
        <f t="shared" ref="T47:T50" si="36">I47*$P47</f>
        <v>0</v>
      </c>
      <c r="U47" s="962">
        <f t="shared" ref="U47:U50" si="37">J47*$P47</f>
        <v>0</v>
      </c>
      <c r="V47" s="962">
        <f t="shared" si="10"/>
        <v>0</v>
      </c>
    </row>
    <row r="48" spans="1:22" s="425" customFormat="1" ht="13" outlineLevel="1" x14ac:dyDescent="0.3">
      <c r="A48" s="442" t="s">
        <v>113</v>
      </c>
      <c r="B48" s="389">
        <v>9.02</v>
      </c>
      <c r="C48" s="393" t="s">
        <v>323</v>
      </c>
      <c r="D48" s="967" t="s">
        <v>124</v>
      </c>
      <c r="E48" s="368">
        <v>122</v>
      </c>
      <c r="F48" s="368">
        <f>'01 (2)'!I80*'01 (2)'!$N$3</f>
        <v>3075.7138280167078</v>
      </c>
      <c r="G48" s="368">
        <f t="shared" si="33"/>
        <v>15738.286171983293</v>
      </c>
      <c r="H48" s="369">
        <v>18814</v>
      </c>
      <c r="I48" s="369">
        <f t="shared" si="34"/>
        <v>375237.08701803838</v>
      </c>
      <c r="J48" s="369">
        <f t="shared" si="35"/>
        <v>1920070.9129819616</v>
      </c>
      <c r="K48" s="369">
        <f>+E48*H48</f>
        <v>2295308</v>
      </c>
      <c r="L48" s="1090"/>
      <c r="M48" s="359"/>
      <c r="N48" s="1091">
        <v>0</v>
      </c>
      <c r="O48" s="1091"/>
      <c r="P48" s="964">
        <f t="shared" si="1"/>
        <v>0</v>
      </c>
      <c r="Q48" s="962">
        <f t="shared" si="2"/>
        <v>0</v>
      </c>
      <c r="R48" s="962">
        <f t="shared" si="3"/>
        <v>0</v>
      </c>
      <c r="S48" s="962">
        <f t="shared" si="4"/>
        <v>0</v>
      </c>
      <c r="T48" s="962">
        <f t="shared" si="36"/>
        <v>0</v>
      </c>
      <c r="U48" s="962">
        <f t="shared" si="37"/>
        <v>0</v>
      </c>
      <c r="V48" s="962">
        <f t="shared" si="10"/>
        <v>0</v>
      </c>
    </row>
    <row r="49" spans="1:22" s="425" customFormat="1" ht="13" outlineLevel="1" x14ac:dyDescent="0.3">
      <c r="A49" s="442" t="s">
        <v>113</v>
      </c>
      <c r="B49" s="365">
        <v>9.0299999999999994</v>
      </c>
      <c r="C49" s="393" t="s">
        <v>324</v>
      </c>
      <c r="D49" s="967" t="s">
        <v>124</v>
      </c>
      <c r="E49" s="368">
        <v>155</v>
      </c>
      <c r="F49" s="368">
        <f>'01 (2)'!I81*'01 (2)'!$N$3</f>
        <v>952.85195552963592</v>
      </c>
      <c r="G49" s="368">
        <f t="shared" si="33"/>
        <v>4423.1480444703639</v>
      </c>
      <c r="H49" s="369">
        <v>5376</v>
      </c>
      <c r="I49" s="369">
        <f t="shared" si="34"/>
        <v>147692.05310709355</v>
      </c>
      <c r="J49" s="369">
        <f t="shared" si="35"/>
        <v>685587.94689290645</v>
      </c>
      <c r="K49" s="369">
        <f>+E49*H49</f>
        <v>833280</v>
      </c>
      <c r="L49" s="1090"/>
      <c r="M49" s="359"/>
      <c r="N49" s="1091">
        <v>0</v>
      </c>
      <c r="O49" s="1091"/>
      <c r="P49" s="964">
        <f t="shared" si="1"/>
        <v>0</v>
      </c>
      <c r="Q49" s="962">
        <f t="shared" si="2"/>
        <v>0</v>
      </c>
      <c r="R49" s="962">
        <f t="shared" si="3"/>
        <v>0</v>
      </c>
      <c r="S49" s="962">
        <f t="shared" si="4"/>
        <v>0</v>
      </c>
      <c r="T49" s="962">
        <f t="shared" si="36"/>
        <v>0</v>
      </c>
      <c r="U49" s="962">
        <f t="shared" si="37"/>
        <v>0</v>
      </c>
      <c r="V49" s="962">
        <f t="shared" si="10"/>
        <v>0</v>
      </c>
    </row>
    <row r="50" spans="1:22" s="425" customFormat="1" ht="13" outlineLevel="1" x14ac:dyDescent="0.3">
      <c r="A50" s="442" t="s">
        <v>113</v>
      </c>
      <c r="B50" s="389">
        <v>9.0399999999999991</v>
      </c>
      <c r="C50" s="393" t="s">
        <v>325</v>
      </c>
      <c r="D50" s="967" t="s">
        <v>124</v>
      </c>
      <c r="E50" s="368">
        <v>31.200000000000003</v>
      </c>
      <c r="F50" s="368">
        <f>'01 (2)'!I82*'01 (2)'!$N$3</f>
        <v>8906.5351674642807</v>
      </c>
      <c r="G50" s="368">
        <f t="shared" si="33"/>
        <v>10831.464832535719</v>
      </c>
      <c r="H50" s="369">
        <v>19738</v>
      </c>
      <c r="I50" s="369">
        <f t="shared" si="34"/>
        <v>277883.89722488559</v>
      </c>
      <c r="J50" s="369">
        <f t="shared" si="35"/>
        <v>337941.70277511445</v>
      </c>
      <c r="K50" s="369">
        <f>+E50*H50</f>
        <v>615825.60000000009</v>
      </c>
      <c r="L50" s="1090"/>
      <c r="M50" s="359"/>
      <c r="N50" s="1091">
        <v>0</v>
      </c>
      <c r="O50" s="1091"/>
      <c r="P50" s="964">
        <f t="shared" si="1"/>
        <v>0</v>
      </c>
      <c r="Q50" s="962">
        <f t="shared" si="2"/>
        <v>0</v>
      </c>
      <c r="R50" s="962">
        <f t="shared" si="3"/>
        <v>0</v>
      </c>
      <c r="S50" s="962">
        <f t="shared" si="4"/>
        <v>0</v>
      </c>
      <c r="T50" s="962">
        <f t="shared" si="36"/>
        <v>0</v>
      </c>
      <c r="U50" s="962">
        <f t="shared" si="37"/>
        <v>0</v>
      </c>
      <c r="V50" s="962">
        <f t="shared" si="10"/>
        <v>0</v>
      </c>
    </row>
    <row r="51" spans="1:22" s="969" customFormat="1" ht="13" x14ac:dyDescent="0.3">
      <c r="A51" s="440"/>
      <c r="B51" s="354">
        <v>10</v>
      </c>
      <c r="C51" s="355" t="s">
        <v>206</v>
      </c>
      <c r="D51" s="1077"/>
      <c r="E51" s="415"/>
      <c r="F51" s="415"/>
      <c r="G51" s="415"/>
      <c r="H51" s="415"/>
      <c r="I51" s="415"/>
      <c r="J51" s="415"/>
      <c r="K51" s="415"/>
      <c r="L51" s="358">
        <f>+SUM(K52:K55)</f>
        <v>4669278</v>
      </c>
      <c r="M51" s="359">
        <f>+L51/$L$186</f>
        <v>6.3601207368358548E-3</v>
      </c>
      <c r="N51" s="957"/>
      <c r="O51" s="958"/>
      <c r="P51" s="959"/>
      <c r="Q51" s="959"/>
      <c r="R51" s="959"/>
      <c r="S51" s="416"/>
      <c r="T51" s="959"/>
      <c r="U51" s="416"/>
      <c r="V51" s="959"/>
    </row>
    <row r="52" spans="1:22" s="969" customFormat="1" ht="13" outlineLevel="1" x14ac:dyDescent="0.3">
      <c r="A52" s="441" t="s">
        <v>113</v>
      </c>
      <c r="B52" s="360">
        <v>10.01</v>
      </c>
      <c r="C52" s="1092" t="s">
        <v>722</v>
      </c>
      <c r="D52" s="1093" t="s">
        <v>107</v>
      </c>
      <c r="E52" s="363">
        <v>0</v>
      </c>
      <c r="F52" s="363">
        <f>'01 (2)'!I84*'01 (2)'!$N$3</f>
        <v>0</v>
      </c>
      <c r="G52" s="363">
        <f t="shared" ref="G52:G55" si="38">H52-F52</f>
        <v>0</v>
      </c>
      <c r="H52" s="364">
        <v>0</v>
      </c>
      <c r="I52" s="364">
        <f t="shared" ref="I52:I55" si="39">$E52*F52</f>
        <v>0</v>
      </c>
      <c r="J52" s="364">
        <f t="shared" ref="J52:J55" si="40">$E52*G52</f>
        <v>0</v>
      </c>
      <c r="K52" s="364">
        <f>+E52*H52</f>
        <v>0</v>
      </c>
      <c r="L52" s="1094"/>
      <c r="M52" s="359"/>
      <c r="N52" s="1095">
        <v>0</v>
      </c>
      <c r="O52" s="1095"/>
      <c r="P52" s="961">
        <f t="shared" ref="P52:P53" si="41">+N52+O52</f>
        <v>0</v>
      </c>
      <c r="Q52" s="1081">
        <f t="shared" ref="Q52:Q53" si="42">+K52*N52</f>
        <v>0</v>
      </c>
      <c r="R52" s="1081">
        <f t="shared" ref="R52:R53" si="43">+K52*O52</f>
        <v>0</v>
      </c>
      <c r="S52" s="1081">
        <f t="shared" ref="S52:S53" si="44">+K52*P52</f>
        <v>0</v>
      </c>
      <c r="T52" s="962">
        <f t="shared" ref="T52:T55" si="45">I52*$P52</f>
        <v>0</v>
      </c>
      <c r="U52" s="962">
        <f t="shared" ref="U52:U55" si="46">J52*$P52</f>
        <v>0</v>
      </c>
      <c r="V52" s="962">
        <f t="shared" si="10"/>
        <v>0</v>
      </c>
    </row>
    <row r="53" spans="1:22" ht="13" outlineLevel="1" x14ac:dyDescent="0.3">
      <c r="A53" s="442" t="s">
        <v>113</v>
      </c>
      <c r="B53" s="406">
        <v>10.02</v>
      </c>
      <c r="C53" s="405" t="s">
        <v>723</v>
      </c>
      <c r="D53" s="370" t="s">
        <v>107</v>
      </c>
      <c r="E53" s="371">
        <v>1</v>
      </c>
      <c r="F53" s="371">
        <f>'01 (2)'!I85*'01 (2)'!$N$3</f>
        <v>879817.79867555411</v>
      </c>
      <c r="G53" s="371">
        <f t="shared" si="38"/>
        <v>1319727.2013244459</v>
      </c>
      <c r="H53" s="371">
        <v>2199545</v>
      </c>
      <c r="I53" s="371">
        <f t="shared" si="39"/>
        <v>879817.79867555411</v>
      </c>
      <c r="J53" s="371">
        <f t="shared" si="40"/>
        <v>1319727.2013244459</v>
      </c>
      <c r="K53" s="371">
        <f>+E53*H53</f>
        <v>2199545</v>
      </c>
      <c r="L53" s="1082"/>
      <c r="M53" s="359"/>
      <c r="N53" s="1096">
        <v>0.5</v>
      </c>
      <c r="O53" s="1096">
        <v>0.35</v>
      </c>
      <c r="P53" s="964">
        <f t="shared" si="41"/>
        <v>0.85</v>
      </c>
      <c r="Q53" s="1083">
        <f t="shared" si="42"/>
        <v>1099772.5</v>
      </c>
      <c r="R53" s="1083">
        <f t="shared" si="43"/>
        <v>769840.75</v>
      </c>
      <c r="S53" s="1083">
        <f t="shared" si="44"/>
        <v>1869613.25</v>
      </c>
      <c r="T53" s="962">
        <f t="shared" si="45"/>
        <v>747845.128874221</v>
      </c>
      <c r="U53" s="962">
        <f t="shared" si="46"/>
        <v>1121768.1211257789</v>
      </c>
      <c r="V53" s="962">
        <f t="shared" si="10"/>
        <v>1869613.25</v>
      </c>
    </row>
    <row r="54" spans="1:22" s="402" customFormat="1" ht="13" outlineLevel="1" x14ac:dyDescent="0.3">
      <c r="A54" s="442" t="s">
        <v>113</v>
      </c>
      <c r="B54" s="365">
        <v>10.029999999999999</v>
      </c>
      <c r="C54" s="366" t="s">
        <v>724</v>
      </c>
      <c r="D54" s="377" t="s">
        <v>104</v>
      </c>
      <c r="E54" s="378">
        <v>0</v>
      </c>
      <c r="F54" s="378">
        <f>'01 (2)'!I86*'01 (2)'!$N$3</f>
        <v>0</v>
      </c>
      <c r="G54" s="378">
        <f t="shared" si="38"/>
        <v>0</v>
      </c>
      <c r="H54" s="369">
        <v>0</v>
      </c>
      <c r="I54" s="369">
        <f t="shared" si="39"/>
        <v>0</v>
      </c>
      <c r="J54" s="369">
        <f t="shared" si="40"/>
        <v>0</v>
      </c>
      <c r="K54" s="369">
        <f>+E54*H54</f>
        <v>0</v>
      </c>
      <c r="L54" s="1082"/>
      <c r="N54" s="1096">
        <v>0</v>
      </c>
      <c r="O54" s="1096"/>
      <c r="P54" s="964">
        <f t="shared" si="1"/>
        <v>0</v>
      </c>
      <c r="Q54" s="1083">
        <f t="shared" si="2"/>
        <v>0</v>
      </c>
      <c r="R54" s="1083">
        <f t="shared" si="3"/>
        <v>0</v>
      </c>
      <c r="S54" s="1083">
        <f t="shared" si="4"/>
        <v>0</v>
      </c>
      <c r="T54" s="962">
        <f t="shared" si="45"/>
        <v>0</v>
      </c>
      <c r="U54" s="962">
        <f t="shared" si="46"/>
        <v>0</v>
      </c>
      <c r="V54" s="962">
        <f t="shared" si="10"/>
        <v>0</v>
      </c>
    </row>
    <row r="55" spans="1:22" s="402" customFormat="1" ht="13" outlineLevel="1" x14ac:dyDescent="0.3">
      <c r="A55" s="442" t="s">
        <v>113</v>
      </c>
      <c r="B55" s="372">
        <v>10.039999999999999</v>
      </c>
      <c r="C55" s="373" t="s">
        <v>326</v>
      </c>
      <c r="D55" s="403" t="s">
        <v>111</v>
      </c>
      <c r="E55" s="387">
        <v>7</v>
      </c>
      <c r="F55" s="387">
        <f>'01 (2)'!I87*'01 (2)'!$N$3</f>
        <v>282847.44075403694</v>
      </c>
      <c r="G55" s="387">
        <f t="shared" si="38"/>
        <v>69971.559245963057</v>
      </c>
      <c r="H55" s="396">
        <v>352819</v>
      </c>
      <c r="I55" s="396">
        <f t="shared" si="39"/>
        <v>1979932.0852782587</v>
      </c>
      <c r="J55" s="396">
        <f t="shared" si="40"/>
        <v>489800.9147217414</v>
      </c>
      <c r="K55" s="396">
        <f>+E55*H55</f>
        <v>2469733</v>
      </c>
      <c r="L55" s="1097"/>
      <c r="N55" s="1098">
        <v>0</v>
      </c>
      <c r="O55" s="1098"/>
      <c r="P55" s="966">
        <f t="shared" si="1"/>
        <v>0</v>
      </c>
      <c r="Q55" s="1087">
        <f t="shared" si="2"/>
        <v>0</v>
      </c>
      <c r="R55" s="1087">
        <f t="shared" si="3"/>
        <v>0</v>
      </c>
      <c r="S55" s="1087">
        <f t="shared" si="4"/>
        <v>0</v>
      </c>
      <c r="T55" s="962">
        <f t="shared" si="45"/>
        <v>0</v>
      </c>
      <c r="U55" s="962">
        <f t="shared" si="46"/>
        <v>0</v>
      </c>
      <c r="V55" s="962">
        <f t="shared" si="10"/>
        <v>0</v>
      </c>
    </row>
    <row r="56" spans="1:22" s="402" customFormat="1" ht="13" x14ac:dyDescent="0.3">
      <c r="A56" s="440"/>
      <c r="B56" s="354">
        <v>11</v>
      </c>
      <c r="C56" s="355" t="s">
        <v>207</v>
      </c>
      <c r="D56" s="1077"/>
      <c r="E56" s="415"/>
      <c r="F56" s="415"/>
      <c r="G56" s="415"/>
      <c r="H56" s="415"/>
      <c r="I56" s="415"/>
      <c r="J56" s="415"/>
      <c r="K56" s="415"/>
      <c r="L56" s="358">
        <f>+SUM(K57:K63)</f>
        <v>48040802</v>
      </c>
      <c r="M56" s="359">
        <f>+L56/$L$186</f>
        <v>6.5437376188444002E-2</v>
      </c>
      <c r="N56" s="973"/>
      <c r="O56" s="974"/>
      <c r="P56" s="974"/>
      <c r="Q56" s="974"/>
      <c r="R56" s="974"/>
      <c r="S56" s="975"/>
      <c r="T56" s="974"/>
      <c r="U56" s="975"/>
      <c r="V56" s="974"/>
    </row>
    <row r="57" spans="1:22" s="425" customFormat="1" ht="13" outlineLevel="1" x14ac:dyDescent="0.3">
      <c r="A57" s="441" t="s">
        <v>128</v>
      </c>
      <c r="B57" s="419">
        <v>11.01</v>
      </c>
      <c r="C57" s="1099" t="s">
        <v>725</v>
      </c>
      <c r="D57" s="1100" t="s">
        <v>109</v>
      </c>
      <c r="E57" s="417">
        <v>30</v>
      </c>
      <c r="F57" s="417">
        <f>'01 (2)'!I89*'01 (2)'!$N$3</f>
        <v>9112.5351936689312</v>
      </c>
      <c r="G57" s="417">
        <f t="shared" ref="G57:G63" si="47">H57-F57</f>
        <v>12835.464806331069</v>
      </c>
      <c r="H57" s="364">
        <v>21948</v>
      </c>
      <c r="I57" s="364">
        <f t="shared" ref="I57:I63" si="48">$E57*F57</f>
        <v>273376.05581006792</v>
      </c>
      <c r="J57" s="364">
        <f t="shared" ref="J57:J63" si="49">$E57*G57</f>
        <v>385063.94418993208</v>
      </c>
      <c r="K57" s="364">
        <f t="shared" ref="K57:K63" si="50">+E57*H57</f>
        <v>658440</v>
      </c>
      <c r="L57" s="422"/>
      <c r="M57" s="359"/>
      <c r="N57" s="1095">
        <v>0</v>
      </c>
      <c r="O57" s="1095"/>
      <c r="P57" s="961">
        <f t="shared" ref="P57:P63" si="51">+N57+O57</f>
        <v>0</v>
      </c>
      <c r="Q57" s="1081">
        <f t="shared" ref="Q57:Q63" si="52">+K57*N57</f>
        <v>0</v>
      </c>
      <c r="R57" s="1081">
        <f t="shared" ref="R57:R63" si="53">+K57*O57</f>
        <v>0</v>
      </c>
      <c r="S57" s="1081">
        <f t="shared" ref="S57:S63" si="54">+K57*P57</f>
        <v>0</v>
      </c>
      <c r="T57" s="962">
        <f t="shared" ref="T57:T63" si="55">I57*$P57</f>
        <v>0</v>
      </c>
      <c r="U57" s="962">
        <f t="shared" ref="U57:U63" si="56">J57*$P57</f>
        <v>0</v>
      </c>
      <c r="V57" s="962">
        <f t="shared" si="10"/>
        <v>0</v>
      </c>
    </row>
    <row r="58" spans="1:22" s="425" customFormat="1" ht="13" outlineLevel="1" x14ac:dyDescent="0.3">
      <c r="A58" s="442" t="s">
        <v>128</v>
      </c>
      <c r="B58" s="407">
        <v>11.02</v>
      </c>
      <c r="C58" s="1101" t="s">
        <v>726</v>
      </c>
      <c r="D58" s="1102" t="s">
        <v>109</v>
      </c>
      <c r="E58" s="371">
        <v>185</v>
      </c>
      <c r="F58" s="371">
        <f>'01 (2)'!I90*'01 (2)'!$N$3</f>
        <v>9112.5351936689312</v>
      </c>
      <c r="G58" s="371">
        <f t="shared" si="47"/>
        <v>12835.464806331069</v>
      </c>
      <c r="H58" s="369">
        <v>21948</v>
      </c>
      <c r="I58" s="369">
        <f t="shared" si="48"/>
        <v>1685819.0108287523</v>
      </c>
      <c r="J58" s="369">
        <f t="shared" si="49"/>
        <v>2374560.9891712479</v>
      </c>
      <c r="K58" s="369">
        <f t="shared" si="50"/>
        <v>4060380</v>
      </c>
      <c r="L58" s="1103"/>
      <c r="M58" s="359"/>
      <c r="N58" s="1096">
        <v>0</v>
      </c>
      <c r="O58" s="1096"/>
      <c r="P58" s="964">
        <f t="shared" si="51"/>
        <v>0</v>
      </c>
      <c r="Q58" s="1083">
        <f t="shared" si="52"/>
        <v>0</v>
      </c>
      <c r="R58" s="1083">
        <f t="shared" si="53"/>
        <v>0</v>
      </c>
      <c r="S58" s="1083">
        <f t="shared" si="54"/>
        <v>0</v>
      </c>
      <c r="T58" s="962">
        <f t="shared" si="55"/>
        <v>0</v>
      </c>
      <c r="U58" s="962">
        <f t="shared" si="56"/>
        <v>0</v>
      </c>
      <c r="V58" s="962">
        <f t="shared" si="10"/>
        <v>0</v>
      </c>
    </row>
    <row r="59" spans="1:22" s="425" customFormat="1" ht="13" outlineLevel="1" x14ac:dyDescent="0.3">
      <c r="A59" s="442" t="s">
        <v>128</v>
      </c>
      <c r="B59" s="407">
        <v>11.03</v>
      </c>
      <c r="C59" s="1101" t="s">
        <v>727</v>
      </c>
      <c r="D59" s="1102" t="s">
        <v>109</v>
      </c>
      <c r="E59" s="371">
        <v>942</v>
      </c>
      <c r="F59" s="371">
        <f>'01 (2)'!I91*'01 (2)'!$N$3</f>
        <v>9112.5351936689312</v>
      </c>
      <c r="G59" s="371">
        <f t="shared" si="47"/>
        <v>12835.464806331069</v>
      </c>
      <c r="H59" s="369">
        <v>21948</v>
      </c>
      <c r="I59" s="369">
        <f t="shared" si="48"/>
        <v>8584008.1524361335</v>
      </c>
      <c r="J59" s="369">
        <f t="shared" si="49"/>
        <v>12091007.847563867</v>
      </c>
      <c r="K59" s="369">
        <f t="shared" si="50"/>
        <v>20675016</v>
      </c>
      <c r="L59" s="1103"/>
      <c r="M59" s="359"/>
      <c r="N59" s="1096">
        <v>0</v>
      </c>
      <c r="O59" s="1096"/>
      <c r="P59" s="964">
        <f t="shared" si="51"/>
        <v>0</v>
      </c>
      <c r="Q59" s="1083">
        <f t="shared" si="52"/>
        <v>0</v>
      </c>
      <c r="R59" s="1083">
        <f t="shared" si="53"/>
        <v>0</v>
      </c>
      <c r="S59" s="1083">
        <f t="shared" si="54"/>
        <v>0</v>
      </c>
      <c r="T59" s="962">
        <f t="shared" si="55"/>
        <v>0</v>
      </c>
      <c r="U59" s="962">
        <f t="shared" si="56"/>
        <v>0</v>
      </c>
      <c r="V59" s="962">
        <f t="shared" si="10"/>
        <v>0</v>
      </c>
    </row>
    <row r="60" spans="1:22" s="425" customFormat="1" ht="13" outlineLevel="1" x14ac:dyDescent="0.3">
      <c r="A60" s="442" t="s">
        <v>128</v>
      </c>
      <c r="B60" s="407">
        <v>11.04</v>
      </c>
      <c r="C60" s="1101" t="s">
        <v>728</v>
      </c>
      <c r="D60" s="1102" t="s">
        <v>109</v>
      </c>
      <c r="E60" s="371">
        <v>110</v>
      </c>
      <c r="F60" s="371">
        <f>'01 (2)'!I92*'01 (2)'!$N$3</f>
        <v>9112.5351936689312</v>
      </c>
      <c r="G60" s="371">
        <f t="shared" si="47"/>
        <v>16686.464806331067</v>
      </c>
      <c r="H60" s="369">
        <v>25799</v>
      </c>
      <c r="I60" s="369">
        <f t="shared" si="48"/>
        <v>1002378.8713035824</v>
      </c>
      <c r="J60" s="369">
        <f t="shared" si="49"/>
        <v>1835511.1286964174</v>
      </c>
      <c r="K60" s="369">
        <f t="shared" si="50"/>
        <v>2837890</v>
      </c>
      <c r="L60" s="1103"/>
      <c r="M60" s="359"/>
      <c r="N60" s="1096">
        <v>0</v>
      </c>
      <c r="O60" s="1096"/>
      <c r="P60" s="964">
        <f t="shared" si="51"/>
        <v>0</v>
      </c>
      <c r="Q60" s="1083">
        <f t="shared" si="52"/>
        <v>0</v>
      </c>
      <c r="R60" s="1083">
        <f t="shared" si="53"/>
        <v>0</v>
      </c>
      <c r="S60" s="1083">
        <f t="shared" si="54"/>
        <v>0</v>
      </c>
      <c r="T60" s="962">
        <f t="shared" si="55"/>
        <v>0</v>
      </c>
      <c r="U60" s="962">
        <f t="shared" si="56"/>
        <v>0</v>
      </c>
      <c r="V60" s="962">
        <f t="shared" si="10"/>
        <v>0</v>
      </c>
    </row>
    <row r="61" spans="1:22" s="425" customFormat="1" ht="13" outlineLevel="1" x14ac:dyDescent="0.3">
      <c r="A61" s="442" t="s">
        <v>128</v>
      </c>
      <c r="B61" s="407">
        <v>11.05</v>
      </c>
      <c r="C61" s="1101" t="s">
        <v>327</v>
      </c>
      <c r="D61" s="1102" t="s">
        <v>109</v>
      </c>
      <c r="E61" s="371">
        <v>128</v>
      </c>
      <c r="F61" s="371">
        <f>'01 (2)'!I93*'01 (2)'!$N$3</f>
        <v>4796.4004431287231</v>
      </c>
      <c r="G61" s="371">
        <f t="shared" si="47"/>
        <v>11283.599556871277</v>
      </c>
      <c r="H61" s="369">
        <v>16080</v>
      </c>
      <c r="I61" s="369">
        <f t="shared" si="48"/>
        <v>613939.25672047655</v>
      </c>
      <c r="J61" s="369">
        <f t="shared" si="49"/>
        <v>1444300.7432795234</v>
      </c>
      <c r="K61" s="369">
        <f t="shared" si="50"/>
        <v>2058240</v>
      </c>
      <c r="L61" s="1103"/>
      <c r="M61" s="359"/>
      <c r="N61" s="1096">
        <v>0</v>
      </c>
      <c r="O61" s="1096"/>
      <c r="P61" s="964">
        <f t="shared" si="51"/>
        <v>0</v>
      </c>
      <c r="Q61" s="1083">
        <f t="shared" si="52"/>
        <v>0</v>
      </c>
      <c r="R61" s="1083">
        <f t="shared" si="53"/>
        <v>0</v>
      </c>
      <c r="S61" s="1083">
        <f t="shared" si="54"/>
        <v>0</v>
      </c>
      <c r="T61" s="962">
        <f t="shared" si="55"/>
        <v>0</v>
      </c>
      <c r="U61" s="962">
        <f t="shared" si="56"/>
        <v>0</v>
      </c>
      <c r="V61" s="962">
        <f t="shared" si="10"/>
        <v>0</v>
      </c>
    </row>
    <row r="62" spans="1:22" s="425" customFormat="1" ht="13" outlineLevel="1" x14ac:dyDescent="0.3">
      <c r="A62" s="442" t="s">
        <v>128</v>
      </c>
      <c r="B62" s="407">
        <v>11.06</v>
      </c>
      <c r="C62" s="1101" t="s">
        <v>729</v>
      </c>
      <c r="D62" s="1102" t="s">
        <v>109</v>
      </c>
      <c r="E62" s="371">
        <v>48</v>
      </c>
      <c r="F62" s="371">
        <f>'01 (2)'!I94*'01 (2)'!$N$3</f>
        <v>9112.5351936689312</v>
      </c>
      <c r="G62" s="371">
        <f t="shared" si="47"/>
        <v>12835.464806331069</v>
      </c>
      <c r="H62" s="369">
        <v>21948</v>
      </c>
      <c r="I62" s="369">
        <f t="shared" si="48"/>
        <v>437401.68929610867</v>
      </c>
      <c r="J62" s="369">
        <f t="shared" si="49"/>
        <v>616102.31070389133</v>
      </c>
      <c r="K62" s="369">
        <f t="shared" si="50"/>
        <v>1053504</v>
      </c>
      <c r="L62" s="1103"/>
      <c r="M62" s="359"/>
      <c r="N62" s="1096">
        <v>0</v>
      </c>
      <c r="O62" s="1096"/>
      <c r="P62" s="964">
        <f t="shared" si="51"/>
        <v>0</v>
      </c>
      <c r="Q62" s="1083">
        <f t="shared" si="52"/>
        <v>0</v>
      </c>
      <c r="R62" s="1083">
        <f t="shared" si="53"/>
        <v>0</v>
      </c>
      <c r="S62" s="1083">
        <f t="shared" si="54"/>
        <v>0</v>
      </c>
      <c r="T62" s="962">
        <f t="shared" si="55"/>
        <v>0</v>
      </c>
      <c r="U62" s="962">
        <f t="shared" si="56"/>
        <v>0</v>
      </c>
      <c r="V62" s="962">
        <f t="shared" si="10"/>
        <v>0</v>
      </c>
    </row>
    <row r="63" spans="1:22" s="425" customFormat="1" ht="13" outlineLevel="1" x14ac:dyDescent="0.3">
      <c r="A63" s="442" t="s">
        <v>128</v>
      </c>
      <c r="B63" s="408">
        <v>11.07</v>
      </c>
      <c r="C63" s="1104" t="s">
        <v>328</v>
      </c>
      <c r="D63" s="1105" t="s">
        <v>109</v>
      </c>
      <c r="E63" s="413">
        <v>226</v>
      </c>
      <c r="F63" s="413">
        <f>'01 (2)'!I95*'01 (2)'!$N$3</f>
        <v>55775.951154476352</v>
      </c>
      <c r="G63" s="413">
        <f t="shared" si="47"/>
        <v>18106.048845523648</v>
      </c>
      <c r="H63" s="396">
        <v>73882</v>
      </c>
      <c r="I63" s="396">
        <f t="shared" si="48"/>
        <v>12605364.960911656</v>
      </c>
      <c r="J63" s="396">
        <f t="shared" si="49"/>
        <v>4091967.0390883447</v>
      </c>
      <c r="K63" s="396">
        <f t="shared" si="50"/>
        <v>16697332</v>
      </c>
      <c r="L63" s="1103"/>
      <c r="M63" s="359"/>
      <c r="N63" s="1098">
        <v>1</v>
      </c>
      <c r="O63" s="1098"/>
      <c r="P63" s="966">
        <f t="shared" si="51"/>
        <v>1</v>
      </c>
      <c r="Q63" s="1087">
        <f t="shared" si="52"/>
        <v>16697332</v>
      </c>
      <c r="R63" s="1087">
        <f t="shared" si="53"/>
        <v>0</v>
      </c>
      <c r="S63" s="1087">
        <f t="shared" si="54"/>
        <v>16697332</v>
      </c>
      <c r="T63" s="962">
        <f t="shared" si="55"/>
        <v>12605364.960911656</v>
      </c>
      <c r="U63" s="962">
        <f t="shared" si="56"/>
        <v>4091967.0390883447</v>
      </c>
      <c r="V63" s="962">
        <f t="shared" si="10"/>
        <v>16697332</v>
      </c>
    </row>
    <row r="64" spans="1:22" s="425" customFormat="1" ht="13" x14ac:dyDescent="0.3">
      <c r="A64" s="440"/>
      <c r="B64" s="354">
        <v>12</v>
      </c>
      <c r="C64" s="355" t="s">
        <v>329</v>
      </c>
      <c r="D64" s="1077"/>
      <c r="E64" s="415"/>
      <c r="F64" s="415"/>
      <c r="G64" s="415"/>
      <c r="H64" s="415"/>
      <c r="I64" s="415"/>
      <c r="J64" s="415"/>
      <c r="K64" s="415"/>
      <c r="L64" s="358">
        <f>+SUM(K65:K69)</f>
        <v>11022518</v>
      </c>
      <c r="M64" s="359">
        <f>+L64/$L$186</f>
        <v>1.5014001159054243E-2</v>
      </c>
      <c r="N64" s="973"/>
      <c r="O64" s="974"/>
      <c r="P64" s="974"/>
      <c r="Q64" s="974"/>
      <c r="R64" s="974"/>
      <c r="S64" s="975"/>
      <c r="T64" s="974"/>
      <c r="U64" s="975"/>
      <c r="V64" s="974"/>
    </row>
    <row r="65" spans="1:22" s="425" customFormat="1" ht="13" outlineLevel="1" x14ac:dyDescent="0.3">
      <c r="A65" s="442" t="s">
        <v>128</v>
      </c>
      <c r="B65" s="419">
        <v>12.01</v>
      </c>
      <c r="C65" s="1099" t="s">
        <v>330</v>
      </c>
      <c r="D65" s="1100" t="s">
        <v>124</v>
      </c>
      <c r="E65" s="417">
        <v>779</v>
      </c>
      <c r="F65" s="417">
        <f>'01 (2)'!I97*'01 (2)'!$N$3</f>
        <v>3936.847056647403</v>
      </c>
      <c r="G65" s="417">
        <f t="shared" ref="G65:G69" si="57">H65-F65</f>
        <v>3485.152943352597</v>
      </c>
      <c r="H65" s="364">
        <v>7422</v>
      </c>
      <c r="I65" s="364">
        <f t="shared" ref="I65:I69" si="58">$E65*F65</f>
        <v>3066803.8571283268</v>
      </c>
      <c r="J65" s="364">
        <f t="shared" ref="J65:J69" si="59">$E65*G65</f>
        <v>2714934.1428716732</v>
      </c>
      <c r="K65" s="364">
        <f>+E65*H65</f>
        <v>5781738</v>
      </c>
      <c r="L65" s="1103"/>
      <c r="M65" s="359"/>
      <c r="N65" s="1095">
        <v>0</v>
      </c>
      <c r="O65" s="1095"/>
      <c r="P65" s="961">
        <f t="shared" ref="P65:P69" si="60">+N65+O65</f>
        <v>0</v>
      </c>
      <c r="Q65" s="1081">
        <f t="shared" ref="Q65:Q69" si="61">+K65*N65</f>
        <v>0</v>
      </c>
      <c r="R65" s="1081">
        <f t="shared" ref="R65:R69" si="62">+K65*O65</f>
        <v>0</v>
      </c>
      <c r="S65" s="1081">
        <f t="shared" ref="S65:S69" si="63">+K65*P65</f>
        <v>0</v>
      </c>
      <c r="T65" s="962">
        <f t="shared" ref="T65:T69" si="64">I65*$P65</f>
        <v>0</v>
      </c>
      <c r="U65" s="962">
        <f t="shared" ref="U65:U69" si="65">J65*$P65</f>
        <v>0</v>
      </c>
      <c r="V65" s="962">
        <f t="shared" si="10"/>
        <v>0</v>
      </c>
    </row>
    <row r="66" spans="1:22" s="425" customFormat="1" ht="13" outlineLevel="1" x14ac:dyDescent="0.3">
      <c r="A66" s="442" t="s">
        <v>128</v>
      </c>
      <c r="B66" s="407">
        <v>12.02</v>
      </c>
      <c r="C66" s="1101" t="s">
        <v>324</v>
      </c>
      <c r="D66" s="1102" t="s">
        <v>124</v>
      </c>
      <c r="E66" s="371">
        <v>155</v>
      </c>
      <c r="F66" s="371">
        <f>'01 (2)'!I98*'01 (2)'!$N$3</f>
        <v>952.85195552963592</v>
      </c>
      <c r="G66" s="371">
        <f t="shared" si="57"/>
        <v>4423.1480444703639</v>
      </c>
      <c r="H66" s="369">
        <v>5376</v>
      </c>
      <c r="I66" s="369">
        <f t="shared" si="58"/>
        <v>147692.05310709355</v>
      </c>
      <c r="J66" s="369">
        <f t="shared" si="59"/>
        <v>685587.94689290645</v>
      </c>
      <c r="K66" s="369">
        <f>+E66*H66</f>
        <v>833280</v>
      </c>
      <c r="L66" s="1103"/>
      <c r="M66" s="359"/>
      <c r="N66" s="1096">
        <v>0</v>
      </c>
      <c r="O66" s="1096"/>
      <c r="P66" s="964">
        <f t="shared" si="60"/>
        <v>0</v>
      </c>
      <c r="Q66" s="1083">
        <f t="shared" si="61"/>
        <v>0</v>
      </c>
      <c r="R66" s="1083">
        <f t="shared" si="62"/>
        <v>0</v>
      </c>
      <c r="S66" s="1083">
        <f t="shared" si="63"/>
        <v>0</v>
      </c>
      <c r="T66" s="962">
        <f t="shared" si="64"/>
        <v>0</v>
      </c>
      <c r="U66" s="962">
        <f t="shared" si="65"/>
        <v>0</v>
      </c>
      <c r="V66" s="962">
        <f t="shared" si="10"/>
        <v>0</v>
      </c>
    </row>
    <row r="67" spans="1:22" s="425" customFormat="1" ht="13" outlineLevel="1" x14ac:dyDescent="0.3">
      <c r="A67" s="442" t="s">
        <v>128</v>
      </c>
      <c r="B67" s="407">
        <v>12.03</v>
      </c>
      <c r="C67" s="1101" t="s">
        <v>730</v>
      </c>
      <c r="D67" s="1102" t="s">
        <v>124</v>
      </c>
      <c r="E67" s="371">
        <v>37</v>
      </c>
      <c r="F67" s="371">
        <f>'01 (2)'!I99*'01 (2)'!$N$3</f>
        <v>1489.930362605746</v>
      </c>
      <c r="G67" s="371">
        <f t="shared" si="57"/>
        <v>5562.0696373942537</v>
      </c>
      <c r="H67" s="369">
        <v>7052</v>
      </c>
      <c r="I67" s="369">
        <f t="shared" si="58"/>
        <v>55127.423416412603</v>
      </c>
      <c r="J67" s="369">
        <f t="shared" si="59"/>
        <v>205796.57658358739</v>
      </c>
      <c r="K67" s="369">
        <f>+E67*H67</f>
        <v>260924</v>
      </c>
      <c r="L67" s="1103"/>
      <c r="M67" s="359"/>
      <c r="N67" s="1096">
        <v>0</v>
      </c>
      <c r="O67" s="1096"/>
      <c r="P67" s="964">
        <f t="shared" si="60"/>
        <v>0</v>
      </c>
      <c r="Q67" s="1083">
        <f t="shared" si="61"/>
        <v>0</v>
      </c>
      <c r="R67" s="1083">
        <f t="shared" si="62"/>
        <v>0</v>
      </c>
      <c r="S67" s="1083">
        <f t="shared" si="63"/>
        <v>0</v>
      </c>
      <c r="T67" s="962">
        <f t="shared" si="64"/>
        <v>0</v>
      </c>
      <c r="U67" s="962">
        <f t="shared" si="65"/>
        <v>0</v>
      </c>
      <c r="V67" s="962">
        <f t="shared" si="10"/>
        <v>0</v>
      </c>
    </row>
    <row r="68" spans="1:22" s="425" customFormat="1" ht="13" outlineLevel="1" x14ac:dyDescent="0.3">
      <c r="A68" s="442" t="s">
        <v>128</v>
      </c>
      <c r="B68" s="407">
        <v>12.04</v>
      </c>
      <c r="C68" s="1101" t="s">
        <v>731</v>
      </c>
      <c r="D68" s="1102" t="s">
        <v>124</v>
      </c>
      <c r="E68" s="371">
        <v>433</v>
      </c>
      <c r="F68" s="371">
        <f>'01 (2)'!I100*'01 (2)'!$N$3</f>
        <v>1489.930362605746</v>
      </c>
      <c r="G68" s="371">
        <f t="shared" si="57"/>
        <v>5562.0696373942537</v>
      </c>
      <c r="H68" s="369">
        <v>7052</v>
      </c>
      <c r="I68" s="369">
        <f t="shared" si="58"/>
        <v>645139.84700828802</v>
      </c>
      <c r="J68" s="369">
        <f t="shared" si="59"/>
        <v>2408376.1529917121</v>
      </c>
      <c r="K68" s="369">
        <f>+E68*H68</f>
        <v>3053516</v>
      </c>
      <c r="L68" s="1103"/>
      <c r="M68" s="359"/>
      <c r="N68" s="1096">
        <v>0</v>
      </c>
      <c r="O68" s="1096"/>
      <c r="P68" s="964">
        <f t="shared" si="60"/>
        <v>0</v>
      </c>
      <c r="Q68" s="1083">
        <f t="shared" si="61"/>
        <v>0</v>
      </c>
      <c r="R68" s="1083">
        <f t="shared" si="62"/>
        <v>0</v>
      </c>
      <c r="S68" s="1083">
        <f t="shared" si="63"/>
        <v>0</v>
      </c>
      <c r="T68" s="962">
        <f t="shared" si="64"/>
        <v>0</v>
      </c>
      <c r="U68" s="962">
        <f t="shared" si="65"/>
        <v>0</v>
      </c>
      <c r="V68" s="962">
        <f t="shared" si="10"/>
        <v>0</v>
      </c>
    </row>
    <row r="69" spans="1:22" s="425" customFormat="1" ht="13" outlineLevel="1" x14ac:dyDescent="0.3">
      <c r="A69" s="442" t="s">
        <v>128</v>
      </c>
      <c r="B69" s="408">
        <v>12.05</v>
      </c>
      <c r="C69" s="1104" t="s">
        <v>732</v>
      </c>
      <c r="D69" s="1105" t="s">
        <v>124</v>
      </c>
      <c r="E69" s="413">
        <v>155</v>
      </c>
      <c r="F69" s="413">
        <f>'01 (2)'!I101*'01 (2)'!$N$3</f>
        <v>1489.930362605746</v>
      </c>
      <c r="G69" s="413">
        <f t="shared" si="57"/>
        <v>5562.0696373942537</v>
      </c>
      <c r="H69" s="396">
        <v>7052</v>
      </c>
      <c r="I69" s="396">
        <f t="shared" si="58"/>
        <v>230939.20620389064</v>
      </c>
      <c r="J69" s="396">
        <f t="shared" si="59"/>
        <v>862120.79379610938</v>
      </c>
      <c r="K69" s="396">
        <f>+E69*H69</f>
        <v>1093060</v>
      </c>
      <c r="L69" s="1103"/>
      <c r="M69" s="359"/>
      <c r="N69" s="1098">
        <v>0</v>
      </c>
      <c r="O69" s="1098"/>
      <c r="P69" s="966">
        <f t="shared" si="60"/>
        <v>0</v>
      </c>
      <c r="Q69" s="1087">
        <f t="shared" si="61"/>
        <v>0</v>
      </c>
      <c r="R69" s="1087">
        <f t="shared" si="62"/>
        <v>0</v>
      </c>
      <c r="S69" s="1087">
        <f t="shared" si="63"/>
        <v>0</v>
      </c>
      <c r="T69" s="962">
        <f t="shared" si="64"/>
        <v>0</v>
      </c>
      <c r="U69" s="962">
        <f t="shared" si="65"/>
        <v>0</v>
      </c>
      <c r="V69" s="962">
        <f t="shared" si="10"/>
        <v>0</v>
      </c>
    </row>
    <row r="70" spans="1:22" s="425" customFormat="1" ht="13" x14ac:dyDescent="0.3">
      <c r="A70" s="440"/>
      <c r="B70" s="354">
        <v>13</v>
      </c>
      <c r="C70" s="355" t="s">
        <v>331</v>
      </c>
      <c r="D70" s="1077"/>
      <c r="E70" s="415"/>
      <c r="F70" s="415"/>
      <c r="G70" s="415"/>
      <c r="H70" s="415"/>
      <c r="I70" s="415"/>
      <c r="J70" s="415"/>
      <c r="K70" s="415"/>
      <c r="L70" s="358">
        <f>+SUM(K71:K74)</f>
        <v>19433086.480999999</v>
      </c>
      <c r="M70" s="359">
        <f>+L70/$L$186</f>
        <v>2.6470211520610382E-2</v>
      </c>
      <c r="N70" s="973"/>
      <c r="O70" s="974"/>
      <c r="P70" s="974"/>
      <c r="Q70" s="974"/>
      <c r="R70" s="974"/>
      <c r="S70" s="975"/>
      <c r="T70" s="974"/>
      <c r="U70" s="975"/>
      <c r="V70" s="974"/>
    </row>
    <row r="71" spans="1:22" s="425" customFormat="1" ht="13" outlineLevel="1" x14ac:dyDescent="0.3">
      <c r="A71" s="442" t="s">
        <v>128</v>
      </c>
      <c r="B71" s="419">
        <v>13.01</v>
      </c>
      <c r="C71" s="1099" t="s">
        <v>733</v>
      </c>
      <c r="D71" s="1100" t="s">
        <v>109</v>
      </c>
      <c r="E71" s="417">
        <v>511</v>
      </c>
      <c r="F71" s="417">
        <f>'01 (2)'!I103*'01 (2)'!$N$3</f>
        <v>9112.5351936689312</v>
      </c>
      <c r="G71" s="417">
        <f t="shared" ref="G71:G74" si="66">H71-F71</f>
        <v>16686.464806331067</v>
      </c>
      <c r="H71" s="364">
        <v>25799</v>
      </c>
      <c r="I71" s="364">
        <f t="shared" ref="I71:I74" si="67">$E71*F71</f>
        <v>4656505.4839648241</v>
      </c>
      <c r="J71" s="364">
        <f t="shared" ref="J71:J74" si="68">$E71*G71</f>
        <v>8526783.516035175</v>
      </c>
      <c r="K71" s="364">
        <f>+E71*H71</f>
        <v>13183289</v>
      </c>
      <c r="L71" s="1103"/>
      <c r="M71" s="359"/>
      <c r="N71" s="1095">
        <v>0</v>
      </c>
      <c r="O71" s="1095"/>
      <c r="P71" s="961">
        <f t="shared" ref="P71:P74" si="69">+N71+O71</f>
        <v>0</v>
      </c>
      <c r="Q71" s="1081">
        <f t="shared" ref="Q71:Q74" si="70">+K71*N71</f>
        <v>0</v>
      </c>
      <c r="R71" s="1081">
        <f t="shared" ref="R71:R74" si="71">+K71*O71</f>
        <v>0</v>
      </c>
      <c r="S71" s="1081">
        <f t="shared" ref="S71:S74" si="72">+K71*P71</f>
        <v>0</v>
      </c>
      <c r="T71" s="962">
        <f t="shared" ref="T71:T74" si="73">I71*$P71</f>
        <v>0</v>
      </c>
      <c r="U71" s="962">
        <f t="shared" ref="U71:U74" si="74">J71*$P71</f>
        <v>0</v>
      </c>
      <c r="V71" s="962">
        <f t="shared" si="10"/>
        <v>0</v>
      </c>
    </row>
    <row r="72" spans="1:22" s="425" customFormat="1" ht="13" outlineLevel="1" x14ac:dyDescent="0.3">
      <c r="A72" s="442" t="s">
        <v>128</v>
      </c>
      <c r="B72" s="407">
        <v>13.02</v>
      </c>
      <c r="C72" s="1101" t="s">
        <v>734</v>
      </c>
      <c r="D72" s="1102" t="s">
        <v>109</v>
      </c>
      <c r="E72" s="371">
        <v>40</v>
      </c>
      <c r="F72" s="371">
        <f>'01 (2)'!I104*'01 (2)'!$N$3</f>
        <v>9112.5351936689312</v>
      </c>
      <c r="G72" s="371">
        <f t="shared" si="66"/>
        <v>16686.464806331067</v>
      </c>
      <c r="H72" s="369">
        <v>25799</v>
      </c>
      <c r="I72" s="369">
        <f t="shared" si="67"/>
        <v>364501.40774675726</v>
      </c>
      <c r="J72" s="369">
        <f t="shared" si="68"/>
        <v>667458.59225324262</v>
      </c>
      <c r="K72" s="369">
        <f>+E72*H72</f>
        <v>1031960</v>
      </c>
      <c r="L72" s="1103"/>
      <c r="M72" s="359"/>
      <c r="N72" s="1096">
        <v>0</v>
      </c>
      <c r="O72" s="1096"/>
      <c r="P72" s="964">
        <f t="shared" si="69"/>
        <v>0</v>
      </c>
      <c r="Q72" s="1083">
        <f t="shared" si="70"/>
        <v>0</v>
      </c>
      <c r="R72" s="1083">
        <f t="shared" si="71"/>
        <v>0</v>
      </c>
      <c r="S72" s="1083">
        <f t="shared" si="72"/>
        <v>0</v>
      </c>
      <c r="T72" s="962">
        <f t="shared" si="73"/>
        <v>0</v>
      </c>
      <c r="U72" s="962">
        <f t="shared" si="74"/>
        <v>0</v>
      </c>
      <c r="V72" s="962">
        <f t="shared" si="10"/>
        <v>0</v>
      </c>
    </row>
    <row r="73" spans="1:22" s="425" customFormat="1" ht="13" outlineLevel="1" x14ac:dyDescent="0.3">
      <c r="A73" s="442" t="s">
        <v>128</v>
      </c>
      <c r="B73" s="407">
        <v>13.03</v>
      </c>
      <c r="C73" s="1101" t="s">
        <v>735</v>
      </c>
      <c r="D73" s="1102" t="s">
        <v>109</v>
      </c>
      <c r="E73" s="371">
        <v>147.60100000000003</v>
      </c>
      <c r="F73" s="371">
        <f>'01 (2)'!I105*'01 (2)'!$N$3</f>
        <v>9112.5351936689312</v>
      </c>
      <c r="G73" s="371">
        <f t="shared" si="66"/>
        <v>20768.464806331067</v>
      </c>
      <c r="H73" s="369">
        <v>29881</v>
      </c>
      <c r="I73" s="369">
        <f t="shared" si="67"/>
        <v>1345019.3071207281</v>
      </c>
      <c r="J73" s="369">
        <f t="shared" si="68"/>
        <v>3065446.1738792723</v>
      </c>
      <c r="K73" s="369">
        <f>+E73*H73</f>
        <v>4410465.4810000006</v>
      </c>
      <c r="L73" s="1103"/>
      <c r="M73" s="359"/>
      <c r="N73" s="1096">
        <v>0</v>
      </c>
      <c r="O73" s="1096"/>
      <c r="P73" s="964">
        <f t="shared" si="69"/>
        <v>0</v>
      </c>
      <c r="Q73" s="1083">
        <f t="shared" si="70"/>
        <v>0</v>
      </c>
      <c r="R73" s="1083">
        <f t="shared" si="71"/>
        <v>0</v>
      </c>
      <c r="S73" s="1083">
        <f t="shared" si="72"/>
        <v>0</v>
      </c>
      <c r="T73" s="962">
        <f t="shared" si="73"/>
        <v>0</v>
      </c>
      <c r="U73" s="962">
        <f t="shared" si="74"/>
        <v>0</v>
      </c>
      <c r="V73" s="962">
        <f t="shared" si="10"/>
        <v>0</v>
      </c>
    </row>
    <row r="74" spans="1:22" s="425" customFormat="1" ht="13" outlineLevel="1" x14ac:dyDescent="0.3">
      <c r="A74" s="442" t="s">
        <v>128</v>
      </c>
      <c r="B74" s="408">
        <v>13.04</v>
      </c>
      <c r="C74" s="1104" t="s">
        <v>332</v>
      </c>
      <c r="D74" s="1105" t="s">
        <v>111</v>
      </c>
      <c r="E74" s="413">
        <v>41</v>
      </c>
      <c r="F74" s="413">
        <f>'01 (2)'!I106*'01 (2)'!$N$3</f>
        <v>19691.50650471367</v>
      </c>
      <c r="G74" s="413">
        <f t="shared" si="66"/>
        <v>0.49349528632956208</v>
      </c>
      <c r="H74" s="396">
        <v>19692</v>
      </c>
      <c r="I74" s="396">
        <f t="shared" si="67"/>
        <v>807351.76669326052</v>
      </c>
      <c r="J74" s="396">
        <f t="shared" si="68"/>
        <v>20.233306739512045</v>
      </c>
      <c r="K74" s="396">
        <f>+E74*H74</f>
        <v>807372</v>
      </c>
      <c r="L74" s="1103"/>
      <c r="M74" s="359"/>
      <c r="N74" s="1098">
        <v>0</v>
      </c>
      <c r="O74" s="1098"/>
      <c r="P74" s="966">
        <f t="shared" si="69"/>
        <v>0</v>
      </c>
      <c r="Q74" s="1087">
        <f t="shared" si="70"/>
        <v>0</v>
      </c>
      <c r="R74" s="1087">
        <f t="shared" si="71"/>
        <v>0</v>
      </c>
      <c r="S74" s="1087">
        <f t="shared" si="72"/>
        <v>0</v>
      </c>
      <c r="T74" s="962">
        <f t="shared" si="73"/>
        <v>0</v>
      </c>
      <c r="U74" s="962">
        <f t="shared" si="74"/>
        <v>0</v>
      </c>
      <c r="V74" s="962">
        <f t="shared" si="10"/>
        <v>0</v>
      </c>
    </row>
    <row r="75" spans="1:22" s="425" customFormat="1" ht="13" x14ac:dyDescent="0.3">
      <c r="A75" s="440"/>
      <c r="B75" s="354">
        <v>14</v>
      </c>
      <c r="C75" s="355" t="s">
        <v>126</v>
      </c>
      <c r="D75" s="1077"/>
      <c r="E75" s="415"/>
      <c r="F75" s="415"/>
      <c r="G75" s="415"/>
      <c r="H75" s="415"/>
      <c r="I75" s="415"/>
      <c r="J75" s="415"/>
      <c r="K75" s="415"/>
      <c r="L75" s="358">
        <f>+SUM(K76:K82)</f>
        <v>50296168.959899999</v>
      </c>
      <c r="M75" s="359">
        <f>+L75/$L$186</f>
        <v>6.8509458461299549E-2</v>
      </c>
      <c r="N75" s="973"/>
      <c r="O75" s="974"/>
      <c r="P75" s="974"/>
      <c r="Q75" s="974"/>
      <c r="R75" s="974"/>
      <c r="S75" s="975"/>
      <c r="T75" s="974"/>
      <c r="U75" s="975"/>
      <c r="V75" s="974"/>
    </row>
    <row r="76" spans="1:22" s="425" customFormat="1" ht="13" outlineLevel="1" x14ac:dyDescent="0.3">
      <c r="A76" s="441" t="s">
        <v>127</v>
      </c>
      <c r="B76" s="419">
        <v>14.01</v>
      </c>
      <c r="C76" s="1099" t="s">
        <v>208</v>
      </c>
      <c r="D76" s="1100" t="s">
        <v>109</v>
      </c>
      <c r="E76" s="417">
        <v>334.91519999999997</v>
      </c>
      <c r="F76" s="417">
        <f>'01 (2)'!I108*'01 (2)'!$N$3</f>
        <v>11761.318577102626</v>
      </c>
      <c r="G76" s="417">
        <f t="shared" ref="G76:G82" si="75">H76-F76</f>
        <v>17508.681422897374</v>
      </c>
      <c r="H76" s="364">
        <v>29270</v>
      </c>
      <c r="I76" s="364">
        <f t="shared" ref="I76:I82" si="76">$E76*F76</f>
        <v>3939044.3635140411</v>
      </c>
      <c r="J76" s="364">
        <f t="shared" ref="J76:J82" si="77">$E76*G76</f>
        <v>5863923.5404859586</v>
      </c>
      <c r="K76" s="364">
        <f t="shared" ref="K76:K82" si="78">+E76*H76</f>
        <v>9802967.9039999992</v>
      </c>
      <c r="L76" s="1103"/>
      <c r="M76" s="359"/>
      <c r="N76" s="1095">
        <v>0.2</v>
      </c>
      <c r="O76" s="1095">
        <v>0.4</v>
      </c>
      <c r="P76" s="961">
        <f t="shared" ref="P76:P82" si="79">+N76+O76</f>
        <v>0.60000000000000009</v>
      </c>
      <c r="Q76" s="1081">
        <f t="shared" ref="Q76:Q82" si="80">+K76*N76</f>
        <v>1960593.5807999999</v>
      </c>
      <c r="R76" s="1081">
        <f t="shared" ref="R76:R82" si="81">+K76*O76</f>
        <v>3921187.1615999998</v>
      </c>
      <c r="S76" s="1081">
        <f t="shared" ref="S76:S82" si="82">+K76*P76</f>
        <v>5881780.7424000008</v>
      </c>
      <c r="T76" s="962">
        <f t="shared" ref="T76:T82" si="83">I76*$P76</f>
        <v>2363426.6181084248</v>
      </c>
      <c r="U76" s="962">
        <f t="shared" ref="U76:U82" si="84">J76*$P76</f>
        <v>3518354.1242915755</v>
      </c>
      <c r="V76" s="962">
        <f t="shared" si="10"/>
        <v>5881780.7423999999</v>
      </c>
    </row>
    <row r="77" spans="1:22" s="425" customFormat="1" ht="13" outlineLevel="1" x14ac:dyDescent="0.3">
      <c r="A77" s="442" t="s">
        <v>127</v>
      </c>
      <c r="B77" s="407">
        <v>14.02</v>
      </c>
      <c r="C77" s="1101" t="s">
        <v>333</v>
      </c>
      <c r="D77" s="1102" t="s">
        <v>109</v>
      </c>
      <c r="E77" s="371">
        <v>280.3913</v>
      </c>
      <c r="F77" s="371">
        <f>'01 (2)'!I109*'01 (2)'!$N$3</f>
        <v>16458.009645785485</v>
      </c>
      <c r="G77" s="371">
        <f t="shared" si="75"/>
        <v>17508.990354214515</v>
      </c>
      <c r="H77" s="369">
        <v>33967</v>
      </c>
      <c r="I77" s="369">
        <f t="shared" si="76"/>
        <v>4614682.7199943317</v>
      </c>
      <c r="J77" s="369">
        <f t="shared" si="77"/>
        <v>4909368.5671056686</v>
      </c>
      <c r="K77" s="369">
        <f t="shared" si="78"/>
        <v>9524051.2871000003</v>
      </c>
      <c r="L77" s="1103"/>
      <c r="M77" s="359"/>
      <c r="N77" s="1096">
        <v>0.2</v>
      </c>
      <c r="O77" s="1096">
        <v>0.5</v>
      </c>
      <c r="P77" s="964">
        <f t="shared" si="79"/>
        <v>0.7</v>
      </c>
      <c r="Q77" s="1083">
        <f t="shared" si="80"/>
        <v>1904810.2574200002</v>
      </c>
      <c r="R77" s="1083">
        <f t="shared" si="81"/>
        <v>4762025.6435500002</v>
      </c>
      <c r="S77" s="1083">
        <f t="shared" si="82"/>
        <v>6666835.9009699998</v>
      </c>
      <c r="T77" s="962">
        <f t="shared" si="83"/>
        <v>3230277.9039960322</v>
      </c>
      <c r="U77" s="962">
        <f t="shared" si="84"/>
        <v>3436557.9969739676</v>
      </c>
      <c r="V77" s="962">
        <f t="shared" ref="V77:V82" si="85">SUM(T77:U77)</f>
        <v>6666835.9009699998</v>
      </c>
    </row>
    <row r="78" spans="1:22" s="425" customFormat="1" ht="13" outlineLevel="1" x14ac:dyDescent="0.3">
      <c r="A78" s="442" t="s">
        <v>127</v>
      </c>
      <c r="B78" s="407">
        <v>14.03</v>
      </c>
      <c r="C78" s="1101" t="s">
        <v>334</v>
      </c>
      <c r="D78" s="1102" t="s">
        <v>124</v>
      </c>
      <c r="E78" s="371">
        <v>60.8</v>
      </c>
      <c r="F78" s="371">
        <f>'01 (2)'!I110*'01 (2)'!$N$3</f>
        <v>11761.318577102626</v>
      </c>
      <c r="G78" s="371">
        <f t="shared" si="75"/>
        <v>17508.681422897374</v>
      </c>
      <c r="H78" s="369">
        <v>29270</v>
      </c>
      <c r="I78" s="369">
        <f t="shared" si="76"/>
        <v>715088.16948783956</v>
      </c>
      <c r="J78" s="369">
        <f t="shared" si="77"/>
        <v>1064527.8305121602</v>
      </c>
      <c r="K78" s="369">
        <f t="shared" si="78"/>
        <v>1779616</v>
      </c>
      <c r="L78" s="1103"/>
      <c r="M78" s="359"/>
      <c r="N78" s="1096">
        <v>0.25</v>
      </c>
      <c r="O78" s="1096">
        <v>0.35</v>
      </c>
      <c r="P78" s="964">
        <f t="shared" si="79"/>
        <v>0.6</v>
      </c>
      <c r="Q78" s="1083">
        <f t="shared" si="80"/>
        <v>444904</v>
      </c>
      <c r="R78" s="1083">
        <f t="shared" si="81"/>
        <v>622865.6</v>
      </c>
      <c r="S78" s="1083">
        <f t="shared" si="82"/>
        <v>1067769.5999999999</v>
      </c>
      <c r="T78" s="962">
        <f t="shared" si="83"/>
        <v>429052.90169270372</v>
      </c>
      <c r="U78" s="962">
        <f t="shared" si="84"/>
        <v>638716.69830729614</v>
      </c>
      <c r="V78" s="962">
        <f t="shared" si="85"/>
        <v>1067769.5999999999</v>
      </c>
    </row>
    <row r="79" spans="1:22" s="425" customFormat="1" ht="13" outlineLevel="1" x14ac:dyDescent="0.3">
      <c r="A79" s="442" t="s">
        <v>127</v>
      </c>
      <c r="B79" s="407">
        <v>14.04</v>
      </c>
      <c r="C79" s="1101" t="s">
        <v>209</v>
      </c>
      <c r="D79" s="1102" t="s">
        <v>124</v>
      </c>
      <c r="E79" s="371">
        <v>1058.3799999999997</v>
      </c>
      <c r="F79" s="371">
        <f>'01 (2)'!I111*'01 (2)'!$N$3</f>
        <v>1374.1511482570913</v>
      </c>
      <c r="G79" s="371">
        <f t="shared" si="75"/>
        <v>6498.8488517429087</v>
      </c>
      <c r="H79" s="369">
        <v>7873</v>
      </c>
      <c r="I79" s="369">
        <f t="shared" si="76"/>
        <v>1454374.0922923398</v>
      </c>
      <c r="J79" s="369">
        <f t="shared" si="77"/>
        <v>6878251.6477076579</v>
      </c>
      <c r="K79" s="369">
        <f t="shared" si="78"/>
        <v>8332625.7399999974</v>
      </c>
      <c r="L79" s="1103"/>
      <c r="M79" s="359"/>
      <c r="N79" s="1096">
        <v>0.25</v>
      </c>
      <c r="O79" s="1096">
        <v>0.35</v>
      </c>
      <c r="P79" s="964">
        <f t="shared" si="79"/>
        <v>0.6</v>
      </c>
      <c r="Q79" s="1083">
        <f t="shared" si="80"/>
        <v>2083156.4349999994</v>
      </c>
      <c r="R79" s="1083">
        <f t="shared" si="81"/>
        <v>2916419.0089999991</v>
      </c>
      <c r="S79" s="1083">
        <f t="shared" si="82"/>
        <v>4999575.4439999983</v>
      </c>
      <c r="T79" s="962">
        <f t="shared" si="83"/>
        <v>872624.45537540386</v>
      </c>
      <c r="U79" s="962">
        <f t="shared" si="84"/>
        <v>4126950.9886245946</v>
      </c>
      <c r="V79" s="962">
        <f t="shared" si="85"/>
        <v>4999575.4439999983</v>
      </c>
    </row>
    <row r="80" spans="1:22" s="425" customFormat="1" ht="13" outlineLevel="1" x14ac:dyDescent="0.3">
      <c r="A80" s="442" t="s">
        <v>127</v>
      </c>
      <c r="B80" s="407">
        <v>14.05</v>
      </c>
      <c r="C80" s="1101" t="s">
        <v>335</v>
      </c>
      <c r="D80" s="1102" t="s">
        <v>109</v>
      </c>
      <c r="E80" s="371">
        <v>504.12220000000002</v>
      </c>
      <c r="F80" s="371">
        <f>'01 (2)'!I112*'01 (2)'!$N$3</f>
        <v>7252.5707154787951</v>
      </c>
      <c r="G80" s="371">
        <f t="shared" si="75"/>
        <v>16111.429284521204</v>
      </c>
      <c r="H80" s="369">
        <v>23364</v>
      </c>
      <c r="I80" s="369">
        <f t="shared" si="76"/>
        <v>3656181.9047427443</v>
      </c>
      <c r="J80" s="369">
        <f t="shared" si="77"/>
        <v>8122129.1760572558</v>
      </c>
      <c r="K80" s="369">
        <f t="shared" si="78"/>
        <v>11778311.080800001</v>
      </c>
      <c r="L80" s="1103"/>
      <c r="M80" s="359"/>
      <c r="N80" s="1096">
        <v>0.2</v>
      </c>
      <c r="O80" s="1096">
        <v>0.4</v>
      </c>
      <c r="P80" s="964">
        <f t="shared" si="79"/>
        <v>0.60000000000000009</v>
      </c>
      <c r="Q80" s="1083">
        <f t="shared" si="80"/>
        <v>2355662.2161600003</v>
      </c>
      <c r="R80" s="1083">
        <f t="shared" si="81"/>
        <v>4711324.4323200006</v>
      </c>
      <c r="S80" s="1083">
        <f t="shared" si="82"/>
        <v>7066986.6484800018</v>
      </c>
      <c r="T80" s="962">
        <f t="shared" si="83"/>
        <v>2193709.1428456469</v>
      </c>
      <c r="U80" s="962">
        <f t="shared" si="84"/>
        <v>4873277.5056343544</v>
      </c>
      <c r="V80" s="962">
        <f t="shared" si="85"/>
        <v>7066986.6484800018</v>
      </c>
    </row>
    <row r="81" spans="1:22" s="425" customFormat="1" ht="13" outlineLevel="1" x14ac:dyDescent="0.3">
      <c r="A81" s="442" t="s">
        <v>127</v>
      </c>
      <c r="B81" s="407">
        <v>14.06</v>
      </c>
      <c r="C81" s="1101" t="s">
        <v>336</v>
      </c>
      <c r="D81" s="1102" t="s">
        <v>124</v>
      </c>
      <c r="E81" s="371">
        <v>555.99</v>
      </c>
      <c r="F81" s="371">
        <f>'01 (2)'!I113*'01 (2)'!$N$3</f>
        <v>0</v>
      </c>
      <c r="G81" s="371">
        <f t="shared" si="75"/>
        <v>12771</v>
      </c>
      <c r="H81" s="369">
        <v>12771</v>
      </c>
      <c r="I81" s="369">
        <f t="shared" si="76"/>
        <v>0</v>
      </c>
      <c r="J81" s="369">
        <f t="shared" si="77"/>
        <v>7100548.29</v>
      </c>
      <c r="K81" s="369">
        <f t="shared" si="78"/>
        <v>7100548.29</v>
      </c>
      <c r="L81" s="1103"/>
      <c r="M81" s="359"/>
      <c r="N81" s="1096">
        <v>0.2</v>
      </c>
      <c r="O81" s="1096">
        <v>0.4</v>
      </c>
      <c r="P81" s="964">
        <f t="shared" si="79"/>
        <v>0.60000000000000009</v>
      </c>
      <c r="Q81" s="1083">
        <f t="shared" si="80"/>
        <v>1420109.6580000001</v>
      </c>
      <c r="R81" s="1083">
        <f t="shared" si="81"/>
        <v>2840219.3160000001</v>
      </c>
      <c r="S81" s="1083">
        <f t="shared" si="82"/>
        <v>4260328.9740000004</v>
      </c>
      <c r="T81" s="962">
        <f t="shared" si="83"/>
        <v>0</v>
      </c>
      <c r="U81" s="962">
        <f t="shared" si="84"/>
        <v>4260328.9740000004</v>
      </c>
      <c r="V81" s="962">
        <f t="shared" si="85"/>
        <v>4260328.9740000004</v>
      </c>
    </row>
    <row r="82" spans="1:22" s="425" customFormat="1" ht="13" outlineLevel="1" x14ac:dyDescent="0.3">
      <c r="A82" s="442" t="s">
        <v>113</v>
      </c>
      <c r="B82" s="408">
        <v>14.07</v>
      </c>
      <c r="C82" s="1104" t="s">
        <v>337</v>
      </c>
      <c r="D82" s="1105" t="s">
        <v>109</v>
      </c>
      <c r="E82" s="413">
        <v>429.07780000000002</v>
      </c>
      <c r="F82" s="413">
        <f>'01 (2)'!I114*'01 (2)'!$N$3</f>
        <v>878.77949141379884</v>
      </c>
      <c r="G82" s="413">
        <f t="shared" si="75"/>
        <v>3731.220508586201</v>
      </c>
      <c r="H82" s="396">
        <v>4610</v>
      </c>
      <c r="I82" s="396">
        <f t="shared" si="76"/>
        <v>377064.77086095174</v>
      </c>
      <c r="J82" s="396">
        <f t="shared" si="77"/>
        <v>1600983.8871390484</v>
      </c>
      <c r="K82" s="396">
        <f t="shared" si="78"/>
        <v>1978048.6580000001</v>
      </c>
      <c r="L82" s="1103"/>
      <c r="M82" s="359"/>
      <c r="N82" s="1096">
        <v>0</v>
      </c>
      <c r="O82" s="1096"/>
      <c r="P82" s="964">
        <f t="shared" si="79"/>
        <v>0</v>
      </c>
      <c r="Q82" s="1083">
        <f t="shared" si="80"/>
        <v>0</v>
      </c>
      <c r="R82" s="1083">
        <f t="shared" si="81"/>
        <v>0</v>
      </c>
      <c r="S82" s="1083">
        <f t="shared" si="82"/>
        <v>0</v>
      </c>
      <c r="T82" s="962">
        <f t="shared" si="83"/>
        <v>0</v>
      </c>
      <c r="U82" s="962">
        <f t="shared" si="84"/>
        <v>0</v>
      </c>
      <c r="V82" s="962">
        <f t="shared" si="85"/>
        <v>0</v>
      </c>
    </row>
    <row r="83" spans="1:22" s="425" customFormat="1" ht="13" x14ac:dyDescent="0.3">
      <c r="A83" s="440"/>
      <c r="B83" s="354">
        <v>15</v>
      </c>
      <c r="C83" s="355" t="s">
        <v>133</v>
      </c>
      <c r="D83" s="1077"/>
      <c r="E83" s="415"/>
      <c r="F83" s="415"/>
      <c r="G83" s="415"/>
      <c r="H83" s="415"/>
      <c r="I83" s="415"/>
      <c r="J83" s="415"/>
      <c r="K83" s="415"/>
      <c r="L83" s="358">
        <f>+SUM(K84:K92)</f>
        <v>0</v>
      </c>
      <c r="M83" s="359">
        <f>+L83/$L$186</f>
        <v>0</v>
      </c>
      <c r="N83" s="973"/>
      <c r="O83" s="974"/>
      <c r="P83" s="974"/>
      <c r="Q83" s="974"/>
      <c r="R83" s="974"/>
      <c r="S83" s="975"/>
      <c r="T83" s="974"/>
      <c r="U83" s="975"/>
      <c r="V83" s="974"/>
    </row>
    <row r="84" spans="1:22" s="425" customFormat="1" ht="13" outlineLevel="1" x14ac:dyDescent="0.3">
      <c r="A84" s="442" t="s">
        <v>134</v>
      </c>
      <c r="B84" s="419">
        <v>15.01</v>
      </c>
      <c r="C84" s="1099" t="s">
        <v>338</v>
      </c>
      <c r="D84" s="1100" t="s">
        <v>109</v>
      </c>
      <c r="E84" s="417">
        <v>2670</v>
      </c>
      <c r="F84" s="417">
        <f>'01 (2)'!I116*'01 (2)'!$N$3</f>
        <v>2919.1816482342456</v>
      </c>
      <c r="G84" s="417">
        <f t="shared" ref="G84:G92" si="86">H84-F84</f>
        <v>-2919.1816482342456</v>
      </c>
      <c r="H84" s="364">
        <v>0</v>
      </c>
      <c r="I84" s="364">
        <f>$E84*F84*0</f>
        <v>0</v>
      </c>
      <c r="J84" s="364">
        <f>$E84*G84*0</f>
        <v>0</v>
      </c>
      <c r="K84" s="364">
        <f t="shared" ref="K84:K92" si="87">+E84*H84</f>
        <v>0</v>
      </c>
      <c r="L84" s="1103"/>
      <c r="M84" s="359"/>
      <c r="N84" s="1095">
        <v>0</v>
      </c>
      <c r="O84" s="1095"/>
      <c r="P84" s="961">
        <f t="shared" ref="P84:P92" si="88">+N84+O84</f>
        <v>0</v>
      </c>
      <c r="Q84" s="1081">
        <f t="shared" ref="Q84:Q92" si="89">+K84*N84</f>
        <v>0</v>
      </c>
      <c r="R84" s="1081">
        <f t="shared" ref="R84:R92" si="90">+K84*O84</f>
        <v>0</v>
      </c>
      <c r="S84" s="1081">
        <f t="shared" ref="S84:S92" si="91">+K84*P84</f>
        <v>0</v>
      </c>
      <c r="T84" s="962">
        <f t="shared" ref="T84:T92" si="92">I84*$P84</f>
        <v>0</v>
      </c>
      <c r="U84" s="962">
        <f t="shared" ref="U84:U92" si="93">J84*$P84</f>
        <v>0</v>
      </c>
      <c r="V84" s="962">
        <f t="shared" ref="V84:V92" si="94">SUM(T84:U84)</f>
        <v>0</v>
      </c>
    </row>
    <row r="85" spans="1:22" s="425" customFormat="1" ht="13" outlineLevel="1" x14ac:dyDescent="0.3">
      <c r="A85" s="442" t="s">
        <v>134</v>
      </c>
      <c r="B85" s="407">
        <v>15.02</v>
      </c>
      <c r="C85" s="1101" t="s">
        <v>339</v>
      </c>
      <c r="D85" s="1102" t="s">
        <v>109</v>
      </c>
      <c r="E85" s="371">
        <v>961</v>
      </c>
      <c r="F85" s="371">
        <f>'01 (2)'!I117*'01 (2)'!$N$3</f>
        <v>2740.4567702829308</v>
      </c>
      <c r="G85" s="371">
        <f t="shared" si="86"/>
        <v>-2740.4567702829308</v>
      </c>
      <c r="H85" s="369">
        <v>0</v>
      </c>
      <c r="I85" s="369">
        <f t="shared" ref="I85:I92" si="95">$E85*F85*0</f>
        <v>0</v>
      </c>
      <c r="J85" s="369">
        <f t="shared" ref="J85:J92" si="96">$E85*G85*0</f>
        <v>0</v>
      </c>
      <c r="K85" s="369">
        <f t="shared" si="87"/>
        <v>0</v>
      </c>
      <c r="L85" s="1103"/>
      <c r="M85" s="359"/>
      <c r="N85" s="1096">
        <v>0</v>
      </c>
      <c r="O85" s="1096"/>
      <c r="P85" s="964">
        <f t="shared" si="88"/>
        <v>0</v>
      </c>
      <c r="Q85" s="1083">
        <f t="shared" si="89"/>
        <v>0</v>
      </c>
      <c r="R85" s="1083">
        <f t="shared" si="90"/>
        <v>0</v>
      </c>
      <c r="S85" s="1083">
        <f t="shared" si="91"/>
        <v>0</v>
      </c>
      <c r="T85" s="962">
        <f t="shared" si="92"/>
        <v>0</v>
      </c>
      <c r="U85" s="962">
        <f t="shared" si="93"/>
        <v>0</v>
      </c>
      <c r="V85" s="962">
        <f t="shared" si="94"/>
        <v>0</v>
      </c>
    </row>
    <row r="86" spans="1:22" s="425" customFormat="1" ht="13" outlineLevel="1" x14ac:dyDescent="0.3">
      <c r="A86" s="442" t="s">
        <v>134</v>
      </c>
      <c r="B86" s="407">
        <v>15.03</v>
      </c>
      <c r="C86" s="1101" t="s">
        <v>340</v>
      </c>
      <c r="D86" s="1102" t="s">
        <v>109</v>
      </c>
      <c r="E86" s="371">
        <v>518</v>
      </c>
      <c r="F86" s="371">
        <f>'01 (2)'!I118*'01 (2)'!$N$3</f>
        <v>2919.1816482342456</v>
      </c>
      <c r="G86" s="371">
        <f t="shared" si="86"/>
        <v>-2919.1816482342456</v>
      </c>
      <c r="H86" s="369">
        <v>0</v>
      </c>
      <c r="I86" s="369">
        <f t="shared" si="95"/>
        <v>0</v>
      </c>
      <c r="J86" s="369">
        <f t="shared" si="96"/>
        <v>0</v>
      </c>
      <c r="K86" s="369">
        <f t="shared" si="87"/>
        <v>0</v>
      </c>
      <c r="L86" s="1103"/>
      <c r="M86" s="359"/>
      <c r="N86" s="1096">
        <v>0</v>
      </c>
      <c r="O86" s="1096"/>
      <c r="P86" s="964">
        <f t="shared" si="88"/>
        <v>0</v>
      </c>
      <c r="Q86" s="1083">
        <f t="shared" si="89"/>
        <v>0</v>
      </c>
      <c r="R86" s="1083">
        <f t="shared" si="90"/>
        <v>0</v>
      </c>
      <c r="S86" s="1083">
        <f t="shared" si="91"/>
        <v>0</v>
      </c>
      <c r="T86" s="962">
        <f t="shared" si="92"/>
        <v>0</v>
      </c>
      <c r="U86" s="962">
        <f t="shared" si="93"/>
        <v>0</v>
      </c>
      <c r="V86" s="962">
        <f t="shared" si="94"/>
        <v>0</v>
      </c>
    </row>
    <row r="87" spans="1:22" s="425" customFormat="1" ht="13" outlineLevel="1" x14ac:dyDescent="0.3">
      <c r="A87" s="442" t="s">
        <v>134</v>
      </c>
      <c r="B87" s="407">
        <v>15.04</v>
      </c>
      <c r="C87" s="1101" t="s">
        <v>341</v>
      </c>
      <c r="D87" s="1102" t="s">
        <v>109</v>
      </c>
      <c r="E87" s="371">
        <v>612</v>
      </c>
      <c r="F87" s="371">
        <f>'01 (2)'!I119*'01 (2)'!$N$3</f>
        <v>3936.0710831670012</v>
      </c>
      <c r="G87" s="371">
        <f t="shared" si="86"/>
        <v>-3936.0710831670012</v>
      </c>
      <c r="H87" s="369">
        <v>0</v>
      </c>
      <c r="I87" s="369">
        <f t="shared" si="95"/>
        <v>0</v>
      </c>
      <c r="J87" s="369">
        <f t="shared" si="96"/>
        <v>0</v>
      </c>
      <c r="K87" s="369">
        <f t="shared" si="87"/>
        <v>0</v>
      </c>
      <c r="L87" s="1103"/>
      <c r="M87" s="359"/>
      <c r="N87" s="1096">
        <v>0</v>
      </c>
      <c r="O87" s="1096"/>
      <c r="P87" s="964">
        <f t="shared" si="88"/>
        <v>0</v>
      </c>
      <c r="Q87" s="1083">
        <f t="shared" si="89"/>
        <v>0</v>
      </c>
      <c r="R87" s="1083">
        <f t="shared" si="90"/>
        <v>0</v>
      </c>
      <c r="S87" s="1083">
        <f t="shared" si="91"/>
        <v>0</v>
      </c>
      <c r="T87" s="962">
        <f t="shared" si="92"/>
        <v>0</v>
      </c>
      <c r="U87" s="962">
        <f t="shared" si="93"/>
        <v>0</v>
      </c>
      <c r="V87" s="962">
        <f t="shared" si="94"/>
        <v>0</v>
      </c>
    </row>
    <row r="88" spans="1:22" s="425" customFormat="1" ht="13" outlineLevel="1" x14ac:dyDescent="0.3">
      <c r="A88" s="442" t="s">
        <v>134</v>
      </c>
      <c r="B88" s="407">
        <v>15.05</v>
      </c>
      <c r="C88" s="1101" t="s">
        <v>342</v>
      </c>
      <c r="D88" s="1102" t="s">
        <v>109</v>
      </c>
      <c r="E88" s="371">
        <v>422</v>
      </c>
      <c r="F88" s="371">
        <f>'01 (2)'!I120*'01 (2)'!$N$3</f>
        <v>2740.4567702829308</v>
      </c>
      <c r="G88" s="371">
        <f t="shared" si="86"/>
        <v>-2740.4567702829308</v>
      </c>
      <c r="H88" s="369">
        <v>0</v>
      </c>
      <c r="I88" s="369">
        <f t="shared" si="95"/>
        <v>0</v>
      </c>
      <c r="J88" s="369">
        <f t="shared" si="96"/>
        <v>0</v>
      </c>
      <c r="K88" s="369">
        <f t="shared" si="87"/>
        <v>0</v>
      </c>
      <c r="L88" s="1103"/>
      <c r="M88" s="359"/>
      <c r="N88" s="1096">
        <v>0</v>
      </c>
      <c r="O88" s="1096"/>
      <c r="P88" s="964">
        <f t="shared" si="88"/>
        <v>0</v>
      </c>
      <c r="Q88" s="1083">
        <f t="shared" si="89"/>
        <v>0</v>
      </c>
      <c r="R88" s="1083">
        <f t="shared" si="90"/>
        <v>0</v>
      </c>
      <c r="S88" s="1083">
        <f t="shared" si="91"/>
        <v>0</v>
      </c>
      <c r="T88" s="962">
        <f t="shared" si="92"/>
        <v>0</v>
      </c>
      <c r="U88" s="962">
        <f t="shared" si="93"/>
        <v>0</v>
      </c>
      <c r="V88" s="962">
        <f t="shared" si="94"/>
        <v>0</v>
      </c>
    </row>
    <row r="89" spans="1:22" s="425" customFormat="1" ht="13" outlineLevel="1" x14ac:dyDescent="0.3">
      <c r="A89" s="442" t="s">
        <v>134</v>
      </c>
      <c r="B89" s="407">
        <v>15.07</v>
      </c>
      <c r="C89" s="1101" t="s">
        <v>343</v>
      </c>
      <c r="D89" s="1102" t="s">
        <v>109</v>
      </c>
      <c r="E89" s="371">
        <v>678.25199999999995</v>
      </c>
      <c r="F89" s="371">
        <f>'01 (2)'!I121*'01 (2)'!$N$3</f>
        <v>9426.6192715237939</v>
      </c>
      <c r="G89" s="371">
        <f t="shared" si="86"/>
        <v>-9426.6192715237939</v>
      </c>
      <c r="H89" s="369">
        <v>0</v>
      </c>
      <c r="I89" s="369">
        <f t="shared" si="95"/>
        <v>0</v>
      </c>
      <c r="J89" s="369">
        <f t="shared" si="96"/>
        <v>0</v>
      </c>
      <c r="K89" s="369">
        <f t="shared" si="87"/>
        <v>0</v>
      </c>
      <c r="L89" s="1103"/>
      <c r="M89" s="359"/>
      <c r="N89" s="1096">
        <v>0</v>
      </c>
      <c r="O89" s="1096"/>
      <c r="P89" s="964">
        <f t="shared" si="88"/>
        <v>0</v>
      </c>
      <c r="Q89" s="1083">
        <f t="shared" si="89"/>
        <v>0</v>
      </c>
      <c r="R89" s="1083">
        <f t="shared" si="90"/>
        <v>0</v>
      </c>
      <c r="S89" s="1083">
        <f t="shared" si="91"/>
        <v>0</v>
      </c>
      <c r="T89" s="962">
        <f t="shared" si="92"/>
        <v>0</v>
      </c>
      <c r="U89" s="962">
        <f t="shared" si="93"/>
        <v>0</v>
      </c>
      <c r="V89" s="962">
        <f t="shared" si="94"/>
        <v>0</v>
      </c>
    </row>
    <row r="90" spans="1:22" s="425" customFormat="1" ht="13" outlineLevel="1" x14ac:dyDescent="0.3">
      <c r="A90" s="442" t="s">
        <v>134</v>
      </c>
      <c r="B90" s="407">
        <v>15.08</v>
      </c>
      <c r="C90" s="1101" t="s">
        <v>344</v>
      </c>
      <c r="D90" s="1102" t="s">
        <v>109</v>
      </c>
      <c r="E90" s="371">
        <v>728.48019999999985</v>
      </c>
      <c r="F90" s="371">
        <f>'01 (2)'!I122*'01 (2)'!$N$3</f>
        <v>9426.6192715237939</v>
      </c>
      <c r="G90" s="371">
        <f t="shared" si="86"/>
        <v>-9426.6192715237939</v>
      </c>
      <c r="H90" s="369">
        <v>0</v>
      </c>
      <c r="I90" s="369">
        <f t="shared" si="95"/>
        <v>0</v>
      </c>
      <c r="J90" s="369">
        <f t="shared" si="96"/>
        <v>0</v>
      </c>
      <c r="K90" s="369">
        <f t="shared" si="87"/>
        <v>0</v>
      </c>
      <c r="L90" s="1103"/>
      <c r="M90" s="359"/>
      <c r="N90" s="1096">
        <v>0</v>
      </c>
      <c r="O90" s="1096"/>
      <c r="P90" s="964">
        <f t="shared" si="88"/>
        <v>0</v>
      </c>
      <c r="Q90" s="1083">
        <f t="shared" si="89"/>
        <v>0</v>
      </c>
      <c r="R90" s="1083">
        <f t="shared" si="90"/>
        <v>0</v>
      </c>
      <c r="S90" s="1083">
        <f t="shared" si="91"/>
        <v>0</v>
      </c>
      <c r="T90" s="962">
        <f t="shared" si="92"/>
        <v>0</v>
      </c>
      <c r="U90" s="962">
        <f t="shared" si="93"/>
        <v>0</v>
      </c>
      <c r="V90" s="962">
        <f t="shared" si="94"/>
        <v>0</v>
      </c>
    </row>
    <row r="91" spans="1:22" s="425" customFormat="1" ht="13" outlineLevel="1" x14ac:dyDescent="0.3">
      <c r="A91" s="442" t="s">
        <v>134</v>
      </c>
      <c r="B91" s="407">
        <v>15.09</v>
      </c>
      <c r="C91" s="1101" t="s">
        <v>345</v>
      </c>
      <c r="D91" s="1102" t="s">
        <v>104</v>
      </c>
      <c r="E91" s="371">
        <v>76</v>
      </c>
      <c r="F91" s="371">
        <f>'01 (2)'!I123*'01 (2)'!$N$3</f>
        <v>16751.103947882591</v>
      </c>
      <c r="G91" s="371">
        <f t="shared" si="86"/>
        <v>-16751.103947882591</v>
      </c>
      <c r="H91" s="369">
        <v>0</v>
      </c>
      <c r="I91" s="369">
        <f t="shared" si="95"/>
        <v>0</v>
      </c>
      <c r="J91" s="369">
        <f t="shared" si="96"/>
        <v>0</v>
      </c>
      <c r="K91" s="369">
        <f t="shared" si="87"/>
        <v>0</v>
      </c>
      <c r="L91" s="1103"/>
      <c r="M91" s="359"/>
      <c r="N91" s="1096">
        <v>0</v>
      </c>
      <c r="O91" s="1096"/>
      <c r="P91" s="964">
        <f t="shared" si="88"/>
        <v>0</v>
      </c>
      <c r="Q91" s="1083">
        <f t="shared" si="89"/>
        <v>0</v>
      </c>
      <c r="R91" s="1083">
        <f t="shared" si="90"/>
        <v>0</v>
      </c>
      <c r="S91" s="1083">
        <f t="shared" si="91"/>
        <v>0</v>
      </c>
      <c r="T91" s="962">
        <f t="shared" si="92"/>
        <v>0</v>
      </c>
      <c r="U91" s="962">
        <f t="shared" si="93"/>
        <v>0</v>
      </c>
      <c r="V91" s="962">
        <f t="shared" si="94"/>
        <v>0</v>
      </c>
    </row>
    <row r="92" spans="1:22" s="425" customFormat="1" ht="13" outlineLevel="1" x14ac:dyDescent="0.3">
      <c r="A92" s="442" t="s">
        <v>134</v>
      </c>
      <c r="B92" s="408">
        <v>15.1</v>
      </c>
      <c r="C92" s="1104" t="s">
        <v>736</v>
      </c>
      <c r="D92" s="1105" t="s">
        <v>107</v>
      </c>
      <c r="E92" s="413">
        <v>1</v>
      </c>
      <c r="F92" s="413">
        <f>'01 (2)'!I124*'01 (2)'!$N$3</f>
        <v>950383.58178351808</v>
      </c>
      <c r="G92" s="413">
        <f t="shared" si="86"/>
        <v>-950383.58178351808</v>
      </c>
      <c r="H92" s="396">
        <v>0</v>
      </c>
      <c r="I92" s="396">
        <f t="shared" si="95"/>
        <v>0</v>
      </c>
      <c r="J92" s="396">
        <f t="shared" si="96"/>
        <v>0</v>
      </c>
      <c r="K92" s="396">
        <f t="shared" si="87"/>
        <v>0</v>
      </c>
      <c r="L92" s="1103"/>
      <c r="M92" s="359"/>
      <c r="N92" s="1096">
        <v>0</v>
      </c>
      <c r="O92" s="1096"/>
      <c r="P92" s="964">
        <f t="shared" si="88"/>
        <v>0</v>
      </c>
      <c r="Q92" s="1083">
        <f t="shared" si="89"/>
        <v>0</v>
      </c>
      <c r="R92" s="1083">
        <f t="shared" si="90"/>
        <v>0</v>
      </c>
      <c r="S92" s="1083">
        <f t="shared" si="91"/>
        <v>0</v>
      </c>
      <c r="T92" s="962">
        <f t="shared" si="92"/>
        <v>0</v>
      </c>
      <c r="U92" s="962">
        <f t="shared" si="93"/>
        <v>0</v>
      </c>
      <c r="V92" s="962">
        <f t="shared" si="94"/>
        <v>0</v>
      </c>
    </row>
    <row r="93" spans="1:22" s="425" customFormat="1" ht="13" x14ac:dyDescent="0.3">
      <c r="A93" s="440"/>
      <c r="B93" s="354">
        <v>16</v>
      </c>
      <c r="C93" s="355" t="s">
        <v>346</v>
      </c>
      <c r="D93" s="1077"/>
      <c r="E93" s="415"/>
      <c r="F93" s="415"/>
      <c r="G93" s="415"/>
      <c r="H93" s="415"/>
      <c r="I93" s="415"/>
      <c r="J93" s="415"/>
      <c r="K93" s="415"/>
      <c r="L93" s="358">
        <f>+SUM(K94)</f>
        <v>0</v>
      </c>
      <c r="M93" s="359">
        <f>+L93/$L$186</f>
        <v>0</v>
      </c>
      <c r="N93" s="1106"/>
      <c r="O93" s="1107"/>
      <c r="P93" s="1107"/>
      <c r="Q93" s="1108"/>
      <c r="R93" s="1108"/>
      <c r="S93" s="1109"/>
      <c r="T93" s="1108"/>
      <c r="U93" s="1109"/>
      <c r="V93" s="1108"/>
    </row>
    <row r="94" spans="1:22" s="425" customFormat="1" ht="13" outlineLevel="1" x14ac:dyDescent="0.3">
      <c r="A94" s="441"/>
      <c r="B94" s="1110"/>
      <c r="C94" s="1111"/>
      <c r="D94" s="1112"/>
      <c r="E94" s="339"/>
      <c r="F94" s="363">
        <f>'01 (2)'!I126*'01 (2)'!$N$3</f>
        <v>0</v>
      </c>
      <c r="G94" s="339">
        <f>H94-F94</f>
        <v>0</v>
      </c>
      <c r="H94" s="1103">
        <v>0</v>
      </c>
      <c r="I94" s="1103"/>
      <c r="J94" s="1103"/>
      <c r="K94" s="1103">
        <f>+E94*H94</f>
        <v>0</v>
      </c>
      <c r="L94" s="1103"/>
      <c r="M94" s="359"/>
      <c r="N94" s="1113">
        <v>0</v>
      </c>
      <c r="O94" s="1113"/>
      <c r="P94" s="1114">
        <f t="shared" ref="P94" si="97">+N94+O94</f>
        <v>0</v>
      </c>
      <c r="Q94" s="962">
        <f t="shared" ref="Q94" si="98">+K94*N94</f>
        <v>0</v>
      </c>
      <c r="R94" s="962">
        <f t="shared" ref="R94" si="99">+K94*O94</f>
        <v>0</v>
      </c>
      <c r="S94" s="962">
        <f t="shared" ref="S94" si="100">+K94*P94</f>
        <v>0</v>
      </c>
      <c r="T94" s="962">
        <f>I94*$P94</f>
        <v>0</v>
      </c>
      <c r="U94" s="962">
        <f>J94*$P94</f>
        <v>0</v>
      </c>
      <c r="V94" s="962">
        <f t="shared" ref="V94" si="101">SUM(T94:U94)</f>
        <v>0</v>
      </c>
    </row>
    <row r="95" spans="1:22" s="425" customFormat="1" ht="13" x14ac:dyDescent="0.3">
      <c r="A95" s="440"/>
      <c r="B95" s="354">
        <v>17</v>
      </c>
      <c r="C95" s="355" t="s">
        <v>347</v>
      </c>
      <c r="D95" s="1077"/>
      <c r="E95" s="415"/>
      <c r="F95" s="415"/>
      <c r="G95" s="415"/>
      <c r="H95" s="415"/>
      <c r="I95" s="415"/>
      <c r="J95" s="415"/>
      <c r="K95" s="415"/>
      <c r="L95" s="358">
        <f>+SUM(K96:K99)</f>
        <v>7258243</v>
      </c>
      <c r="M95" s="359">
        <f>+L95/$L$186</f>
        <v>9.886603842669827E-3</v>
      </c>
      <c r="N95" s="1106"/>
      <c r="O95" s="1107"/>
      <c r="P95" s="1107"/>
      <c r="Q95" s="1108"/>
      <c r="R95" s="1108"/>
      <c r="S95" s="1109"/>
      <c r="T95" s="1108"/>
      <c r="U95" s="1109"/>
      <c r="V95" s="1108"/>
    </row>
    <row r="96" spans="1:22" s="425" customFormat="1" ht="13" outlineLevel="1" x14ac:dyDescent="0.3">
      <c r="A96" s="441" t="s">
        <v>113</v>
      </c>
      <c r="B96" s="419">
        <v>17.010000000000002</v>
      </c>
      <c r="C96" s="1099" t="s">
        <v>737</v>
      </c>
      <c r="D96" s="1100" t="s">
        <v>111</v>
      </c>
      <c r="E96" s="417">
        <v>47</v>
      </c>
      <c r="F96" s="371">
        <f>'01 (2)'!I128*'01 (2)'!$N$3</f>
        <v>4796.4004431287212</v>
      </c>
      <c r="G96" s="417">
        <f t="shared" ref="G96:G99" si="102">H96-F96</f>
        <v>59435.599556871282</v>
      </c>
      <c r="H96" s="364">
        <v>64232</v>
      </c>
      <c r="I96" s="364">
        <f t="shared" ref="I96:I99" si="103">$E96*F96</f>
        <v>225430.8208270499</v>
      </c>
      <c r="J96" s="364">
        <f t="shared" ref="J96:J99" si="104">$E96*G96</f>
        <v>2793473.1791729503</v>
      </c>
      <c r="K96" s="364">
        <f>+E96*H96</f>
        <v>3018904</v>
      </c>
      <c r="L96" s="1103"/>
      <c r="M96" s="359"/>
      <c r="N96" s="1113">
        <v>0.85</v>
      </c>
      <c r="O96" s="1113"/>
      <c r="P96" s="1114">
        <f t="shared" ref="P96:P99" si="105">+N96+O96</f>
        <v>0.85</v>
      </c>
      <c r="Q96" s="962">
        <f t="shared" ref="Q96:Q99" si="106">+K96*N96</f>
        <v>2566068.4</v>
      </c>
      <c r="R96" s="962">
        <f t="shared" ref="R96:R99" si="107">+K96*O96</f>
        <v>0</v>
      </c>
      <c r="S96" s="962">
        <f t="shared" ref="S96:S99" si="108">+K96*P96</f>
        <v>2566068.4</v>
      </c>
      <c r="T96" s="962">
        <f t="shared" ref="T96:T99" si="109">I96*$P96</f>
        <v>191616.19770299242</v>
      </c>
      <c r="U96" s="962">
        <f t="shared" ref="U96:U99" si="110">J96*$P96</f>
        <v>2374452.2022970077</v>
      </c>
      <c r="V96" s="962">
        <f t="shared" ref="V96:V99" si="111">SUM(T96:U96)</f>
        <v>2566068.4</v>
      </c>
    </row>
    <row r="97" spans="1:22" s="425" customFormat="1" ht="13" outlineLevel="1" x14ac:dyDescent="0.3">
      <c r="A97" s="442" t="s">
        <v>113</v>
      </c>
      <c r="B97" s="407">
        <v>17.02</v>
      </c>
      <c r="C97" s="1101" t="s">
        <v>738</v>
      </c>
      <c r="D97" s="1102" t="s">
        <v>111</v>
      </c>
      <c r="E97" s="371">
        <v>23</v>
      </c>
      <c r="F97" s="371">
        <f>'01 (2)'!I129*'01 (2)'!$N$3</f>
        <v>4796.4004431287212</v>
      </c>
      <c r="G97" s="371">
        <f t="shared" si="102"/>
        <v>59435.599556871282</v>
      </c>
      <c r="H97" s="369">
        <v>64232</v>
      </c>
      <c r="I97" s="369">
        <f t="shared" si="103"/>
        <v>110317.21019196059</v>
      </c>
      <c r="J97" s="369">
        <f t="shared" si="104"/>
        <v>1367018.7898080396</v>
      </c>
      <c r="K97" s="369">
        <f>+E97*H97</f>
        <v>1477336</v>
      </c>
      <c r="L97" s="1103"/>
      <c r="M97" s="359"/>
      <c r="N97" s="1079">
        <v>0.85</v>
      </c>
      <c r="O97" s="1079"/>
      <c r="P97" s="964">
        <f t="shared" si="105"/>
        <v>0.85</v>
      </c>
      <c r="Q97" s="962">
        <f t="shared" si="106"/>
        <v>1255735.5999999999</v>
      </c>
      <c r="R97" s="962">
        <f t="shared" si="107"/>
        <v>0</v>
      </c>
      <c r="S97" s="962">
        <f t="shared" si="108"/>
        <v>1255735.5999999999</v>
      </c>
      <c r="T97" s="962">
        <f t="shared" si="109"/>
        <v>93769.628663166499</v>
      </c>
      <c r="U97" s="962">
        <f t="shared" si="110"/>
        <v>1161965.9713368337</v>
      </c>
      <c r="V97" s="962">
        <f t="shared" si="111"/>
        <v>1255735.6000000001</v>
      </c>
    </row>
    <row r="98" spans="1:22" s="425" customFormat="1" ht="13" outlineLevel="1" x14ac:dyDescent="0.3">
      <c r="A98" s="442" t="s">
        <v>113</v>
      </c>
      <c r="B98" s="407">
        <v>17.03</v>
      </c>
      <c r="C98" s="1101" t="s">
        <v>739</v>
      </c>
      <c r="D98" s="1102" t="s">
        <v>111</v>
      </c>
      <c r="E98" s="371">
        <v>51</v>
      </c>
      <c r="F98" s="371">
        <f>'01 (2)'!I130*'01 (2)'!$N$3</f>
        <v>1755.0465257811913</v>
      </c>
      <c r="G98" s="371">
        <f t="shared" si="102"/>
        <v>39540.953474218812</v>
      </c>
      <c r="H98" s="369">
        <v>41296</v>
      </c>
      <c r="I98" s="369">
        <f t="shared" si="103"/>
        <v>89507.372814840754</v>
      </c>
      <c r="J98" s="369">
        <f t="shared" si="104"/>
        <v>2016588.6271851594</v>
      </c>
      <c r="K98" s="369">
        <f>+E98*H98</f>
        <v>2106096</v>
      </c>
      <c r="L98" s="1103"/>
      <c r="M98" s="359"/>
      <c r="N98" s="1079">
        <v>0.85</v>
      </c>
      <c r="O98" s="1079"/>
      <c r="P98" s="964">
        <f t="shared" si="105"/>
        <v>0.85</v>
      </c>
      <c r="Q98" s="962">
        <f t="shared" si="106"/>
        <v>1790181.5999999999</v>
      </c>
      <c r="R98" s="962">
        <f t="shared" si="107"/>
        <v>0</v>
      </c>
      <c r="S98" s="962">
        <f t="shared" si="108"/>
        <v>1790181.5999999999</v>
      </c>
      <c r="T98" s="962">
        <f t="shared" si="109"/>
        <v>76081.266892614643</v>
      </c>
      <c r="U98" s="962">
        <f t="shared" si="110"/>
        <v>1714100.3331073853</v>
      </c>
      <c r="V98" s="962">
        <f t="shared" si="111"/>
        <v>1790181.5999999999</v>
      </c>
    </row>
    <row r="99" spans="1:22" s="425" customFormat="1" ht="13" outlineLevel="1" x14ac:dyDescent="0.3">
      <c r="A99" s="447" t="s">
        <v>113</v>
      </c>
      <c r="B99" s="408">
        <v>17.04</v>
      </c>
      <c r="C99" s="1104" t="s">
        <v>740</v>
      </c>
      <c r="D99" s="1105" t="s">
        <v>111</v>
      </c>
      <c r="E99" s="413">
        <v>7</v>
      </c>
      <c r="F99" s="371">
        <f>'01 (2)'!I131*'01 (2)'!$N$3</f>
        <v>4796.4004431287212</v>
      </c>
      <c r="G99" s="413">
        <f t="shared" si="102"/>
        <v>88904.599556871282</v>
      </c>
      <c r="H99" s="396">
        <v>93701</v>
      </c>
      <c r="I99" s="396">
        <f t="shared" si="103"/>
        <v>33574.803101901052</v>
      </c>
      <c r="J99" s="396">
        <f t="shared" si="104"/>
        <v>622332.19689809904</v>
      </c>
      <c r="K99" s="396">
        <f>+E99*H99</f>
        <v>655907</v>
      </c>
      <c r="L99" s="1103"/>
      <c r="M99" s="359"/>
      <c r="N99" s="1079">
        <v>0</v>
      </c>
      <c r="O99" s="1079"/>
      <c r="P99" s="964">
        <f t="shared" si="105"/>
        <v>0</v>
      </c>
      <c r="Q99" s="962">
        <f t="shared" si="106"/>
        <v>0</v>
      </c>
      <c r="R99" s="962">
        <f t="shared" si="107"/>
        <v>0</v>
      </c>
      <c r="S99" s="962">
        <f t="shared" si="108"/>
        <v>0</v>
      </c>
      <c r="T99" s="962">
        <f t="shared" si="109"/>
        <v>0</v>
      </c>
      <c r="U99" s="962">
        <f t="shared" si="110"/>
        <v>0</v>
      </c>
      <c r="V99" s="962">
        <f t="shared" si="111"/>
        <v>0</v>
      </c>
    </row>
    <row r="100" spans="1:22" s="425" customFormat="1" ht="13" x14ac:dyDescent="0.3">
      <c r="A100" s="440"/>
      <c r="B100" s="354">
        <v>18</v>
      </c>
      <c r="C100" s="355" t="s">
        <v>129</v>
      </c>
      <c r="D100" s="1077"/>
      <c r="E100" s="415"/>
      <c r="F100" s="415"/>
      <c r="G100" s="415"/>
      <c r="H100" s="415"/>
      <c r="I100" s="415"/>
      <c r="J100" s="415"/>
      <c r="K100" s="415"/>
      <c r="L100" s="358">
        <f>+SUM(K101:K130)</f>
        <v>99277732</v>
      </c>
      <c r="M100" s="359">
        <f>+L100/$L$186</f>
        <v>0.13522826484078107</v>
      </c>
      <c r="N100" s="1106"/>
      <c r="O100" s="1107"/>
      <c r="P100" s="1107"/>
      <c r="Q100" s="1108"/>
      <c r="R100" s="1108"/>
      <c r="S100" s="1109"/>
      <c r="T100" s="1108"/>
      <c r="U100" s="1109"/>
      <c r="V100" s="1108"/>
    </row>
    <row r="101" spans="1:22" s="425" customFormat="1" ht="13" outlineLevel="1" x14ac:dyDescent="0.3">
      <c r="A101" s="453" t="s">
        <v>130</v>
      </c>
      <c r="B101" s="419">
        <v>18.010000000000002</v>
      </c>
      <c r="C101" s="1099" t="s">
        <v>348</v>
      </c>
      <c r="D101" s="1100" t="s">
        <v>111</v>
      </c>
      <c r="E101" s="417">
        <v>392</v>
      </c>
      <c r="F101" s="371">
        <f>'01 (2)'!I133*'01 (2)'!$N$3</f>
        <v>16571.63444873596</v>
      </c>
      <c r="G101" s="417">
        <f t="shared" ref="G101:G130" si="112">H101-F101</f>
        <v>43376.36555126404</v>
      </c>
      <c r="H101" s="364">
        <v>59948</v>
      </c>
      <c r="I101" s="364">
        <f t="shared" ref="I101:I130" si="113">$E101*F101</f>
        <v>6496080.7039044965</v>
      </c>
      <c r="J101" s="364">
        <f t="shared" ref="J101:J130" si="114">$E101*G101</f>
        <v>17003535.296095505</v>
      </c>
      <c r="K101" s="364">
        <f t="shared" ref="K101:K130" si="115">+E101*H101</f>
        <v>23499616</v>
      </c>
      <c r="L101" s="1103"/>
      <c r="M101" s="359"/>
      <c r="N101" s="1078">
        <v>0.45</v>
      </c>
      <c r="O101" s="1078">
        <v>0.05</v>
      </c>
      <c r="P101" s="961">
        <f t="shared" ref="P101:P130" si="116">+N101+O101</f>
        <v>0.5</v>
      </c>
      <c r="Q101" s="1081">
        <f t="shared" ref="Q101:Q130" si="117">+K101*N101</f>
        <v>10574827.200000001</v>
      </c>
      <c r="R101" s="1081">
        <f t="shared" ref="R101:R130" si="118">+K101*O101</f>
        <v>1174980.8</v>
      </c>
      <c r="S101" s="1081">
        <f t="shared" ref="S101:S130" si="119">+K101*P101</f>
        <v>11749808</v>
      </c>
      <c r="T101" s="962">
        <f t="shared" ref="T101:T130" si="120">I101*$P101</f>
        <v>3248040.3519522483</v>
      </c>
      <c r="U101" s="962">
        <f t="shared" ref="U101:U130" si="121">J101*$P101</f>
        <v>8501767.6480477527</v>
      </c>
      <c r="V101" s="962">
        <f t="shared" ref="V101:V130" si="122">SUM(T101:U101)</f>
        <v>11749808</v>
      </c>
    </row>
    <row r="102" spans="1:22" s="425" customFormat="1" ht="13" outlineLevel="1" x14ac:dyDescent="0.3">
      <c r="A102" s="445" t="s">
        <v>130</v>
      </c>
      <c r="B102" s="407">
        <v>18.02</v>
      </c>
      <c r="C102" s="1101" t="s">
        <v>349</v>
      </c>
      <c r="D102" s="1102" t="s">
        <v>111</v>
      </c>
      <c r="E102" s="371">
        <v>19</v>
      </c>
      <c r="F102" s="371">
        <f>'01 (2)'!I134*'01 (2)'!$N$3</f>
        <v>16571.63444873596</v>
      </c>
      <c r="G102" s="371">
        <f t="shared" si="112"/>
        <v>43376.36555126404</v>
      </c>
      <c r="H102" s="369">
        <v>59948</v>
      </c>
      <c r="I102" s="369">
        <f t="shared" si="113"/>
        <v>314861.05452598323</v>
      </c>
      <c r="J102" s="369">
        <f t="shared" si="114"/>
        <v>824150.94547401671</v>
      </c>
      <c r="K102" s="369">
        <f t="shared" si="115"/>
        <v>1139012</v>
      </c>
      <c r="L102" s="1103"/>
      <c r="M102" s="359"/>
      <c r="N102" s="1079">
        <v>0.44999999999999996</v>
      </c>
      <c r="O102" s="1079">
        <v>0.05</v>
      </c>
      <c r="P102" s="964">
        <f t="shared" si="116"/>
        <v>0.49999999999999994</v>
      </c>
      <c r="Q102" s="1083">
        <f t="shared" si="117"/>
        <v>512555.39999999997</v>
      </c>
      <c r="R102" s="1083">
        <f t="shared" si="118"/>
        <v>56950.600000000006</v>
      </c>
      <c r="S102" s="1083">
        <f t="shared" si="119"/>
        <v>569505.99999999988</v>
      </c>
      <c r="T102" s="962">
        <f t="shared" si="120"/>
        <v>157430.52726299159</v>
      </c>
      <c r="U102" s="962">
        <f t="shared" si="121"/>
        <v>412075.4727370083</v>
      </c>
      <c r="V102" s="962">
        <f t="shared" si="122"/>
        <v>569505.99999999988</v>
      </c>
    </row>
    <row r="103" spans="1:22" s="425" customFormat="1" ht="13" outlineLevel="1" x14ac:dyDescent="0.3">
      <c r="A103" s="445" t="s">
        <v>130</v>
      </c>
      <c r="B103" s="407">
        <v>18.03</v>
      </c>
      <c r="C103" s="1101" t="s">
        <v>350</v>
      </c>
      <c r="D103" s="1102" t="s">
        <v>111</v>
      </c>
      <c r="E103" s="371">
        <v>349</v>
      </c>
      <c r="F103" s="371">
        <f>'01 (2)'!I135*'01 (2)'!$N$3</f>
        <v>14069.443562836177</v>
      </c>
      <c r="G103" s="371">
        <f t="shared" si="112"/>
        <v>43375.556437163825</v>
      </c>
      <c r="H103" s="369">
        <v>57445</v>
      </c>
      <c r="I103" s="369">
        <f t="shared" si="113"/>
        <v>4910235.8034298262</v>
      </c>
      <c r="J103" s="369">
        <f t="shared" si="114"/>
        <v>15138069.196570175</v>
      </c>
      <c r="K103" s="369">
        <f t="shared" si="115"/>
        <v>20048305</v>
      </c>
      <c r="L103" s="1103"/>
      <c r="M103" s="359"/>
      <c r="N103" s="1079">
        <v>0.39999999999999997</v>
      </c>
      <c r="O103" s="1079">
        <v>0.05</v>
      </c>
      <c r="P103" s="964">
        <f t="shared" si="116"/>
        <v>0.44999999999999996</v>
      </c>
      <c r="Q103" s="1083">
        <f t="shared" si="117"/>
        <v>8019321.9999999991</v>
      </c>
      <c r="R103" s="1083">
        <f t="shared" si="118"/>
        <v>1002415.25</v>
      </c>
      <c r="S103" s="1083">
        <f t="shared" si="119"/>
        <v>9021737.25</v>
      </c>
      <c r="T103" s="962">
        <f t="shared" si="120"/>
        <v>2209606.1115434216</v>
      </c>
      <c r="U103" s="962">
        <f t="shared" si="121"/>
        <v>6812131.1384565784</v>
      </c>
      <c r="V103" s="962">
        <f t="shared" si="122"/>
        <v>9021737.25</v>
      </c>
    </row>
    <row r="104" spans="1:22" s="425" customFormat="1" ht="13" outlineLevel="1" x14ac:dyDescent="0.3">
      <c r="A104" s="446" t="s">
        <v>130</v>
      </c>
      <c r="B104" s="407">
        <v>18.04</v>
      </c>
      <c r="C104" s="1101" t="s">
        <v>351</v>
      </c>
      <c r="D104" s="1102" t="s">
        <v>111</v>
      </c>
      <c r="E104" s="371">
        <v>35</v>
      </c>
      <c r="F104" s="371">
        <f>'01 (2)'!I136*'01 (2)'!$N$3</f>
        <v>21104.165344254263</v>
      </c>
      <c r="G104" s="371">
        <f t="shared" si="112"/>
        <v>43375.834655745741</v>
      </c>
      <c r="H104" s="369">
        <v>64480</v>
      </c>
      <c r="I104" s="369">
        <f t="shared" si="113"/>
        <v>738645.78704889922</v>
      </c>
      <c r="J104" s="369">
        <f t="shared" si="114"/>
        <v>1518154.2129511009</v>
      </c>
      <c r="K104" s="369">
        <f t="shared" si="115"/>
        <v>2256800</v>
      </c>
      <c r="L104" s="1103"/>
      <c r="M104" s="359"/>
      <c r="N104" s="1091">
        <v>0.39999999999999997</v>
      </c>
      <c r="O104" s="1091">
        <v>0.1</v>
      </c>
      <c r="P104" s="964">
        <f t="shared" si="116"/>
        <v>0.5</v>
      </c>
      <c r="Q104" s="1083">
        <f t="shared" si="117"/>
        <v>902719.99999999988</v>
      </c>
      <c r="R104" s="1083">
        <f t="shared" si="118"/>
        <v>225680</v>
      </c>
      <c r="S104" s="1083">
        <f t="shared" si="119"/>
        <v>1128400</v>
      </c>
      <c r="T104" s="962">
        <f t="shared" si="120"/>
        <v>369322.89352444961</v>
      </c>
      <c r="U104" s="962">
        <f t="shared" si="121"/>
        <v>759077.10647555045</v>
      </c>
      <c r="V104" s="962">
        <f t="shared" si="122"/>
        <v>1128400</v>
      </c>
    </row>
    <row r="105" spans="1:22" s="425" customFormat="1" ht="13" outlineLevel="1" x14ac:dyDescent="0.3">
      <c r="A105" s="445" t="s">
        <v>130</v>
      </c>
      <c r="B105" s="407">
        <v>18.05</v>
      </c>
      <c r="C105" s="1101" t="s">
        <v>352</v>
      </c>
      <c r="D105" s="1102" t="s">
        <v>111</v>
      </c>
      <c r="E105" s="371">
        <v>16</v>
      </c>
      <c r="F105" s="371">
        <f>'01 (2)'!I137*'01 (2)'!$N$3</f>
        <v>14069.443562836177</v>
      </c>
      <c r="G105" s="371">
        <f t="shared" si="112"/>
        <v>43375.556437163825</v>
      </c>
      <c r="H105" s="369">
        <v>57445</v>
      </c>
      <c r="I105" s="369">
        <f t="shared" si="113"/>
        <v>225111.09700537883</v>
      </c>
      <c r="J105" s="369">
        <f t="shared" si="114"/>
        <v>694008.9029946212</v>
      </c>
      <c r="K105" s="369">
        <f t="shared" si="115"/>
        <v>919120</v>
      </c>
      <c r="L105" s="1103"/>
      <c r="M105" s="359"/>
      <c r="N105" s="1091">
        <v>0.39999999999999997</v>
      </c>
      <c r="O105" s="1091">
        <v>0.1</v>
      </c>
      <c r="P105" s="964">
        <f t="shared" si="116"/>
        <v>0.5</v>
      </c>
      <c r="Q105" s="1083">
        <f t="shared" si="117"/>
        <v>367647.99999999994</v>
      </c>
      <c r="R105" s="1083">
        <f t="shared" si="118"/>
        <v>91912</v>
      </c>
      <c r="S105" s="1083">
        <f t="shared" si="119"/>
        <v>459560</v>
      </c>
      <c r="T105" s="962">
        <f t="shared" si="120"/>
        <v>112555.54850268942</v>
      </c>
      <c r="U105" s="962">
        <f t="shared" si="121"/>
        <v>347004.4514973106</v>
      </c>
      <c r="V105" s="962">
        <f t="shared" si="122"/>
        <v>459560</v>
      </c>
    </row>
    <row r="106" spans="1:22" s="425" customFormat="1" ht="13" outlineLevel="1" x14ac:dyDescent="0.3">
      <c r="A106" s="446" t="s">
        <v>130</v>
      </c>
      <c r="B106" s="407">
        <v>18.059999999999999</v>
      </c>
      <c r="C106" s="1101" t="s">
        <v>741</v>
      </c>
      <c r="D106" s="1102" t="s">
        <v>111</v>
      </c>
      <c r="E106" s="371">
        <v>16</v>
      </c>
      <c r="F106" s="371">
        <f>'01 (2)'!I138*'01 (2)'!$N$3</f>
        <v>14069.443562836177</v>
      </c>
      <c r="G106" s="371">
        <f t="shared" si="112"/>
        <v>43375.556437163825</v>
      </c>
      <c r="H106" s="369">
        <v>57445</v>
      </c>
      <c r="I106" s="369">
        <f t="shared" si="113"/>
        <v>225111.09700537883</v>
      </c>
      <c r="J106" s="369">
        <f t="shared" si="114"/>
        <v>694008.9029946212</v>
      </c>
      <c r="K106" s="369">
        <f t="shared" si="115"/>
        <v>919120</v>
      </c>
      <c r="L106" s="1103"/>
      <c r="M106" s="359"/>
      <c r="N106" s="1091">
        <v>0.4</v>
      </c>
      <c r="O106" s="1091">
        <v>0.1</v>
      </c>
      <c r="P106" s="964">
        <f t="shared" si="116"/>
        <v>0.5</v>
      </c>
      <c r="Q106" s="1083">
        <f t="shared" si="117"/>
        <v>367648</v>
      </c>
      <c r="R106" s="1083">
        <f t="shared" si="118"/>
        <v>91912</v>
      </c>
      <c r="S106" s="1083">
        <f t="shared" si="119"/>
        <v>459560</v>
      </c>
      <c r="T106" s="962">
        <f t="shared" si="120"/>
        <v>112555.54850268942</v>
      </c>
      <c r="U106" s="962">
        <f t="shared" si="121"/>
        <v>347004.4514973106</v>
      </c>
      <c r="V106" s="962">
        <f t="shared" si="122"/>
        <v>459560</v>
      </c>
    </row>
    <row r="107" spans="1:22" s="425" customFormat="1" ht="13" outlineLevel="1" x14ac:dyDescent="0.3">
      <c r="A107" s="445" t="s">
        <v>130</v>
      </c>
      <c r="B107" s="407">
        <v>18.07</v>
      </c>
      <c r="C107" s="1101" t="s">
        <v>353</v>
      </c>
      <c r="D107" s="1102" t="s">
        <v>111</v>
      </c>
      <c r="E107" s="371">
        <v>46</v>
      </c>
      <c r="F107" s="371">
        <f>'01 (2)'!I139*'01 (2)'!$N$3</f>
        <v>12428.72583655197</v>
      </c>
      <c r="G107" s="371">
        <f t="shared" si="112"/>
        <v>30784.27416344803</v>
      </c>
      <c r="H107" s="369">
        <v>43213</v>
      </c>
      <c r="I107" s="369">
        <f t="shared" si="113"/>
        <v>571721.38848139066</v>
      </c>
      <c r="J107" s="369">
        <f t="shared" si="114"/>
        <v>1416076.6115186093</v>
      </c>
      <c r="K107" s="369">
        <f t="shared" si="115"/>
        <v>1987798</v>
      </c>
      <c r="L107" s="1103"/>
      <c r="M107" s="359"/>
      <c r="N107" s="1091">
        <v>0.39999999999999997</v>
      </c>
      <c r="O107" s="1091">
        <v>0.1</v>
      </c>
      <c r="P107" s="964">
        <f t="shared" si="116"/>
        <v>0.5</v>
      </c>
      <c r="Q107" s="1083">
        <f t="shared" si="117"/>
        <v>795119.2</v>
      </c>
      <c r="R107" s="1083">
        <f t="shared" si="118"/>
        <v>198779.80000000002</v>
      </c>
      <c r="S107" s="1083">
        <f t="shared" si="119"/>
        <v>993899</v>
      </c>
      <c r="T107" s="962">
        <f t="shared" si="120"/>
        <v>285860.69424069533</v>
      </c>
      <c r="U107" s="962">
        <f t="shared" si="121"/>
        <v>708038.30575930467</v>
      </c>
      <c r="V107" s="962">
        <f t="shared" si="122"/>
        <v>993899</v>
      </c>
    </row>
    <row r="108" spans="1:22" s="425" customFormat="1" ht="13" outlineLevel="1" x14ac:dyDescent="0.3">
      <c r="A108" s="446" t="s">
        <v>130</v>
      </c>
      <c r="B108" s="407">
        <v>18.079999999999998</v>
      </c>
      <c r="C108" s="1101" t="s">
        <v>354</v>
      </c>
      <c r="D108" s="1102" t="s">
        <v>111</v>
      </c>
      <c r="E108" s="371">
        <v>17</v>
      </c>
      <c r="F108" s="371">
        <f>'01 (2)'!I140*'01 (2)'!$N$3</f>
        <v>12428.72583655197</v>
      </c>
      <c r="G108" s="371">
        <f t="shared" si="112"/>
        <v>30784.27416344803</v>
      </c>
      <c r="H108" s="369">
        <v>43213</v>
      </c>
      <c r="I108" s="369">
        <f t="shared" si="113"/>
        <v>211288.3392213835</v>
      </c>
      <c r="J108" s="369">
        <f t="shared" si="114"/>
        <v>523332.6607786165</v>
      </c>
      <c r="K108" s="369">
        <f t="shared" si="115"/>
        <v>734621</v>
      </c>
      <c r="L108" s="1103"/>
      <c r="M108" s="359"/>
      <c r="N108" s="1079">
        <v>0.39999999999999997</v>
      </c>
      <c r="O108" s="1079">
        <v>0.1</v>
      </c>
      <c r="P108" s="964">
        <f t="shared" si="116"/>
        <v>0.5</v>
      </c>
      <c r="Q108" s="1083">
        <f t="shared" si="117"/>
        <v>293848.39999999997</v>
      </c>
      <c r="R108" s="1083">
        <f t="shared" si="118"/>
        <v>73462.100000000006</v>
      </c>
      <c r="S108" s="1083">
        <f t="shared" si="119"/>
        <v>367310.5</v>
      </c>
      <c r="T108" s="962">
        <f t="shared" si="120"/>
        <v>105644.16961069175</v>
      </c>
      <c r="U108" s="962">
        <f t="shared" si="121"/>
        <v>261666.33038930825</v>
      </c>
      <c r="V108" s="962">
        <f t="shared" si="122"/>
        <v>367310.5</v>
      </c>
    </row>
    <row r="109" spans="1:22" s="425" customFormat="1" ht="13" outlineLevel="1" x14ac:dyDescent="0.3">
      <c r="A109" s="445" t="s">
        <v>130</v>
      </c>
      <c r="B109" s="407">
        <v>18.09</v>
      </c>
      <c r="C109" s="1101" t="s">
        <v>355</v>
      </c>
      <c r="D109" s="1102" t="s">
        <v>111</v>
      </c>
      <c r="E109" s="371">
        <v>11</v>
      </c>
      <c r="F109" s="371">
        <f>'01 (2)'!I141*'01 (2)'!$N$3</f>
        <v>12428.72583655197</v>
      </c>
      <c r="G109" s="371">
        <f t="shared" si="112"/>
        <v>30784.27416344803</v>
      </c>
      <c r="H109" s="369">
        <v>43213</v>
      </c>
      <c r="I109" s="369">
        <f t="shared" si="113"/>
        <v>136715.98420207168</v>
      </c>
      <c r="J109" s="369">
        <f t="shared" si="114"/>
        <v>338627.01579792832</v>
      </c>
      <c r="K109" s="369">
        <f t="shared" si="115"/>
        <v>475343</v>
      </c>
      <c r="L109" s="1103"/>
      <c r="M109" s="359"/>
      <c r="N109" s="1079">
        <v>0.65</v>
      </c>
      <c r="O109" s="1079"/>
      <c r="P109" s="964">
        <f t="shared" si="116"/>
        <v>0.65</v>
      </c>
      <c r="Q109" s="1083">
        <f t="shared" si="117"/>
        <v>308972.95</v>
      </c>
      <c r="R109" s="1083">
        <f t="shared" si="118"/>
        <v>0</v>
      </c>
      <c r="S109" s="1083">
        <f t="shared" si="119"/>
        <v>308972.95</v>
      </c>
      <c r="T109" s="962">
        <f t="shared" si="120"/>
        <v>88865.389731346586</v>
      </c>
      <c r="U109" s="962">
        <f t="shared" si="121"/>
        <v>220107.56026865341</v>
      </c>
      <c r="V109" s="962">
        <f t="shared" si="122"/>
        <v>308972.95</v>
      </c>
    </row>
    <row r="110" spans="1:22" s="425" customFormat="1" ht="13" outlineLevel="1" x14ac:dyDescent="0.3">
      <c r="A110" s="446" t="s">
        <v>130</v>
      </c>
      <c r="B110" s="407">
        <v>18.100000000000001</v>
      </c>
      <c r="C110" s="1101" t="s">
        <v>356</v>
      </c>
      <c r="D110" s="1102" t="s">
        <v>111</v>
      </c>
      <c r="E110" s="371">
        <v>1</v>
      </c>
      <c r="F110" s="371">
        <f>'01 (2)'!I142*'01 (2)'!$N$3</f>
        <v>1915693.8124501465</v>
      </c>
      <c r="G110" s="371">
        <f t="shared" si="112"/>
        <v>449406.18754985346</v>
      </c>
      <c r="H110" s="369">
        <v>2365100</v>
      </c>
      <c r="I110" s="369">
        <f t="shared" si="113"/>
        <v>1915693.8124501465</v>
      </c>
      <c r="J110" s="369">
        <f t="shared" si="114"/>
        <v>449406.18754985346</v>
      </c>
      <c r="K110" s="369">
        <f t="shared" si="115"/>
        <v>2365100</v>
      </c>
      <c r="L110" s="1103"/>
      <c r="M110" s="359"/>
      <c r="N110" s="1091">
        <v>0</v>
      </c>
      <c r="O110" s="1091"/>
      <c r="P110" s="964">
        <f t="shared" si="116"/>
        <v>0</v>
      </c>
      <c r="Q110" s="1083">
        <f t="shared" si="117"/>
        <v>0</v>
      </c>
      <c r="R110" s="1083">
        <f t="shared" si="118"/>
        <v>0</v>
      </c>
      <c r="S110" s="1083">
        <f t="shared" si="119"/>
        <v>0</v>
      </c>
      <c r="T110" s="962">
        <f t="shared" si="120"/>
        <v>0</v>
      </c>
      <c r="U110" s="962">
        <f t="shared" si="121"/>
        <v>0</v>
      </c>
      <c r="V110" s="962">
        <f t="shared" si="122"/>
        <v>0</v>
      </c>
    </row>
    <row r="111" spans="1:22" s="425" customFormat="1" ht="13" outlineLevel="1" x14ac:dyDescent="0.3">
      <c r="A111" s="445" t="s">
        <v>130</v>
      </c>
      <c r="B111" s="407">
        <v>18.11</v>
      </c>
      <c r="C111" s="1101" t="s">
        <v>357</v>
      </c>
      <c r="D111" s="1102" t="s">
        <v>111</v>
      </c>
      <c r="E111" s="371">
        <v>1</v>
      </c>
      <c r="F111" s="371">
        <f>'01 (2)'!I143*'01 (2)'!$N$3</f>
        <v>819388.89025190647</v>
      </c>
      <c r="G111" s="371">
        <f t="shared" si="112"/>
        <v>292751.10974809353</v>
      </c>
      <c r="H111" s="369">
        <v>1112140</v>
      </c>
      <c r="I111" s="369">
        <f t="shared" si="113"/>
        <v>819388.89025190647</v>
      </c>
      <c r="J111" s="369">
        <f t="shared" si="114"/>
        <v>292751.10974809353</v>
      </c>
      <c r="K111" s="369">
        <f t="shared" si="115"/>
        <v>1112140</v>
      </c>
      <c r="L111" s="1103"/>
      <c r="M111" s="359"/>
      <c r="N111" s="1079">
        <v>0</v>
      </c>
      <c r="O111" s="1079"/>
      <c r="P111" s="964">
        <f t="shared" si="116"/>
        <v>0</v>
      </c>
      <c r="Q111" s="1083">
        <f t="shared" si="117"/>
        <v>0</v>
      </c>
      <c r="R111" s="1083">
        <f t="shared" si="118"/>
        <v>0</v>
      </c>
      <c r="S111" s="1083">
        <f t="shared" si="119"/>
        <v>0</v>
      </c>
      <c r="T111" s="962">
        <f t="shared" si="120"/>
        <v>0</v>
      </c>
      <c r="U111" s="962">
        <f t="shared" si="121"/>
        <v>0</v>
      </c>
      <c r="V111" s="962">
        <f t="shared" si="122"/>
        <v>0</v>
      </c>
    </row>
    <row r="112" spans="1:22" s="425" customFormat="1" ht="13" outlineLevel="1" x14ac:dyDescent="0.3">
      <c r="A112" s="446" t="s">
        <v>130</v>
      </c>
      <c r="B112" s="407">
        <v>18.12</v>
      </c>
      <c r="C112" s="1101" t="s">
        <v>358</v>
      </c>
      <c r="D112" s="1102" t="s">
        <v>111</v>
      </c>
      <c r="E112" s="371">
        <v>1</v>
      </c>
      <c r="F112" s="371">
        <f>'01 (2)'!I144*'01 (2)'!$N$3</f>
        <v>382801.65168546693</v>
      </c>
      <c r="G112" s="371">
        <f t="shared" si="112"/>
        <v>286202.34831453307</v>
      </c>
      <c r="H112" s="369">
        <v>669004</v>
      </c>
      <c r="I112" s="369">
        <f t="shared" si="113"/>
        <v>382801.65168546693</v>
      </c>
      <c r="J112" s="369">
        <f t="shared" si="114"/>
        <v>286202.34831453307</v>
      </c>
      <c r="K112" s="369">
        <f t="shared" si="115"/>
        <v>669004</v>
      </c>
      <c r="L112" s="1103"/>
      <c r="M112" s="359"/>
      <c r="N112" s="1079">
        <v>0</v>
      </c>
      <c r="O112" s="1079"/>
      <c r="P112" s="964">
        <f t="shared" si="116"/>
        <v>0</v>
      </c>
      <c r="Q112" s="1083">
        <f t="shared" si="117"/>
        <v>0</v>
      </c>
      <c r="R112" s="1083">
        <f t="shared" si="118"/>
        <v>0</v>
      </c>
      <c r="S112" s="1083">
        <f t="shared" si="119"/>
        <v>0</v>
      </c>
      <c r="T112" s="962">
        <f t="shared" si="120"/>
        <v>0</v>
      </c>
      <c r="U112" s="962">
        <f t="shared" si="121"/>
        <v>0</v>
      </c>
      <c r="V112" s="962">
        <f t="shared" si="122"/>
        <v>0</v>
      </c>
    </row>
    <row r="113" spans="1:22" s="425" customFormat="1" ht="13" outlineLevel="1" x14ac:dyDescent="0.3">
      <c r="A113" s="445" t="s">
        <v>130</v>
      </c>
      <c r="B113" s="407">
        <v>18.13</v>
      </c>
      <c r="C113" s="1101" t="s">
        <v>359</v>
      </c>
      <c r="D113" s="1102" t="s">
        <v>111</v>
      </c>
      <c r="E113" s="371">
        <v>1</v>
      </c>
      <c r="F113" s="371">
        <f>'01 (2)'!I145*'01 (2)'!$N$3</f>
        <v>679604.78135942435</v>
      </c>
      <c r="G113" s="371">
        <f t="shared" si="112"/>
        <v>290654.21864057565</v>
      </c>
      <c r="H113" s="369">
        <v>970259</v>
      </c>
      <c r="I113" s="369">
        <f t="shared" si="113"/>
        <v>679604.78135942435</v>
      </c>
      <c r="J113" s="369">
        <f t="shared" si="114"/>
        <v>290654.21864057565</v>
      </c>
      <c r="K113" s="369">
        <f t="shared" si="115"/>
        <v>970259</v>
      </c>
      <c r="L113" s="1103"/>
      <c r="M113" s="359"/>
      <c r="N113" s="1091">
        <v>0</v>
      </c>
      <c r="O113" s="1091"/>
      <c r="P113" s="964">
        <f t="shared" si="116"/>
        <v>0</v>
      </c>
      <c r="Q113" s="1083">
        <f t="shared" si="117"/>
        <v>0</v>
      </c>
      <c r="R113" s="1083">
        <f t="shared" si="118"/>
        <v>0</v>
      </c>
      <c r="S113" s="1083">
        <f t="shared" si="119"/>
        <v>0</v>
      </c>
      <c r="T113" s="962">
        <f t="shared" si="120"/>
        <v>0</v>
      </c>
      <c r="U113" s="962">
        <f t="shared" si="121"/>
        <v>0</v>
      </c>
      <c r="V113" s="962">
        <f t="shared" si="122"/>
        <v>0</v>
      </c>
    </row>
    <row r="114" spans="1:22" s="425" customFormat="1" ht="13" outlineLevel="1" x14ac:dyDescent="0.3">
      <c r="A114" s="446" t="s">
        <v>130</v>
      </c>
      <c r="B114" s="407">
        <v>18.14</v>
      </c>
      <c r="C114" s="1101" t="s">
        <v>360</v>
      </c>
      <c r="D114" s="1102" t="s">
        <v>111</v>
      </c>
      <c r="E114" s="371">
        <v>1</v>
      </c>
      <c r="F114" s="371">
        <f>'01 (2)'!I146*'01 (2)'!$N$3</f>
        <v>224076.64489986698</v>
      </c>
      <c r="G114" s="371">
        <f t="shared" si="112"/>
        <v>283821.35510013299</v>
      </c>
      <c r="H114" s="369">
        <v>507898</v>
      </c>
      <c r="I114" s="369">
        <f t="shared" si="113"/>
        <v>224076.64489986698</v>
      </c>
      <c r="J114" s="369">
        <f t="shared" si="114"/>
        <v>283821.35510013299</v>
      </c>
      <c r="K114" s="369">
        <f t="shared" si="115"/>
        <v>507898</v>
      </c>
      <c r="L114" s="1103"/>
      <c r="M114" s="359"/>
      <c r="N114" s="1079">
        <v>0</v>
      </c>
      <c r="O114" s="1079"/>
      <c r="P114" s="964">
        <f t="shared" si="116"/>
        <v>0</v>
      </c>
      <c r="Q114" s="1083">
        <f t="shared" si="117"/>
        <v>0</v>
      </c>
      <c r="R114" s="1083">
        <f t="shared" si="118"/>
        <v>0</v>
      </c>
      <c r="S114" s="1083">
        <f t="shared" si="119"/>
        <v>0</v>
      </c>
      <c r="T114" s="962">
        <f t="shared" si="120"/>
        <v>0</v>
      </c>
      <c r="U114" s="962">
        <f t="shared" si="121"/>
        <v>0</v>
      </c>
      <c r="V114" s="962">
        <f t="shared" si="122"/>
        <v>0</v>
      </c>
    </row>
    <row r="115" spans="1:22" s="425" customFormat="1" ht="13" outlineLevel="1" x14ac:dyDescent="0.3">
      <c r="A115" s="445" t="s">
        <v>130</v>
      </c>
      <c r="B115" s="407">
        <v>18.149999999999999</v>
      </c>
      <c r="C115" s="1101" t="s">
        <v>361</v>
      </c>
      <c r="D115" s="1102" t="s">
        <v>111</v>
      </c>
      <c r="E115" s="371">
        <v>7</v>
      </c>
      <c r="F115" s="371">
        <f>'01 (2)'!I147*'01 (2)'!$N$3</f>
        <v>224076.64489986698</v>
      </c>
      <c r="G115" s="371">
        <f t="shared" si="112"/>
        <v>283821.35510013299</v>
      </c>
      <c r="H115" s="369">
        <v>507898</v>
      </c>
      <c r="I115" s="369">
        <f t="shared" si="113"/>
        <v>1568536.5142990688</v>
      </c>
      <c r="J115" s="369">
        <f t="shared" si="114"/>
        <v>1986749.4857009309</v>
      </c>
      <c r="K115" s="369">
        <f t="shared" si="115"/>
        <v>3555286</v>
      </c>
      <c r="L115" s="1103"/>
      <c r="M115" s="359"/>
      <c r="N115" s="1079">
        <v>0.05</v>
      </c>
      <c r="O115" s="1079"/>
      <c r="P115" s="964">
        <f t="shared" si="116"/>
        <v>0.05</v>
      </c>
      <c r="Q115" s="1083">
        <f t="shared" si="117"/>
        <v>177764.30000000002</v>
      </c>
      <c r="R115" s="1083">
        <f t="shared" si="118"/>
        <v>0</v>
      </c>
      <c r="S115" s="1083">
        <f t="shared" si="119"/>
        <v>177764.30000000002</v>
      </c>
      <c r="T115" s="962">
        <f t="shared" si="120"/>
        <v>78426.825714953447</v>
      </c>
      <c r="U115" s="962">
        <f t="shared" si="121"/>
        <v>99337.474285046555</v>
      </c>
      <c r="V115" s="962">
        <f t="shared" si="122"/>
        <v>177764.3</v>
      </c>
    </row>
    <row r="116" spans="1:22" s="425" customFormat="1" ht="13" outlineLevel="1" x14ac:dyDescent="0.3">
      <c r="A116" s="446" t="s">
        <v>130</v>
      </c>
      <c r="B116" s="407">
        <v>18.16</v>
      </c>
      <c r="C116" s="1101" t="s">
        <v>362</v>
      </c>
      <c r="D116" s="1102" t="s">
        <v>111</v>
      </c>
      <c r="E116" s="371">
        <v>9</v>
      </c>
      <c r="F116" s="371">
        <f>'01 (2)'!I148*'01 (2)'!$N$3</f>
        <v>310381.75602396176</v>
      </c>
      <c r="G116" s="371">
        <f t="shared" si="112"/>
        <v>285116.24397603824</v>
      </c>
      <c r="H116" s="369">
        <v>595498</v>
      </c>
      <c r="I116" s="369">
        <f t="shared" si="113"/>
        <v>2793435.8042156557</v>
      </c>
      <c r="J116" s="369">
        <f t="shared" si="114"/>
        <v>2566046.1957843443</v>
      </c>
      <c r="K116" s="369">
        <f t="shared" si="115"/>
        <v>5359482</v>
      </c>
      <c r="L116" s="1103"/>
      <c r="M116" s="359"/>
      <c r="N116" s="1091">
        <v>0.05</v>
      </c>
      <c r="O116" s="1091"/>
      <c r="P116" s="964">
        <f t="shared" si="116"/>
        <v>0.05</v>
      </c>
      <c r="Q116" s="1083">
        <f t="shared" si="117"/>
        <v>267974.10000000003</v>
      </c>
      <c r="R116" s="1083">
        <f t="shared" si="118"/>
        <v>0</v>
      </c>
      <c r="S116" s="1083">
        <f t="shared" si="119"/>
        <v>267974.10000000003</v>
      </c>
      <c r="T116" s="962">
        <f t="shared" si="120"/>
        <v>139671.79021078278</v>
      </c>
      <c r="U116" s="962">
        <f t="shared" si="121"/>
        <v>128302.30978921722</v>
      </c>
      <c r="V116" s="962">
        <f t="shared" si="122"/>
        <v>267974.09999999998</v>
      </c>
    </row>
    <row r="117" spans="1:22" s="425" customFormat="1" ht="13" outlineLevel="1" x14ac:dyDescent="0.3">
      <c r="A117" s="445" t="s">
        <v>130</v>
      </c>
      <c r="B117" s="407">
        <v>18.170000000000002</v>
      </c>
      <c r="C117" s="1101" t="s">
        <v>363</v>
      </c>
      <c r="D117" s="1102" t="s">
        <v>107</v>
      </c>
      <c r="E117" s="371">
        <v>1</v>
      </c>
      <c r="F117" s="371">
        <f>'01 (2)'!I149*'01 (2)'!$N$3</f>
        <v>6912854.1324507818</v>
      </c>
      <c r="G117" s="371">
        <f t="shared" si="112"/>
        <v>2589409.8675492182</v>
      </c>
      <c r="H117" s="369">
        <v>9502264</v>
      </c>
      <c r="I117" s="369">
        <f t="shared" si="113"/>
        <v>6912854.1324507818</v>
      </c>
      <c r="J117" s="369">
        <f t="shared" si="114"/>
        <v>2589409.8675492182</v>
      </c>
      <c r="K117" s="369">
        <f t="shared" si="115"/>
        <v>9502264</v>
      </c>
      <c r="L117" s="1103"/>
      <c r="M117" s="359"/>
      <c r="N117" s="1079">
        <v>0</v>
      </c>
      <c r="O117" s="1079"/>
      <c r="P117" s="964">
        <f t="shared" si="116"/>
        <v>0</v>
      </c>
      <c r="Q117" s="1083">
        <f t="shared" si="117"/>
        <v>0</v>
      </c>
      <c r="R117" s="1083">
        <f t="shared" si="118"/>
        <v>0</v>
      </c>
      <c r="S117" s="1083">
        <f t="shared" si="119"/>
        <v>0</v>
      </c>
      <c r="T117" s="962">
        <f t="shared" si="120"/>
        <v>0</v>
      </c>
      <c r="U117" s="962">
        <f t="shared" si="121"/>
        <v>0</v>
      </c>
      <c r="V117" s="962">
        <f t="shared" si="122"/>
        <v>0</v>
      </c>
    </row>
    <row r="118" spans="1:22" s="425" customFormat="1" ht="13" outlineLevel="1" x14ac:dyDescent="0.3">
      <c r="A118" s="446" t="s">
        <v>130</v>
      </c>
      <c r="B118" s="407">
        <v>18.18</v>
      </c>
      <c r="C118" s="1101" t="s">
        <v>364</v>
      </c>
      <c r="D118" s="1102" t="s">
        <v>107</v>
      </c>
      <c r="E118" s="371">
        <v>1</v>
      </c>
      <c r="F118" s="371">
        <f>'01 (2)'!I150*'01 (2)'!$N$3</f>
        <v>763934.32875782147</v>
      </c>
      <c r="G118" s="371">
        <f t="shared" si="112"/>
        <v>1114599.6712421784</v>
      </c>
      <c r="H118" s="369">
        <v>1878534</v>
      </c>
      <c r="I118" s="369">
        <f t="shared" si="113"/>
        <v>763934.32875782147</v>
      </c>
      <c r="J118" s="369">
        <f t="shared" si="114"/>
        <v>1114599.6712421784</v>
      </c>
      <c r="K118" s="369">
        <f t="shared" si="115"/>
        <v>1878534</v>
      </c>
      <c r="L118" s="1103"/>
      <c r="M118" s="359"/>
      <c r="N118" s="1079">
        <v>0</v>
      </c>
      <c r="O118" s="1079"/>
      <c r="P118" s="964">
        <f t="shared" si="116"/>
        <v>0</v>
      </c>
      <c r="Q118" s="1083">
        <f t="shared" si="117"/>
        <v>0</v>
      </c>
      <c r="R118" s="1083">
        <f t="shared" si="118"/>
        <v>0</v>
      </c>
      <c r="S118" s="1083">
        <f t="shared" si="119"/>
        <v>0</v>
      </c>
      <c r="T118" s="962">
        <f t="shared" si="120"/>
        <v>0</v>
      </c>
      <c r="U118" s="962">
        <f t="shared" si="121"/>
        <v>0</v>
      </c>
      <c r="V118" s="962">
        <f t="shared" si="122"/>
        <v>0</v>
      </c>
    </row>
    <row r="119" spans="1:22" s="425" customFormat="1" ht="13" outlineLevel="1" x14ac:dyDescent="0.3">
      <c r="A119" s="445" t="s">
        <v>130</v>
      </c>
      <c r="B119" s="407">
        <v>18.190000000000001</v>
      </c>
      <c r="C119" s="1101" t="s">
        <v>365</v>
      </c>
      <c r="D119" s="1102" t="s">
        <v>107</v>
      </c>
      <c r="E119" s="371">
        <v>1</v>
      </c>
      <c r="F119" s="371">
        <f>'01 (2)'!I151*'01 (2)'!$N$3</f>
        <v>763934.32875782147</v>
      </c>
      <c r="G119" s="371">
        <f t="shared" si="112"/>
        <v>1114599.6712421784</v>
      </c>
      <c r="H119" s="369">
        <v>1878534</v>
      </c>
      <c r="I119" s="369">
        <f t="shared" si="113"/>
        <v>763934.32875782147</v>
      </c>
      <c r="J119" s="369">
        <f t="shared" si="114"/>
        <v>1114599.6712421784</v>
      </c>
      <c r="K119" s="369">
        <f t="shared" si="115"/>
        <v>1878534</v>
      </c>
      <c r="L119" s="1103"/>
      <c r="M119" s="359"/>
      <c r="N119" s="1091">
        <v>0</v>
      </c>
      <c r="O119" s="1091"/>
      <c r="P119" s="964">
        <f t="shared" si="116"/>
        <v>0</v>
      </c>
      <c r="Q119" s="1083">
        <f t="shared" si="117"/>
        <v>0</v>
      </c>
      <c r="R119" s="1083">
        <f t="shared" si="118"/>
        <v>0</v>
      </c>
      <c r="S119" s="1083">
        <f t="shared" si="119"/>
        <v>0</v>
      </c>
      <c r="T119" s="962">
        <f t="shared" si="120"/>
        <v>0</v>
      </c>
      <c r="U119" s="962">
        <f t="shared" si="121"/>
        <v>0</v>
      </c>
      <c r="V119" s="962">
        <f t="shared" si="122"/>
        <v>0</v>
      </c>
    </row>
    <row r="120" spans="1:22" s="425" customFormat="1" ht="13" outlineLevel="1" x14ac:dyDescent="0.3">
      <c r="A120" s="446" t="s">
        <v>130</v>
      </c>
      <c r="B120" s="407">
        <v>18.2</v>
      </c>
      <c r="C120" s="1101" t="s">
        <v>742</v>
      </c>
      <c r="D120" s="1102" t="s">
        <v>111</v>
      </c>
      <c r="E120" s="371">
        <v>33</v>
      </c>
      <c r="F120" s="371">
        <f>'01 (2)'!I152*'01 (2)'!$N$3</f>
        <v>0</v>
      </c>
      <c r="G120" s="371">
        <f t="shared" si="112"/>
        <v>14235</v>
      </c>
      <c r="H120" s="369">
        <v>14235</v>
      </c>
      <c r="I120" s="369">
        <f t="shared" si="113"/>
        <v>0</v>
      </c>
      <c r="J120" s="369">
        <f t="shared" si="114"/>
        <v>469755</v>
      </c>
      <c r="K120" s="369">
        <f t="shared" si="115"/>
        <v>469755</v>
      </c>
      <c r="L120" s="1103"/>
      <c r="M120" s="359"/>
      <c r="N120" s="1079">
        <v>0</v>
      </c>
      <c r="O120" s="1079"/>
      <c r="P120" s="964">
        <f t="shared" si="116"/>
        <v>0</v>
      </c>
      <c r="Q120" s="1083">
        <f t="shared" si="117"/>
        <v>0</v>
      </c>
      <c r="R120" s="1083">
        <f t="shared" si="118"/>
        <v>0</v>
      </c>
      <c r="S120" s="1083">
        <f t="shared" si="119"/>
        <v>0</v>
      </c>
      <c r="T120" s="962">
        <f t="shared" si="120"/>
        <v>0</v>
      </c>
      <c r="U120" s="962">
        <f t="shared" si="121"/>
        <v>0</v>
      </c>
      <c r="V120" s="962">
        <f t="shared" si="122"/>
        <v>0</v>
      </c>
    </row>
    <row r="121" spans="1:22" s="425" customFormat="1" ht="13" outlineLevel="1" x14ac:dyDescent="0.3">
      <c r="A121" s="445" t="s">
        <v>130</v>
      </c>
      <c r="B121" s="407">
        <v>18.21</v>
      </c>
      <c r="C121" s="1101" t="s">
        <v>743</v>
      </c>
      <c r="D121" s="1102" t="s">
        <v>111</v>
      </c>
      <c r="E121" s="371">
        <v>150</v>
      </c>
      <c r="F121" s="371">
        <f>'01 (2)'!I153*'01 (2)'!$N$3</f>
        <v>0</v>
      </c>
      <c r="G121" s="371">
        <f t="shared" si="112"/>
        <v>9276</v>
      </c>
      <c r="H121" s="369">
        <v>9276</v>
      </c>
      <c r="I121" s="369">
        <f t="shared" si="113"/>
        <v>0</v>
      </c>
      <c r="J121" s="369">
        <f t="shared" si="114"/>
        <v>1391400</v>
      </c>
      <c r="K121" s="369">
        <f t="shared" si="115"/>
        <v>1391400</v>
      </c>
      <c r="L121" s="1103"/>
      <c r="M121" s="359"/>
      <c r="N121" s="1079">
        <v>0</v>
      </c>
      <c r="O121" s="1079"/>
      <c r="P121" s="964">
        <f t="shared" si="116"/>
        <v>0</v>
      </c>
      <c r="Q121" s="1083">
        <f t="shared" si="117"/>
        <v>0</v>
      </c>
      <c r="R121" s="1083">
        <f t="shared" si="118"/>
        <v>0</v>
      </c>
      <c r="S121" s="1083">
        <f t="shared" si="119"/>
        <v>0</v>
      </c>
      <c r="T121" s="962">
        <f t="shared" si="120"/>
        <v>0</v>
      </c>
      <c r="U121" s="962">
        <f t="shared" si="121"/>
        <v>0</v>
      </c>
      <c r="V121" s="962">
        <f t="shared" si="122"/>
        <v>0</v>
      </c>
    </row>
    <row r="122" spans="1:22" s="425" customFormat="1" ht="13" outlineLevel="1" x14ac:dyDescent="0.3">
      <c r="A122" s="446" t="s">
        <v>130</v>
      </c>
      <c r="B122" s="407">
        <v>18.22</v>
      </c>
      <c r="C122" s="1101" t="s">
        <v>744</v>
      </c>
      <c r="D122" s="1102" t="s">
        <v>111</v>
      </c>
      <c r="E122" s="371">
        <v>16</v>
      </c>
      <c r="F122" s="371">
        <f>'01 (2)'!I154*'01 (2)'!$N$3</f>
        <v>0</v>
      </c>
      <c r="G122" s="371">
        <f t="shared" si="112"/>
        <v>9276</v>
      </c>
      <c r="H122" s="369">
        <v>9276</v>
      </c>
      <c r="I122" s="369">
        <f t="shared" si="113"/>
        <v>0</v>
      </c>
      <c r="J122" s="369">
        <f t="shared" si="114"/>
        <v>148416</v>
      </c>
      <c r="K122" s="369">
        <f t="shared" si="115"/>
        <v>148416</v>
      </c>
      <c r="L122" s="1103"/>
      <c r="M122" s="359"/>
      <c r="N122" s="1091">
        <v>0</v>
      </c>
      <c r="O122" s="1091"/>
      <c r="P122" s="964">
        <f t="shared" si="116"/>
        <v>0</v>
      </c>
      <c r="Q122" s="1083">
        <f t="shared" si="117"/>
        <v>0</v>
      </c>
      <c r="R122" s="1083">
        <f t="shared" si="118"/>
        <v>0</v>
      </c>
      <c r="S122" s="1083">
        <f t="shared" si="119"/>
        <v>0</v>
      </c>
      <c r="T122" s="962">
        <f t="shared" si="120"/>
        <v>0</v>
      </c>
      <c r="U122" s="962">
        <f t="shared" si="121"/>
        <v>0</v>
      </c>
      <c r="V122" s="962">
        <f t="shared" si="122"/>
        <v>0</v>
      </c>
    </row>
    <row r="123" spans="1:22" s="425" customFormat="1" ht="13" outlineLevel="1" x14ac:dyDescent="0.3">
      <c r="A123" s="445" t="s">
        <v>130</v>
      </c>
      <c r="B123" s="407">
        <v>18.23</v>
      </c>
      <c r="C123" s="1101" t="s">
        <v>745</v>
      </c>
      <c r="D123" s="1102" t="s">
        <v>111</v>
      </c>
      <c r="E123" s="371">
        <v>349</v>
      </c>
      <c r="F123" s="371">
        <f>'01 (2)'!I155*'01 (2)'!$N$3</f>
        <v>0</v>
      </c>
      <c r="G123" s="371">
        <f t="shared" si="112"/>
        <v>9276</v>
      </c>
      <c r="H123" s="369">
        <v>9276</v>
      </c>
      <c r="I123" s="369">
        <f t="shared" si="113"/>
        <v>0</v>
      </c>
      <c r="J123" s="369">
        <f t="shared" si="114"/>
        <v>3237324</v>
      </c>
      <c r="K123" s="369">
        <f t="shared" si="115"/>
        <v>3237324</v>
      </c>
      <c r="L123" s="1103"/>
      <c r="M123" s="359"/>
      <c r="N123" s="1079">
        <v>0</v>
      </c>
      <c r="O123" s="1079"/>
      <c r="P123" s="964">
        <f t="shared" si="116"/>
        <v>0</v>
      </c>
      <c r="Q123" s="1083">
        <f t="shared" si="117"/>
        <v>0</v>
      </c>
      <c r="R123" s="1083">
        <f t="shared" si="118"/>
        <v>0</v>
      </c>
      <c r="S123" s="1083">
        <f t="shared" si="119"/>
        <v>0</v>
      </c>
      <c r="T123" s="962">
        <f t="shared" si="120"/>
        <v>0</v>
      </c>
      <c r="U123" s="962">
        <f t="shared" si="121"/>
        <v>0</v>
      </c>
      <c r="V123" s="962">
        <f t="shared" si="122"/>
        <v>0</v>
      </c>
    </row>
    <row r="124" spans="1:22" s="425" customFormat="1" ht="13" outlineLevel="1" x14ac:dyDescent="0.3">
      <c r="A124" s="446" t="s">
        <v>130</v>
      </c>
      <c r="B124" s="407">
        <v>18.239999999999998</v>
      </c>
      <c r="C124" s="1101" t="s">
        <v>746</v>
      </c>
      <c r="D124" s="1102" t="s">
        <v>111</v>
      </c>
      <c r="E124" s="371">
        <v>27</v>
      </c>
      <c r="F124" s="371">
        <f>'01 (2)'!I156*'01 (2)'!$N$3</f>
        <v>0</v>
      </c>
      <c r="G124" s="371">
        <f t="shared" si="112"/>
        <v>22326</v>
      </c>
      <c r="H124" s="369">
        <v>22326</v>
      </c>
      <c r="I124" s="369">
        <f t="shared" si="113"/>
        <v>0</v>
      </c>
      <c r="J124" s="369">
        <f t="shared" si="114"/>
        <v>602802</v>
      </c>
      <c r="K124" s="369">
        <f t="shared" si="115"/>
        <v>602802</v>
      </c>
      <c r="L124" s="1103"/>
      <c r="M124" s="359"/>
      <c r="N124" s="1079">
        <v>0</v>
      </c>
      <c r="O124" s="1079"/>
      <c r="P124" s="964">
        <f t="shared" si="116"/>
        <v>0</v>
      </c>
      <c r="Q124" s="1083">
        <f t="shared" si="117"/>
        <v>0</v>
      </c>
      <c r="R124" s="1083">
        <f t="shared" si="118"/>
        <v>0</v>
      </c>
      <c r="S124" s="1083">
        <f t="shared" si="119"/>
        <v>0</v>
      </c>
      <c r="T124" s="962">
        <f t="shared" si="120"/>
        <v>0</v>
      </c>
      <c r="U124" s="962">
        <f t="shared" si="121"/>
        <v>0</v>
      </c>
      <c r="V124" s="962">
        <f t="shared" si="122"/>
        <v>0</v>
      </c>
    </row>
    <row r="125" spans="1:22" s="425" customFormat="1" ht="13" outlineLevel="1" x14ac:dyDescent="0.3">
      <c r="A125" s="445" t="s">
        <v>130</v>
      </c>
      <c r="B125" s="407">
        <v>18.25</v>
      </c>
      <c r="C125" s="1101" t="s">
        <v>747</v>
      </c>
      <c r="D125" s="1102" t="s">
        <v>111</v>
      </c>
      <c r="E125" s="371">
        <v>16</v>
      </c>
      <c r="F125" s="371">
        <f>'01 (2)'!I157*'01 (2)'!$N$3</f>
        <v>0</v>
      </c>
      <c r="G125" s="371">
        <f t="shared" si="112"/>
        <v>14235</v>
      </c>
      <c r="H125" s="369">
        <v>14235</v>
      </c>
      <c r="I125" s="369">
        <f t="shared" si="113"/>
        <v>0</v>
      </c>
      <c r="J125" s="369">
        <f t="shared" si="114"/>
        <v>227760</v>
      </c>
      <c r="K125" s="369">
        <f t="shared" si="115"/>
        <v>227760</v>
      </c>
      <c r="L125" s="1103"/>
      <c r="M125" s="359"/>
      <c r="N125" s="1091">
        <v>0</v>
      </c>
      <c r="O125" s="1091"/>
      <c r="P125" s="964">
        <f t="shared" si="116"/>
        <v>0</v>
      </c>
      <c r="Q125" s="1083">
        <f t="shared" si="117"/>
        <v>0</v>
      </c>
      <c r="R125" s="1083">
        <f t="shared" si="118"/>
        <v>0</v>
      </c>
      <c r="S125" s="1083">
        <f t="shared" si="119"/>
        <v>0</v>
      </c>
      <c r="T125" s="962">
        <f t="shared" si="120"/>
        <v>0</v>
      </c>
      <c r="U125" s="962">
        <f t="shared" si="121"/>
        <v>0</v>
      </c>
      <c r="V125" s="962">
        <f t="shared" si="122"/>
        <v>0</v>
      </c>
    </row>
    <row r="126" spans="1:22" s="425" customFormat="1" ht="26" outlineLevel="1" x14ac:dyDescent="0.3">
      <c r="A126" s="446" t="s">
        <v>130</v>
      </c>
      <c r="B126" s="407">
        <v>18.260000000000002</v>
      </c>
      <c r="C126" s="1101" t="s">
        <v>748</v>
      </c>
      <c r="D126" s="1102" t="s">
        <v>111</v>
      </c>
      <c r="E126" s="371">
        <v>137</v>
      </c>
      <c r="F126" s="371">
        <f>'01 (2)'!I158*'01 (2)'!$N$3</f>
        <v>0</v>
      </c>
      <c r="G126" s="371">
        <f t="shared" si="112"/>
        <v>14235</v>
      </c>
      <c r="H126" s="369">
        <v>14235</v>
      </c>
      <c r="I126" s="369">
        <f t="shared" si="113"/>
        <v>0</v>
      </c>
      <c r="J126" s="369">
        <f t="shared" si="114"/>
        <v>1950195</v>
      </c>
      <c r="K126" s="369">
        <f t="shared" si="115"/>
        <v>1950195</v>
      </c>
      <c r="L126" s="1103"/>
      <c r="M126" s="359"/>
      <c r="N126" s="1079">
        <v>0</v>
      </c>
      <c r="O126" s="1079"/>
      <c r="P126" s="964">
        <f t="shared" si="116"/>
        <v>0</v>
      </c>
      <c r="Q126" s="1083">
        <f t="shared" si="117"/>
        <v>0</v>
      </c>
      <c r="R126" s="1083">
        <f t="shared" si="118"/>
        <v>0</v>
      </c>
      <c r="S126" s="1083">
        <f t="shared" si="119"/>
        <v>0</v>
      </c>
      <c r="T126" s="962">
        <f t="shared" si="120"/>
        <v>0</v>
      </c>
      <c r="U126" s="962">
        <f t="shared" si="121"/>
        <v>0</v>
      </c>
      <c r="V126" s="962">
        <f t="shared" si="122"/>
        <v>0</v>
      </c>
    </row>
    <row r="127" spans="1:22" s="425" customFormat="1" ht="13" outlineLevel="1" x14ac:dyDescent="0.3">
      <c r="A127" s="445" t="s">
        <v>130</v>
      </c>
      <c r="B127" s="407">
        <v>18.27</v>
      </c>
      <c r="C127" s="1101" t="s">
        <v>749</v>
      </c>
      <c r="D127" s="1102" t="s">
        <v>111</v>
      </c>
      <c r="E127" s="371">
        <v>1</v>
      </c>
      <c r="F127" s="371">
        <f>'01 (2)'!I159*'01 (2)'!$N$3</f>
        <v>0</v>
      </c>
      <c r="G127" s="371">
        <f t="shared" si="112"/>
        <v>14235</v>
      </c>
      <c r="H127" s="369">
        <v>14235</v>
      </c>
      <c r="I127" s="369">
        <f t="shared" si="113"/>
        <v>0</v>
      </c>
      <c r="J127" s="369">
        <f t="shared" si="114"/>
        <v>14235</v>
      </c>
      <c r="K127" s="369">
        <f t="shared" si="115"/>
        <v>14235</v>
      </c>
      <c r="L127" s="1103"/>
      <c r="M127" s="359"/>
      <c r="N127" s="1079">
        <v>0</v>
      </c>
      <c r="O127" s="1079"/>
      <c r="P127" s="964">
        <f t="shared" si="116"/>
        <v>0</v>
      </c>
      <c r="Q127" s="1083">
        <f t="shared" si="117"/>
        <v>0</v>
      </c>
      <c r="R127" s="1083">
        <f t="shared" si="118"/>
        <v>0</v>
      </c>
      <c r="S127" s="1083">
        <f t="shared" si="119"/>
        <v>0</v>
      </c>
      <c r="T127" s="962">
        <f t="shared" si="120"/>
        <v>0</v>
      </c>
      <c r="U127" s="962">
        <f t="shared" si="121"/>
        <v>0</v>
      </c>
      <c r="V127" s="962">
        <f t="shared" si="122"/>
        <v>0</v>
      </c>
    </row>
    <row r="128" spans="1:22" s="425" customFormat="1" ht="13" outlineLevel="1" x14ac:dyDescent="0.3">
      <c r="A128" s="446" t="s">
        <v>130</v>
      </c>
      <c r="B128" s="407">
        <v>18.28</v>
      </c>
      <c r="C128" s="1101" t="s">
        <v>366</v>
      </c>
      <c r="D128" s="1102" t="s">
        <v>107</v>
      </c>
      <c r="E128" s="371">
        <v>1</v>
      </c>
      <c r="F128" s="371">
        <f>'01 (2)'!I160*'01 (2)'!$N$3</f>
        <v>7346129.4925953718</v>
      </c>
      <c r="G128" s="371">
        <f t="shared" si="112"/>
        <v>1986852.5074046282</v>
      </c>
      <c r="H128" s="369">
        <v>9332982</v>
      </c>
      <c r="I128" s="369">
        <f t="shared" si="113"/>
        <v>7346129.4925953718</v>
      </c>
      <c r="J128" s="369">
        <f t="shared" si="114"/>
        <v>1986852.5074046282</v>
      </c>
      <c r="K128" s="369">
        <f t="shared" si="115"/>
        <v>9332982</v>
      </c>
      <c r="L128" s="1103"/>
      <c r="M128" s="359"/>
      <c r="N128" s="1091">
        <v>0</v>
      </c>
      <c r="O128" s="1091"/>
      <c r="P128" s="964">
        <f t="shared" si="116"/>
        <v>0</v>
      </c>
      <c r="Q128" s="1083">
        <f t="shared" si="117"/>
        <v>0</v>
      </c>
      <c r="R128" s="1083">
        <f t="shared" si="118"/>
        <v>0</v>
      </c>
      <c r="S128" s="1083">
        <f t="shared" si="119"/>
        <v>0</v>
      </c>
      <c r="T128" s="962">
        <f t="shared" si="120"/>
        <v>0</v>
      </c>
      <c r="U128" s="962">
        <f t="shared" si="121"/>
        <v>0</v>
      </c>
      <c r="V128" s="962">
        <f t="shared" si="122"/>
        <v>0</v>
      </c>
    </row>
    <row r="129" spans="1:22" s="425" customFormat="1" ht="13" outlineLevel="1" x14ac:dyDescent="0.3">
      <c r="A129" s="445" t="s">
        <v>130</v>
      </c>
      <c r="B129" s="407">
        <v>18.29</v>
      </c>
      <c r="C129" s="1101" t="s">
        <v>367</v>
      </c>
      <c r="D129" s="1102" t="s">
        <v>107</v>
      </c>
      <c r="E129" s="371">
        <v>1</v>
      </c>
      <c r="F129" s="371">
        <f>'01 (2)'!I161*'01 (2)'!$N$3</f>
        <v>1585572.633865214</v>
      </c>
      <c r="G129" s="371">
        <f t="shared" si="112"/>
        <v>413205.36613478605</v>
      </c>
      <c r="H129" s="369">
        <v>1998778</v>
      </c>
      <c r="I129" s="369">
        <f t="shared" si="113"/>
        <v>1585572.633865214</v>
      </c>
      <c r="J129" s="369">
        <f t="shared" si="114"/>
        <v>413205.36613478605</v>
      </c>
      <c r="K129" s="369">
        <f t="shared" si="115"/>
        <v>1998778</v>
      </c>
      <c r="L129" s="1103"/>
      <c r="M129" s="359"/>
      <c r="N129" s="1079">
        <v>0</v>
      </c>
      <c r="O129" s="1079"/>
      <c r="P129" s="964">
        <f t="shared" si="116"/>
        <v>0</v>
      </c>
      <c r="Q129" s="1083">
        <f t="shared" si="117"/>
        <v>0</v>
      </c>
      <c r="R129" s="1083">
        <f t="shared" si="118"/>
        <v>0</v>
      </c>
      <c r="S129" s="1083">
        <f t="shared" si="119"/>
        <v>0</v>
      </c>
      <c r="T129" s="962">
        <f t="shared" si="120"/>
        <v>0</v>
      </c>
      <c r="U129" s="962">
        <f t="shared" si="121"/>
        <v>0</v>
      </c>
      <c r="V129" s="962">
        <f t="shared" si="122"/>
        <v>0</v>
      </c>
    </row>
    <row r="130" spans="1:22" s="425" customFormat="1" ht="13" outlineLevel="1" x14ac:dyDescent="0.3">
      <c r="A130" s="445" t="s">
        <v>130</v>
      </c>
      <c r="B130" s="408">
        <v>18.3</v>
      </c>
      <c r="C130" s="1104" t="s">
        <v>368</v>
      </c>
      <c r="D130" s="1105" t="s">
        <v>107</v>
      </c>
      <c r="E130" s="413">
        <v>1</v>
      </c>
      <c r="F130" s="371">
        <f>'01 (2)'!I162*'01 (2)'!$N$3</f>
        <v>0</v>
      </c>
      <c r="G130" s="413">
        <f t="shared" si="112"/>
        <v>125849</v>
      </c>
      <c r="H130" s="396">
        <v>125849</v>
      </c>
      <c r="I130" s="396">
        <f t="shared" si="113"/>
        <v>0</v>
      </c>
      <c r="J130" s="396">
        <f t="shared" si="114"/>
        <v>125849</v>
      </c>
      <c r="K130" s="396">
        <f t="shared" si="115"/>
        <v>125849</v>
      </c>
      <c r="L130" s="1103"/>
      <c r="M130" s="359"/>
      <c r="N130" s="1079">
        <v>0</v>
      </c>
      <c r="O130" s="1079"/>
      <c r="P130" s="964">
        <f t="shared" si="116"/>
        <v>0</v>
      </c>
      <c r="Q130" s="1083">
        <f t="shared" si="117"/>
        <v>0</v>
      </c>
      <c r="R130" s="1083">
        <f t="shared" si="118"/>
        <v>0</v>
      </c>
      <c r="S130" s="1083">
        <f t="shared" si="119"/>
        <v>0</v>
      </c>
      <c r="T130" s="962">
        <f t="shared" si="120"/>
        <v>0</v>
      </c>
      <c r="U130" s="962">
        <f t="shared" si="121"/>
        <v>0</v>
      </c>
      <c r="V130" s="962">
        <f t="shared" si="122"/>
        <v>0</v>
      </c>
    </row>
    <row r="131" spans="1:22" s="425" customFormat="1" ht="13" outlineLevel="1" x14ac:dyDescent="0.3">
      <c r="A131" s="440"/>
      <c r="B131" s="348">
        <v>19</v>
      </c>
      <c r="C131" s="1115" t="s">
        <v>210</v>
      </c>
      <c r="D131" s="1116"/>
      <c r="E131" s="415"/>
      <c r="F131" s="415"/>
      <c r="G131" s="415"/>
      <c r="H131" s="1117"/>
      <c r="I131" s="1117"/>
      <c r="J131" s="1117"/>
      <c r="K131" s="1118"/>
      <c r="L131" s="1103"/>
      <c r="M131" s="359"/>
      <c r="N131" s="1106"/>
      <c r="O131" s="1107"/>
      <c r="P131" s="1107"/>
      <c r="Q131" s="1108"/>
      <c r="R131" s="1108"/>
      <c r="S131" s="1109"/>
      <c r="T131" s="1108"/>
      <c r="U131" s="1109"/>
      <c r="V131" s="1108"/>
    </row>
    <row r="132" spans="1:22" s="425" customFormat="1" ht="13" x14ac:dyDescent="0.3">
      <c r="A132" s="440"/>
      <c r="B132" s="354"/>
      <c r="C132" s="355" t="s">
        <v>369</v>
      </c>
      <c r="D132" s="1077"/>
      <c r="E132" s="415"/>
      <c r="F132" s="415"/>
      <c r="G132" s="415"/>
      <c r="H132" s="415"/>
      <c r="I132" s="415"/>
      <c r="J132" s="415"/>
      <c r="K132" s="415"/>
      <c r="L132" s="358">
        <f>+SUM(K133:K136)</f>
        <v>21161055</v>
      </c>
      <c r="M132" s="359">
        <f>+L132/$L$186</f>
        <v>2.8823913401348999E-2</v>
      </c>
      <c r="N132" s="1106"/>
      <c r="O132" s="1107"/>
      <c r="P132" s="1107"/>
      <c r="Q132" s="1108"/>
      <c r="R132" s="1108"/>
      <c r="S132" s="1109"/>
      <c r="T132" s="1108"/>
      <c r="U132" s="1109"/>
      <c r="V132" s="1108"/>
    </row>
    <row r="133" spans="1:22" s="425" customFormat="1" ht="13" outlineLevel="1" x14ac:dyDescent="0.3">
      <c r="A133" s="441" t="s">
        <v>131</v>
      </c>
      <c r="B133" s="419">
        <v>19.010000000000002</v>
      </c>
      <c r="C133" s="1099" t="s">
        <v>370</v>
      </c>
      <c r="D133" s="1100" t="s">
        <v>107</v>
      </c>
      <c r="E133" s="417">
        <v>1</v>
      </c>
      <c r="F133" s="371">
        <f>'01 (2)'!I165*'01 (2)'!$N$3</f>
        <v>2673678.7541202083</v>
      </c>
      <c r="G133" s="417">
        <f t="shared" ref="G133:G136" si="123">H133-F133</f>
        <v>4563079.2458797917</v>
      </c>
      <c r="H133" s="364">
        <v>7236758</v>
      </c>
      <c r="I133" s="364">
        <f t="shared" ref="I133:I136" si="124">$E133*F133</f>
        <v>2673678.7541202083</v>
      </c>
      <c r="J133" s="364">
        <f t="shared" ref="J133:J136" si="125">$E133*G133</f>
        <v>4563079.2458797917</v>
      </c>
      <c r="K133" s="364">
        <f>+E133*H133</f>
        <v>7236758</v>
      </c>
      <c r="L133" s="1103"/>
      <c r="M133" s="359"/>
      <c r="N133" s="1078">
        <v>0.2</v>
      </c>
      <c r="O133" s="1078"/>
      <c r="P133" s="961">
        <f t="shared" ref="P133:P136" si="126">+N133+O133</f>
        <v>0.2</v>
      </c>
      <c r="Q133" s="1081">
        <f t="shared" ref="Q133:Q136" si="127">+K133*N133</f>
        <v>1447351.6</v>
      </c>
      <c r="R133" s="1081">
        <f t="shared" ref="R133:R136" si="128">+K133*O133</f>
        <v>0</v>
      </c>
      <c r="S133" s="1081">
        <f t="shared" ref="S133:S136" si="129">+K133*P133</f>
        <v>1447351.6</v>
      </c>
      <c r="T133" s="962">
        <f t="shared" ref="T133:T136" si="130">I133*$P133</f>
        <v>534735.75082404166</v>
      </c>
      <c r="U133" s="962">
        <f t="shared" ref="U133:U136" si="131">J133*$P133</f>
        <v>912615.84917595843</v>
      </c>
      <c r="V133" s="962">
        <f t="shared" ref="V133:V136" si="132">SUM(T133:U133)</f>
        <v>1447351.6</v>
      </c>
    </row>
    <row r="134" spans="1:22" s="425" customFormat="1" ht="13" outlineLevel="1" x14ac:dyDescent="0.3">
      <c r="A134" s="442" t="s">
        <v>131</v>
      </c>
      <c r="B134" s="407">
        <v>19.02</v>
      </c>
      <c r="C134" s="1101" t="s">
        <v>371</v>
      </c>
      <c r="D134" s="1102" t="s">
        <v>107</v>
      </c>
      <c r="E134" s="371">
        <v>1</v>
      </c>
      <c r="F134" s="371">
        <f>'01 (2)'!I166*'01 (2)'!$N$3</f>
        <v>350124.59875383694</v>
      </c>
      <c r="G134" s="371">
        <f t="shared" si="123"/>
        <v>651391.40124616306</v>
      </c>
      <c r="H134" s="369">
        <v>1001516</v>
      </c>
      <c r="I134" s="369">
        <f t="shared" si="124"/>
        <v>350124.59875383694</v>
      </c>
      <c r="J134" s="369">
        <f t="shared" si="125"/>
        <v>651391.40124616306</v>
      </c>
      <c r="K134" s="369">
        <f>+E134*H134</f>
        <v>1001516</v>
      </c>
      <c r="L134" s="1103"/>
      <c r="M134" s="359"/>
      <c r="N134" s="1079">
        <v>0</v>
      </c>
      <c r="O134" s="1079"/>
      <c r="P134" s="964">
        <f t="shared" si="126"/>
        <v>0</v>
      </c>
      <c r="Q134" s="1083">
        <f t="shared" si="127"/>
        <v>0</v>
      </c>
      <c r="R134" s="1083">
        <f t="shared" si="128"/>
        <v>0</v>
      </c>
      <c r="S134" s="1083">
        <f t="shared" si="129"/>
        <v>0</v>
      </c>
      <c r="T134" s="962">
        <f t="shared" si="130"/>
        <v>0</v>
      </c>
      <c r="U134" s="962">
        <f t="shared" si="131"/>
        <v>0</v>
      </c>
      <c r="V134" s="962">
        <f t="shared" si="132"/>
        <v>0</v>
      </c>
    </row>
    <row r="135" spans="1:22" s="425" customFormat="1" ht="13" outlineLevel="1" x14ac:dyDescent="0.3">
      <c r="A135" s="442" t="s">
        <v>131</v>
      </c>
      <c r="B135" s="407">
        <v>19.03</v>
      </c>
      <c r="C135" s="1101" t="s">
        <v>372</v>
      </c>
      <c r="D135" s="1102" t="s">
        <v>107</v>
      </c>
      <c r="E135" s="371">
        <v>1</v>
      </c>
      <c r="F135" s="371">
        <f>'01 (2)'!I167*'01 (2)'!$N$3</f>
        <v>3564905.0054936116</v>
      </c>
      <c r="G135" s="371">
        <f t="shared" si="123"/>
        <v>5222585.9945063889</v>
      </c>
      <c r="H135" s="369">
        <v>8787491</v>
      </c>
      <c r="I135" s="369">
        <f t="shared" si="124"/>
        <v>3564905.0054936116</v>
      </c>
      <c r="J135" s="369">
        <f t="shared" si="125"/>
        <v>5222585.9945063889</v>
      </c>
      <c r="K135" s="369">
        <f>+E135*H135</f>
        <v>8787491</v>
      </c>
      <c r="L135" s="1103"/>
      <c r="M135" s="359"/>
      <c r="N135" s="1079">
        <v>0.8</v>
      </c>
      <c r="O135" s="1079">
        <v>0.1</v>
      </c>
      <c r="P135" s="964">
        <f t="shared" si="126"/>
        <v>0.9</v>
      </c>
      <c r="Q135" s="1083">
        <f t="shared" si="127"/>
        <v>7029992.8000000007</v>
      </c>
      <c r="R135" s="1083">
        <f t="shared" si="128"/>
        <v>878749.10000000009</v>
      </c>
      <c r="S135" s="1083">
        <f t="shared" si="129"/>
        <v>7908741.9000000004</v>
      </c>
      <c r="T135" s="962">
        <f t="shared" si="130"/>
        <v>3208414.5049442505</v>
      </c>
      <c r="U135" s="962">
        <f t="shared" si="131"/>
        <v>4700327.3950557504</v>
      </c>
      <c r="V135" s="962">
        <f t="shared" si="132"/>
        <v>7908741.9000000004</v>
      </c>
    </row>
    <row r="136" spans="1:22" s="425" customFormat="1" ht="13" outlineLevel="1" x14ac:dyDescent="0.3">
      <c r="A136" s="443" t="s">
        <v>131</v>
      </c>
      <c r="B136" s="408">
        <v>19.04</v>
      </c>
      <c r="C136" s="1104" t="s">
        <v>373</v>
      </c>
      <c r="D136" s="1105" t="s">
        <v>107</v>
      </c>
      <c r="E136" s="413">
        <v>1</v>
      </c>
      <c r="F136" s="371">
        <f>'01 (2)'!I168*'01 (2)'!$N$3</f>
        <v>1527816.4309258338</v>
      </c>
      <c r="G136" s="413">
        <f t="shared" si="123"/>
        <v>2607473.569074166</v>
      </c>
      <c r="H136" s="396">
        <v>4135290</v>
      </c>
      <c r="I136" s="396">
        <f t="shared" si="124"/>
        <v>1527816.4309258338</v>
      </c>
      <c r="J136" s="396">
        <f t="shared" si="125"/>
        <v>2607473.569074166</v>
      </c>
      <c r="K136" s="396">
        <f>+E136*H136</f>
        <v>4135290</v>
      </c>
      <c r="L136" s="1103"/>
      <c r="M136" s="359"/>
      <c r="N136" s="1091">
        <v>0.70000000000000007</v>
      </c>
      <c r="O136" s="1091">
        <v>0.15</v>
      </c>
      <c r="P136" s="964">
        <f t="shared" si="126"/>
        <v>0.85000000000000009</v>
      </c>
      <c r="Q136" s="1083">
        <f t="shared" si="127"/>
        <v>2894703.0000000005</v>
      </c>
      <c r="R136" s="1083">
        <f t="shared" si="128"/>
        <v>620293.5</v>
      </c>
      <c r="S136" s="1083">
        <f t="shared" si="129"/>
        <v>3514996.5000000005</v>
      </c>
      <c r="T136" s="962">
        <f t="shared" si="130"/>
        <v>1298643.9662869589</v>
      </c>
      <c r="U136" s="962">
        <f t="shared" si="131"/>
        <v>2216352.5337130413</v>
      </c>
      <c r="V136" s="962">
        <f t="shared" si="132"/>
        <v>3514996.5</v>
      </c>
    </row>
    <row r="137" spans="1:22" s="425" customFormat="1" ht="13" x14ac:dyDescent="0.3">
      <c r="A137" s="448"/>
      <c r="B137" s="354"/>
      <c r="C137" s="355" t="s">
        <v>374</v>
      </c>
      <c r="D137" s="1077"/>
      <c r="E137" s="415"/>
      <c r="F137" s="415"/>
      <c r="G137" s="415"/>
      <c r="H137" s="415"/>
      <c r="I137" s="415"/>
      <c r="J137" s="415"/>
      <c r="K137" s="415"/>
      <c r="L137" s="358">
        <f>+SUM(K138:K140)</f>
        <v>6551951</v>
      </c>
      <c r="M137" s="359">
        <f>+L137/$L$186</f>
        <v>8.9245488107224328E-3</v>
      </c>
      <c r="N137" s="1106"/>
      <c r="O137" s="1107"/>
      <c r="P137" s="1107"/>
      <c r="Q137" s="1107"/>
      <c r="R137" s="1108"/>
      <c r="S137" s="1109"/>
      <c r="T137" s="1108"/>
      <c r="U137" s="1109"/>
      <c r="V137" s="1108"/>
    </row>
    <row r="138" spans="1:22" s="425" customFormat="1" ht="13" outlineLevel="1" x14ac:dyDescent="0.3">
      <c r="A138" s="441" t="s">
        <v>131</v>
      </c>
      <c r="B138" s="419">
        <v>19.05</v>
      </c>
      <c r="C138" s="1099" t="s">
        <v>375</v>
      </c>
      <c r="D138" s="1100" t="s">
        <v>107</v>
      </c>
      <c r="E138" s="417">
        <v>1</v>
      </c>
      <c r="F138" s="371">
        <f>'01 (2)'!I170*'01 (2)'!$N$3</f>
        <v>753097.57916565798</v>
      </c>
      <c r="G138" s="417">
        <f t="shared" ref="G138:G140" si="133">H138-F138</f>
        <v>1922282.420834342</v>
      </c>
      <c r="H138" s="364">
        <v>2675380</v>
      </c>
      <c r="I138" s="364">
        <f t="shared" ref="I138:I140" si="134">$E138*F138</f>
        <v>753097.57916565798</v>
      </c>
      <c r="J138" s="364">
        <f t="shared" ref="J138:J140" si="135">$E138*G138</f>
        <v>1922282.420834342</v>
      </c>
      <c r="K138" s="364">
        <f>+E138*H138</f>
        <v>2675380</v>
      </c>
      <c r="L138" s="1103"/>
      <c r="M138" s="359"/>
      <c r="N138" s="1078">
        <v>0.5</v>
      </c>
      <c r="O138" s="1078"/>
      <c r="P138" s="961">
        <f t="shared" ref="P138:P140" si="136">+N138+O138</f>
        <v>0.5</v>
      </c>
      <c r="Q138" s="1081">
        <f t="shared" ref="Q138:Q140" si="137">+K138*N138</f>
        <v>1337690</v>
      </c>
      <c r="R138" s="1081">
        <f t="shared" ref="R138:R140" si="138">+K138*O138</f>
        <v>0</v>
      </c>
      <c r="S138" s="1081">
        <f t="shared" ref="S138:S140" si="139">+K138*P138</f>
        <v>1337690</v>
      </c>
      <c r="T138" s="962">
        <f t="shared" ref="T138:T140" si="140">I138*$P138</f>
        <v>376548.78958282899</v>
      </c>
      <c r="U138" s="962">
        <f t="shared" ref="U138:U140" si="141">J138*$P138</f>
        <v>961141.21041717101</v>
      </c>
      <c r="V138" s="962">
        <f t="shared" ref="V138:V140" si="142">SUM(T138:U138)</f>
        <v>1337690</v>
      </c>
    </row>
    <row r="139" spans="1:22" s="425" customFormat="1" ht="13" outlineLevel="1" x14ac:dyDescent="0.3">
      <c r="A139" s="442" t="s">
        <v>131</v>
      </c>
      <c r="B139" s="407">
        <v>19.059999999999999</v>
      </c>
      <c r="C139" s="1101" t="s">
        <v>376</v>
      </c>
      <c r="D139" s="1102" t="s">
        <v>107</v>
      </c>
      <c r="E139" s="371">
        <v>1</v>
      </c>
      <c r="F139" s="371">
        <f>'01 (2)'!I171*'01 (2)'!$N$3</f>
        <v>1129646.368748487</v>
      </c>
      <c r="G139" s="371">
        <f t="shared" si="133"/>
        <v>1927930.631251513</v>
      </c>
      <c r="H139" s="369">
        <v>3057577</v>
      </c>
      <c r="I139" s="369">
        <f t="shared" si="134"/>
        <v>1129646.368748487</v>
      </c>
      <c r="J139" s="369">
        <f t="shared" si="135"/>
        <v>1927930.631251513</v>
      </c>
      <c r="K139" s="369">
        <f>+E139*H139</f>
        <v>3057577</v>
      </c>
      <c r="L139" s="1103"/>
      <c r="M139" s="359"/>
      <c r="N139" s="1079">
        <v>0.75</v>
      </c>
      <c r="O139" s="1079">
        <v>0.15</v>
      </c>
      <c r="P139" s="964">
        <f t="shared" si="136"/>
        <v>0.9</v>
      </c>
      <c r="Q139" s="1083">
        <f t="shared" si="137"/>
        <v>2293182.75</v>
      </c>
      <c r="R139" s="1083">
        <f t="shared" si="138"/>
        <v>458636.55</v>
      </c>
      <c r="S139" s="1083">
        <f t="shared" si="139"/>
        <v>2751819.3000000003</v>
      </c>
      <c r="T139" s="962">
        <f t="shared" si="140"/>
        <v>1016681.7318736383</v>
      </c>
      <c r="U139" s="962">
        <f t="shared" si="141"/>
        <v>1735137.5681263618</v>
      </c>
      <c r="V139" s="962">
        <f t="shared" si="142"/>
        <v>2751819.3000000003</v>
      </c>
    </row>
    <row r="140" spans="1:22" s="425" customFormat="1" ht="13" outlineLevel="1" x14ac:dyDescent="0.3">
      <c r="A140" s="443" t="s">
        <v>131</v>
      </c>
      <c r="B140" s="408">
        <v>19.07</v>
      </c>
      <c r="C140" s="1104" t="s">
        <v>377</v>
      </c>
      <c r="D140" s="1105" t="s">
        <v>107</v>
      </c>
      <c r="E140" s="413">
        <v>1</v>
      </c>
      <c r="F140" s="371">
        <f>'01 (2)'!I172*'01 (2)'!$N$3</f>
        <v>268963.42113059212</v>
      </c>
      <c r="G140" s="413">
        <f t="shared" si="133"/>
        <v>550030.57886940788</v>
      </c>
      <c r="H140" s="396">
        <v>818994</v>
      </c>
      <c r="I140" s="396">
        <f t="shared" si="134"/>
        <v>268963.42113059212</v>
      </c>
      <c r="J140" s="396">
        <f t="shared" si="135"/>
        <v>550030.57886940788</v>
      </c>
      <c r="K140" s="396">
        <f>+E140*H140</f>
        <v>818994</v>
      </c>
      <c r="L140" s="1103"/>
      <c r="M140" s="359"/>
      <c r="N140" s="1079">
        <v>0</v>
      </c>
      <c r="O140" s="1079"/>
      <c r="P140" s="964">
        <f t="shared" si="136"/>
        <v>0</v>
      </c>
      <c r="Q140" s="1083">
        <f t="shared" si="137"/>
        <v>0</v>
      </c>
      <c r="R140" s="1083">
        <f t="shared" si="138"/>
        <v>0</v>
      </c>
      <c r="S140" s="1083">
        <f t="shared" si="139"/>
        <v>0</v>
      </c>
      <c r="T140" s="962">
        <f t="shared" si="140"/>
        <v>0</v>
      </c>
      <c r="U140" s="962">
        <f t="shared" si="141"/>
        <v>0</v>
      </c>
      <c r="V140" s="962">
        <f t="shared" si="142"/>
        <v>0</v>
      </c>
    </row>
    <row r="141" spans="1:22" s="425" customFormat="1" ht="13" x14ac:dyDescent="0.3">
      <c r="A141" s="440"/>
      <c r="B141" s="354"/>
      <c r="C141" s="355" t="s">
        <v>378</v>
      </c>
      <c r="D141" s="1077"/>
      <c r="E141" s="415"/>
      <c r="F141" s="415"/>
      <c r="G141" s="415"/>
      <c r="H141" s="415"/>
      <c r="I141" s="415"/>
      <c r="J141" s="415"/>
      <c r="K141" s="415"/>
      <c r="L141" s="358">
        <f>+SUM(K142:K146)</f>
        <v>37004103</v>
      </c>
      <c r="M141" s="359">
        <f>+L141/$L$186</f>
        <v>5.0404058794166866E-2</v>
      </c>
      <c r="N141" s="1106"/>
      <c r="O141" s="1107"/>
      <c r="P141" s="1107"/>
      <c r="Q141" s="1107"/>
      <c r="R141" s="1108"/>
      <c r="S141" s="1109"/>
      <c r="T141" s="1108"/>
      <c r="U141" s="1109"/>
      <c r="V141" s="1108"/>
    </row>
    <row r="142" spans="1:22" s="425" customFormat="1" ht="13" outlineLevel="1" x14ac:dyDescent="0.3">
      <c r="A142" s="449" t="s">
        <v>131</v>
      </c>
      <c r="B142" s="419">
        <v>19.079999999999998</v>
      </c>
      <c r="C142" s="1099" t="s">
        <v>379</v>
      </c>
      <c r="D142" s="1100" t="s">
        <v>107</v>
      </c>
      <c r="E142" s="417">
        <v>1</v>
      </c>
      <c r="F142" s="371">
        <f>'01 (2)'!I174*'01 (2)'!$N$3</f>
        <v>1231663.6082644854</v>
      </c>
      <c r="G142" s="417">
        <f t="shared" ref="G142:G146" si="143">H142-F142</f>
        <v>2518752.3917355146</v>
      </c>
      <c r="H142" s="364">
        <v>3750416</v>
      </c>
      <c r="I142" s="364">
        <f t="shared" ref="I142:I146" si="144">$E142*F142</f>
        <v>1231663.6082644854</v>
      </c>
      <c r="J142" s="364">
        <f t="shared" ref="J142:J146" si="145">$E142*G142</f>
        <v>2518752.3917355146</v>
      </c>
      <c r="K142" s="364">
        <f>+E142*H142</f>
        <v>3750416</v>
      </c>
      <c r="L142" s="1103"/>
      <c r="M142" s="359"/>
      <c r="N142" s="1078">
        <v>0</v>
      </c>
      <c r="O142" s="1078"/>
      <c r="P142" s="961">
        <f t="shared" ref="P142:P146" si="146">+N142+O142</f>
        <v>0</v>
      </c>
      <c r="Q142" s="1081">
        <f t="shared" ref="Q142:Q146" si="147">+K142*N142</f>
        <v>0</v>
      </c>
      <c r="R142" s="1081">
        <f t="shared" ref="R142:R146" si="148">+K142*O142</f>
        <v>0</v>
      </c>
      <c r="S142" s="1081">
        <f t="shared" ref="S142:S146" si="149">+K142*P142</f>
        <v>0</v>
      </c>
      <c r="T142" s="962">
        <f t="shared" ref="T142:T146" si="150">I142*$P142</f>
        <v>0</v>
      </c>
      <c r="U142" s="962">
        <f t="shared" ref="U142:U146" si="151">J142*$P142</f>
        <v>0</v>
      </c>
      <c r="V142" s="962">
        <f t="shared" ref="V142:V146" si="152">SUM(T142:U142)</f>
        <v>0</v>
      </c>
    </row>
    <row r="143" spans="1:22" s="425" customFormat="1" ht="13" outlineLevel="1" x14ac:dyDescent="0.3">
      <c r="A143" s="446" t="s">
        <v>131</v>
      </c>
      <c r="B143" s="407">
        <v>19.09</v>
      </c>
      <c r="C143" s="1101" t="s">
        <v>380</v>
      </c>
      <c r="D143" s="1102" t="s">
        <v>107</v>
      </c>
      <c r="E143" s="371">
        <v>1</v>
      </c>
      <c r="F143" s="371">
        <f>'01 (2)'!I175*'01 (2)'!$N$3</f>
        <v>2463327.2165289707</v>
      </c>
      <c r="G143" s="371">
        <f t="shared" si="143"/>
        <v>5037504.7834710293</v>
      </c>
      <c r="H143" s="369">
        <v>7500832</v>
      </c>
      <c r="I143" s="369">
        <f t="shared" si="144"/>
        <v>2463327.2165289707</v>
      </c>
      <c r="J143" s="369">
        <f t="shared" si="145"/>
        <v>5037504.7834710293</v>
      </c>
      <c r="K143" s="369">
        <f>+E143*H143</f>
        <v>7500832</v>
      </c>
      <c r="L143" s="1103"/>
      <c r="M143" s="359"/>
      <c r="N143" s="1079">
        <v>0</v>
      </c>
      <c r="O143" s="1079"/>
      <c r="P143" s="964">
        <f t="shared" si="146"/>
        <v>0</v>
      </c>
      <c r="Q143" s="1083">
        <f t="shared" si="147"/>
        <v>0</v>
      </c>
      <c r="R143" s="1083">
        <f t="shared" si="148"/>
        <v>0</v>
      </c>
      <c r="S143" s="1083">
        <f t="shared" si="149"/>
        <v>0</v>
      </c>
      <c r="T143" s="962">
        <f t="shared" si="150"/>
        <v>0</v>
      </c>
      <c r="U143" s="962">
        <f t="shared" si="151"/>
        <v>0</v>
      </c>
      <c r="V143" s="962">
        <f t="shared" si="152"/>
        <v>0</v>
      </c>
    </row>
    <row r="144" spans="1:22" s="425" customFormat="1" ht="13" outlineLevel="1" x14ac:dyDescent="0.3">
      <c r="A144" s="446" t="s">
        <v>131</v>
      </c>
      <c r="B144" s="407">
        <v>19.100000000000001</v>
      </c>
      <c r="C144" s="1101" t="s">
        <v>381</v>
      </c>
      <c r="D144" s="1102" t="s">
        <v>107</v>
      </c>
      <c r="E144" s="371">
        <v>1</v>
      </c>
      <c r="F144" s="371">
        <f>'01 (2)'!I176*'01 (2)'!$N$3</f>
        <v>492665.44330579421</v>
      </c>
      <c r="G144" s="371">
        <f t="shared" si="143"/>
        <v>1257528.5566942059</v>
      </c>
      <c r="H144" s="369">
        <v>1750194</v>
      </c>
      <c r="I144" s="369">
        <f t="shared" si="144"/>
        <v>492665.44330579421</v>
      </c>
      <c r="J144" s="369">
        <f t="shared" si="145"/>
        <v>1257528.5566942059</v>
      </c>
      <c r="K144" s="369">
        <f>+E144*H144</f>
        <v>1750194</v>
      </c>
      <c r="L144" s="1103"/>
      <c r="M144" s="359"/>
      <c r="N144" s="1079">
        <v>0</v>
      </c>
      <c r="O144" s="1079"/>
      <c r="P144" s="964">
        <f t="shared" si="146"/>
        <v>0</v>
      </c>
      <c r="Q144" s="1083">
        <f t="shared" si="147"/>
        <v>0</v>
      </c>
      <c r="R144" s="1083">
        <f t="shared" si="148"/>
        <v>0</v>
      </c>
      <c r="S144" s="1083">
        <f t="shared" si="149"/>
        <v>0</v>
      </c>
      <c r="T144" s="962">
        <f t="shared" si="150"/>
        <v>0</v>
      </c>
      <c r="U144" s="962">
        <f t="shared" si="151"/>
        <v>0</v>
      </c>
      <c r="V144" s="962">
        <f t="shared" si="152"/>
        <v>0</v>
      </c>
    </row>
    <row r="145" spans="1:22" s="425" customFormat="1" ht="13" outlineLevel="1" x14ac:dyDescent="0.3">
      <c r="A145" s="446" t="s">
        <v>131</v>
      </c>
      <c r="B145" s="407">
        <v>19.11</v>
      </c>
      <c r="C145" s="1101" t="s">
        <v>382</v>
      </c>
      <c r="D145" s="1102" t="s">
        <v>107</v>
      </c>
      <c r="E145" s="371">
        <v>1</v>
      </c>
      <c r="F145" s="371">
        <f>'01 (2)'!I177*'01 (2)'!$N$3</f>
        <v>3941323.5464463537</v>
      </c>
      <c r="G145" s="371">
        <f t="shared" si="143"/>
        <v>10060228.453553647</v>
      </c>
      <c r="H145" s="369">
        <v>14001552</v>
      </c>
      <c r="I145" s="369">
        <f t="shared" si="144"/>
        <v>3941323.5464463537</v>
      </c>
      <c r="J145" s="369">
        <f t="shared" si="145"/>
        <v>10060228.453553647</v>
      </c>
      <c r="K145" s="369">
        <f>+E145*H145</f>
        <v>14001552</v>
      </c>
      <c r="L145" s="1103"/>
      <c r="M145" s="359"/>
      <c r="N145" s="1079">
        <v>0.60000000000000009</v>
      </c>
      <c r="O145" s="1079">
        <v>0.2</v>
      </c>
      <c r="P145" s="964">
        <f t="shared" si="146"/>
        <v>0.8</v>
      </c>
      <c r="Q145" s="1083">
        <f t="shared" si="147"/>
        <v>8400931.2000000011</v>
      </c>
      <c r="R145" s="1083">
        <f t="shared" si="148"/>
        <v>2800310.4000000004</v>
      </c>
      <c r="S145" s="1083">
        <f t="shared" si="149"/>
        <v>11201241.600000001</v>
      </c>
      <c r="T145" s="962">
        <f t="shared" si="150"/>
        <v>3153058.8371570832</v>
      </c>
      <c r="U145" s="962">
        <f t="shared" si="151"/>
        <v>8048182.7628429178</v>
      </c>
      <c r="V145" s="962">
        <f t="shared" si="152"/>
        <v>11201241.600000001</v>
      </c>
    </row>
    <row r="146" spans="1:22" s="425" customFormat="1" ht="13" outlineLevel="1" x14ac:dyDescent="0.3">
      <c r="A146" s="446" t="s">
        <v>131</v>
      </c>
      <c r="B146" s="408">
        <v>19.12</v>
      </c>
      <c r="C146" s="1104" t="s">
        <v>750</v>
      </c>
      <c r="D146" s="1105" t="s">
        <v>107</v>
      </c>
      <c r="E146" s="413">
        <v>1</v>
      </c>
      <c r="F146" s="371">
        <f>'01 (2)'!I178*'01 (2)'!$N$3</f>
        <v>3694990.8247934561</v>
      </c>
      <c r="G146" s="413">
        <f t="shared" si="143"/>
        <v>6306118.1752065439</v>
      </c>
      <c r="H146" s="396">
        <v>10001109</v>
      </c>
      <c r="I146" s="396">
        <f t="shared" si="144"/>
        <v>3694990.8247934561</v>
      </c>
      <c r="J146" s="396">
        <f t="shared" si="145"/>
        <v>6306118.1752065439</v>
      </c>
      <c r="K146" s="396">
        <f>+E146*H146</f>
        <v>10001109</v>
      </c>
      <c r="L146" s="1103"/>
      <c r="M146" s="359"/>
      <c r="N146" s="1091">
        <v>0</v>
      </c>
      <c r="O146" s="1091"/>
      <c r="P146" s="964">
        <f t="shared" si="146"/>
        <v>0</v>
      </c>
      <c r="Q146" s="1083">
        <f t="shared" si="147"/>
        <v>0</v>
      </c>
      <c r="R146" s="1083">
        <f t="shared" si="148"/>
        <v>0</v>
      </c>
      <c r="S146" s="1083">
        <f t="shared" si="149"/>
        <v>0</v>
      </c>
      <c r="T146" s="962">
        <f t="shared" si="150"/>
        <v>0</v>
      </c>
      <c r="U146" s="962">
        <f t="shared" si="151"/>
        <v>0</v>
      </c>
      <c r="V146" s="962">
        <f t="shared" si="152"/>
        <v>0</v>
      </c>
    </row>
    <row r="147" spans="1:22" s="425" customFormat="1" ht="13" x14ac:dyDescent="0.3">
      <c r="A147" s="440"/>
      <c r="B147" s="354"/>
      <c r="C147" s="355" t="s">
        <v>383</v>
      </c>
      <c r="D147" s="1077"/>
      <c r="E147" s="415"/>
      <c r="F147" s="415"/>
      <c r="G147" s="415"/>
      <c r="H147" s="415"/>
      <c r="I147" s="415"/>
      <c r="J147" s="415"/>
      <c r="K147" s="415"/>
      <c r="L147" s="358">
        <f>+SUM(K148)</f>
        <v>2047485</v>
      </c>
      <c r="M147" s="359">
        <f>+L147/$L$186</f>
        <v>2.7889219290135134E-3</v>
      </c>
      <c r="N147" s="1106"/>
      <c r="O147" s="1107"/>
      <c r="P147" s="1107"/>
      <c r="Q147" s="1107"/>
      <c r="R147" s="1108"/>
      <c r="S147" s="1109"/>
      <c r="T147" s="1108"/>
      <c r="U147" s="1109"/>
      <c r="V147" s="1108"/>
    </row>
    <row r="148" spans="1:22" s="425" customFormat="1" ht="13" outlineLevel="1" x14ac:dyDescent="0.3">
      <c r="A148" s="446" t="s">
        <v>131</v>
      </c>
      <c r="B148" s="1119">
        <v>19.13</v>
      </c>
      <c r="C148" s="1120" t="s">
        <v>751</v>
      </c>
      <c r="D148" s="1121" t="s">
        <v>107</v>
      </c>
      <c r="E148" s="1122">
        <v>1</v>
      </c>
      <c r="F148" s="371">
        <f>'01 (2)'!I180*'01 (2)'!$N$3</f>
        <v>672408.55282648036</v>
      </c>
      <c r="G148" s="1122">
        <f>H148-F148</f>
        <v>1375076.4471735195</v>
      </c>
      <c r="H148" s="1123">
        <v>2047485</v>
      </c>
      <c r="I148" s="1123">
        <f>$E148*F148</f>
        <v>672408.55282648036</v>
      </c>
      <c r="J148" s="1123">
        <f>$E148*G148</f>
        <v>1375076.4471735195</v>
      </c>
      <c r="K148" s="1123">
        <f>+E148*H148</f>
        <v>2047485</v>
      </c>
      <c r="L148" s="1103"/>
      <c r="M148" s="359"/>
      <c r="N148" s="1078">
        <v>0.39999999999999997</v>
      </c>
      <c r="O148" s="1078">
        <v>0.4</v>
      </c>
      <c r="P148" s="961">
        <f t="shared" ref="P148" si="153">+N148+O148</f>
        <v>0.8</v>
      </c>
      <c r="Q148" s="1081">
        <f t="shared" ref="Q148" si="154">+K148*N148</f>
        <v>818993.99999999988</v>
      </c>
      <c r="R148" s="1081">
        <f t="shared" ref="R148" si="155">+K148*O148</f>
        <v>818994</v>
      </c>
      <c r="S148" s="1081">
        <f t="shared" ref="S148" si="156">+K148*P148</f>
        <v>1637988</v>
      </c>
      <c r="T148" s="962">
        <f>I148*$P148</f>
        <v>537926.84226118436</v>
      </c>
      <c r="U148" s="962">
        <f>J148*$P148</f>
        <v>1100061.1577388158</v>
      </c>
      <c r="V148" s="962">
        <f t="shared" ref="V148" si="157">SUM(T148:U148)</f>
        <v>1637988</v>
      </c>
    </row>
    <row r="149" spans="1:22" s="425" customFormat="1" ht="13" x14ac:dyDescent="0.3">
      <c r="A149" s="440"/>
      <c r="B149" s="354"/>
      <c r="C149" s="355" t="s">
        <v>384</v>
      </c>
      <c r="D149" s="1077"/>
      <c r="E149" s="415"/>
      <c r="F149" s="415"/>
      <c r="G149" s="415"/>
      <c r="H149" s="415"/>
      <c r="I149" s="415"/>
      <c r="J149" s="415"/>
      <c r="K149" s="415"/>
      <c r="L149" s="358">
        <f>+SUM(K150:K153)</f>
        <v>32512648</v>
      </c>
      <c r="M149" s="359">
        <f>+L149/$L$186</f>
        <v>4.4286154466331794E-2</v>
      </c>
      <c r="N149" s="1106"/>
      <c r="O149" s="1107"/>
      <c r="P149" s="1107"/>
      <c r="Q149" s="1107"/>
      <c r="R149" s="1108"/>
      <c r="S149" s="1109"/>
      <c r="T149" s="1108"/>
      <c r="U149" s="1109"/>
      <c r="V149" s="1108"/>
    </row>
    <row r="150" spans="1:22" s="425" customFormat="1" ht="13" outlineLevel="1" x14ac:dyDescent="0.3">
      <c r="A150" s="446" t="s">
        <v>131</v>
      </c>
      <c r="B150" s="419">
        <v>19.14</v>
      </c>
      <c r="C150" s="1099" t="s">
        <v>385</v>
      </c>
      <c r="D150" s="1100" t="s">
        <v>107</v>
      </c>
      <c r="E150" s="417">
        <v>1</v>
      </c>
      <c r="F150" s="371">
        <f>'01 (2)'!I182*'01 (2)'!$N$3</f>
        <v>4472521.6411596043</v>
      </c>
      <c r="G150" s="417">
        <f t="shared" ref="G150:G153" si="158">H150-F150</f>
        <v>11416112.358840395</v>
      </c>
      <c r="H150" s="364">
        <v>15888634</v>
      </c>
      <c r="I150" s="364">
        <f t="shared" ref="I150:I153" si="159">$E150*F150</f>
        <v>4472521.6411596043</v>
      </c>
      <c r="J150" s="364">
        <f t="shared" ref="J150:J153" si="160">$E150*G150</f>
        <v>11416112.358840395</v>
      </c>
      <c r="K150" s="364">
        <f>+E150*H150</f>
        <v>15888634</v>
      </c>
      <c r="L150" s="1103"/>
      <c r="M150" s="359"/>
      <c r="N150" s="1078">
        <v>0</v>
      </c>
      <c r="O150" s="1078">
        <v>0.4</v>
      </c>
      <c r="P150" s="961">
        <f t="shared" ref="P150:P153" si="161">+N150+O150</f>
        <v>0.4</v>
      </c>
      <c r="Q150" s="1081">
        <f t="shared" ref="Q150:Q153" si="162">+K150*N150</f>
        <v>0</v>
      </c>
      <c r="R150" s="1081">
        <f t="shared" ref="R150:R153" si="163">+K150*O150</f>
        <v>6355453.6000000006</v>
      </c>
      <c r="S150" s="1081">
        <f t="shared" ref="S150:S153" si="164">+K150*P150</f>
        <v>6355453.6000000006</v>
      </c>
      <c r="T150" s="962">
        <f t="shared" ref="T150:T153" si="165">I150*$P150</f>
        <v>1789008.6564638419</v>
      </c>
      <c r="U150" s="962">
        <f t="shared" ref="U150:U153" si="166">J150*$P150</f>
        <v>4566444.9435361577</v>
      </c>
      <c r="V150" s="962">
        <f t="shared" ref="V150:V153" si="167">SUM(T150:U150)</f>
        <v>6355453.5999999996</v>
      </c>
    </row>
    <row r="151" spans="1:22" s="425" customFormat="1" ht="13" outlineLevel="1" x14ac:dyDescent="0.3">
      <c r="A151" s="446" t="s">
        <v>131</v>
      </c>
      <c r="B151" s="407">
        <v>19.149999999999999</v>
      </c>
      <c r="C151" s="1101" t="s">
        <v>752</v>
      </c>
      <c r="D151" s="1102" t="s">
        <v>107</v>
      </c>
      <c r="E151" s="371">
        <v>1</v>
      </c>
      <c r="F151" s="371">
        <f>'01 (2)'!I183*'01 (2)'!$N$3</f>
        <v>0</v>
      </c>
      <c r="G151" s="371">
        <f t="shared" si="158"/>
        <v>6190377</v>
      </c>
      <c r="H151" s="369">
        <v>6190377</v>
      </c>
      <c r="I151" s="369">
        <f t="shared" si="159"/>
        <v>0</v>
      </c>
      <c r="J151" s="369">
        <f t="shared" si="160"/>
        <v>6190377</v>
      </c>
      <c r="K151" s="369">
        <f>+E151*H151</f>
        <v>6190377</v>
      </c>
      <c r="L151" s="1103"/>
      <c r="M151" s="359"/>
      <c r="N151" s="1079">
        <v>0</v>
      </c>
      <c r="O151" s="1079">
        <v>0.4</v>
      </c>
      <c r="P151" s="964">
        <f t="shared" si="161"/>
        <v>0.4</v>
      </c>
      <c r="Q151" s="1083">
        <f t="shared" si="162"/>
        <v>0</v>
      </c>
      <c r="R151" s="1083">
        <f t="shared" si="163"/>
        <v>2476150.8000000003</v>
      </c>
      <c r="S151" s="1083">
        <f t="shared" si="164"/>
        <v>2476150.8000000003</v>
      </c>
      <c r="T151" s="962">
        <f t="shared" si="165"/>
        <v>0</v>
      </c>
      <c r="U151" s="962">
        <f t="shared" si="166"/>
        <v>2476150.8000000003</v>
      </c>
      <c r="V151" s="962">
        <f t="shared" si="167"/>
        <v>2476150.8000000003</v>
      </c>
    </row>
    <row r="152" spans="1:22" s="425" customFormat="1" ht="13" outlineLevel="1" x14ac:dyDescent="0.3">
      <c r="A152" s="446" t="s">
        <v>131</v>
      </c>
      <c r="B152" s="407">
        <v>19.16</v>
      </c>
      <c r="C152" s="1101" t="s">
        <v>753</v>
      </c>
      <c r="D152" s="1102" t="s">
        <v>107</v>
      </c>
      <c r="E152" s="371">
        <v>1</v>
      </c>
      <c r="F152" s="371">
        <f>'01 (2)'!I184*'01 (2)'!$N$3</f>
        <v>1829667.944110747</v>
      </c>
      <c r="G152" s="371">
        <f t="shared" si="158"/>
        <v>3122634.055889253</v>
      </c>
      <c r="H152" s="369">
        <v>4952302</v>
      </c>
      <c r="I152" s="369">
        <f t="shared" si="159"/>
        <v>1829667.944110747</v>
      </c>
      <c r="J152" s="369">
        <f t="shared" si="160"/>
        <v>3122634.055889253</v>
      </c>
      <c r="K152" s="369">
        <f>+E152*H152</f>
        <v>4952302</v>
      </c>
      <c r="L152" s="1103"/>
      <c r="M152" s="359"/>
      <c r="N152" s="1079">
        <v>0</v>
      </c>
      <c r="O152" s="1079"/>
      <c r="P152" s="964">
        <f t="shared" si="161"/>
        <v>0</v>
      </c>
      <c r="Q152" s="1083">
        <f t="shared" si="162"/>
        <v>0</v>
      </c>
      <c r="R152" s="1083">
        <f t="shared" si="163"/>
        <v>0</v>
      </c>
      <c r="S152" s="1083">
        <f t="shared" si="164"/>
        <v>0</v>
      </c>
      <c r="T152" s="962">
        <f t="shared" si="165"/>
        <v>0</v>
      </c>
      <c r="U152" s="962">
        <f t="shared" si="166"/>
        <v>0</v>
      </c>
      <c r="V152" s="962">
        <f t="shared" si="167"/>
        <v>0</v>
      </c>
    </row>
    <row r="153" spans="1:22" s="425" customFormat="1" ht="13" outlineLevel="1" x14ac:dyDescent="0.3">
      <c r="A153" s="446" t="s">
        <v>131</v>
      </c>
      <c r="B153" s="408">
        <v>19.170000000000002</v>
      </c>
      <c r="C153" s="1104" t="s">
        <v>754</v>
      </c>
      <c r="D153" s="1105" t="s">
        <v>107</v>
      </c>
      <c r="E153" s="413">
        <v>1</v>
      </c>
      <c r="F153" s="371">
        <f>'01 (2)'!I185*'01 (2)'!$N$3</f>
        <v>0</v>
      </c>
      <c r="G153" s="413">
        <f t="shared" si="158"/>
        <v>5481335</v>
      </c>
      <c r="H153" s="396">
        <v>5481335</v>
      </c>
      <c r="I153" s="396">
        <f t="shared" si="159"/>
        <v>0</v>
      </c>
      <c r="J153" s="396">
        <f t="shared" si="160"/>
        <v>5481335</v>
      </c>
      <c r="K153" s="396">
        <f>+E153*H153</f>
        <v>5481335</v>
      </c>
      <c r="L153" s="1103"/>
      <c r="M153" s="359"/>
      <c r="N153" s="1091">
        <v>0.05</v>
      </c>
      <c r="O153" s="1091">
        <v>0.35</v>
      </c>
      <c r="P153" s="964">
        <f t="shared" si="161"/>
        <v>0.39999999999999997</v>
      </c>
      <c r="Q153" s="1083">
        <f t="shared" si="162"/>
        <v>274066.75</v>
      </c>
      <c r="R153" s="1083">
        <f t="shared" si="163"/>
        <v>1918467.2499999998</v>
      </c>
      <c r="S153" s="1083">
        <f t="shared" si="164"/>
        <v>2192534</v>
      </c>
      <c r="T153" s="962">
        <f t="shared" si="165"/>
        <v>0</v>
      </c>
      <c r="U153" s="962">
        <f t="shared" si="166"/>
        <v>2192534</v>
      </c>
      <c r="V153" s="962">
        <f t="shared" si="167"/>
        <v>2192534</v>
      </c>
    </row>
    <row r="154" spans="1:22" s="425" customFormat="1" ht="13" x14ac:dyDescent="0.3">
      <c r="A154" s="440"/>
      <c r="B154" s="354"/>
      <c r="C154" s="355" t="s">
        <v>386</v>
      </c>
      <c r="D154" s="1077"/>
      <c r="E154" s="415"/>
      <c r="F154" s="415"/>
      <c r="G154" s="415"/>
      <c r="H154" s="415"/>
      <c r="I154" s="415"/>
      <c r="J154" s="415"/>
      <c r="K154" s="415"/>
      <c r="L154" s="358">
        <f>+SUM(K155)</f>
        <v>5206701</v>
      </c>
      <c r="M154" s="359">
        <f>+L154/$L$186</f>
        <v>7.0921557895254859E-3</v>
      </c>
      <c r="N154" s="1106"/>
      <c r="O154" s="1107"/>
      <c r="P154" s="1107"/>
      <c r="Q154" s="1107"/>
      <c r="R154" s="1108"/>
      <c r="S154" s="1109"/>
      <c r="T154" s="1108"/>
      <c r="U154" s="1109"/>
      <c r="V154" s="1108"/>
    </row>
    <row r="155" spans="1:22" s="425" customFormat="1" ht="13" outlineLevel="1" x14ac:dyDescent="0.3">
      <c r="A155" s="442" t="s">
        <v>131</v>
      </c>
      <c r="B155" s="1119">
        <v>19.170000000000002</v>
      </c>
      <c r="C155" s="1120" t="s">
        <v>755</v>
      </c>
      <c r="D155" s="1121" t="s">
        <v>107</v>
      </c>
      <c r="E155" s="1122">
        <v>1</v>
      </c>
      <c r="F155" s="371">
        <f>'01 (2)'!I186*'01 (2)'!$N$3</f>
        <v>2631393.4834046517</v>
      </c>
      <c r="G155" s="1122">
        <f>H155-F155</f>
        <v>2575307.5165953483</v>
      </c>
      <c r="H155" s="1123">
        <v>5206701</v>
      </c>
      <c r="I155" s="1123">
        <f>$E155*F155</f>
        <v>2631393.4834046517</v>
      </c>
      <c r="J155" s="1123">
        <f>$E155*G155</f>
        <v>2575307.5165953483</v>
      </c>
      <c r="K155" s="1123">
        <f>+E155*H155</f>
        <v>5206701</v>
      </c>
      <c r="L155" s="1103"/>
      <c r="M155" s="359"/>
      <c r="N155" s="1078">
        <v>0</v>
      </c>
      <c r="O155" s="1078"/>
      <c r="P155" s="961">
        <f t="shared" ref="P155" si="168">+N155+O155</f>
        <v>0</v>
      </c>
      <c r="Q155" s="1081">
        <f t="shared" ref="Q155" si="169">+K155*N155</f>
        <v>0</v>
      </c>
      <c r="R155" s="1081">
        <f t="shared" ref="R155" si="170">+K155*O155</f>
        <v>0</v>
      </c>
      <c r="S155" s="1081">
        <f t="shared" ref="S155" si="171">+K155*P155</f>
        <v>0</v>
      </c>
      <c r="T155" s="962">
        <f>I155*$P155</f>
        <v>0</v>
      </c>
      <c r="U155" s="962">
        <f>J155*$P155</f>
        <v>0</v>
      </c>
      <c r="V155" s="962">
        <f t="shared" ref="V155" si="172">SUM(T155:U155)</f>
        <v>0</v>
      </c>
    </row>
    <row r="156" spans="1:22" s="425" customFormat="1" ht="13" x14ac:dyDescent="0.3">
      <c r="A156" s="440"/>
      <c r="B156" s="354"/>
      <c r="C156" s="355" t="s">
        <v>387</v>
      </c>
      <c r="D156" s="1077"/>
      <c r="E156" s="415"/>
      <c r="F156" s="415"/>
      <c r="G156" s="415"/>
      <c r="H156" s="415"/>
      <c r="I156" s="415"/>
      <c r="J156" s="415"/>
      <c r="K156" s="415"/>
      <c r="L156" s="358">
        <f>+SUM(K157:K158)</f>
        <v>20260948</v>
      </c>
      <c r="M156" s="359">
        <f>+L156/$L$186</f>
        <v>2.759785892438894E-2</v>
      </c>
      <c r="N156" s="1106"/>
      <c r="O156" s="1107"/>
      <c r="P156" s="1107"/>
      <c r="Q156" s="1107"/>
      <c r="R156" s="1108"/>
      <c r="S156" s="1109"/>
      <c r="T156" s="1108"/>
      <c r="U156" s="1109"/>
      <c r="V156" s="1108"/>
    </row>
    <row r="157" spans="1:22" s="425" customFormat="1" ht="13" outlineLevel="1" x14ac:dyDescent="0.3">
      <c r="A157" s="450" t="s">
        <v>131</v>
      </c>
      <c r="B157" s="419">
        <v>19.18</v>
      </c>
      <c r="C157" s="1099" t="s">
        <v>388</v>
      </c>
      <c r="D157" s="1100" t="s">
        <v>107</v>
      </c>
      <c r="E157" s="417">
        <v>1</v>
      </c>
      <c r="F157" s="371">
        <f>'01 (2)'!I188*'01 (2)'!$N$3</f>
        <v>8169736.701987288</v>
      </c>
      <c r="G157" s="417">
        <f t="shared" ref="G157:G158" si="173">H157-F157</f>
        <v>8414829.2980127111</v>
      </c>
      <c r="H157" s="364">
        <v>16584566</v>
      </c>
      <c r="I157" s="364">
        <f t="shared" ref="I157:I158" si="174">$E157*F157</f>
        <v>8169736.701987288</v>
      </c>
      <c r="J157" s="364">
        <f t="shared" ref="J157:J158" si="175">$E157*G157</f>
        <v>8414829.2980127111</v>
      </c>
      <c r="K157" s="364">
        <f>+E157*H157</f>
        <v>16584566</v>
      </c>
      <c r="L157" s="1103"/>
      <c r="M157" s="359"/>
      <c r="N157" s="1078">
        <v>0.5</v>
      </c>
      <c r="O157" s="1078">
        <v>0.2</v>
      </c>
      <c r="P157" s="961">
        <f t="shared" ref="P157:P158" si="176">+N157+O157</f>
        <v>0.7</v>
      </c>
      <c r="Q157" s="1081">
        <f t="shared" ref="Q157:Q158" si="177">+K157*N157</f>
        <v>8292283</v>
      </c>
      <c r="R157" s="1081">
        <f t="shared" ref="R157:R158" si="178">+K157*O157</f>
        <v>3316913.2</v>
      </c>
      <c r="S157" s="1081">
        <f t="shared" ref="S157:S158" si="179">+K157*P157</f>
        <v>11609196.199999999</v>
      </c>
      <c r="T157" s="962">
        <f t="shared" ref="T157:T158" si="180">I157*$P157</f>
        <v>5718815.6913911011</v>
      </c>
      <c r="U157" s="962">
        <f t="shared" ref="U157:U158" si="181">J157*$P157</f>
        <v>5890380.5086088972</v>
      </c>
      <c r="V157" s="962">
        <f t="shared" ref="V157:V158" si="182">SUM(T157:U157)</f>
        <v>11609196.199999999</v>
      </c>
    </row>
    <row r="158" spans="1:22" s="425" customFormat="1" ht="13" outlineLevel="1" x14ac:dyDescent="0.3">
      <c r="A158" s="451" t="s">
        <v>131</v>
      </c>
      <c r="B158" s="408">
        <v>19.190000000000001</v>
      </c>
      <c r="C158" s="1104" t="s">
        <v>389</v>
      </c>
      <c r="D158" s="1105" t="s">
        <v>107</v>
      </c>
      <c r="E158" s="413">
        <v>1</v>
      </c>
      <c r="F158" s="371">
        <f>'01 (2)'!I189*'01 (2)'!$N$3</f>
        <v>0</v>
      </c>
      <c r="G158" s="413">
        <f t="shared" si="173"/>
        <v>3676382</v>
      </c>
      <c r="H158" s="396">
        <v>3676382</v>
      </c>
      <c r="I158" s="396">
        <f t="shared" si="174"/>
        <v>0</v>
      </c>
      <c r="J158" s="396">
        <f t="shared" si="175"/>
        <v>3676382</v>
      </c>
      <c r="K158" s="396">
        <f>+E158*H158</f>
        <v>3676382</v>
      </c>
      <c r="L158" s="1103"/>
      <c r="M158" s="359"/>
      <c r="N158" s="1091">
        <v>0.30000000000000004</v>
      </c>
      <c r="O158" s="1091">
        <v>0.2</v>
      </c>
      <c r="P158" s="964">
        <f t="shared" si="176"/>
        <v>0.5</v>
      </c>
      <c r="Q158" s="1083">
        <f t="shared" si="177"/>
        <v>1102914.6000000001</v>
      </c>
      <c r="R158" s="1083">
        <f t="shared" si="178"/>
        <v>735276.4</v>
      </c>
      <c r="S158" s="1083">
        <f t="shared" si="179"/>
        <v>1838191</v>
      </c>
      <c r="T158" s="962">
        <f t="shared" si="180"/>
        <v>0</v>
      </c>
      <c r="U158" s="962">
        <f t="shared" si="181"/>
        <v>1838191</v>
      </c>
      <c r="V158" s="962">
        <f t="shared" si="182"/>
        <v>1838191</v>
      </c>
    </row>
    <row r="159" spans="1:22" s="425" customFormat="1" ht="13" x14ac:dyDescent="0.3">
      <c r="A159" s="440"/>
      <c r="B159" s="354">
        <v>20</v>
      </c>
      <c r="C159" s="355" t="s">
        <v>390</v>
      </c>
      <c r="D159" s="1077"/>
      <c r="E159" s="415"/>
      <c r="F159" s="415"/>
      <c r="G159" s="415"/>
      <c r="H159" s="415"/>
      <c r="I159" s="415"/>
      <c r="J159" s="415"/>
      <c r="K159" s="415"/>
      <c r="L159" s="358">
        <f>+SUM(K160:K161)</f>
        <v>35197776</v>
      </c>
      <c r="M159" s="359">
        <f>+L159/$L$186</f>
        <v>4.7943623195728195E-2</v>
      </c>
      <c r="N159" s="1106"/>
      <c r="O159" s="1107"/>
      <c r="P159" s="1107"/>
      <c r="Q159" s="1107"/>
      <c r="R159" s="1108"/>
      <c r="S159" s="1109"/>
      <c r="T159" s="1108"/>
      <c r="U159" s="1109"/>
      <c r="V159" s="1108"/>
    </row>
    <row r="160" spans="1:22" s="425" customFormat="1" ht="13" outlineLevel="1" x14ac:dyDescent="0.3">
      <c r="A160" s="444" t="s">
        <v>132</v>
      </c>
      <c r="B160" s="419">
        <v>20.010000000000002</v>
      </c>
      <c r="C160" s="1099" t="s">
        <v>391</v>
      </c>
      <c r="D160" s="1100" t="s">
        <v>111</v>
      </c>
      <c r="E160" s="417">
        <v>36</v>
      </c>
      <c r="F160" s="371">
        <f>'01 (2)'!I191*'01 (2)'!$N$3</f>
        <v>471330.96357618965</v>
      </c>
      <c r="G160" s="417">
        <f t="shared" ref="G160:G161" si="183">H160-F160</f>
        <v>268834.03642381035</v>
      </c>
      <c r="H160" s="364">
        <v>740165</v>
      </c>
      <c r="I160" s="364">
        <f t="shared" ref="I160:I161" si="184">$E160*F160</f>
        <v>16967914.688742828</v>
      </c>
      <c r="J160" s="364">
        <f t="shared" ref="J160:J161" si="185">$E160*G160</f>
        <v>9678025.3112571724</v>
      </c>
      <c r="K160" s="364">
        <f>+E160*H160</f>
        <v>26645940</v>
      </c>
      <c r="L160" s="1103"/>
      <c r="M160" s="359"/>
      <c r="N160" s="1078">
        <v>0.6</v>
      </c>
      <c r="O160" s="1078">
        <v>0.2</v>
      </c>
      <c r="P160" s="961">
        <f t="shared" ref="P160:P161" si="186">+N160+O160</f>
        <v>0.8</v>
      </c>
      <c r="Q160" s="1081">
        <f t="shared" ref="Q160:Q161" si="187">+K160*N160</f>
        <v>15987564</v>
      </c>
      <c r="R160" s="1081">
        <f t="shared" ref="R160:R161" si="188">+K160*O160</f>
        <v>5329188</v>
      </c>
      <c r="S160" s="1081">
        <f t="shared" ref="S160:S161" si="189">+K160*P160</f>
        <v>21316752</v>
      </c>
      <c r="T160" s="962">
        <f t="shared" ref="T160:T161" si="190">I160*$P160</f>
        <v>13574331.750994263</v>
      </c>
      <c r="U160" s="962">
        <f t="shared" ref="U160:U161" si="191">J160*$P160</f>
        <v>7742420.2490057386</v>
      </c>
      <c r="V160" s="962">
        <f t="shared" ref="V160:V161" si="192">SUM(T160:U160)</f>
        <v>21316752</v>
      </c>
    </row>
    <row r="161" spans="1:22" s="425" customFormat="1" ht="13" outlineLevel="1" x14ac:dyDescent="0.3">
      <c r="A161" s="442" t="s">
        <v>132</v>
      </c>
      <c r="B161" s="408">
        <v>20.02</v>
      </c>
      <c r="C161" s="1104" t="s">
        <v>756</v>
      </c>
      <c r="D161" s="1105" t="s">
        <v>111</v>
      </c>
      <c r="E161" s="413">
        <v>36</v>
      </c>
      <c r="F161" s="371">
        <f>'01 (2)'!I192*'01 (2)'!$N$3</f>
        <v>0</v>
      </c>
      <c r="G161" s="413">
        <f t="shared" si="183"/>
        <v>237551</v>
      </c>
      <c r="H161" s="396">
        <v>237551</v>
      </c>
      <c r="I161" s="396">
        <f t="shared" si="184"/>
        <v>0</v>
      </c>
      <c r="J161" s="396">
        <f t="shared" si="185"/>
        <v>8551836</v>
      </c>
      <c r="K161" s="396">
        <f>+E161*H161</f>
        <v>8551836</v>
      </c>
      <c r="L161" s="1103"/>
      <c r="M161" s="359"/>
      <c r="N161" s="1091">
        <v>0</v>
      </c>
      <c r="O161" s="1091"/>
      <c r="P161" s="964">
        <f t="shared" si="186"/>
        <v>0</v>
      </c>
      <c r="Q161" s="1083">
        <f t="shared" si="187"/>
        <v>0</v>
      </c>
      <c r="R161" s="1083">
        <f t="shared" si="188"/>
        <v>0</v>
      </c>
      <c r="S161" s="1083">
        <f t="shared" si="189"/>
        <v>0</v>
      </c>
      <c r="T161" s="962">
        <f t="shared" si="190"/>
        <v>0</v>
      </c>
      <c r="U161" s="962">
        <f t="shared" si="191"/>
        <v>0</v>
      </c>
      <c r="V161" s="962">
        <f t="shared" si="192"/>
        <v>0</v>
      </c>
    </row>
    <row r="162" spans="1:22" s="425" customFormat="1" ht="13" x14ac:dyDescent="0.3">
      <c r="A162" s="440"/>
      <c r="B162" s="354">
        <v>21</v>
      </c>
      <c r="C162" s="355" t="s">
        <v>392</v>
      </c>
      <c r="D162" s="1077"/>
      <c r="E162" s="415"/>
      <c r="F162" s="415"/>
      <c r="G162" s="415"/>
      <c r="H162" s="415"/>
      <c r="I162" s="415"/>
      <c r="J162" s="415"/>
      <c r="K162" s="415"/>
      <c r="L162" s="358">
        <f>+SUM(K163)</f>
        <v>0</v>
      </c>
      <c r="M162" s="359">
        <f>+L162/$L$186</f>
        <v>0</v>
      </c>
      <c r="N162" s="1106"/>
      <c r="O162" s="1107"/>
      <c r="P162" s="1107"/>
      <c r="Q162" s="1107"/>
      <c r="R162" s="1108"/>
      <c r="S162" s="1109"/>
      <c r="T162" s="1108"/>
      <c r="U162" s="1109"/>
      <c r="V162" s="1108"/>
    </row>
    <row r="163" spans="1:22" s="425" customFormat="1" ht="13" outlineLevel="1" x14ac:dyDescent="0.3">
      <c r="A163" s="452" t="s">
        <v>113</v>
      </c>
      <c r="B163" s="1119">
        <v>21.01</v>
      </c>
      <c r="C163" s="1120" t="s">
        <v>757</v>
      </c>
      <c r="D163" s="1121" t="s">
        <v>107</v>
      </c>
      <c r="E163" s="1122">
        <v>0</v>
      </c>
      <c r="F163" s="371">
        <f>'01 (2)'!I194*'01 (2)'!$N$3</f>
        <v>0</v>
      </c>
      <c r="G163" s="1122">
        <f>H163-F163</f>
        <v>0</v>
      </c>
      <c r="H163" s="1123">
        <v>0</v>
      </c>
      <c r="I163" s="1123">
        <f>$E163*F163</f>
        <v>0</v>
      </c>
      <c r="J163" s="1123">
        <f>$E163*G163</f>
        <v>0</v>
      </c>
      <c r="K163" s="1123">
        <f>+E163*H163</f>
        <v>0</v>
      </c>
      <c r="L163" s="1103"/>
      <c r="M163" s="359"/>
      <c r="N163" s="1078">
        <v>0</v>
      </c>
      <c r="O163" s="1078"/>
      <c r="P163" s="961">
        <f t="shared" ref="P163" si="193">+N163+O163</f>
        <v>0</v>
      </c>
      <c r="Q163" s="1081">
        <f t="shared" ref="Q163" si="194">+K163*N163</f>
        <v>0</v>
      </c>
      <c r="R163" s="1081">
        <f t="shared" ref="R163" si="195">+K163*O163</f>
        <v>0</v>
      </c>
      <c r="S163" s="1081">
        <f t="shared" ref="S163" si="196">+K163*P163</f>
        <v>0</v>
      </c>
      <c r="T163" s="962">
        <f>I163*$P163</f>
        <v>0</v>
      </c>
      <c r="U163" s="962">
        <f>J163*$P163</f>
        <v>0</v>
      </c>
      <c r="V163" s="962">
        <f t="shared" ref="V163" si="197">SUM(T163:U163)</f>
        <v>0</v>
      </c>
    </row>
    <row r="164" spans="1:22" s="425" customFormat="1" ht="13" x14ac:dyDescent="0.3">
      <c r="A164" s="440"/>
      <c r="B164" s="354">
        <v>22</v>
      </c>
      <c r="C164" s="355" t="s">
        <v>393</v>
      </c>
      <c r="D164" s="1077"/>
      <c r="E164" s="415"/>
      <c r="F164" s="415"/>
      <c r="G164" s="415"/>
      <c r="H164" s="415"/>
      <c r="I164" s="415"/>
      <c r="J164" s="415"/>
      <c r="K164" s="415"/>
      <c r="L164" s="358">
        <f>+SUM(K165:K166)</f>
        <v>2671152</v>
      </c>
      <c r="M164" s="359">
        <f>+L164/$L$186</f>
        <v>3.6384317289397993E-3</v>
      </c>
      <c r="N164" s="1106"/>
      <c r="O164" s="1107"/>
      <c r="P164" s="1107"/>
      <c r="Q164" s="1107"/>
      <c r="R164" s="1108"/>
      <c r="S164" s="1109"/>
      <c r="T164" s="1108"/>
      <c r="U164" s="1109"/>
      <c r="V164" s="1108"/>
    </row>
    <row r="165" spans="1:22" s="425" customFormat="1" ht="13" outlineLevel="1" x14ac:dyDescent="0.3">
      <c r="A165" s="453" t="s">
        <v>130</v>
      </c>
      <c r="B165" s="419">
        <v>22.01</v>
      </c>
      <c r="C165" s="1099" t="s">
        <v>758</v>
      </c>
      <c r="D165" s="1100" t="s">
        <v>111</v>
      </c>
      <c r="E165" s="417">
        <v>16</v>
      </c>
      <c r="F165" s="371">
        <f>'01 (2)'!I196*'01 (2)'!$N$3</f>
        <v>0</v>
      </c>
      <c r="G165" s="417">
        <f t="shared" ref="G165:G166" si="198">H165-F165</f>
        <v>80944</v>
      </c>
      <c r="H165" s="364">
        <v>80944</v>
      </c>
      <c r="I165" s="364">
        <f t="shared" ref="I165:I166" si="199">$E165*F165</f>
        <v>0</v>
      </c>
      <c r="J165" s="364">
        <f t="shared" ref="J165:J166" si="200">$E165*G165</f>
        <v>1295104</v>
      </c>
      <c r="K165" s="364">
        <f>+E165*H165</f>
        <v>1295104</v>
      </c>
      <c r="L165" s="1103"/>
      <c r="M165" s="359"/>
      <c r="N165" s="1091">
        <v>0</v>
      </c>
      <c r="O165" s="1091"/>
      <c r="P165" s="964">
        <f t="shared" ref="P165:P166" si="201">+N165+O165</f>
        <v>0</v>
      </c>
      <c r="Q165" s="1083">
        <f t="shared" ref="Q165:Q166" si="202">+K165*N165</f>
        <v>0</v>
      </c>
      <c r="R165" s="1083">
        <f t="shared" ref="R165:R166" si="203">+K165*O165</f>
        <v>0</v>
      </c>
      <c r="S165" s="1083">
        <f t="shared" ref="S165:S166" si="204">+K165*P165</f>
        <v>0</v>
      </c>
      <c r="T165" s="962">
        <f t="shared" ref="T165:T166" si="205">I165*$P165</f>
        <v>0</v>
      </c>
      <c r="U165" s="962">
        <f t="shared" ref="U165:U166" si="206">J165*$P165</f>
        <v>0</v>
      </c>
      <c r="V165" s="962">
        <f t="shared" ref="V165:V166" si="207">SUM(T165:U165)</f>
        <v>0</v>
      </c>
    </row>
    <row r="166" spans="1:22" s="425" customFormat="1" ht="13" outlineLevel="1" x14ac:dyDescent="0.3">
      <c r="A166" s="445" t="s">
        <v>130</v>
      </c>
      <c r="B166" s="408">
        <v>22.02</v>
      </c>
      <c r="C166" s="1104" t="s">
        <v>759</v>
      </c>
      <c r="D166" s="1105" t="s">
        <v>111</v>
      </c>
      <c r="E166" s="413">
        <v>17</v>
      </c>
      <c r="F166" s="371">
        <f>'01 (2)'!I197*'01 (2)'!$N$3</f>
        <v>0</v>
      </c>
      <c r="G166" s="413">
        <f t="shared" si="198"/>
        <v>80944</v>
      </c>
      <c r="H166" s="396">
        <v>80944</v>
      </c>
      <c r="I166" s="396">
        <f t="shared" si="199"/>
        <v>0</v>
      </c>
      <c r="J166" s="396">
        <f t="shared" si="200"/>
        <v>1376048</v>
      </c>
      <c r="K166" s="396">
        <f>+E166*H166</f>
        <v>1376048</v>
      </c>
      <c r="L166" s="1103"/>
      <c r="M166" s="359"/>
      <c r="N166" s="1091">
        <v>0</v>
      </c>
      <c r="O166" s="1091"/>
      <c r="P166" s="964">
        <f t="shared" si="201"/>
        <v>0</v>
      </c>
      <c r="Q166" s="1083">
        <f t="shared" si="202"/>
        <v>0</v>
      </c>
      <c r="R166" s="1083">
        <f t="shared" si="203"/>
        <v>0</v>
      </c>
      <c r="S166" s="1083">
        <f t="shared" si="204"/>
        <v>0</v>
      </c>
      <c r="T166" s="962">
        <f t="shared" si="205"/>
        <v>0</v>
      </c>
      <c r="U166" s="962">
        <f t="shared" si="206"/>
        <v>0</v>
      </c>
      <c r="V166" s="962">
        <f t="shared" si="207"/>
        <v>0</v>
      </c>
    </row>
    <row r="167" spans="1:22" s="425" customFormat="1" ht="13" x14ac:dyDescent="0.3">
      <c r="A167" s="440"/>
      <c r="B167" s="354">
        <v>23</v>
      </c>
      <c r="C167" s="355" t="s">
        <v>211</v>
      </c>
      <c r="D167" s="1077"/>
      <c r="E167" s="415"/>
      <c r="F167" s="415"/>
      <c r="G167" s="415"/>
      <c r="H167" s="415"/>
      <c r="I167" s="415"/>
      <c r="J167" s="415"/>
      <c r="K167" s="415"/>
      <c r="L167" s="358">
        <f>+SUM(K168:K170)</f>
        <v>4668180</v>
      </c>
      <c r="M167" s="359">
        <f>+L167/$L$186</f>
        <v>6.3586251281852139E-3</v>
      </c>
      <c r="N167" s="1106"/>
      <c r="O167" s="1107"/>
      <c r="P167" s="1107"/>
      <c r="Q167" s="1107"/>
      <c r="R167" s="1108"/>
      <c r="S167" s="1109"/>
      <c r="T167" s="1108"/>
      <c r="U167" s="1109"/>
      <c r="V167" s="1108"/>
    </row>
    <row r="168" spans="1:22" s="425" customFormat="1" ht="13" outlineLevel="1" x14ac:dyDescent="0.3">
      <c r="A168" s="449" t="s">
        <v>113</v>
      </c>
      <c r="B168" s="419">
        <v>23.01</v>
      </c>
      <c r="C168" s="1099" t="s">
        <v>394</v>
      </c>
      <c r="D168" s="1100" t="s">
        <v>107</v>
      </c>
      <c r="E168" s="417">
        <v>7</v>
      </c>
      <c r="F168" s="371">
        <f>'01 (2)'!I199*'01 (2)'!$N$3</f>
        <v>129279.72550502376</v>
      </c>
      <c r="G168" s="417">
        <f t="shared" ref="G168:G170" si="208">H168-F168</f>
        <v>317122.27449497627</v>
      </c>
      <c r="H168" s="364">
        <v>446402</v>
      </c>
      <c r="I168" s="364">
        <f t="shared" ref="I168:I170" si="209">$E168*F168</f>
        <v>904958.07853516634</v>
      </c>
      <c r="J168" s="364">
        <f t="shared" ref="J168:J170" si="210">$E168*G168</f>
        <v>2219855.9214648339</v>
      </c>
      <c r="K168" s="364">
        <f>+E168*H168</f>
        <v>3124814</v>
      </c>
      <c r="L168" s="1103"/>
      <c r="M168" s="359"/>
      <c r="N168" s="1078">
        <v>0.1</v>
      </c>
      <c r="O168" s="1078"/>
      <c r="P168" s="961">
        <f t="shared" ref="P168:P170" si="211">+N168+O168</f>
        <v>0.1</v>
      </c>
      <c r="Q168" s="1081">
        <f t="shared" ref="Q168:Q170" si="212">+K168*N168</f>
        <v>312481.40000000002</v>
      </c>
      <c r="R168" s="1081">
        <f t="shared" ref="R168:R170" si="213">+K168*O168</f>
        <v>0</v>
      </c>
      <c r="S168" s="1081">
        <f t="shared" ref="S168:S170" si="214">+K168*P168</f>
        <v>312481.40000000002</v>
      </c>
      <c r="T168" s="962">
        <f t="shared" ref="T168:T170" si="215">I168*$P168</f>
        <v>90495.807853516642</v>
      </c>
      <c r="U168" s="962">
        <f t="shared" ref="U168:U170" si="216">J168*$P168</f>
        <v>221985.5921464834</v>
      </c>
      <c r="V168" s="962">
        <f t="shared" ref="V168:V170" si="217">SUM(T168:U168)</f>
        <v>312481.40000000002</v>
      </c>
    </row>
    <row r="169" spans="1:22" s="425" customFormat="1" ht="13" outlineLevel="1" x14ac:dyDescent="0.3">
      <c r="A169" s="446" t="s">
        <v>113</v>
      </c>
      <c r="B169" s="407">
        <v>23.02</v>
      </c>
      <c r="C169" s="1101" t="s">
        <v>760</v>
      </c>
      <c r="D169" s="1102" t="s">
        <v>107</v>
      </c>
      <c r="E169" s="371">
        <v>1</v>
      </c>
      <c r="F169" s="371">
        <f>'01 (2)'!I200*'01 (2)'!$N$3</f>
        <v>251376.51390730115</v>
      </c>
      <c r="G169" s="371">
        <f t="shared" si="208"/>
        <v>420683.48609269888</v>
      </c>
      <c r="H169" s="369">
        <v>672060</v>
      </c>
      <c r="I169" s="369">
        <f t="shared" si="209"/>
        <v>251376.51390730115</v>
      </c>
      <c r="J169" s="369">
        <f t="shared" si="210"/>
        <v>420683.48609269888</v>
      </c>
      <c r="K169" s="369">
        <f>+E169*H169</f>
        <v>672060</v>
      </c>
      <c r="L169" s="1103"/>
      <c r="M169" s="359"/>
      <c r="N169" s="1091">
        <v>0.85</v>
      </c>
      <c r="O169" s="1091"/>
      <c r="P169" s="964">
        <f t="shared" si="211"/>
        <v>0.85</v>
      </c>
      <c r="Q169" s="1083">
        <f t="shared" si="212"/>
        <v>571251</v>
      </c>
      <c r="R169" s="1083">
        <f t="shared" si="213"/>
        <v>0</v>
      </c>
      <c r="S169" s="1083">
        <f t="shared" si="214"/>
        <v>571251</v>
      </c>
      <c r="T169" s="962">
        <f t="shared" si="215"/>
        <v>213670.03682120598</v>
      </c>
      <c r="U169" s="962">
        <f t="shared" si="216"/>
        <v>357580.96317879402</v>
      </c>
      <c r="V169" s="962">
        <f t="shared" si="217"/>
        <v>571251</v>
      </c>
    </row>
    <row r="170" spans="1:22" s="425" customFormat="1" ht="13" outlineLevel="1" x14ac:dyDescent="0.3">
      <c r="A170" s="447" t="s">
        <v>113</v>
      </c>
      <c r="B170" s="408">
        <v>23.03</v>
      </c>
      <c r="C170" s="1104" t="s">
        <v>395</v>
      </c>
      <c r="D170" s="1105" t="s">
        <v>107</v>
      </c>
      <c r="E170" s="413">
        <v>1</v>
      </c>
      <c r="F170" s="371">
        <f>'01 (2)'!I201*'01 (2)'!$N$3</f>
        <v>319147.15257760871</v>
      </c>
      <c r="G170" s="413">
        <f t="shared" si="208"/>
        <v>552158.84742239129</v>
      </c>
      <c r="H170" s="396">
        <v>871306</v>
      </c>
      <c r="I170" s="396">
        <f t="shared" si="209"/>
        <v>319147.15257760871</v>
      </c>
      <c r="J170" s="396">
        <f t="shared" si="210"/>
        <v>552158.84742239129</v>
      </c>
      <c r="K170" s="396">
        <f>+E170*H170</f>
        <v>871306</v>
      </c>
      <c r="L170" s="1103"/>
      <c r="M170" s="359"/>
      <c r="N170" s="1091">
        <v>0</v>
      </c>
      <c r="O170" s="1091"/>
      <c r="P170" s="964">
        <f t="shared" si="211"/>
        <v>0</v>
      </c>
      <c r="Q170" s="1083">
        <f t="shared" si="212"/>
        <v>0</v>
      </c>
      <c r="R170" s="1083">
        <f t="shared" si="213"/>
        <v>0</v>
      </c>
      <c r="S170" s="1083">
        <f t="shared" si="214"/>
        <v>0</v>
      </c>
      <c r="T170" s="962">
        <f t="shared" si="215"/>
        <v>0</v>
      </c>
      <c r="U170" s="962">
        <f t="shared" si="216"/>
        <v>0</v>
      </c>
      <c r="V170" s="962">
        <f t="shared" si="217"/>
        <v>0</v>
      </c>
    </row>
    <row r="171" spans="1:22" s="425" customFormat="1" ht="13" x14ac:dyDescent="0.3">
      <c r="A171" s="440"/>
      <c r="B171" s="354">
        <v>24</v>
      </c>
      <c r="C171" s="355" t="s">
        <v>212</v>
      </c>
      <c r="D171" s="1077"/>
      <c r="E171" s="415"/>
      <c r="F171" s="415"/>
      <c r="G171" s="415"/>
      <c r="H171" s="415"/>
      <c r="I171" s="415"/>
      <c r="J171" s="415"/>
      <c r="K171" s="415"/>
      <c r="L171" s="358">
        <f>+SUM(K172:K181)</f>
        <v>14803227.6</v>
      </c>
      <c r="M171" s="359">
        <f>+L171/$L$186</f>
        <v>2.0163784386121552E-2</v>
      </c>
      <c r="N171" s="1106"/>
      <c r="O171" s="1107"/>
      <c r="P171" s="1107"/>
      <c r="Q171" s="1107"/>
      <c r="R171" s="1108"/>
      <c r="S171" s="1109"/>
      <c r="T171" s="1108"/>
      <c r="U171" s="1109"/>
      <c r="V171" s="1108"/>
    </row>
    <row r="172" spans="1:22" s="425" customFormat="1" ht="13" outlineLevel="1" x14ac:dyDescent="0.3">
      <c r="A172" s="441" t="s">
        <v>113</v>
      </c>
      <c r="B172" s="419">
        <v>24.01</v>
      </c>
      <c r="C172" s="1099" t="s">
        <v>135</v>
      </c>
      <c r="D172" s="1100" t="s">
        <v>101</v>
      </c>
      <c r="E172" s="417">
        <v>6</v>
      </c>
      <c r="F172" s="371">
        <f>'01 (2)'!I203*'01 (2)'!$N$3</f>
        <v>0</v>
      </c>
      <c r="G172" s="417">
        <f t="shared" ref="G172:G182" si="218">H172-F172</f>
        <v>753138</v>
      </c>
      <c r="H172" s="364">
        <v>753138</v>
      </c>
      <c r="I172" s="364">
        <f t="shared" ref="I172:I182" si="219">$E172*F172</f>
        <v>0</v>
      </c>
      <c r="J172" s="364">
        <f t="shared" ref="J172:J182" si="220">$E172*G172</f>
        <v>4518828</v>
      </c>
      <c r="K172" s="364">
        <f t="shared" ref="K172:K181" si="221">+E172*H172</f>
        <v>4518828</v>
      </c>
      <c r="L172" s="1103"/>
      <c r="M172" s="359"/>
      <c r="N172" s="1078">
        <v>0.4</v>
      </c>
      <c r="O172" s="1078">
        <v>0.1</v>
      </c>
      <c r="P172" s="961">
        <f t="shared" ref="P172:P181" si="222">+N172+O172</f>
        <v>0.5</v>
      </c>
      <c r="Q172" s="1081">
        <f t="shared" ref="Q172:Q181" si="223">+K172*N172</f>
        <v>1807531.2000000002</v>
      </c>
      <c r="R172" s="1081">
        <f t="shared" ref="R172:R181" si="224">+K172*O172</f>
        <v>451882.80000000005</v>
      </c>
      <c r="S172" s="1081">
        <f t="shared" ref="S172:S181" si="225">+K172*P172</f>
        <v>2259414</v>
      </c>
      <c r="T172" s="962">
        <f t="shared" ref="T172:T182" si="226">I172*$P172</f>
        <v>0</v>
      </c>
      <c r="U172" s="962">
        <f t="shared" ref="U172:U182" si="227">J172*$P172</f>
        <v>2259414</v>
      </c>
      <c r="V172" s="962">
        <f t="shared" ref="V172:V182" si="228">SUM(T172:U172)</f>
        <v>2259414</v>
      </c>
    </row>
    <row r="173" spans="1:22" s="425" customFormat="1" ht="13" outlineLevel="1" x14ac:dyDescent="0.3">
      <c r="A173" s="444" t="s">
        <v>221</v>
      </c>
      <c r="B173" s="407">
        <v>24.02</v>
      </c>
      <c r="C173" s="1101" t="s">
        <v>295</v>
      </c>
      <c r="D173" s="1102" t="s">
        <v>101</v>
      </c>
      <c r="E173" s="371"/>
      <c r="F173" s="371">
        <f>'01 (2)'!I204*'01 (2)'!$N$3</f>
        <v>0</v>
      </c>
      <c r="G173" s="371">
        <f t="shared" si="218"/>
        <v>1944871</v>
      </c>
      <c r="H173" s="369">
        <v>1944871</v>
      </c>
      <c r="I173" s="369">
        <f t="shared" si="219"/>
        <v>0</v>
      </c>
      <c r="J173" s="369">
        <f t="shared" si="220"/>
        <v>0</v>
      </c>
      <c r="K173" s="369">
        <f t="shared" si="221"/>
        <v>0</v>
      </c>
      <c r="L173" s="1103"/>
      <c r="M173" s="359"/>
      <c r="N173" s="1091">
        <v>0</v>
      </c>
      <c r="O173" s="1091"/>
      <c r="P173" s="964">
        <f t="shared" si="222"/>
        <v>0</v>
      </c>
      <c r="Q173" s="1083">
        <f t="shared" si="223"/>
        <v>0</v>
      </c>
      <c r="R173" s="1083">
        <f t="shared" si="224"/>
        <v>0</v>
      </c>
      <c r="S173" s="1083">
        <f t="shared" si="225"/>
        <v>0</v>
      </c>
      <c r="T173" s="962">
        <f t="shared" si="226"/>
        <v>0</v>
      </c>
      <c r="U173" s="962">
        <f t="shared" si="227"/>
        <v>0</v>
      </c>
      <c r="V173" s="962">
        <f t="shared" si="228"/>
        <v>0</v>
      </c>
    </row>
    <row r="174" spans="1:22" s="425" customFormat="1" ht="13" outlineLevel="1" x14ac:dyDescent="0.3">
      <c r="A174" s="442" t="s">
        <v>221</v>
      </c>
      <c r="B174" s="407">
        <v>24.03</v>
      </c>
      <c r="C174" s="1101" t="s">
        <v>213</v>
      </c>
      <c r="D174" s="1102" t="s">
        <v>101</v>
      </c>
      <c r="E174" s="371">
        <v>6</v>
      </c>
      <c r="F174" s="371">
        <f>'01 (2)'!I205*'01 (2)'!$N$3</f>
        <v>0</v>
      </c>
      <c r="G174" s="371">
        <f t="shared" si="218"/>
        <v>188533</v>
      </c>
      <c r="H174" s="369">
        <v>188533</v>
      </c>
      <c r="I174" s="369">
        <f t="shared" si="219"/>
        <v>0</v>
      </c>
      <c r="J174" s="369">
        <f t="shared" si="220"/>
        <v>1131198</v>
      </c>
      <c r="K174" s="369">
        <f t="shared" si="221"/>
        <v>1131198</v>
      </c>
      <c r="L174" s="1103"/>
      <c r="M174" s="359"/>
      <c r="N174" s="1091">
        <v>0.4</v>
      </c>
      <c r="O174" s="1091">
        <v>0.1</v>
      </c>
      <c r="P174" s="964">
        <f t="shared" si="222"/>
        <v>0.5</v>
      </c>
      <c r="Q174" s="1083">
        <f t="shared" si="223"/>
        <v>452479.2</v>
      </c>
      <c r="R174" s="1083">
        <f t="shared" si="224"/>
        <v>113119.8</v>
      </c>
      <c r="S174" s="1083">
        <f t="shared" si="225"/>
        <v>565599</v>
      </c>
      <c r="T174" s="962">
        <f t="shared" si="226"/>
        <v>0</v>
      </c>
      <c r="U174" s="962">
        <f t="shared" si="227"/>
        <v>565599</v>
      </c>
      <c r="V174" s="962">
        <f t="shared" si="228"/>
        <v>565599</v>
      </c>
    </row>
    <row r="175" spans="1:22" s="425" customFormat="1" ht="13" outlineLevel="1" x14ac:dyDescent="0.3">
      <c r="A175" s="444" t="s">
        <v>113</v>
      </c>
      <c r="B175" s="407">
        <v>24.04</v>
      </c>
      <c r="C175" s="1101" t="s">
        <v>214</v>
      </c>
      <c r="D175" s="1102" t="s">
        <v>107</v>
      </c>
      <c r="E175" s="371"/>
      <c r="F175" s="371">
        <f>'01 (2)'!I206*'01 (2)'!$N$3</f>
        <v>3001557.8321827929</v>
      </c>
      <c r="G175" s="371">
        <f t="shared" si="218"/>
        <v>1605004.1678172071</v>
      </c>
      <c r="H175" s="369">
        <v>4606562</v>
      </c>
      <c r="I175" s="369">
        <f t="shared" si="219"/>
        <v>0</v>
      </c>
      <c r="J175" s="369">
        <f t="shared" si="220"/>
        <v>0</v>
      </c>
      <c r="K175" s="369">
        <f t="shared" si="221"/>
        <v>0</v>
      </c>
      <c r="L175" s="1103"/>
      <c r="M175" s="359"/>
      <c r="N175" s="1091">
        <v>0</v>
      </c>
      <c r="O175" s="1091"/>
      <c r="P175" s="964">
        <f t="shared" si="222"/>
        <v>0</v>
      </c>
      <c r="Q175" s="1083">
        <f t="shared" si="223"/>
        <v>0</v>
      </c>
      <c r="R175" s="1083">
        <f t="shared" si="224"/>
        <v>0</v>
      </c>
      <c r="S175" s="1083">
        <f t="shared" si="225"/>
        <v>0</v>
      </c>
      <c r="T175" s="962">
        <f t="shared" si="226"/>
        <v>0</v>
      </c>
      <c r="U175" s="962">
        <f t="shared" si="227"/>
        <v>0</v>
      </c>
      <c r="V175" s="962">
        <f t="shared" si="228"/>
        <v>0</v>
      </c>
    </row>
    <row r="176" spans="1:22" s="425" customFormat="1" ht="13" outlineLevel="1" x14ac:dyDescent="0.3">
      <c r="A176" s="442" t="s">
        <v>113</v>
      </c>
      <c r="B176" s="407">
        <v>24.05</v>
      </c>
      <c r="C176" s="1101" t="s">
        <v>296</v>
      </c>
      <c r="D176" s="1102" t="s">
        <v>101</v>
      </c>
      <c r="E176" s="371">
        <v>6</v>
      </c>
      <c r="F176" s="371">
        <f>'01 (2)'!I207*'01 (2)'!$N$3</f>
        <v>62844.128476825288</v>
      </c>
      <c r="G176" s="371">
        <f t="shared" si="218"/>
        <v>633307.87152317469</v>
      </c>
      <c r="H176" s="369">
        <v>696152</v>
      </c>
      <c r="I176" s="369">
        <f t="shared" si="219"/>
        <v>377064.77086095174</v>
      </c>
      <c r="J176" s="369">
        <f t="shared" si="220"/>
        <v>3799847.2291390481</v>
      </c>
      <c r="K176" s="369">
        <f t="shared" si="221"/>
        <v>4176912</v>
      </c>
      <c r="L176" s="1103"/>
      <c r="M176" s="359"/>
      <c r="N176" s="1091">
        <v>0.30000000000000004</v>
      </c>
      <c r="O176" s="1091">
        <v>0.1</v>
      </c>
      <c r="P176" s="964">
        <f t="shared" si="222"/>
        <v>0.4</v>
      </c>
      <c r="Q176" s="1083">
        <f t="shared" si="223"/>
        <v>1253073.6000000001</v>
      </c>
      <c r="R176" s="1083">
        <f t="shared" si="224"/>
        <v>417691.2</v>
      </c>
      <c r="S176" s="1083">
        <f t="shared" si="225"/>
        <v>1670764.8</v>
      </c>
      <c r="T176" s="962">
        <f t="shared" si="226"/>
        <v>150825.9083443807</v>
      </c>
      <c r="U176" s="962">
        <f t="shared" si="227"/>
        <v>1519938.8916556193</v>
      </c>
      <c r="V176" s="962">
        <f t="shared" si="228"/>
        <v>1670764.8</v>
      </c>
    </row>
    <row r="177" spans="1:22" s="425" customFormat="1" ht="13" outlineLevel="1" x14ac:dyDescent="0.3">
      <c r="A177" s="444" t="s">
        <v>113</v>
      </c>
      <c r="B177" s="407">
        <v>24.06</v>
      </c>
      <c r="C177" s="1101" t="s">
        <v>114</v>
      </c>
      <c r="D177" s="1102" t="s">
        <v>101</v>
      </c>
      <c r="E177" s="371">
        <v>6</v>
      </c>
      <c r="F177" s="371">
        <f>'01 (2)'!I208*'01 (2)'!$N$3</f>
        <v>31422.064238412644</v>
      </c>
      <c r="G177" s="371">
        <f t="shared" si="218"/>
        <v>420910.93576158735</v>
      </c>
      <c r="H177" s="369">
        <v>452333</v>
      </c>
      <c r="I177" s="369">
        <f t="shared" si="219"/>
        <v>188532.38543047587</v>
      </c>
      <c r="J177" s="369">
        <f t="shared" si="220"/>
        <v>2525465.6145695243</v>
      </c>
      <c r="K177" s="369">
        <f t="shared" si="221"/>
        <v>2713998</v>
      </c>
      <c r="L177" s="1103"/>
      <c r="M177" s="359"/>
      <c r="N177" s="1091">
        <v>0.30000000000000004</v>
      </c>
      <c r="O177" s="1091">
        <v>0.1</v>
      </c>
      <c r="P177" s="964">
        <f t="shared" si="222"/>
        <v>0.4</v>
      </c>
      <c r="Q177" s="1083">
        <f t="shared" si="223"/>
        <v>814199.40000000014</v>
      </c>
      <c r="R177" s="1083">
        <f t="shared" si="224"/>
        <v>271399.8</v>
      </c>
      <c r="S177" s="1083">
        <f t="shared" si="225"/>
        <v>1085599.2</v>
      </c>
      <c r="T177" s="962">
        <f t="shared" si="226"/>
        <v>75412.954172190352</v>
      </c>
      <c r="U177" s="962">
        <f t="shared" si="227"/>
        <v>1010186.2458278098</v>
      </c>
      <c r="V177" s="962">
        <f t="shared" si="228"/>
        <v>1085599.2000000002</v>
      </c>
    </row>
    <row r="178" spans="1:22" s="425" customFormat="1" ht="13" outlineLevel="1" x14ac:dyDescent="0.3">
      <c r="A178" s="442" t="s">
        <v>113</v>
      </c>
      <c r="B178" s="407">
        <v>24.07</v>
      </c>
      <c r="C178" s="1101" t="s">
        <v>297</v>
      </c>
      <c r="D178" s="1102" t="s">
        <v>107</v>
      </c>
      <c r="E178" s="371">
        <v>0</v>
      </c>
      <c r="F178" s="371">
        <f>'01 (2)'!I209*'01 (2)'!$N$3</f>
        <v>0</v>
      </c>
      <c r="G178" s="371">
        <f t="shared" si="218"/>
        <v>0</v>
      </c>
      <c r="H178" s="369">
        <v>0</v>
      </c>
      <c r="I178" s="369">
        <f t="shared" si="219"/>
        <v>0</v>
      </c>
      <c r="J178" s="369">
        <f t="shared" si="220"/>
        <v>0</v>
      </c>
      <c r="K178" s="369">
        <f t="shared" si="221"/>
        <v>0</v>
      </c>
      <c r="L178" s="1103"/>
      <c r="M178" s="359"/>
      <c r="N178" s="1091">
        <v>0</v>
      </c>
      <c r="O178" s="1091"/>
      <c r="P178" s="964">
        <f t="shared" si="222"/>
        <v>0</v>
      </c>
      <c r="Q178" s="1083">
        <f t="shared" si="223"/>
        <v>0</v>
      </c>
      <c r="R178" s="1083">
        <f t="shared" si="224"/>
        <v>0</v>
      </c>
      <c r="S178" s="1083">
        <f t="shared" si="225"/>
        <v>0</v>
      </c>
      <c r="T178" s="962">
        <f t="shared" si="226"/>
        <v>0</v>
      </c>
      <c r="U178" s="962">
        <f t="shared" si="227"/>
        <v>0</v>
      </c>
      <c r="V178" s="962">
        <f t="shared" si="228"/>
        <v>0</v>
      </c>
    </row>
    <row r="179" spans="1:22" s="425" customFormat="1" ht="13" outlineLevel="1" x14ac:dyDescent="0.3">
      <c r="A179" s="444" t="s">
        <v>218</v>
      </c>
      <c r="B179" s="407">
        <v>24.08</v>
      </c>
      <c r="C179" s="1101" t="s">
        <v>115</v>
      </c>
      <c r="D179" s="1102" t="s">
        <v>101</v>
      </c>
      <c r="E179" s="371">
        <v>6</v>
      </c>
      <c r="F179" s="371">
        <f>'01 (2)'!I210*'01 (2)'!$N$3</f>
        <v>0</v>
      </c>
      <c r="G179" s="371">
        <f t="shared" si="218"/>
        <v>314221</v>
      </c>
      <c r="H179" s="369">
        <v>314221</v>
      </c>
      <c r="I179" s="369">
        <f t="shared" si="219"/>
        <v>0</v>
      </c>
      <c r="J179" s="369">
        <f t="shared" si="220"/>
        <v>1885326</v>
      </c>
      <c r="K179" s="369">
        <f t="shared" si="221"/>
        <v>1885326</v>
      </c>
      <c r="L179" s="1103"/>
      <c r="M179" s="359"/>
      <c r="N179" s="1091">
        <v>0.30000000000000004</v>
      </c>
      <c r="O179" s="1091">
        <v>0.1</v>
      </c>
      <c r="P179" s="964">
        <f t="shared" si="222"/>
        <v>0.4</v>
      </c>
      <c r="Q179" s="1083">
        <f t="shared" si="223"/>
        <v>565597.80000000005</v>
      </c>
      <c r="R179" s="1083">
        <f t="shared" si="224"/>
        <v>188532.6</v>
      </c>
      <c r="S179" s="1083">
        <f t="shared" si="225"/>
        <v>754130.4</v>
      </c>
      <c r="T179" s="962">
        <f t="shared" si="226"/>
        <v>0</v>
      </c>
      <c r="U179" s="962">
        <f t="shared" si="227"/>
        <v>754130.4</v>
      </c>
      <c r="V179" s="962">
        <f t="shared" si="228"/>
        <v>754130.4</v>
      </c>
    </row>
    <row r="180" spans="1:22" s="425" customFormat="1" ht="13" outlineLevel="1" x14ac:dyDescent="0.3">
      <c r="A180" s="442" t="s">
        <v>177</v>
      </c>
      <c r="B180" s="407">
        <v>24.09</v>
      </c>
      <c r="C180" s="1101" t="s">
        <v>298</v>
      </c>
      <c r="D180" s="1102" t="s">
        <v>101</v>
      </c>
      <c r="E180" s="371">
        <v>4</v>
      </c>
      <c r="F180" s="371">
        <f>'01 (2)'!I211*'01 (2)'!$N$3</f>
        <v>0</v>
      </c>
      <c r="G180" s="371">
        <f t="shared" si="218"/>
        <v>0</v>
      </c>
      <c r="H180" s="369">
        <v>0</v>
      </c>
      <c r="I180" s="369">
        <f t="shared" si="219"/>
        <v>0</v>
      </c>
      <c r="J180" s="369">
        <f t="shared" si="220"/>
        <v>0</v>
      </c>
      <c r="K180" s="369">
        <f t="shared" si="221"/>
        <v>0</v>
      </c>
      <c r="L180" s="1103"/>
      <c r="M180" s="359"/>
      <c r="N180" s="1091">
        <v>0</v>
      </c>
      <c r="O180" s="1091"/>
      <c r="P180" s="964">
        <f t="shared" si="222"/>
        <v>0</v>
      </c>
      <c r="Q180" s="1083">
        <f t="shared" si="223"/>
        <v>0</v>
      </c>
      <c r="R180" s="1083">
        <f t="shared" si="224"/>
        <v>0</v>
      </c>
      <c r="S180" s="1083">
        <f t="shared" si="225"/>
        <v>0</v>
      </c>
      <c r="T180" s="962">
        <f t="shared" si="226"/>
        <v>0</v>
      </c>
      <c r="U180" s="962">
        <f t="shared" si="227"/>
        <v>0</v>
      </c>
      <c r="V180" s="962">
        <f t="shared" si="228"/>
        <v>0</v>
      </c>
    </row>
    <row r="181" spans="1:22" s="425" customFormat="1" ht="13" outlineLevel="1" x14ac:dyDescent="0.3">
      <c r="A181" s="442" t="s">
        <v>113</v>
      </c>
      <c r="B181" s="407">
        <v>24.1</v>
      </c>
      <c r="C181" s="1101" t="s">
        <v>116</v>
      </c>
      <c r="D181" s="1102" t="s">
        <v>101</v>
      </c>
      <c r="E181" s="371">
        <v>6</v>
      </c>
      <c r="F181" s="371">
        <f>'01 (2)'!I212*'01 (2)'!$N$3</f>
        <v>251376.51390730115</v>
      </c>
      <c r="G181" s="371">
        <f t="shared" si="218"/>
        <v>-188548.91390730115</v>
      </c>
      <c r="H181" s="369">
        <f>314138*0.2</f>
        <v>62827.600000000006</v>
      </c>
      <c r="I181" s="369">
        <f t="shared" si="219"/>
        <v>1508259.083443807</v>
      </c>
      <c r="J181" s="369">
        <f t="shared" si="220"/>
        <v>-1131293.4834438069</v>
      </c>
      <c r="K181" s="369">
        <f t="shared" si="221"/>
        <v>376965.60000000003</v>
      </c>
      <c r="L181" s="1103"/>
      <c r="M181" s="359"/>
      <c r="N181" s="1336">
        <v>0.30000000000000004</v>
      </c>
      <c r="O181" s="968">
        <v>0.1</v>
      </c>
      <c r="P181" s="964">
        <f t="shared" si="222"/>
        <v>0.4</v>
      </c>
      <c r="Q181" s="1083">
        <f t="shared" si="223"/>
        <v>113089.68000000002</v>
      </c>
      <c r="R181" s="1083">
        <f t="shared" si="224"/>
        <v>37696.560000000005</v>
      </c>
      <c r="S181" s="1083">
        <f t="shared" si="225"/>
        <v>150786.24000000002</v>
      </c>
      <c r="T181" s="962">
        <f t="shared" si="226"/>
        <v>603303.63337752281</v>
      </c>
      <c r="U181" s="962">
        <f t="shared" si="227"/>
        <v>-452517.39337752276</v>
      </c>
      <c r="V181" s="962">
        <f t="shared" si="228"/>
        <v>150786.24000000005</v>
      </c>
    </row>
    <row r="182" spans="1:22" s="425" customFormat="1" ht="13" outlineLevel="1" x14ac:dyDescent="0.3">
      <c r="A182" s="444" t="s">
        <v>103</v>
      </c>
      <c r="B182" s="408">
        <v>24.1</v>
      </c>
      <c r="C182" s="1104" t="s">
        <v>116</v>
      </c>
      <c r="D182" s="1105" t="s">
        <v>101</v>
      </c>
      <c r="E182" s="413">
        <v>6</v>
      </c>
      <c r="F182" s="371">
        <f>'01 (2)'!I213*'01 (2)'!$N$3</f>
        <v>0</v>
      </c>
      <c r="G182" s="1212">
        <f t="shared" si="218"/>
        <v>251310.40000000002</v>
      </c>
      <c r="H182" s="369">
        <f>314138*0.8</f>
        <v>251310.40000000002</v>
      </c>
      <c r="I182" s="759">
        <f t="shared" si="219"/>
        <v>0</v>
      </c>
      <c r="J182" s="759">
        <f t="shared" si="220"/>
        <v>1507862.4000000001</v>
      </c>
      <c r="K182" s="396">
        <f>H182*E182</f>
        <v>1507862.4000000001</v>
      </c>
      <c r="L182" s="1103"/>
      <c r="M182" s="359"/>
      <c r="N182" s="1336">
        <v>0.30000000000000004</v>
      </c>
      <c r="O182" s="968">
        <v>0.1</v>
      </c>
      <c r="P182" s="964">
        <f>+N182+O182</f>
        <v>0.4</v>
      </c>
      <c r="Q182" s="1083">
        <f>+K182*N182</f>
        <v>452358.72000000009</v>
      </c>
      <c r="R182" s="1083">
        <f t="shared" ref="R182" si="229">+K182*O182</f>
        <v>150786.24000000002</v>
      </c>
      <c r="S182" s="1083">
        <f t="shared" ref="S182" si="230">+K182*P182</f>
        <v>603144.96000000008</v>
      </c>
      <c r="T182" s="962">
        <f t="shared" si="226"/>
        <v>0</v>
      </c>
      <c r="U182" s="962">
        <f t="shared" si="227"/>
        <v>603144.96000000008</v>
      </c>
      <c r="V182" s="962">
        <f t="shared" si="228"/>
        <v>603144.96000000008</v>
      </c>
    </row>
    <row r="183" spans="1:22" s="425" customFormat="1" ht="13" x14ac:dyDescent="0.3">
      <c r="A183" s="440"/>
      <c r="B183" s="354">
        <v>25</v>
      </c>
      <c r="C183" s="355" t="s">
        <v>215</v>
      </c>
      <c r="D183" s="1077"/>
      <c r="E183" s="415"/>
      <c r="F183" s="415"/>
      <c r="G183" s="415"/>
      <c r="H183" s="415"/>
      <c r="I183" s="415"/>
      <c r="J183" s="415"/>
      <c r="K183" s="415"/>
      <c r="L183" s="358">
        <f>+SUM(K184:K185)</f>
        <v>32415288</v>
      </c>
      <c r="M183" s="359">
        <f>+L183/$L$186</f>
        <v>4.4153538384158419E-2</v>
      </c>
      <c r="N183" s="1106"/>
      <c r="O183" s="1107"/>
      <c r="P183" s="1107"/>
      <c r="Q183" s="1107"/>
      <c r="R183" s="1108"/>
      <c r="S183" s="1109"/>
      <c r="T183" s="1108"/>
      <c r="U183" s="1109"/>
      <c r="V183" s="1108"/>
    </row>
    <row r="184" spans="1:22" s="425" customFormat="1" ht="13" outlineLevel="1" x14ac:dyDescent="0.3">
      <c r="A184" s="441" t="s">
        <v>100</v>
      </c>
      <c r="B184" s="419">
        <v>25.01</v>
      </c>
      <c r="C184" s="1099" t="s">
        <v>299</v>
      </c>
      <c r="D184" s="1100" t="s">
        <v>101</v>
      </c>
      <c r="E184" s="417">
        <v>6</v>
      </c>
      <c r="F184" s="371">
        <f>'01 (2)'!I214*'01 (2)'!$N$3</f>
        <v>0</v>
      </c>
      <c r="G184" s="417">
        <f t="shared" ref="G184:G185" si="231">H184-F184</f>
        <v>4774106</v>
      </c>
      <c r="H184" s="364">
        <v>4774106</v>
      </c>
      <c r="I184" s="364">
        <f t="shared" ref="I184:I185" si="232">$E184*F184</f>
        <v>0</v>
      </c>
      <c r="J184" s="364">
        <f t="shared" ref="J184:J185" si="233">$E184*G184</f>
        <v>28644636</v>
      </c>
      <c r="K184" s="364">
        <f>+E184*H184</f>
        <v>28644636</v>
      </c>
      <c r="L184" s="1103"/>
      <c r="M184" s="359"/>
      <c r="N184" s="1091">
        <v>0.4</v>
      </c>
      <c r="O184" s="1091">
        <v>0.1</v>
      </c>
      <c r="P184" s="964">
        <f t="shared" ref="P184:P185" si="234">+N184+O184</f>
        <v>0.5</v>
      </c>
      <c r="Q184" s="1083">
        <f t="shared" ref="Q184:Q185" si="235">+K184*N184</f>
        <v>11457854.4</v>
      </c>
      <c r="R184" s="1083">
        <f t="shared" ref="R184:R185" si="236">+K184*O184</f>
        <v>2864463.6</v>
      </c>
      <c r="S184" s="1083">
        <f t="shared" ref="S184:S185" si="237">+K184*P184</f>
        <v>14322318</v>
      </c>
      <c r="T184" s="962">
        <f t="shared" ref="T184:T185" si="238">I184*$P184</f>
        <v>0</v>
      </c>
      <c r="U184" s="962">
        <f t="shared" ref="U184:U185" si="239">J184*$P184</f>
        <v>14322318</v>
      </c>
      <c r="V184" s="962">
        <f t="shared" ref="V184:V185" si="240">SUM(T184:U184)</f>
        <v>14322318</v>
      </c>
    </row>
    <row r="185" spans="1:22" s="425" customFormat="1" ht="13" outlineLevel="1" x14ac:dyDescent="0.3">
      <c r="A185" s="443" t="s">
        <v>218</v>
      </c>
      <c r="B185" s="408">
        <v>25.02</v>
      </c>
      <c r="C185" s="1104" t="s">
        <v>102</v>
      </c>
      <c r="D185" s="1105" t="s">
        <v>101</v>
      </c>
      <c r="E185" s="413">
        <v>6</v>
      </c>
      <c r="F185" s="371">
        <f>'01 (2)'!I215*'01 (2)'!$N$3</f>
        <v>0</v>
      </c>
      <c r="G185" s="413">
        <f t="shared" si="231"/>
        <v>628442</v>
      </c>
      <c r="H185" s="396">
        <v>628442</v>
      </c>
      <c r="I185" s="396">
        <f t="shared" si="232"/>
        <v>0</v>
      </c>
      <c r="J185" s="396">
        <f t="shared" si="233"/>
        <v>3770652</v>
      </c>
      <c r="K185" s="396">
        <f>+E185*H185</f>
        <v>3770652</v>
      </c>
      <c r="L185" s="1103"/>
      <c r="M185" s="359"/>
      <c r="N185" s="1091">
        <v>0.4</v>
      </c>
      <c r="O185" s="1091">
        <v>0.1</v>
      </c>
      <c r="P185" s="964">
        <f t="shared" si="234"/>
        <v>0.5</v>
      </c>
      <c r="Q185" s="1083">
        <f t="shared" si="235"/>
        <v>1508260.8</v>
      </c>
      <c r="R185" s="1083">
        <f t="shared" si="236"/>
        <v>377065.2</v>
      </c>
      <c r="S185" s="1083">
        <f t="shared" si="237"/>
        <v>1885326</v>
      </c>
      <c r="T185" s="962">
        <f t="shared" si="238"/>
        <v>0</v>
      </c>
      <c r="U185" s="962">
        <f t="shared" si="239"/>
        <v>1885326</v>
      </c>
      <c r="V185" s="962">
        <f t="shared" si="240"/>
        <v>1885326</v>
      </c>
    </row>
    <row r="186" spans="1:22" s="425" customFormat="1" ht="13" x14ac:dyDescent="0.3">
      <c r="B186" s="354"/>
      <c r="C186" s="355" t="s">
        <v>396</v>
      </c>
      <c r="D186" s="1077"/>
      <c r="E186" s="415"/>
      <c r="F186" s="415"/>
      <c r="G186" s="415"/>
      <c r="H186" s="415"/>
      <c r="I186" s="415"/>
      <c r="J186" s="415"/>
      <c r="K186" s="415">
        <f>+SUM(K9:K185)</f>
        <v>735657133.01950002</v>
      </c>
      <c r="L186" s="358">
        <f>+SUM(L9:L185)</f>
        <v>734149270.61950004</v>
      </c>
      <c r="M186" s="359">
        <f>+SUM(M9:M185)</f>
        <v>1</v>
      </c>
      <c r="N186" s="1106"/>
      <c r="O186" s="1107"/>
      <c r="P186" s="1107"/>
      <c r="Q186" s="1124">
        <f>+SUM(Q10:Q185)</f>
        <v>227072122.22883001</v>
      </c>
      <c r="R186" s="1124">
        <f>+SUM(R10:R185)</f>
        <v>95274614.594419986</v>
      </c>
      <c r="S186" s="1125">
        <f>+SUM(S10:S185)</f>
        <v>322346736.82324994</v>
      </c>
      <c r="T186" s="1125">
        <f t="shared" ref="T186:V186" si="241">+SUM(T10:T185)</f>
        <v>103973558.22044741</v>
      </c>
      <c r="U186" s="1125">
        <f t="shared" si="241"/>
        <v>218373178.6028026</v>
      </c>
      <c r="V186" s="1125">
        <f t="shared" si="241"/>
        <v>322346736.82324994</v>
      </c>
    </row>
    <row r="187" spans="1:22" s="425" customFormat="1" ht="13" x14ac:dyDescent="0.3">
      <c r="B187" s="1126"/>
      <c r="C187" s="976" t="s">
        <v>611</v>
      </c>
      <c r="D187" s="1112"/>
      <c r="E187" s="339"/>
      <c r="F187" s="339"/>
      <c r="G187" s="339"/>
      <c r="H187" s="1103"/>
      <c r="I187" s="1103"/>
      <c r="J187" s="1103"/>
      <c r="K187" s="1103"/>
      <c r="L187" s="1103"/>
      <c r="M187" s="359"/>
      <c r="Q187" s="333"/>
      <c r="R187" s="1127">
        <f>+R186/L186</f>
        <v>0.12977553531317143</v>
      </c>
      <c r="S187" s="1127">
        <f>+S186/L186</f>
        <v>0.43907519863261979</v>
      </c>
    </row>
    <row r="188" spans="1:22" s="425" customFormat="1" ht="13" x14ac:dyDescent="0.3">
      <c r="B188" s="1126"/>
      <c r="C188" s="976"/>
      <c r="D188" s="1112"/>
      <c r="E188" s="339"/>
      <c r="F188" s="339"/>
      <c r="G188" s="339"/>
      <c r="H188" s="1103"/>
      <c r="I188" s="1103"/>
      <c r="J188" s="1103"/>
      <c r="K188" s="1103"/>
      <c r="L188" s="1103"/>
      <c r="M188" s="359"/>
      <c r="Q188" s="333"/>
      <c r="R188" s="1127"/>
      <c r="S188" s="1127"/>
    </row>
    <row r="189" spans="1:22" s="425" customFormat="1" ht="13" x14ac:dyDescent="0.3">
      <c r="B189" s="354"/>
      <c r="C189" s="355" t="s">
        <v>889</v>
      </c>
      <c r="D189" s="356"/>
      <c r="E189" s="357"/>
      <c r="F189" s="357"/>
      <c r="G189" s="900"/>
      <c r="H189" s="358">
        <f>+SUM(G190:G194)</f>
        <v>-9955503.3356047589</v>
      </c>
      <c r="I189" s="1103"/>
      <c r="J189" s="1103"/>
      <c r="K189" s="1103"/>
      <c r="L189" s="1103"/>
      <c r="M189" s="359"/>
      <c r="N189" s="960">
        <v>1</v>
      </c>
      <c r="O189" s="1323"/>
      <c r="P189" s="964">
        <f t="shared" ref="P189:P193" si="242">+N189+O189</f>
        <v>1</v>
      </c>
      <c r="Q189" s="1081">
        <v>-3760696.8000000003</v>
      </c>
      <c r="R189" s="1081">
        <v>0</v>
      </c>
      <c r="S189" s="1081">
        <v>-3760696.8000000003</v>
      </c>
    </row>
    <row r="190" spans="1:22" s="425" customFormat="1" ht="13" x14ac:dyDescent="0.3">
      <c r="B190" s="1313">
        <v>4.0199999999999996</v>
      </c>
      <c r="C190" s="361" t="s">
        <v>303</v>
      </c>
      <c r="D190" s="362" t="s">
        <v>109</v>
      </c>
      <c r="E190" s="360">
        <v>-166</v>
      </c>
      <c r="F190" s="1314">
        <v>25172</v>
      </c>
      <c r="G190" s="363">
        <f>+F190*E190</f>
        <v>-4178552</v>
      </c>
      <c r="H190" s="353"/>
      <c r="I190" s="1103"/>
      <c r="J190" s="1103"/>
      <c r="K190" s="1103"/>
      <c r="L190" s="1103"/>
      <c r="M190" s="359"/>
      <c r="N190" s="963">
        <v>1</v>
      </c>
      <c r="O190" s="968"/>
      <c r="P190" s="964">
        <f t="shared" si="242"/>
        <v>1</v>
      </c>
      <c r="Q190" s="1083">
        <v>0</v>
      </c>
      <c r="R190" s="1083">
        <v>0</v>
      </c>
      <c r="S190" s="1083">
        <v>0</v>
      </c>
    </row>
    <row r="191" spans="1:22" s="425" customFormat="1" ht="13" x14ac:dyDescent="0.3">
      <c r="B191" s="1315">
        <v>7.02</v>
      </c>
      <c r="C191" s="409" t="s">
        <v>890</v>
      </c>
      <c r="D191" s="367" t="s">
        <v>109</v>
      </c>
      <c r="E191" s="365">
        <v>-166</v>
      </c>
      <c r="F191" s="1316">
        <v>22183</v>
      </c>
      <c r="G191" s="368">
        <f>+F191*E191</f>
        <v>-3682378</v>
      </c>
      <c r="H191" s="353"/>
      <c r="I191" s="1103"/>
      <c r="J191" s="1103"/>
      <c r="K191" s="1103"/>
      <c r="L191" s="1103"/>
      <c r="M191" s="359"/>
      <c r="N191" s="963">
        <v>0</v>
      </c>
      <c r="O191" s="968"/>
      <c r="P191" s="964">
        <f t="shared" si="242"/>
        <v>0</v>
      </c>
      <c r="Q191" s="1083">
        <v>0</v>
      </c>
      <c r="R191" s="1083">
        <v>0</v>
      </c>
      <c r="S191" s="1083">
        <v>0</v>
      </c>
    </row>
    <row r="192" spans="1:22" s="425" customFormat="1" ht="13" x14ac:dyDescent="0.3">
      <c r="B192" s="1315">
        <v>13.03</v>
      </c>
      <c r="C192" s="366" t="s">
        <v>891</v>
      </c>
      <c r="D192" s="367" t="s">
        <v>109</v>
      </c>
      <c r="E192" s="368">
        <v>-50</v>
      </c>
      <c r="F192" s="368">
        <v>29881</v>
      </c>
      <c r="G192" s="368">
        <f>+F192*E192</f>
        <v>-1494050</v>
      </c>
      <c r="H192" s="353"/>
      <c r="I192" s="1103"/>
      <c r="J192" s="1103"/>
      <c r="K192" s="1103"/>
      <c r="L192" s="1103"/>
      <c r="M192" s="359"/>
      <c r="N192" s="963">
        <v>1</v>
      </c>
      <c r="O192" s="968"/>
      <c r="P192" s="964">
        <f t="shared" si="242"/>
        <v>1</v>
      </c>
      <c r="Q192" s="1083">
        <v>0</v>
      </c>
      <c r="R192" s="1083">
        <v>0</v>
      </c>
      <c r="S192" s="1083">
        <v>0</v>
      </c>
    </row>
    <row r="193" spans="2:22" s="425" customFormat="1" ht="13" x14ac:dyDescent="0.3">
      <c r="B193" s="1317">
        <v>18.03</v>
      </c>
      <c r="C193" s="1318" t="s">
        <v>350</v>
      </c>
      <c r="D193" s="1319" t="s">
        <v>111</v>
      </c>
      <c r="E193" s="1320">
        <v>-7</v>
      </c>
      <c r="F193" s="1321">
        <v>57445</v>
      </c>
      <c r="G193" s="392">
        <f>+F193*E193</f>
        <v>-402115</v>
      </c>
      <c r="H193" s="353"/>
      <c r="I193" s="1103"/>
      <c r="J193" s="1103"/>
      <c r="K193" s="1103"/>
      <c r="L193" s="1103"/>
      <c r="M193" s="359"/>
      <c r="N193" s="965">
        <v>1</v>
      </c>
      <c r="O193" s="1324"/>
      <c r="P193" s="964">
        <f t="shared" si="242"/>
        <v>1</v>
      </c>
      <c r="Q193" s="1087">
        <v>0</v>
      </c>
      <c r="R193" s="1087">
        <v>0</v>
      </c>
      <c r="S193" s="1087">
        <v>0</v>
      </c>
    </row>
    <row r="194" spans="2:22" s="425" customFormat="1" ht="13" x14ac:dyDescent="0.3">
      <c r="B194" s="410"/>
      <c r="C194" s="411" t="s">
        <v>892</v>
      </c>
      <c r="D194" s="412" t="s">
        <v>111</v>
      </c>
      <c r="E194" s="408">
        <v>-7</v>
      </c>
      <c r="F194" s="1322">
        <v>28344.047943536876</v>
      </c>
      <c r="G194" s="375">
        <f>+F194*E194</f>
        <v>-198408.33560475812</v>
      </c>
      <c r="H194" s="353"/>
      <c r="I194" s="1103"/>
      <c r="J194" s="1103"/>
      <c r="K194" s="1103"/>
      <c r="L194" s="1103"/>
      <c r="M194" s="359"/>
      <c r="N194" s="1325"/>
      <c r="O194" s="1325"/>
      <c r="P194" s="1325"/>
      <c r="Q194" s="1325"/>
      <c r="R194" s="1326">
        <v>0</v>
      </c>
      <c r="S194" s="1326">
        <v>-3760696.8000000003</v>
      </c>
    </row>
    <row r="195" spans="2:22" ht="12.75" customHeight="1" x14ac:dyDescent="0.3">
      <c r="R195" s="425"/>
      <c r="S195" s="425"/>
    </row>
    <row r="196" spans="2:22" ht="12.75" customHeight="1" x14ac:dyDescent="0.3">
      <c r="B196" s="1128"/>
      <c r="C196" s="424" t="s">
        <v>761</v>
      </c>
      <c r="D196" s="1129"/>
      <c r="E196" s="1130"/>
      <c r="F196" s="1130"/>
      <c r="G196" s="1130"/>
      <c r="H196" s="1131"/>
      <c r="I196" s="1131"/>
      <c r="J196" s="1131"/>
      <c r="K196" s="1132"/>
      <c r="L196" s="1133"/>
      <c r="M196" s="1133"/>
      <c r="N196" s="1134"/>
      <c r="O196" s="1135"/>
      <c r="P196" s="1136" t="s">
        <v>762</v>
      </c>
      <c r="Q196" s="1137">
        <f>+O5</f>
        <v>8</v>
      </c>
      <c r="R196" s="1138"/>
      <c r="S196" s="1139">
        <f>+S5</f>
        <v>46174</v>
      </c>
    </row>
    <row r="197" spans="2:22" ht="12.75" customHeight="1" x14ac:dyDescent="0.3">
      <c r="B197" s="1140"/>
      <c r="C197" s="424" t="s">
        <v>90</v>
      </c>
      <c r="D197" s="1138"/>
      <c r="E197" s="1141"/>
      <c r="F197" s="1141"/>
      <c r="G197" s="1141"/>
      <c r="H197" s="1142"/>
      <c r="I197" s="1142"/>
      <c r="J197" s="1142"/>
      <c r="K197" s="1133"/>
      <c r="L197" s="1133"/>
      <c r="M197" s="1133"/>
      <c r="N197" s="1143"/>
      <c r="O197" s="1144"/>
      <c r="P197" s="1143"/>
      <c r="Q197" s="424"/>
      <c r="R197" s="1138" t="s">
        <v>264</v>
      </c>
      <c r="S197" s="1145" t="s">
        <v>763</v>
      </c>
    </row>
    <row r="198" spans="2:22" ht="12.75" customHeight="1" x14ac:dyDescent="0.3">
      <c r="B198" s="1146" t="s">
        <v>539</v>
      </c>
      <c r="C198" s="1147" t="s">
        <v>764</v>
      </c>
      <c r="D198" s="1148"/>
      <c r="E198" s="1149"/>
      <c r="F198" s="1149"/>
      <c r="G198" s="1149"/>
      <c r="H198" s="1150"/>
      <c r="I198" s="1150"/>
      <c r="J198" s="1150"/>
      <c r="K198" s="1151"/>
      <c r="L198" s="1152"/>
      <c r="M198" s="1152"/>
      <c r="N198" s="1153"/>
      <c r="O198" s="1154"/>
      <c r="P198" s="1153"/>
      <c r="Q198" s="1155"/>
      <c r="R198" s="1155"/>
      <c r="S198" s="1156">
        <f>+L186</f>
        <v>734149270.61950004</v>
      </c>
      <c r="U198" s="1157"/>
      <c r="V198" s="1158"/>
    </row>
    <row r="199" spans="2:22" ht="12.75" customHeight="1" x14ac:dyDescent="0.3">
      <c r="B199" s="1159" t="s">
        <v>543</v>
      </c>
      <c r="C199" s="1160" t="s">
        <v>398</v>
      </c>
      <c r="D199" s="1161"/>
      <c r="E199" s="1162"/>
      <c r="F199" s="1162"/>
      <c r="G199" s="1162"/>
      <c r="H199" s="1163"/>
      <c r="I199" s="1163"/>
      <c r="J199" s="1163"/>
      <c r="K199" s="1164"/>
      <c r="L199" s="1165"/>
      <c r="M199" s="1165"/>
      <c r="N199" s="1164"/>
      <c r="O199" s="1166"/>
      <c r="P199" s="1167"/>
      <c r="Q199" s="1168"/>
      <c r="R199" s="1169">
        <v>0.4</v>
      </c>
      <c r="S199" s="1170">
        <f>+R199*S198</f>
        <v>293659708.24780005</v>
      </c>
      <c r="U199" s="1171"/>
      <c r="V199" s="1158"/>
    </row>
    <row r="200" spans="2:22" ht="12.75" customHeight="1" x14ac:dyDescent="0.3">
      <c r="B200" s="1172" t="s">
        <v>81</v>
      </c>
      <c r="C200" s="1173" t="s">
        <v>765</v>
      </c>
      <c r="D200" s="1174"/>
      <c r="E200" s="1175"/>
      <c r="F200" s="1175"/>
      <c r="G200" s="1175"/>
      <c r="H200" s="1176"/>
      <c r="I200" s="1176"/>
      <c r="J200" s="1176"/>
      <c r="K200" s="1177"/>
      <c r="L200" s="1178"/>
      <c r="M200" s="1178"/>
      <c r="N200" s="1179"/>
      <c r="O200" s="1180"/>
      <c r="P200" s="1179"/>
      <c r="Q200" s="1181"/>
      <c r="R200" s="1181"/>
      <c r="S200" s="1182">
        <f>+R186</f>
        <v>95274614.594419986</v>
      </c>
      <c r="U200" s="1157"/>
      <c r="V200" s="1183"/>
    </row>
    <row r="201" spans="2:22" ht="12.75" customHeight="1" x14ac:dyDescent="0.3">
      <c r="B201" s="1184" t="s">
        <v>766</v>
      </c>
      <c r="C201" s="1185" t="s">
        <v>767</v>
      </c>
      <c r="D201" s="1186"/>
      <c r="E201" s="1187"/>
      <c r="F201" s="1187"/>
      <c r="G201" s="1187"/>
      <c r="H201" s="1188"/>
      <c r="I201" s="1188"/>
      <c r="J201" s="1188"/>
      <c r="K201" s="1189"/>
      <c r="L201" s="1190"/>
      <c r="M201" s="1190"/>
      <c r="N201" s="1191"/>
      <c r="O201" s="1192"/>
      <c r="P201" s="1191"/>
      <c r="Q201" s="1193"/>
      <c r="R201" s="1194">
        <f>-R199</f>
        <v>-0.4</v>
      </c>
      <c r="S201" s="1195">
        <f>+R201*S200</f>
        <v>-38109845.837767996</v>
      </c>
      <c r="U201" s="1171"/>
      <c r="V201" s="1196"/>
    </row>
    <row r="202" spans="2:22" ht="12.75" customHeight="1" x14ac:dyDescent="0.3">
      <c r="B202" s="1197" t="s">
        <v>89</v>
      </c>
      <c r="C202" s="1198" t="s">
        <v>768</v>
      </c>
      <c r="D202" s="1199"/>
      <c r="E202" s="1200"/>
      <c r="F202" s="1200"/>
      <c r="G202" s="1200"/>
      <c r="H202" s="1201"/>
      <c r="I202" s="1201"/>
      <c r="J202" s="1201"/>
      <c r="K202" s="1202"/>
      <c r="L202" s="1202"/>
      <c r="M202" s="1202"/>
      <c r="N202" s="1202"/>
      <c r="O202" s="1203"/>
      <c r="P202" s="1204"/>
      <c r="Q202" s="1205"/>
      <c r="R202" s="1205"/>
      <c r="S202" s="1206">
        <f>+S200+S201</f>
        <v>57164768.75665199</v>
      </c>
      <c r="U202" s="1157"/>
      <c r="V202" s="1207"/>
    </row>
    <row r="203" spans="2:22" ht="12.75" customHeight="1" x14ac:dyDescent="0.3">
      <c r="B203" s="1208"/>
      <c r="C203" s="328" t="s">
        <v>769</v>
      </c>
      <c r="D203" s="1186"/>
      <c r="E203" s="1187"/>
      <c r="F203" s="1187"/>
      <c r="G203" s="1187"/>
      <c r="H203" s="1188"/>
      <c r="I203" s="1188"/>
      <c r="J203" s="1188"/>
      <c r="K203" s="1189"/>
      <c r="L203" s="1190"/>
      <c r="M203" s="1190"/>
      <c r="N203" s="1191"/>
      <c r="O203" s="1192"/>
      <c r="P203" s="1191"/>
      <c r="Q203" s="1193"/>
    </row>
  </sheetData>
  <mergeCells count="3">
    <mergeCell ref="N7:P7"/>
    <mergeCell ref="Q7:S7"/>
    <mergeCell ref="T7:U7"/>
  </mergeCells>
  <conditionalFormatting sqref="D3:D12">
    <cfRule type="cellIs" dxfId="53" priority="30" operator="equal">
      <formula>"x"</formula>
    </cfRule>
  </conditionalFormatting>
  <conditionalFormatting sqref="D18">
    <cfRule type="cellIs" dxfId="52" priority="28" operator="equal">
      <formula>"x"</formula>
    </cfRule>
  </conditionalFormatting>
  <conditionalFormatting sqref="D20:D29">
    <cfRule type="cellIs" dxfId="51" priority="27" operator="equal">
      <formula>"x"</formula>
    </cfRule>
  </conditionalFormatting>
  <conditionalFormatting sqref="D37">
    <cfRule type="cellIs" dxfId="50" priority="26" operator="equal">
      <formula>"x"</formula>
    </cfRule>
  </conditionalFormatting>
  <conditionalFormatting sqref="D42:D53">
    <cfRule type="cellIs" dxfId="49" priority="25" operator="equal">
      <formula>"x"</formula>
    </cfRule>
  </conditionalFormatting>
  <conditionalFormatting sqref="D56:D194">
    <cfRule type="cellIs" dxfId="48" priority="3" operator="equal">
      <formula>"x"</formula>
    </cfRule>
  </conditionalFormatting>
  <conditionalFormatting sqref="P10:P17 P19:P25 P27 P29:P36 P38:P45 P47:P50 P52:P55">
    <cfRule type="cellIs" dxfId="47" priority="29" operator="lessThan">
      <formula>1</formula>
    </cfRule>
  </conditionalFormatting>
  <conditionalFormatting sqref="P57:P63">
    <cfRule type="cellIs" dxfId="46" priority="22" operator="lessThan">
      <formula>1</formula>
    </cfRule>
  </conditionalFormatting>
  <conditionalFormatting sqref="P65:P69">
    <cfRule type="cellIs" dxfId="45" priority="21" operator="lessThan">
      <formula>1</formula>
    </cfRule>
  </conditionalFormatting>
  <conditionalFormatting sqref="P71:P74">
    <cfRule type="cellIs" dxfId="44" priority="20" operator="lessThan">
      <formula>1</formula>
    </cfRule>
  </conditionalFormatting>
  <conditionalFormatting sqref="P76:P82">
    <cfRule type="cellIs" dxfId="43" priority="19" operator="lessThan">
      <formula>1</formula>
    </cfRule>
  </conditionalFormatting>
  <conditionalFormatting sqref="P84:P92">
    <cfRule type="cellIs" dxfId="42" priority="18" operator="lessThan">
      <formula>1</formula>
    </cfRule>
  </conditionalFormatting>
  <conditionalFormatting sqref="P94">
    <cfRule type="cellIs" dxfId="41" priority="17" operator="lessThan">
      <formula>1</formula>
    </cfRule>
  </conditionalFormatting>
  <conditionalFormatting sqref="P96:P99">
    <cfRule type="cellIs" dxfId="40" priority="16" operator="lessThan">
      <formula>1</formula>
    </cfRule>
  </conditionalFormatting>
  <conditionalFormatting sqref="P101:P130">
    <cfRule type="cellIs" dxfId="39" priority="23" operator="lessThan">
      <formula>1</formula>
    </cfRule>
  </conditionalFormatting>
  <conditionalFormatting sqref="P133:P136">
    <cfRule type="cellIs" dxfId="38" priority="15" operator="lessThan">
      <formula>1</formula>
    </cfRule>
  </conditionalFormatting>
  <conditionalFormatting sqref="P138:P140 P142:P146">
    <cfRule type="cellIs" dxfId="37" priority="14" operator="lessThan">
      <formula>1</formula>
    </cfRule>
  </conditionalFormatting>
  <conditionalFormatting sqref="P148">
    <cfRule type="cellIs" dxfId="36" priority="13" operator="lessThan">
      <formula>1</formula>
    </cfRule>
  </conditionalFormatting>
  <conditionalFormatting sqref="P150:P153">
    <cfRule type="cellIs" dxfId="35" priority="12" operator="lessThan">
      <formula>1</formula>
    </cfRule>
  </conditionalFormatting>
  <conditionalFormatting sqref="P155">
    <cfRule type="cellIs" dxfId="34" priority="11" operator="lessThan">
      <formula>1</formula>
    </cfRule>
  </conditionalFormatting>
  <conditionalFormatting sqref="P157:P158">
    <cfRule type="cellIs" dxfId="33" priority="10" operator="lessThan">
      <formula>1</formula>
    </cfRule>
  </conditionalFormatting>
  <conditionalFormatting sqref="P160:P161">
    <cfRule type="cellIs" dxfId="32" priority="9" operator="lessThan">
      <formula>1</formula>
    </cfRule>
  </conditionalFormatting>
  <conditionalFormatting sqref="P163">
    <cfRule type="cellIs" dxfId="31" priority="8" operator="lessThan">
      <formula>1</formula>
    </cfRule>
  </conditionalFormatting>
  <conditionalFormatting sqref="P165:P166">
    <cfRule type="cellIs" dxfId="30" priority="7" operator="lessThan">
      <formula>1</formula>
    </cfRule>
  </conditionalFormatting>
  <conditionalFormatting sqref="P168:P170">
    <cfRule type="cellIs" dxfId="29" priority="6" operator="lessThan">
      <formula>1</formula>
    </cfRule>
  </conditionalFormatting>
  <conditionalFormatting sqref="P172:P182">
    <cfRule type="cellIs" dxfId="28" priority="5" operator="lessThan">
      <formula>1</formula>
    </cfRule>
  </conditionalFormatting>
  <conditionalFormatting sqref="P184:P185">
    <cfRule type="cellIs" dxfId="27" priority="4" operator="lessThan">
      <formula>1</formula>
    </cfRule>
  </conditionalFormatting>
  <conditionalFormatting sqref="P189:P193">
    <cfRule type="cellIs" dxfId="26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C023-0167-48FB-8A65-B39BF57E1020}">
  <dimension ref="A1:AI254"/>
  <sheetViews>
    <sheetView workbookViewId="0">
      <pane xSplit="6" ySplit="5" topLeftCell="G164" activePane="bottomRight" state="frozen"/>
      <selection pane="topRight" activeCell="F1" sqref="F1"/>
      <selection pane="bottomLeft" activeCell="A6" sqref="A6"/>
      <selection pane="bottomRight" activeCell="I11" sqref="I11"/>
    </sheetView>
  </sheetViews>
  <sheetFormatPr defaultColWidth="11.54296875" defaultRowHeight="12.75" customHeight="1" outlineLevelRow="1" outlineLevelCol="2" x14ac:dyDescent="0.3"/>
  <cols>
    <col min="1" max="1" width="12.54296875" style="160" hidden="1" customWidth="1"/>
    <col min="2" max="2" width="6.54296875" style="454" bestFit="1" customWidth="1"/>
    <col min="3" max="3" width="4.453125" style="454" customWidth="1" outlineLevel="1"/>
    <col min="4" max="4" width="96.54296875" style="455" bestFit="1" customWidth="1"/>
    <col min="5" max="5" width="5.26953125" style="456" bestFit="1" customWidth="1"/>
    <col min="6" max="6" width="7.54296875" style="457" bestFit="1" customWidth="1"/>
    <col min="7" max="7" width="12" style="458" customWidth="1" outlineLevel="2"/>
    <col min="8" max="8" width="17.7265625" style="458" customWidth="1" outlineLevel="2"/>
    <col min="9" max="9" width="11.7265625" style="458" customWidth="1" outlineLevel="2"/>
    <col min="10" max="10" width="11" style="560" customWidth="1" outlineLevel="2"/>
    <col min="11" max="11" width="9.7265625" style="560" customWidth="1" outlineLevel="2"/>
    <col min="12" max="12" width="10.7265625" style="458" customWidth="1" outlineLevel="2"/>
    <col min="13" max="13" width="10" style="460" customWidth="1" outlineLevel="2"/>
    <col min="14" max="15" width="11.7265625" style="458" customWidth="1" outlineLevel="1"/>
    <col min="16" max="16" width="10.7265625" style="458" customWidth="1" outlineLevel="1"/>
    <col min="17" max="18" width="11.7265625" style="458" customWidth="1" outlineLevel="1"/>
    <col min="19" max="19" width="10.7265625" style="458" customWidth="1" outlineLevel="1"/>
    <col min="20" max="20" width="11.7265625" style="458" customWidth="1" outlineLevel="1"/>
    <col min="21" max="21" width="12" style="463" customWidth="1" outlineLevel="1"/>
    <col min="22" max="22" width="12" style="464" hidden="1" customWidth="1"/>
    <col min="23" max="23" width="13.54296875" style="464" hidden="1" customWidth="1"/>
    <col min="24" max="24" width="13.7265625" style="499" hidden="1" customWidth="1"/>
    <col min="25" max="25" width="5.26953125" style="160" bestFit="1" customWidth="1"/>
    <col min="26" max="26" width="16.26953125" style="458" bestFit="1" customWidth="1"/>
    <col min="27" max="27" width="15.81640625" style="160" bestFit="1" customWidth="1"/>
    <col min="28" max="28" width="14.453125" style="160" bestFit="1" customWidth="1"/>
    <col min="29" max="29" width="13.453125" style="458" bestFit="1" customWidth="1"/>
    <col min="30" max="31" width="13.453125" style="160" bestFit="1" customWidth="1"/>
    <col min="32" max="32" width="11.54296875" style="160"/>
    <col min="33" max="33" width="12.453125" style="160" bestFit="1" customWidth="1"/>
    <col min="34" max="16384" width="11.54296875" style="160"/>
  </cols>
  <sheetData>
    <row r="1" spans="1:29" ht="12.75" customHeight="1" x14ac:dyDescent="0.3">
      <c r="G1" s="153" t="s">
        <v>75</v>
      </c>
      <c r="H1" s="155" t="s">
        <v>76</v>
      </c>
      <c r="J1" s="459"/>
      <c r="K1" s="459"/>
      <c r="O1" s="461"/>
      <c r="P1" s="461"/>
      <c r="Q1" s="462"/>
      <c r="R1" s="461"/>
      <c r="S1" s="461"/>
      <c r="W1" s="465" t="s">
        <v>77</v>
      </c>
      <c r="X1" s="465" t="s">
        <v>78</v>
      </c>
    </row>
    <row r="2" spans="1:29" ht="13" x14ac:dyDescent="0.3">
      <c r="A2" s="1002" t="s">
        <v>635</v>
      </c>
      <c r="G2" s="154" t="s">
        <v>79</v>
      </c>
      <c r="H2" s="155" t="s">
        <v>80</v>
      </c>
      <c r="J2" s="459"/>
      <c r="K2" s="459"/>
      <c r="O2" s="461"/>
      <c r="P2" s="461"/>
      <c r="Q2" s="462"/>
      <c r="R2" s="461"/>
      <c r="S2" s="461"/>
      <c r="W2" s="466">
        <f>+[2]GGBB!G4</f>
        <v>1005</v>
      </c>
      <c r="X2" s="466">
        <f>+[2]GGBB!H4</f>
        <v>1170</v>
      </c>
    </row>
    <row r="3" spans="1:29" s="209" customFormat="1" ht="13" x14ac:dyDescent="0.3">
      <c r="A3" s="1003" t="s">
        <v>636</v>
      </c>
      <c r="B3" s="467"/>
      <c r="C3" s="467"/>
      <c r="D3" s="468"/>
      <c r="E3" s="210"/>
      <c r="F3" s="469"/>
      <c r="G3" s="470" t="s">
        <v>81</v>
      </c>
      <c r="H3" s="155" t="s">
        <v>82</v>
      </c>
      <c r="I3" s="471"/>
      <c r="J3" s="471"/>
      <c r="K3" s="471"/>
      <c r="L3" s="471"/>
      <c r="M3" s="472"/>
      <c r="N3" s="1016">
        <f>[2]GGBB!$F$66</f>
        <v>1.2568825695365058</v>
      </c>
      <c r="O3" s="469"/>
      <c r="P3" s="469"/>
      <c r="Q3" s="469"/>
      <c r="R3" s="473"/>
      <c r="S3" s="473"/>
      <c r="T3" s="471"/>
      <c r="U3" s="474"/>
      <c r="V3" s="469"/>
      <c r="W3" s="469"/>
      <c r="X3" s="475"/>
      <c r="Z3" s="476"/>
      <c r="AC3" s="476"/>
    </row>
    <row r="4" spans="1:29" s="209" customFormat="1" ht="13" x14ac:dyDescent="0.3">
      <c r="A4" s="1004" t="s">
        <v>637</v>
      </c>
      <c r="B4" s="467"/>
      <c r="C4" s="467"/>
      <c r="D4" s="468"/>
      <c r="E4" s="210"/>
      <c r="F4" s="469"/>
      <c r="G4" s="477" t="s">
        <v>83</v>
      </c>
      <c r="H4" s="156" t="s">
        <v>84</v>
      </c>
      <c r="I4" s="471"/>
      <c r="J4" s="471"/>
      <c r="K4" s="471"/>
      <c r="L4" s="471"/>
      <c r="M4" s="472"/>
      <c r="N4" s="471"/>
      <c r="O4" s="471"/>
      <c r="P4" s="471"/>
      <c r="Q4" s="469"/>
      <c r="R4" s="476"/>
      <c r="S4" s="476"/>
      <c r="T4" s="471"/>
      <c r="U4" s="478">
        <v>1</v>
      </c>
      <c r="V4" s="469"/>
      <c r="W4" s="479">
        <v>45590</v>
      </c>
      <c r="X4" s="475"/>
      <c r="Z4" s="476"/>
      <c r="AC4" s="476"/>
    </row>
    <row r="5" spans="1:29" s="209" customFormat="1" ht="13" x14ac:dyDescent="0.3">
      <c r="B5" s="467"/>
      <c r="C5" s="467"/>
      <c r="D5" s="480" t="s">
        <v>245</v>
      </c>
      <c r="E5" s="210"/>
      <c r="F5" s="469"/>
      <c r="G5" s="1924" t="s">
        <v>85</v>
      </c>
      <c r="H5" s="1925"/>
      <c r="I5" s="1926"/>
      <c r="J5" s="1924" t="s">
        <v>86</v>
      </c>
      <c r="K5" s="1925"/>
      <c r="L5" s="1926"/>
      <c r="M5" s="484"/>
      <c r="N5" s="471"/>
      <c r="O5" s="1924" t="s">
        <v>85</v>
      </c>
      <c r="P5" s="1926"/>
      <c r="Q5" s="1924" t="s">
        <v>86</v>
      </c>
      <c r="R5" s="1926"/>
      <c r="S5" s="485"/>
      <c r="T5" s="471"/>
      <c r="U5" s="486">
        <f>+[2]GGBB!F66</f>
        <v>1.2568825695365058</v>
      </c>
      <c r="V5" s="471"/>
      <c r="W5" s="471"/>
      <c r="X5" s="475"/>
      <c r="Z5" s="476"/>
      <c r="AC5" s="476"/>
    </row>
    <row r="6" spans="1:29" s="209" customFormat="1" ht="13" x14ac:dyDescent="0.3">
      <c r="B6" s="467"/>
      <c r="C6" s="467"/>
      <c r="D6" s="480" t="s">
        <v>87</v>
      </c>
      <c r="E6" s="211"/>
      <c r="F6" s="487"/>
      <c r="G6" s="481"/>
      <c r="H6" s="482"/>
      <c r="I6" s="483"/>
      <c r="J6" s="481"/>
      <c r="K6" s="482"/>
      <c r="L6" s="483"/>
      <c r="M6" s="484"/>
      <c r="N6" s="471"/>
      <c r="O6" s="481"/>
      <c r="P6" s="482"/>
      <c r="Q6" s="481"/>
      <c r="R6" s="483"/>
      <c r="S6" s="485"/>
      <c r="T6" s="485"/>
      <c r="U6" s="488">
        <v>1.1000000000000001</v>
      </c>
      <c r="V6" s="489"/>
      <c r="W6" s="489"/>
      <c r="X6" s="475"/>
      <c r="Z6" s="476"/>
      <c r="AC6" s="476"/>
    </row>
    <row r="7" spans="1:29" ht="13" x14ac:dyDescent="0.3">
      <c r="A7" s="160" t="s">
        <v>638</v>
      </c>
      <c r="B7" s="490" t="s">
        <v>88</v>
      </c>
      <c r="C7" s="491"/>
      <c r="D7" s="492" t="s">
        <v>90</v>
      </c>
      <c r="E7" s="212" t="s">
        <v>91</v>
      </c>
      <c r="F7" s="493" t="s">
        <v>92</v>
      </c>
      <c r="G7" s="494" t="s">
        <v>93</v>
      </c>
      <c r="H7" s="493" t="s">
        <v>94</v>
      </c>
      <c r="I7" s="495" t="s">
        <v>52</v>
      </c>
      <c r="J7" s="493" t="s">
        <v>93</v>
      </c>
      <c r="K7" s="493" t="s">
        <v>95</v>
      </c>
      <c r="L7" s="495" t="s">
        <v>52</v>
      </c>
      <c r="M7" s="493" t="s">
        <v>96</v>
      </c>
      <c r="N7" s="496" t="s">
        <v>97</v>
      </c>
      <c r="O7" s="493" t="s">
        <v>93</v>
      </c>
      <c r="P7" s="493" t="s">
        <v>94</v>
      </c>
      <c r="Q7" s="493" t="s">
        <v>93</v>
      </c>
      <c r="R7" s="493" t="s">
        <v>95</v>
      </c>
      <c r="S7" s="493" t="s">
        <v>96</v>
      </c>
      <c r="T7" s="497" t="s">
        <v>52</v>
      </c>
      <c r="U7" s="498" t="s">
        <v>98</v>
      </c>
      <c r="V7" s="498" t="s">
        <v>99</v>
      </c>
      <c r="W7" s="498" t="s">
        <v>98</v>
      </c>
    </row>
    <row r="8" spans="1:29" ht="13" x14ac:dyDescent="0.3">
      <c r="A8" s="1005"/>
      <c r="B8" s="500">
        <v>1</v>
      </c>
      <c r="C8" s="501" t="s">
        <v>89</v>
      </c>
      <c r="D8" s="380" t="s">
        <v>105</v>
      </c>
      <c r="E8" s="213"/>
      <c r="F8" s="502"/>
      <c r="G8" s="502"/>
      <c r="H8" s="502"/>
      <c r="I8" s="502"/>
      <c r="J8" s="502"/>
      <c r="K8" s="502"/>
      <c r="L8" s="502"/>
      <c r="M8" s="502"/>
      <c r="N8" s="503"/>
      <c r="O8" s="502"/>
      <c r="P8" s="502"/>
      <c r="Q8" s="502"/>
      <c r="R8" s="502"/>
      <c r="S8" s="502"/>
      <c r="T8" s="502"/>
      <c r="U8" s="504">
        <f>SUM(T9:T18)</f>
        <v>19718746.954284195</v>
      </c>
      <c r="V8" s="502"/>
      <c r="W8" s="502"/>
      <c r="X8" s="505">
        <f>SUM(W9:W18)</f>
        <v>24784163</v>
      </c>
      <c r="Y8" s="159">
        <f>+X8/$X$216</f>
        <v>2.198341526460176E-2</v>
      </c>
      <c r="Z8" s="458">
        <f>+X8</f>
        <v>24784163</v>
      </c>
    </row>
    <row r="9" spans="1:29" ht="13" outlineLevel="1" x14ac:dyDescent="0.3">
      <c r="A9" s="1005"/>
      <c r="B9" s="506">
        <v>1.01</v>
      </c>
      <c r="C9" s="507" t="s">
        <v>75</v>
      </c>
      <c r="D9" s="508" t="s">
        <v>402</v>
      </c>
      <c r="E9" s="214" t="s">
        <v>107</v>
      </c>
      <c r="F9" s="507">
        <v>0</v>
      </c>
      <c r="G9" s="163"/>
      <c r="H9" s="163"/>
      <c r="I9" s="509">
        <f>G9+H9</f>
        <v>0</v>
      </c>
      <c r="J9" s="163"/>
      <c r="K9" s="163"/>
      <c r="L9" s="509">
        <f>J9+K9</f>
        <v>0</v>
      </c>
      <c r="M9" s="163"/>
      <c r="N9" s="509">
        <f>I9+L9+M9</f>
        <v>0</v>
      </c>
      <c r="O9" s="510">
        <f>G9*F9</f>
        <v>0</v>
      </c>
      <c r="P9" s="510">
        <f>H9*F9</f>
        <v>0</v>
      </c>
      <c r="Q9" s="510">
        <f>J9*F9</f>
        <v>0</v>
      </c>
      <c r="R9" s="510">
        <f>K9*F9</f>
        <v>0</v>
      </c>
      <c r="S9" s="510">
        <f>+M9*F9</f>
        <v>0</v>
      </c>
      <c r="T9" s="511">
        <f>SUM(O9:S9)</f>
        <v>0</v>
      </c>
      <c r="U9" s="512"/>
      <c r="V9" s="513">
        <f t="shared" ref="V9:V18" si="0">+ROUNDUP(N9*$U$5,0)</f>
        <v>0</v>
      </c>
      <c r="W9" s="513">
        <f t="shared" ref="W9:W18" si="1">+V9*F9</f>
        <v>0</v>
      </c>
      <c r="Y9" s="159"/>
    </row>
    <row r="10" spans="1:29" ht="13" outlineLevel="1" x14ac:dyDescent="0.3">
      <c r="A10" s="1005"/>
      <c r="B10" s="514">
        <v>1.02</v>
      </c>
      <c r="C10" s="515" t="s">
        <v>75</v>
      </c>
      <c r="D10" s="516" t="s">
        <v>267</v>
      </c>
      <c r="E10" s="215" t="s">
        <v>104</v>
      </c>
      <c r="F10" s="517">
        <v>3</v>
      </c>
      <c r="G10" s="518">
        <f>+[2]Tareas!H8</f>
        <v>0</v>
      </c>
      <c r="H10" s="518">
        <f>+[2]Tareas!I8</f>
        <v>41666.666666666664</v>
      </c>
      <c r="I10" s="519">
        <f>G10+H10</f>
        <v>41666.666666666664</v>
      </c>
      <c r="J10" s="518">
        <f>+[2]Tareas!Q8</f>
        <v>172653.20827272726</v>
      </c>
      <c r="K10" s="518">
        <f>+[2]Tareas!R8</f>
        <v>83223.728710953277</v>
      </c>
      <c r="L10" s="519">
        <f>J10+K10</f>
        <v>255876.93698368053</v>
      </c>
      <c r="M10" s="518">
        <f>+(I10+L10)*0.015</f>
        <v>4463.1540547552077</v>
      </c>
      <c r="N10" s="519">
        <f>I10+L10+M10</f>
        <v>302006.75770510244</v>
      </c>
      <c r="O10" s="520">
        <f t="shared" ref="O10" si="2">G10*F10</f>
        <v>0</v>
      </c>
      <c r="P10" s="520">
        <f t="shared" ref="P10" si="3">H10*F10</f>
        <v>125000</v>
      </c>
      <c r="Q10" s="520">
        <f t="shared" ref="Q10:Q18" si="4">J10*F10</f>
        <v>517959.62481818179</v>
      </c>
      <c r="R10" s="520">
        <f t="shared" ref="R10:R18" si="5">K10*F10</f>
        <v>249671.18613285985</v>
      </c>
      <c r="S10" s="520">
        <f t="shared" ref="S10:S18" si="6">+M10*F10</f>
        <v>13389.462164265624</v>
      </c>
      <c r="T10" s="521">
        <f t="shared" ref="T10" si="7">SUM(O10:S10)</f>
        <v>906020.27311530733</v>
      </c>
      <c r="U10" s="522"/>
      <c r="V10" s="382">
        <f t="shared" si="0"/>
        <v>379588</v>
      </c>
      <c r="W10" s="382">
        <f t="shared" si="1"/>
        <v>1138764</v>
      </c>
      <c r="Y10" s="159"/>
    </row>
    <row r="11" spans="1:29" ht="13" outlineLevel="1" x14ac:dyDescent="0.3">
      <c r="A11" s="1005"/>
      <c r="B11" s="514">
        <v>1.03</v>
      </c>
      <c r="C11" s="517" t="s">
        <v>75</v>
      </c>
      <c r="D11" s="516" t="s">
        <v>403</v>
      </c>
      <c r="E11" s="216" t="s">
        <v>107</v>
      </c>
      <c r="F11" s="157">
        <v>0</v>
      </c>
      <c r="G11" s="157"/>
      <c r="H11" s="157"/>
      <c r="I11" s="519">
        <f t="shared" ref="I11:I18" si="8">G11+H11</f>
        <v>0</v>
      </c>
      <c r="J11" s="157"/>
      <c r="K11" s="157"/>
      <c r="L11" s="519">
        <f t="shared" ref="L11:L18" si="9">J11+K11</f>
        <v>0</v>
      </c>
      <c r="M11" s="157"/>
      <c r="N11" s="519">
        <f t="shared" ref="N11:N18" si="10">I11+L11+M11</f>
        <v>0</v>
      </c>
      <c r="O11" s="520">
        <f>G11*F11</f>
        <v>0</v>
      </c>
      <c r="P11" s="520">
        <f>H11*F11</f>
        <v>0</v>
      </c>
      <c r="Q11" s="520">
        <f t="shared" si="4"/>
        <v>0</v>
      </c>
      <c r="R11" s="520">
        <f t="shared" si="5"/>
        <v>0</v>
      </c>
      <c r="S11" s="520">
        <f t="shared" si="6"/>
        <v>0</v>
      </c>
      <c r="T11" s="521">
        <f t="shared" ref="T11:T136" si="11">SUM(O11:S11)</f>
        <v>0</v>
      </c>
      <c r="U11" s="522"/>
      <c r="V11" s="382">
        <f t="shared" si="0"/>
        <v>0</v>
      </c>
      <c r="W11" s="382">
        <f t="shared" si="1"/>
        <v>0</v>
      </c>
      <c r="Y11" s="159"/>
    </row>
    <row r="12" spans="1:29" ht="13" outlineLevel="1" x14ac:dyDescent="0.3">
      <c r="A12" s="1005"/>
      <c r="B12" s="514">
        <v>1.04</v>
      </c>
      <c r="C12" s="517" t="s">
        <v>75</v>
      </c>
      <c r="D12" s="516" t="s">
        <v>404</v>
      </c>
      <c r="E12" s="215" t="s">
        <v>124</v>
      </c>
      <c r="F12" s="517">
        <v>11</v>
      </c>
      <c r="G12" s="518">
        <f>+[2]Tareas!H12</f>
        <v>79773.18271975957</v>
      </c>
      <c r="H12" s="518">
        <f>+[2]Tareas!I12</f>
        <v>0</v>
      </c>
      <c r="I12" s="519">
        <f t="shared" si="8"/>
        <v>79773.18271975957</v>
      </c>
      <c r="J12" s="518">
        <f>+[2]Tareas!Q12</f>
        <v>0</v>
      </c>
      <c r="K12" s="518">
        <f>+[2]Tareas!R12</f>
        <v>30923.374054493801</v>
      </c>
      <c r="L12" s="519">
        <f t="shared" si="9"/>
        <v>30923.374054493801</v>
      </c>
      <c r="M12" s="518">
        <f>+(I12+L12)*0.015</f>
        <v>1660.4483516138005</v>
      </c>
      <c r="N12" s="519">
        <f t="shared" si="10"/>
        <v>112357.00512586717</v>
      </c>
      <c r="O12" s="520">
        <f>G12*F12</f>
        <v>877505.00991735526</v>
      </c>
      <c r="P12" s="520">
        <f>H12*F12</f>
        <v>0</v>
      </c>
      <c r="Q12" s="520">
        <f t="shared" si="4"/>
        <v>0</v>
      </c>
      <c r="R12" s="520">
        <f t="shared" si="5"/>
        <v>340157.11459943181</v>
      </c>
      <c r="S12" s="520">
        <f t="shared" si="6"/>
        <v>18264.931867751806</v>
      </c>
      <c r="T12" s="521">
        <f t="shared" si="11"/>
        <v>1235927.0563845388</v>
      </c>
      <c r="U12" s="522"/>
      <c r="V12" s="382">
        <f t="shared" si="0"/>
        <v>141220</v>
      </c>
      <c r="W12" s="382">
        <f t="shared" si="1"/>
        <v>1553420</v>
      </c>
      <c r="Y12" s="159"/>
    </row>
    <row r="13" spans="1:29" ht="13" outlineLevel="1" x14ac:dyDescent="0.3">
      <c r="A13" s="1003"/>
      <c r="B13" s="514">
        <v>1.05</v>
      </c>
      <c r="C13" s="517" t="s">
        <v>75</v>
      </c>
      <c r="D13" s="516" t="s">
        <v>270</v>
      </c>
      <c r="E13" s="215" t="s">
        <v>107</v>
      </c>
      <c r="F13" s="517">
        <v>1</v>
      </c>
      <c r="G13" s="523">
        <f>+[2]Tareas!H22</f>
        <v>2300856.6973553719</v>
      </c>
      <c r="H13" s="523">
        <f>+[2]Tareas!I22</f>
        <v>100000</v>
      </c>
      <c r="I13" s="519">
        <f t="shared" si="8"/>
        <v>2400856.6973553719</v>
      </c>
      <c r="J13" s="518">
        <f>+[2]Tareas!Q22</f>
        <v>500000</v>
      </c>
      <c r="K13" s="518">
        <f>+[2]Tareas!R22</f>
        <v>3016332.5020954548</v>
      </c>
      <c r="L13" s="519">
        <f t="shared" si="9"/>
        <v>3516332.5020954548</v>
      </c>
      <c r="M13" s="518">
        <f>+(I13+L13)*0.015</f>
        <v>88757.837991762397</v>
      </c>
      <c r="N13" s="519">
        <f t="shared" si="10"/>
        <v>6005947.0374425882</v>
      </c>
      <c r="O13" s="520">
        <f t="shared" ref="O13:O18" si="12">G13*F13</f>
        <v>2300856.6973553719</v>
      </c>
      <c r="P13" s="520">
        <f t="shared" ref="P13:P16" si="13">H13*F13</f>
        <v>100000</v>
      </c>
      <c r="Q13" s="520">
        <f t="shared" si="4"/>
        <v>500000</v>
      </c>
      <c r="R13" s="520">
        <f t="shared" si="5"/>
        <v>3016332.5020954548</v>
      </c>
      <c r="S13" s="520">
        <f t="shared" si="6"/>
        <v>88757.837991762397</v>
      </c>
      <c r="T13" s="521">
        <f t="shared" si="11"/>
        <v>6005947.0374425882</v>
      </c>
      <c r="U13" s="522"/>
      <c r="V13" s="382">
        <f t="shared" si="0"/>
        <v>7548771</v>
      </c>
      <c r="W13" s="382">
        <f t="shared" si="1"/>
        <v>7548771</v>
      </c>
      <c r="Y13" s="159"/>
    </row>
    <row r="14" spans="1:29" ht="13" outlineLevel="1" x14ac:dyDescent="0.3">
      <c r="A14" s="1005"/>
      <c r="B14" s="514">
        <v>1.06</v>
      </c>
      <c r="C14" s="517" t="s">
        <v>75</v>
      </c>
      <c r="D14" s="516" t="s">
        <v>271</v>
      </c>
      <c r="E14" s="215" t="s">
        <v>101</v>
      </c>
      <c r="F14" s="517">
        <v>3</v>
      </c>
      <c r="G14" s="523"/>
      <c r="H14" s="523"/>
      <c r="I14" s="519">
        <f t="shared" si="8"/>
        <v>0</v>
      </c>
      <c r="J14" s="524">
        <f>+[2]Cotizaciones!D46*4</f>
        <v>295488.55943097093</v>
      </c>
      <c r="K14" s="524">
        <f>+([2]Cotizaciones!D47*2*2)/'01 (2)'!F14</f>
        <v>16416.031079498385</v>
      </c>
      <c r="L14" s="519">
        <f t="shared" si="9"/>
        <v>311904.59051046934</v>
      </c>
      <c r="M14" s="157"/>
      <c r="N14" s="519">
        <f t="shared" si="10"/>
        <v>311904.59051046934</v>
      </c>
      <c r="O14" s="520">
        <f t="shared" si="12"/>
        <v>0</v>
      </c>
      <c r="P14" s="520">
        <f t="shared" si="13"/>
        <v>0</v>
      </c>
      <c r="Q14" s="520">
        <f t="shared" si="4"/>
        <v>886465.67829291278</v>
      </c>
      <c r="R14" s="520">
        <f t="shared" si="5"/>
        <v>49248.093238495159</v>
      </c>
      <c r="S14" s="520">
        <f t="shared" si="6"/>
        <v>0</v>
      </c>
      <c r="T14" s="521">
        <f t="shared" si="11"/>
        <v>935713.77153140795</v>
      </c>
      <c r="U14" s="522"/>
      <c r="V14" s="382">
        <f t="shared" si="0"/>
        <v>392028</v>
      </c>
      <c r="W14" s="382">
        <f t="shared" si="1"/>
        <v>1176084</v>
      </c>
      <c r="Y14" s="159"/>
    </row>
    <row r="15" spans="1:29" ht="13" outlineLevel="1" x14ac:dyDescent="0.3">
      <c r="A15" s="1005"/>
      <c r="B15" s="514">
        <v>1.07</v>
      </c>
      <c r="C15" s="525" t="s">
        <v>75</v>
      </c>
      <c r="D15" s="516" t="s">
        <v>272</v>
      </c>
      <c r="E15" s="215" t="s">
        <v>107</v>
      </c>
      <c r="F15" s="517">
        <v>1</v>
      </c>
      <c r="G15" s="523">
        <f>+[2]Tareas!H44</f>
        <v>795578.51239669416</v>
      </c>
      <c r="H15" s="523">
        <f>+[2]Tareas!I44</f>
        <v>50000</v>
      </c>
      <c r="I15" s="519">
        <f t="shared" si="8"/>
        <v>845578.51239669416</v>
      </c>
      <c r="J15" s="518">
        <f>+[2]Tareas!Q44</f>
        <v>0</v>
      </c>
      <c r="K15" s="518">
        <f>+[2]Tareas!R44</f>
        <v>511535.56413257582</v>
      </c>
      <c r="L15" s="519">
        <f t="shared" si="9"/>
        <v>511535.56413257582</v>
      </c>
      <c r="M15" s="518">
        <f>+(I15+L15)*0.015</f>
        <v>20356.711147939051</v>
      </c>
      <c r="N15" s="519">
        <f t="shared" si="10"/>
        <v>1377470.7876772091</v>
      </c>
      <c r="O15" s="520">
        <f t="shared" si="12"/>
        <v>795578.51239669416</v>
      </c>
      <c r="P15" s="520">
        <f t="shared" si="13"/>
        <v>50000</v>
      </c>
      <c r="Q15" s="520">
        <f t="shared" si="4"/>
        <v>0</v>
      </c>
      <c r="R15" s="520">
        <f t="shared" si="5"/>
        <v>511535.56413257582</v>
      </c>
      <c r="S15" s="520">
        <f t="shared" si="6"/>
        <v>20356.711147939051</v>
      </c>
      <c r="T15" s="521">
        <f t="shared" si="11"/>
        <v>1377470.7876772091</v>
      </c>
      <c r="U15" s="522"/>
      <c r="V15" s="382">
        <f t="shared" si="0"/>
        <v>1731320</v>
      </c>
      <c r="W15" s="382">
        <f t="shared" si="1"/>
        <v>1731320</v>
      </c>
      <c r="Y15" s="159"/>
    </row>
    <row r="16" spans="1:29" ht="13" outlineLevel="1" x14ac:dyDescent="0.3">
      <c r="A16" s="1003"/>
      <c r="B16" s="514">
        <v>1.08</v>
      </c>
      <c r="C16" s="525" t="s">
        <v>75</v>
      </c>
      <c r="D16" s="516" t="s">
        <v>273</v>
      </c>
      <c r="E16" s="215" t="s">
        <v>107</v>
      </c>
      <c r="F16" s="517">
        <v>1</v>
      </c>
      <c r="G16" s="523">
        <f>+[2]Tareas!H51</f>
        <v>680400</v>
      </c>
      <c r="H16" s="523">
        <f>+[2]Tareas!I51</f>
        <v>0</v>
      </c>
      <c r="I16" s="519">
        <f t="shared" si="8"/>
        <v>680400</v>
      </c>
      <c r="J16" s="518">
        <f>+[2]Tareas!Q51</f>
        <v>0</v>
      </c>
      <c r="K16" s="518">
        <f>+[2]Tareas!R51</f>
        <v>421419.88959943189</v>
      </c>
      <c r="L16" s="519">
        <f t="shared" si="9"/>
        <v>421419.88959943189</v>
      </c>
      <c r="M16" s="518">
        <f>+(I16+L16)*0.015</f>
        <v>16527.298343991475</v>
      </c>
      <c r="N16" s="519">
        <f t="shared" si="10"/>
        <v>1118347.1879434232</v>
      </c>
      <c r="O16" s="520">
        <f t="shared" si="12"/>
        <v>680400</v>
      </c>
      <c r="P16" s="520">
        <f t="shared" si="13"/>
        <v>0</v>
      </c>
      <c r="Q16" s="520">
        <f t="shared" si="4"/>
        <v>0</v>
      </c>
      <c r="R16" s="520">
        <f t="shared" si="5"/>
        <v>421419.88959943189</v>
      </c>
      <c r="S16" s="520">
        <f t="shared" si="6"/>
        <v>16527.298343991475</v>
      </c>
      <c r="T16" s="521">
        <f t="shared" si="11"/>
        <v>1118347.1879434232</v>
      </c>
      <c r="U16" s="522"/>
      <c r="V16" s="382">
        <f t="shared" si="0"/>
        <v>1405632</v>
      </c>
      <c r="W16" s="382">
        <f t="shared" si="1"/>
        <v>1405632</v>
      </c>
      <c r="Y16" s="159"/>
    </row>
    <row r="17" spans="1:31" ht="13" outlineLevel="1" x14ac:dyDescent="0.3">
      <c r="A17" s="1005"/>
      <c r="B17" s="514">
        <v>1.0900000000000001</v>
      </c>
      <c r="C17" s="525" t="s">
        <v>75</v>
      </c>
      <c r="D17" s="516" t="s">
        <v>274</v>
      </c>
      <c r="E17" s="215" t="s">
        <v>107</v>
      </c>
      <c r="F17" s="517">
        <v>1</v>
      </c>
      <c r="G17" s="523">
        <f>+[2]Tareas!H61</f>
        <v>0</v>
      </c>
      <c r="H17" s="523">
        <f>+[2]Tareas!I61</f>
        <v>0</v>
      </c>
      <c r="I17" s="519">
        <f t="shared" si="8"/>
        <v>0</v>
      </c>
      <c r="J17" s="518">
        <f>+[2]Tareas!Q61</f>
        <v>339320.84018972021</v>
      </c>
      <c r="K17" s="518">
        <f>+[2]Tareas!R61</f>
        <v>0</v>
      </c>
      <c r="L17" s="519">
        <f t="shared" si="9"/>
        <v>339320.84018972021</v>
      </c>
      <c r="M17" s="157"/>
      <c r="N17" s="519">
        <f t="shared" si="10"/>
        <v>339320.84018972021</v>
      </c>
      <c r="O17" s="520">
        <f t="shared" si="12"/>
        <v>0</v>
      </c>
      <c r="P17" s="520">
        <f>H17*F17</f>
        <v>0</v>
      </c>
      <c r="Q17" s="520">
        <f t="shared" si="4"/>
        <v>339320.84018972021</v>
      </c>
      <c r="R17" s="520">
        <f t="shared" si="5"/>
        <v>0</v>
      </c>
      <c r="S17" s="520">
        <f t="shared" si="6"/>
        <v>0</v>
      </c>
      <c r="T17" s="521">
        <f t="shared" si="11"/>
        <v>339320.84018972021</v>
      </c>
      <c r="U17" s="522"/>
      <c r="V17" s="382">
        <f t="shared" si="0"/>
        <v>426487</v>
      </c>
      <c r="W17" s="382">
        <f t="shared" si="1"/>
        <v>426487</v>
      </c>
      <c r="Y17" s="159"/>
    </row>
    <row r="18" spans="1:31" ht="13" outlineLevel="1" x14ac:dyDescent="0.3">
      <c r="A18" s="1003"/>
      <c r="B18" s="526">
        <v>1.1000000000000001</v>
      </c>
      <c r="C18" s="527" t="s">
        <v>75</v>
      </c>
      <c r="D18" s="528" t="s">
        <v>275</v>
      </c>
      <c r="E18" s="217" t="s">
        <v>107</v>
      </c>
      <c r="F18" s="529">
        <v>1</v>
      </c>
      <c r="G18" s="530"/>
      <c r="H18" s="530"/>
      <c r="I18" s="531">
        <f t="shared" si="8"/>
        <v>0</v>
      </c>
      <c r="J18" s="532">
        <f>+[2]SUBCONTRATOS!D67</f>
        <v>7800000</v>
      </c>
      <c r="K18" s="533"/>
      <c r="L18" s="531">
        <f t="shared" si="9"/>
        <v>7800000</v>
      </c>
      <c r="M18" s="164"/>
      <c r="N18" s="531">
        <f t="shared" si="10"/>
        <v>7800000</v>
      </c>
      <c r="O18" s="534">
        <f t="shared" si="12"/>
        <v>0</v>
      </c>
      <c r="P18" s="534">
        <f>H18*F18</f>
        <v>0</v>
      </c>
      <c r="Q18" s="534">
        <f t="shared" si="4"/>
        <v>7800000</v>
      </c>
      <c r="R18" s="534">
        <f t="shared" si="5"/>
        <v>0</v>
      </c>
      <c r="S18" s="534">
        <f t="shared" si="6"/>
        <v>0</v>
      </c>
      <c r="T18" s="535">
        <f t="shared" si="11"/>
        <v>7800000</v>
      </c>
      <c r="U18" s="522"/>
      <c r="V18" s="382">
        <f t="shared" si="0"/>
        <v>9803685</v>
      </c>
      <c r="W18" s="382">
        <f t="shared" si="1"/>
        <v>9803685</v>
      </c>
      <c r="Y18" s="159"/>
    </row>
    <row r="19" spans="1:31" ht="13" x14ac:dyDescent="0.3">
      <c r="A19" s="1005"/>
      <c r="B19" s="500">
        <v>2</v>
      </c>
      <c r="C19" s="501"/>
      <c r="D19" s="380" t="s">
        <v>196</v>
      </c>
      <c r="E19" s="213"/>
      <c r="F19" s="502"/>
      <c r="G19" s="502"/>
      <c r="H19" s="502"/>
      <c r="I19" s="502"/>
      <c r="J19" s="502"/>
      <c r="K19" s="502"/>
      <c r="L19" s="502"/>
      <c r="M19" s="502"/>
      <c r="N19" s="503"/>
      <c r="O19" s="502"/>
      <c r="P19" s="502"/>
      <c r="Q19" s="502"/>
      <c r="R19" s="502"/>
      <c r="S19" s="502"/>
      <c r="T19" s="502"/>
      <c r="U19" s="504">
        <f>SUM(T20:T22)</f>
        <v>33429552.129877307</v>
      </c>
      <c r="V19" s="502"/>
      <c r="W19" s="502"/>
      <c r="X19" s="505">
        <f>SUM(W20:W22)</f>
        <v>42017464</v>
      </c>
      <c r="Y19" s="159">
        <f>+X19/$X$216</f>
        <v>3.7269257770676176E-2</v>
      </c>
      <c r="Z19" s="458">
        <f>+X19</f>
        <v>42017464</v>
      </c>
    </row>
    <row r="20" spans="1:31" ht="13" outlineLevel="1" x14ac:dyDescent="0.3">
      <c r="A20" s="1003"/>
      <c r="B20" s="514">
        <v>2.0099999999999998</v>
      </c>
      <c r="C20" s="517" t="s">
        <v>75</v>
      </c>
      <c r="D20" s="536" t="s">
        <v>276</v>
      </c>
      <c r="E20" s="537" t="s">
        <v>108</v>
      </c>
      <c r="F20" s="538">
        <f>+'[2]H°A° '!H69</f>
        <v>1266</v>
      </c>
      <c r="G20" s="518">
        <f>+[2]Tareas!H66</f>
        <v>0</v>
      </c>
      <c r="H20" s="518">
        <f>+[2]Tareas!I66</f>
        <v>0</v>
      </c>
      <c r="I20" s="519">
        <f t="shared" ref="I20:I22" si="14">G20+H20</f>
        <v>0</v>
      </c>
      <c r="J20" s="518">
        <f>+[2]Tareas!Q66</f>
        <v>18399.999999999996</v>
      </c>
      <c r="K20" s="518">
        <f>+[2]Tareas!R66</f>
        <v>7809.6200401747619</v>
      </c>
      <c r="L20" s="519">
        <f t="shared" ref="L20:L22" si="15">J20+K20</f>
        <v>26209.620040174759</v>
      </c>
      <c r="M20" s="518">
        <f>+K20*0.015</f>
        <v>117.14430060262143</v>
      </c>
      <c r="N20" s="519">
        <f t="shared" ref="N20:N22" si="16">I20+L20+M20</f>
        <v>26326.764340777379</v>
      </c>
      <c r="O20" s="520">
        <f t="shared" ref="O20:O22" si="17">G20*F20</f>
        <v>0</v>
      </c>
      <c r="P20" s="520">
        <f t="shared" ref="P20:P22" si="18">H20*F20</f>
        <v>0</v>
      </c>
      <c r="Q20" s="520">
        <f t="shared" ref="Q20:Q22" si="19">J20*F20</f>
        <v>23294399.999999996</v>
      </c>
      <c r="R20" s="520">
        <f t="shared" ref="R20:R22" si="20">K20*F20</f>
        <v>9886978.9708612487</v>
      </c>
      <c r="S20" s="520">
        <f t="shared" ref="S20:S22" si="21">+M20*F20</f>
        <v>148304.68456291873</v>
      </c>
      <c r="T20" s="521">
        <f t="shared" ref="T20:T22" si="22">SUM(O20:S20)</f>
        <v>33329683.655424163</v>
      </c>
      <c r="U20" s="522"/>
      <c r="V20" s="382">
        <f t="shared" ref="V20:V22" si="23">+ROUNDUP(N20*$U$5,0)</f>
        <v>33090</v>
      </c>
      <c r="W20" s="382">
        <f t="shared" ref="W20:W22" si="24">+V20*F20</f>
        <v>41891940</v>
      </c>
      <c r="Y20" s="159"/>
    </row>
    <row r="21" spans="1:31" ht="13" outlineLevel="1" x14ac:dyDescent="0.3">
      <c r="A21" s="1003"/>
      <c r="B21" s="514">
        <v>2.02</v>
      </c>
      <c r="C21" s="525" t="s">
        <v>75</v>
      </c>
      <c r="D21" s="539" t="s">
        <v>405</v>
      </c>
      <c r="E21" s="215" t="s">
        <v>107</v>
      </c>
      <c r="F21" s="538">
        <v>0</v>
      </c>
      <c r="G21" s="157"/>
      <c r="H21" s="157"/>
      <c r="I21" s="519">
        <f>G21+H21</f>
        <v>0</v>
      </c>
      <c r="J21" s="157"/>
      <c r="K21" s="157"/>
      <c r="L21" s="519">
        <f t="shared" si="15"/>
        <v>0</v>
      </c>
      <c r="M21" s="540"/>
      <c r="N21" s="519">
        <f t="shared" si="16"/>
        <v>0</v>
      </c>
      <c r="O21" s="520">
        <f t="shared" si="17"/>
        <v>0</v>
      </c>
      <c r="P21" s="520">
        <f t="shared" si="18"/>
        <v>0</v>
      </c>
      <c r="Q21" s="520">
        <f t="shared" si="19"/>
        <v>0</v>
      </c>
      <c r="R21" s="520">
        <f t="shared" si="20"/>
        <v>0</v>
      </c>
      <c r="S21" s="520">
        <f t="shared" si="21"/>
        <v>0</v>
      </c>
      <c r="T21" s="521">
        <f t="shared" si="22"/>
        <v>0</v>
      </c>
      <c r="U21" s="522"/>
      <c r="V21" s="382">
        <f>+ROUNDUP(N21*$U$5,0)</f>
        <v>0</v>
      </c>
      <c r="W21" s="382">
        <f>+V21*F21</f>
        <v>0</v>
      </c>
      <c r="Y21" s="159"/>
    </row>
    <row r="22" spans="1:31" ht="13" outlineLevel="1" x14ac:dyDescent="0.3">
      <c r="A22" s="1003"/>
      <c r="B22" s="514">
        <v>2.0299999999999998</v>
      </c>
      <c r="C22" s="517" t="s">
        <v>75</v>
      </c>
      <c r="D22" s="536" t="s">
        <v>278</v>
      </c>
      <c r="E22" s="537" t="s">
        <v>108</v>
      </c>
      <c r="F22" s="538">
        <f>+'[2]H°A° '!H87</f>
        <v>2</v>
      </c>
      <c r="G22" s="518"/>
      <c r="H22" s="518"/>
      <c r="I22" s="519">
        <f t="shared" si="14"/>
        <v>0</v>
      </c>
      <c r="J22" s="524"/>
      <c r="K22" s="524">
        <f>+'[2]P.MO 09.24'!B7</f>
        <v>49934.237226571968</v>
      </c>
      <c r="L22" s="519">
        <f t="shared" si="15"/>
        <v>49934.237226571968</v>
      </c>
      <c r="M22" s="518"/>
      <c r="N22" s="519">
        <f t="shared" si="16"/>
        <v>49934.237226571968</v>
      </c>
      <c r="O22" s="520">
        <f t="shared" si="17"/>
        <v>0</v>
      </c>
      <c r="P22" s="520">
        <f t="shared" si="18"/>
        <v>0</v>
      </c>
      <c r="Q22" s="520">
        <f t="shared" si="19"/>
        <v>0</v>
      </c>
      <c r="R22" s="520">
        <f t="shared" si="20"/>
        <v>99868.474453143936</v>
      </c>
      <c r="S22" s="520">
        <f t="shared" si="21"/>
        <v>0</v>
      </c>
      <c r="T22" s="521">
        <f t="shared" si="22"/>
        <v>99868.474453143936</v>
      </c>
      <c r="U22" s="522"/>
      <c r="V22" s="382">
        <f t="shared" si="23"/>
        <v>62762</v>
      </c>
      <c r="W22" s="382">
        <f t="shared" si="24"/>
        <v>125524</v>
      </c>
      <c r="Y22" s="159"/>
      <c r="AC22" s="456" t="s">
        <v>108</v>
      </c>
      <c r="AD22" s="458"/>
    </row>
    <row r="23" spans="1:31" ht="13" x14ac:dyDescent="0.3">
      <c r="A23" s="1005"/>
      <c r="B23" s="500">
        <v>3</v>
      </c>
      <c r="C23" s="501"/>
      <c r="D23" s="380" t="s">
        <v>197</v>
      </c>
      <c r="E23" s="213"/>
      <c r="F23" s="502"/>
      <c r="G23" s="502"/>
      <c r="H23" s="502"/>
      <c r="I23" s="502"/>
      <c r="J23" s="502"/>
      <c r="K23" s="502"/>
      <c r="L23" s="502"/>
      <c r="M23" s="502"/>
      <c r="N23" s="503"/>
      <c r="O23" s="541"/>
      <c r="P23" s="502"/>
      <c r="Q23" s="502"/>
      <c r="R23" s="502"/>
      <c r="S23" s="502"/>
      <c r="T23" s="502"/>
      <c r="U23" s="504">
        <f>SUM(T24:T40)</f>
        <v>201347587.51471001</v>
      </c>
      <c r="V23" s="502"/>
      <c r="W23" s="502"/>
      <c r="X23" s="505">
        <f>SUM(W24:W40)</f>
        <v>253070783</v>
      </c>
      <c r="Y23" s="159">
        <f>+X23/$X$216</f>
        <v>0.2244723823849496</v>
      </c>
      <c r="Z23" s="458">
        <f>+X23</f>
        <v>253070783</v>
      </c>
      <c r="AB23" s="161">
        <f>+SUM(Q24:R39)+R20</f>
        <v>158593535.06041524</v>
      </c>
      <c r="AC23" s="160"/>
      <c r="AD23" s="458"/>
    </row>
    <row r="24" spans="1:31" ht="13" outlineLevel="1" x14ac:dyDescent="0.3">
      <c r="A24" s="1003"/>
      <c r="B24" s="514">
        <v>3.01</v>
      </c>
      <c r="C24" s="517" t="s">
        <v>75</v>
      </c>
      <c r="D24" s="542" t="s">
        <v>280</v>
      </c>
      <c r="E24" s="216" t="s">
        <v>108</v>
      </c>
      <c r="F24" s="157">
        <f>+'[2]H°A° '!E93</f>
        <v>35</v>
      </c>
      <c r="G24" s="524">
        <f>+[2]Cotizaciones!D23+[2]Cotizaciones!D27</f>
        <v>120430</v>
      </c>
      <c r="H24" s="543">
        <f>+[2]Cotizaciones!D26*5/'01 (2)'!F24</f>
        <v>76142.857142857145</v>
      </c>
      <c r="I24" s="519">
        <f t="shared" ref="I24:I40" si="25">G24+H24</f>
        <v>196572.85714285716</v>
      </c>
      <c r="J24" s="524"/>
      <c r="K24" s="524">
        <f>+'[2]P.MO 09.24'!B7</f>
        <v>49934.237226571968</v>
      </c>
      <c r="L24" s="519">
        <f t="shared" ref="L24:L40" si="26">J24+K24</f>
        <v>49934.237226571968</v>
      </c>
      <c r="M24" s="518">
        <f t="shared" ref="M24:M35" si="27">+(I24+L24)*0.015</f>
        <v>3697.6064155414369</v>
      </c>
      <c r="N24" s="519">
        <f t="shared" ref="N24:N40" si="28">I24+L24+M24</f>
        <v>250204.70078497057</v>
      </c>
      <c r="O24" s="520">
        <f t="shared" ref="O24:O40" si="29">G24*F24</f>
        <v>4215050</v>
      </c>
      <c r="P24" s="520">
        <f t="shared" ref="P24:P40" si="30">H24*F24</f>
        <v>2665000</v>
      </c>
      <c r="Q24" s="520">
        <f t="shared" ref="Q24:Q40" si="31">J24*F24</f>
        <v>0</v>
      </c>
      <c r="R24" s="520">
        <f t="shared" ref="R24:R40" si="32">K24*F24</f>
        <v>1747698.3029300189</v>
      </c>
      <c r="S24" s="520">
        <f t="shared" ref="S24:S40" si="33">+M24*F24</f>
        <v>129416.22454395029</v>
      </c>
      <c r="T24" s="521">
        <f t="shared" ref="T24:T40" si="34">SUM(O24:S24)</f>
        <v>8757164.5274739694</v>
      </c>
      <c r="U24" s="522"/>
      <c r="V24" s="382">
        <f t="shared" ref="V24:V40" si="35">+ROUNDUP(N24*$U$5,0)</f>
        <v>314478</v>
      </c>
      <c r="W24" s="382">
        <f t="shared" ref="W24:W40" si="36">+V24*F24</f>
        <v>11006730</v>
      </c>
      <c r="Y24" s="159"/>
      <c r="AA24" s="544" t="s">
        <v>406</v>
      </c>
      <c r="AB24" s="161">
        <f>+AB23/AA25</f>
        <v>105729023.37361015</v>
      </c>
      <c r="AC24" s="160">
        <v>607</v>
      </c>
      <c r="AD24" s="458">
        <f>+AB24/AC24</f>
        <v>174182.90506360817</v>
      </c>
      <c r="AE24" s="545">
        <f>+AD24/AD26</f>
        <v>0.76640478227987596</v>
      </c>
    </row>
    <row r="25" spans="1:31" ht="13" outlineLevel="1" x14ac:dyDescent="0.3">
      <c r="A25" s="1003"/>
      <c r="B25" s="514">
        <v>3.02</v>
      </c>
      <c r="C25" s="517" t="s">
        <v>75</v>
      </c>
      <c r="D25" s="542" t="s">
        <v>281</v>
      </c>
      <c r="E25" s="216" t="s">
        <v>108</v>
      </c>
      <c r="F25" s="157">
        <f>+'[2]H°A° '!M5</f>
        <v>40</v>
      </c>
      <c r="G25" s="524">
        <f>+'[2]H°A° '!F47</f>
        <v>70843.445714285714</v>
      </c>
      <c r="H25" s="543"/>
      <c r="I25" s="519">
        <f t="shared" si="25"/>
        <v>70843.445714285714</v>
      </c>
      <c r="J25" s="524">
        <f>+'[2]MO HA AING'!D72</f>
        <v>307690.19241546135</v>
      </c>
      <c r="K25" s="524"/>
      <c r="L25" s="519">
        <f t="shared" si="26"/>
        <v>307690.19241546135</v>
      </c>
      <c r="M25" s="518">
        <f t="shared" si="27"/>
        <v>5678.0045719462059</v>
      </c>
      <c r="N25" s="519">
        <f t="shared" si="28"/>
        <v>384211.64270169329</v>
      </c>
      <c r="O25" s="520">
        <f t="shared" si="29"/>
        <v>2833737.8285714285</v>
      </c>
      <c r="P25" s="520">
        <f t="shared" si="30"/>
        <v>0</v>
      </c>
      <c r="Q25" s="520">
        <f t="shared" si="31"/>
        <v>12307607.696618455</v>
      </c>
      <c r="R25" s="520">
        <f t="shared" si="32"/>
        <v>0</v>
      </c>
      <c r="S25" s="520">
        <f t="shared" si="33"/>
        <v>227120.18287784824</v>
      </c>
      <c r="T25" s="521">
        <f t="shared" si="34"/>
        <v>15368465.708067732</v>
      </c>
      <c r="U25" s="522"/>
      <c r="V25" s="382">
        <f t="shared" si="35"/>
        <v>482909</v>
      </c>
      <c r="W25" s="382">
        <f t="shared" si="36"/>
        <v>19316360</v>
      </c>
      <c r="Y25" s="159"/>
      <c r="AA25" s="544">
        <v>1.5</v>
      </c>
      <c r="AC25" s="160"/>
      <c r="AD25" s="458"/>
    </row>
    <row r="26" spans="1:31" ht="13" outlineLevel="1" x14ac:dyDescent="0.3">
      <c r="A26" s="1003"/>
      <c r="B26" s="514">
        <v>3.03</v>
      </c>
      <c r="C26" s="517" t="s">
        <v>75</v>
      </c>
      <c r="D26" s="542" t="s">
        <v>282</v>
      </c>
      <c r="E26" s="216" t="s">
        <v>108</v>
      </c>
      <c r="F26" s="157">
        <f>+'[2]H°A° '!M7</f>
        <v>28</v>
      </c>
      <c r="G26" s="524">
        <f>+'[2]H°A° '!F46</f>
        <v>55068.821745306559</v>
      </c>
      <c r="H26" s="543"/>
      <c r="I26" s="519">
        <f t="shared" si="25"/>
        <v>55068.821745306559</v>
      </c>
      <c r="J26" s="524">
        <f>+'[2]MO HA AING'!C6</f>
        <v>253994.14283025966</v>
      </c>
      <c r="K26" s="524"/>
      <c r="L26" s="519">
        <f t="shared" si="26"/>
        <v>253994.14283025966</v>
      </c>
      <c r="M26" s="518">
        <f t="shared" si="27"/>
        <v>4635.9444686334937</v>
      </c>
      <c r="N26" s="519">
        <f t="shared" si="28"/>
        <v>313698.90904419974</v>
      </c>
      <c r="O26" s="520">
        <f t="shared" si="29"/>
        <v>1541927.0088685837</v>
      </c>
      <c r="P26" s="520">
        <f t="shared" si="30"/>
        <v>0</v>
      </c>
      <c r="Q26" s="520">
        <f t="shared" si="31"/>
        <v>7111835.9992472706</v>
      </c>
      <c r="R26" s="520">
        <f t="shared" si="32"/>
        <v>0</v>
      </c>
      <c r="S26" s="520">
        <f t="shared" si="33"/>
        <v>129806.44512173782</v>
      </c>
      <c r="T26" s="521">
        <f t="shared" si="34"/>
        <v>8783569.4532375913</v>
      </c>
      <c r="U26" s="522"/>
      <c r="V26" s="382">
        <f t="shared" si="35"/>
        <v>394283</v>
      </c>
      <c r="W26" s="382">
        <f t="shared" si="36"/>
        <v>11039924</v>
      </c>
      <c r="Y26" s="159"/>
      <c r="AA26" s="544" t="s">
        <v>407</v>
      </c>
      <c r="AB26" s="161">
        <v>75000000</v>
      </c>
      <c r="AC26" s="160">
        <v>330</v>
      </c>
      <c r="AD26" s="458">
        <f>+AB26/AC26</f>
        <v>227272.72727272726</v>
      </c>
    </row>
    <row r="27" spans="1:31" ht="13" outlineLevel="1" x14ac:dyDescent="0.3">
      <c r="A27" s="1003"/>
      <c r="B27" s="514">
        <v>3.04</v>
      </c>
      <c r="C27" s="517" t="s">
        <v>75</v>
      </c>
      <c r="D27" s="542" t="s">
        <v>283</v>
      </c>
      <c r="E27" s="216" t="s">
        <v>108</v>
      </c>
      <c r="F27" s="157">
        <f>+'[2]H°A° '!M6</f>
        <v>179</v>
      </c>
      <c r="G27" s="524">
        <f>+'[2]H°A° '!F50</f>
        <v>2471.4097794822628</v>
      </c>
      <c r="H27" s="543"/>
      <c r="I27" s="519">
        <f t="shared" si="25"/>
        <v>2471.4097794822628</v>
      </c>
      <c r="J27" s="546">
        <f>+'[2]MO HA AING'!C5*0.85</f>
        <v>148967.56476994729</v>
      </c>
      <c r="K27" s="524"/>
      <c r="L27" s="519">
        <f t="shared" si="26"/>
        <v>148967.56476994729</v>
      </c>
      <c r="M27" s="518">
        <f t="shared" si="27"/>
        <v>2271.584618241443</v>
      </c>
      <c r="N27" s="519">
        <f t="shared" si="28"/>
        <v>153710.55916767099</v>
      </c>
      <c r="O27" s="520">
        <f t="shared" si="29"/>
        <v>442382.35052732506</v>
      </c>
      <c r="P27" s="520">
        <f t="shared" si="30"/>
        <v>0</v>
      </c>
      <c r="Q27" s="520">
        <f t="shared" si="31"/>
        <v>26665194.093820564</v>
      </c>
      <c r="R27" s="520">
        <f t="shared" si="32"/>
        <v>0</v>
      </c>
      <c r="S27" s="520">
        <f t="shared" si="33"/>
        <v>406613.64666521829</v>
      </c>
      <c r="T27" s="521">
        <f t="shared" si="34"/>
        <v>27514190.091013107</v>
      </c>
      <c r="U27" s="522"/>
      <c r="V27" s="382">
        <f t="shared" si="35"/>
        <v>193197</v>
      </c>
      <c r="W27" s="382">
        <f t="shared" si="36"/>
        <v>34582263</v>
      </c>
      <c r="Y27" s="159"/>
    </row>
    <row r="28" spans="1:31" ht="13" outlineLevel="1" x14ac:dyDescent="0.3">
      <c r="A28" s="1003"/>
      <c r="B28" s="514">
        <v>3.05</v>
      </c>
      <c r="C28" s="517" t="s">
        <v>75</v>
      </c>
      <c r="D28" s="542" t="s">
        <v>284</v>
      </c>
      <c r="E28" s="216" t="s">
        <v>108</v>
      </c>
      <c r="F28" s="157">
        <f>+'[2]H°A° '!M4</f>
        <v>10</v>
      </c>
      <c r="G28" s="524">
        <f>+'[2]H°A° '!F52</f>
        <v>40150.005369127517</v>
      </c>
      <c r="H28" s="543"/>
      <c r="I28" s="519">
        <f t="shared" si="25"/>
        <v>40150.005369127517</v>
      </c>
      <c r="J28" s="524">
        <f>+'[2]MO HA AING'!D123</f>
        <v>191068.28444151493</v>
      </c>
      <c r="K28" s="546">
        <f>+J28*0.5</f>
        <v>95534.142220757465</v>
      </c>
      <c r="L28" s="519">
        <f t="shared" si="26"/>
        <v>286602.42666227242</v>
      </c>
      <c r="M28" s="518">
        <f t="shared" si="27"/>
        <v>4901.2864804709989</v>
      </c>
      <c r="N28" s="519">
        <f t="shared" si="28"/>
        <v>331653.71851187095</v>
      </c>
      <c r="O28" s="520">
        <f t="shared" si="29"/>
        <v>401500.05369127518</v>
      </c>
      <c r="P28" s="520">
        <f t="shared" si="30"/>
        <v>0</v>
      </c>
      <c r="Q28" s="520">
        <f t="shared" si="31"/>
        <v>1910682.8444151492</v>
      </c>
      <c r="R28" s="520">
        <f t="shared" si="32"/>
        <v>955341.42220757459</v>
      </c>
      <c r="S28" s="520">
        <f t="shared" si="33"/>
        <v>49012.864804709985</v>
      </c>
      <c r="T28" s="521">
        <f t="shared" si="34"/>
        <v>3316537.1851187083</v>
      </c>
      <c r="U28" s="522"/>
      <c r="V28" s="382">
        <f t="shared" si="35"/>
        <v>416850</v>
      </c>
      <c r="W28" s="382">
        <f t="shared" si="36"/>
        <v>4168500</v>
      </c>
      <c r="Y28" s="159"/>
      <c r="Z28" s="1006">
        <f>+Q28+Q27+Q26+Q25+R24</f>
        <v>49743018.937031455</v>
      </c>
    </row>
    <row r="29" spans="1:31" ht="13" outlineLevel="1" x14ac:dyDescent="0.3">
      <c r="A29" s="1003"/>
      <c r="B29" s="514">
        <v>3.06</v>
      </c>
      <c r="C29" s="525" t="s">
        <v>75</v>
      </c>
      <c r="D29" s="516" t="s">
        <v>285</v>
      </c>
      <c r="E29" s="537" t="s">
        <v>108</v>
      </c>
      <c r="F29" s="517">
        <f>+'[2]H°A° '!M8</f>
        <v>177</v>
      </c>
      <c r="G29" s="524">
        <f>+'[2]H°A° '!F51</f>
        <v>32975.501438159154</v>
      </c>
      <c r="H29" s="524"/>
      <c r="I29" s="519">
        <f t="shared" si="25"/>
        <v>32975.501438159154</v>
      </c>
      <c r="J29" s="524">
        <f>+'[2]MO HA AING'!D123</f>
        <v>191068.28444151493</v>
      </c>
      <c r="K29" s="524"/>
      <c r="L29" s="519">
        <f t="shared" si="26"/>
        <v>191068.28444151493</v>
      </c>
      <c r="M29" s="518">
        <f t="shared" si="27"/>
        <v>3360.6567881951109</v>
      </c>
      <c r="N29" s="519">
        <f t="shared" si="28"/>
        <v>227404.44266786918</v>
      </c>
      <c r="O29" s="520">
        <f t="shared" si="29"/>
        <v>5836663.7545541702</v>
      </c>
      <c r="P29" s="520">
        <f t="shared" si="30"/>
        <v>0</v>
      </c>
      <c r="Q29" s="520">
        <f t="shared" si="31"/>
        <v>33819086.346148141</v>
      </c>
      <c r="R29" s="520">
        <f t="shared" si="32"/>
        <v>0</v>
      </c>
      <c r="S29" s="520">
        <f t="shared" si="33"/>
        <v>594836.25151053467</v>
      </c>
      <c r="T29" s="521">
        <f t="shared" si="34"/>
        <v>40250586.352212846</v>
      </c>
      <c r="U29" s="522"/>
      <c r="V29" s="382">
        <f t="shared" si="35"/>
        <v>285821</v>
      </c>
      <c r="W29" s="382">
        <f t="shared" si="36"/>
        <v>50590317</v>
      </c>
      <c r="Y29" s="159"/>
      <c r="Z29" s="461"/>
    </row>
    <row r="30" spans="1:31" ht="13" outlineLevel="1" x14ac:dyDescent="0.3">
      <c r="A30" s="1003"/>
      <c r="B30" s="514">
        <v>3.07</v>
      </c>
      <c r="C30" s="525" t="s">
        <v>75</v>
      </c>
      <c r="D30" s="516" t="s">
        <v>286</v>
      </c>
      <c r="E30" s="537" t="s">
        <v>108</v>
      </c>
      <c r="F30" s="517">
        <f>+'[2]H°A° '!M9</f>
        <v>65</v>
      </c>
      <c r="G30" s="524">
        <f>+'[2]H°A° '!F53</f>
        <v>94228.958133589011</v>
      </c>
      <c r="H30" s="524"/>
      <c r="I30" s="519">
        <f t="shared" si="25"/>
        <v>94228.958133589011</v>
      </c>
      <c r="J30" s="524">
        <f>+'[2]MO HA AING'!D99</f>
        <v>462949.29028534138</v>
      </c>
      <c r="K30" s="524"/>
      <c r="L30" s="519">
        <f t="shared" si="26"/>
        <v>462949.29028534138</v>
      </c>
      <c r="M30" s="518">
        <f t="shared" si="27"/>
        <v>8357.6737262839561</v>
      </c>
      <c r="N30" s="519">
        <f t="shared" si="28"/>
        <v>565535.9221452144</v>
      </c>
      <c r="O30" s="520">
        <f t="shared" si="29"/>
        <v>6124882.2786832862</v>
      </c>
      <c r="P30" s="520">
        <f t="shared" si="30"/>
        <v>0</v>
      </c>
      <c r="Q30" s="520">
        <f t="shared" si="31"/>
        <v>30091703.86854719</v>
      </c>
      <c r="R30" s="520">
        <f t="shared" si="32"/>
        <v>0</v>
      </c>
      <c r="S30" s="520">
        <f t="shared" si="33"/>
        <v>543248.79220845713</v>
      </c>
      <c r="T30" s="521">
        <f t="shared" si="34"/>
        <v>36759834.939438932</v>
      </c>
      <c r="U30" s="522"/>
      <c r="V30" s="382">
        <f t="shared" si="35"/>
        <v>710813</v>
      </c>
      <c r="W30" s="382">
        <f t="shared" si="36"/>
        <v>46202845</v>
      </c>
      <c r="Y30" s="159"/>
      <c r="Z30" s="1006">
        <f>+Q29+Q30+Q31+Q32+Q33+Q34+Q35</f>
        <v>96897117.433630124</v>
      </c>
    </row>
    <row r="31" spans="1:31" ht="13" outlineLevel="1" x14ac:dyDescent="0.3">
      <c r="A31" s="1003"/>
      <c r="B31" s="514">
        <v>3.08</v>
      </c>
      <c r="C31" s="525" t="s">
        <v>75</v>
      </c>
      <c r="D31" s="516" t="s">
        <v>287</v>
      </c>
      <c r="E31" s="537" t="s">
        <v>108</v>
      </c>
      <c r="F31" s="517">
        <f>+'[2]H°A° '!M13</f>
        <v>12</v>
      </c>
      <c r="G31" s="524">
        <f>+'[2]H°A° '!F54</f>
        <v>92072.316554809833</v>
      </c>
      <c r="H31" s="524"/>
      <c r="I31" s="519">
        <f t="shared" si="25"/>
        <v>92072.316554809833</v>
      </c>
      <c r="J31" s="524">
        <f>+'[2]MO HA AING'!D99</f>
        <v>462949.29028534138</v>
      </c>
      <c r="K31" s="546">
        <f>+J31*0.2</f>
        <v>92589.858057068283</v>
      </c>
      <c r="L31" s="519">
        <f t="shared" si="26"/>
        <v>555539.14834240964</v>
      </c>
      <c r="M31" s="518">
        <f t="shared" si="27"/>
        <v>9714.1719734582912</v>
      </c>
      <c r="N31" s="519">
        <f t="shared" si="28"/>
        <v>657325.6368706777</v>
      </c>
      <c r="O31" s="520">
        <f t="shared" si="29"/>
        <v>1104867.7986577181</v>
      </c>
      <c r="P31" s="520">
        <f t="shared" si="30"/>
        <v>0</v>
      </c>
      <c r="Q31" s="520">
        <f t="shared" si="31"/>
        <v>5555391.4834240964</v>
      </c>
      <c r="R31" s="520">
        <f t="shared" si="32"/>
        <v>1111078.2966848193</v>
      </c>
      <c r="S31" s="520">
        <f t="shared" si="33"/>
        <v>116570.06368149949</v>
      </c>
      <c r="T31" s="521">
        <f t="shared" si="34"/>
        <v>7887907.6424481329</v>
      </c>
      <c r="U31" s="522"/>
      <c r="V31" s="382">
        <f t="shared" si="35"/>
        <v>826182</v>
      </c>
      <c r="W31" s="382">
        <f t="shared" si="36"/>
        <v>9914184</v>
      </c>
      <c r="Y31" s="159"/>
    </row>
    <row r="32" spans="1:31" ht="13" outlineLevel="1" x14ac:dyDescent="0.3">
      <c r="A32" s="1003"/>
      <c r="B32" s="514">
        <v>3.09</v>
      </c>
      <c r="C32" s="525" t="s">
        <v>75</v>
      </c>
      <c r="D32" s="516" t="s">
        <v>288</v>
      </c>
      <c r="E32" s="537" t="s">
        <v>108</v>
      </c>
      <c r="F32" s="517">
        <f>+'[2]H°A° '!M10</f>
        <v>28</v>
      </c>
      <c r="G32" s="524">
        <f>+'[2]H°A° '!F55</f>
        <v>70843.445714285714</v>
      </c>
      <c r="H32" s="524"/>
      <c r="I32" s="519">
        <f t="shared" si="25"/>
        <v>70843.445714285714</v>
      </c>
      <c r="J32" s="524">
        <f>+'[2]MO HA AING'!D72</f>
        <v>307690.19241546135</v>
      </c>
      <c r="K32" s="524"/>
      <c r="L32" s="519">
        <f t="shared" si="26"/>
        <v>307690.19241546135</v>
      </c>
      <c r="M32" s="518">
        <f t="shared" si="27"/>
        <v>5678.0045719462059</v>
      </c>
      <c r="N32" s="519">
        <f t="shared" si="28"/>
        <v>384211.64270169329</v>
      </c>
      <c r="O32" s="520">
        <f t="shared" si="29"/>
        <v>1983616.48</v>
      </c>
      <c r="P32" s="520">
        <f t="shared" si="30"/>
        <v>0</v>
      </c>
      <c r="Q32" s="520">
        <f t="shared" si="31"/>
        <v>8615325.3876329176</v>
      </c>
      <c r="R32" s="520">
        <f t="shared" si="32"/>
        <v>0</v>
      </c>
      <c r="S32" s="520">
        <f t="shared" si="33"/>
        <v>158984.12801449376</v>
      </c>
      <c r="T32" s="521">
        <f t="shared" si="34"/>
        <v>10757925.995647412</v>
      </c>
      <c r="U32" s="522"/>
      <c r="V32" s="382">
        <f t="shared" si="35"/>
        <v>482909</v>
      </c>
      <c r="W32" s="382">
        <f t="shared" si="36"/>
        <v>13521452</v>
      </c>
      <c r="Y32" s="159"/>
    </row>
    <row r="33" spans="1:29" ht="13" outlineLevel="1" x14ac:dyDescent="0.3">
      <c r="A33" s="1003"/>
      <c r="B33" s="514">
        <v>3.1</v>
      </c>
      <c r="C33" s="525" t="s">
        <v>75</v>
      </c>
      <c r="D33" s="516" t="s">
        <v>289</v>
      </c>
      <c r="E33" s="537" t="s">
        <v>108</v>
      </c>
      <c r="F33" s="517">
        <f>+'[2]H°A° '!M11</f>
        <v>54</v>
      </c>
      <c r="G33" s="524">
        <f>+'[2]H°A° '!F57</f>
        <v>60951.378715244486</v>
      </c>
      <c r="H33" s="524"/>
      <c r="I33" s="519">
        <f t="shared" si="25"/>
        <v>60951.378715244486</v>
      </c>
      <c r="J33" s="524">
        <f>+'[2]MO HA AING'!D47</f>
        <v>273658.44999334484</v>
      </c>
      <c r="K33" s="524"/>
      <c r="L33" s="519">
        <f t="shared" si="26"/>
        <v>273658.44999334484</v>
      </c>
      <c r="M33" s="518">
        <f t="shared" si="27"/>
        <v>5019.1474306288392</v>
      </c>
      <c r="N33" s="519">
        <f t="shared" si="28"/>
        <v>339628.97613921814</v>
      </c>
      <c r="O33" s="520">
        <f t="shared" si="29"/>
        <v>3291374.4506232021</v>
      </c>
      <c r="P33" s="520">
        <f t="shared" si="30"/>
        <v>0</v>
      </c>
      <c r="Q33" s="520">
        <f t="shared" si="31"/>
        <v>14777556.299640622</v>
      </c>
      <c r="R33" s="520">
        <f t="shared" si="32"/>
        <v>0</v>
      </c>
      <c r="S33" s="520">
        <f t="shared" si="33"/>
        <v>271033.9612539573</v>
      </c>
      <c r="T33" s="521">
        <f t="shared" si="34"/>
        <v>18339964.711517781</v>
      </c>
      <c r="U33" s="522"/>
      <c r="V33" s="382">
        <f t="shared" si="35"/>
        <v>426874</v>
      </c>
      <c r="W33" s="382">
        <f t="shared" si="36"/>
        <v>23051196</v>
      </c>
      <c r="Y33" s="159"/>
    </row>
    <row r="34" spans="1:29" ht="13" outlineLevel="1" x14ac:dyDescent="0.3">
      <c r="A34" s="1003"/>
      <c r="B34" s="514">
        <v>3.11</v>
      </c>
      <c r="C34" s="525" t="s">
        <v>75</v>
      </c>
      <c r="D34" s="516" t="s">
        <v>290</v>
      </c>
      <c r="E34" s="537" t="s">
        <v>108</v>
      </c>
      <c r="F34" s="517">
        <f>+'[2]H°A° '!M12</f>
        <v>11</v>
      </c>
      <c r="G34" s="524">
        <f>+'[2]H°A° '!F60</f>
        <v>68185.041030872468</v>
      </c>
      <c r="H34" s="524"/>
      <c r="I34" s="519">
        <f t="shared" si="25"/>
        <v>68185.041030872468</v>
      </c>
      <c r="J34" s="524">
        <f>+'[2]MO HA AING'!D148</f>
        <v>283180.31554461533</v>
      </c>
      <c r="K34" s="524"/>
      <c r="L34" s="519">
        <f t="shared" si="26"/>
        <v>283180.31554461533</v>
      </c>
      <c r="M34" s="518">
        <f t="shared" si="27"/>
        <v>5270.4803486323162</v>
      </c>
      <c r="N34" s="519">
        <f t="shared" si="28"/>
        <v>356635.83692412009</v>
      </c>
      <c r="O34" s="520">
        <f t="shared" si="29"/>
        <v>750035.45133959712</v>
      </c>
      <c r="P34" s="520">
        <f t="shared" si="30"/>
        <v>0</v>
      </c>
      <c r="Q34" s="520">
        <f t="shared" si="31"/>
        <v>3114983.4709907686</v>
      </c>
      <c r="R34" s="520">
        <f t="shared" si="32"/>
        <v>0</v>
      </c>
      <c r="S34" s="520">
        <f t="shared" si="33"/>
        <v>57975.28383495548</v>
      </c>
      <c r="T34" s="521">
        <f t="shared" si="34"/>
        <v>3922994.2061653212</v>
      </c>
      <c r="U34" s="522"/>
      <c r="V34" s="382">
        <f t="shared" si="35"/>
        <v>448250</v>
      </c>
      <c r="W34" s="382">
        <f t="shared" si="36"/>
        <v>4930750</v>
      </c>
      <c r="Y34" s="159"/>
    </row>
    <row r="35" spans="1:29" ht="13" outlineLevel="1" x14ac:dyDescent="0.3">
      <c r="A35" s="1003"/>
      <c r="B35" s="514">
        <v>3.12</v>
      </c>
      <c r="C35" s="525" t="s">
        <v>75</v>
      </c>
      <c r="D35" s="516" t="s">
        <v>291</v>
      </c>
      <c r="E35" s="537" t="s">
        <v>108</v>
      </c>
      <c r="F35" s="517">
        <f>+'[2]H°A° '!M14</f>
        <v>3</v>
      </c>
      <c r="G35" s="524">
        <f>+'[2]H°A° '!F55</f>
        <v>70843.445714285714</v>
      </c>
      <c r="H35" s="524"/>
      <c r="I35" s="519">
        <f t="shared" si="25"/>
        <v>70843.445714285714</v>
      </c>
      <c r="J35" s="524">
        <f>+'[2]MO HA AING'!D72</f>
        <v>307690.19241546135</v>
      </c>
      <c r="K35" s="524"/>
      <c r="L35" s="519">
        <f t="shared" si="26"/>
        <v>307690.19241546135</v>
      </c>
      <c r="M35" s="518">
        <f t="shared" si="27"/>
        <v>5678.0045719462059</v>
      </c>
      <c r="N35" s="519">
        <f t="shared" si="28"/>
        <v>384211.64270169329</v>
      </c>
      <c r="O35" s="520">
        <f t="shared" si="29"/>
        <v>212530.33714285714</v>
      </c>
      <c r="P35" s="520">
        <f t="shared" si="30"/>
        <v>0</v>
      </c>
      <c r="Q35" s="520">
        <f t="shared" si="31"/>
        <v>923070.577246384</v>
      </c>
      <c r="R35" s="520">
        <f t="shared" si="32"/>
        <v>0</v>
      </c>
      <c r="S35" s="520">
        <f t="shared" si="33"/>
        <v>17034.013715838617</v>
      </c>
      <c r="T35" s="521">
        <f t="shared" si="34"/>
        <v>1152634.9281050796</v>
      </c>
      <c r="U35" s="522"/>
      <c r="V35" s="382">
        <f t="shared" si="35"/>
        <v>482909</v>
      </c>
      <c r="W35" s="382">
        <f t="shared" si="36"/>
        <v>1448727</v>
      </c>
      <c r="Y35" s="159"/>
    </row>
    <row r="36" spans="1:29" ht="13" outlineLevel="1" x14ac:dyDescent="0.3">
      <c r="A36" s="1003"/>
      <c r="B36" s="514">
        <v>3.13</v>
      </c>
      <c r="C36" s="525" t="s">
        <v>75</v>
      </c>
      <c r="D36" s="516" t="s">
        <v>408</v>
      </c>
      <c r="E36" s="537" t="s">
        <v>124</v>
      </c>
      <c r="F36" s="517">
        <v>240</v>
      </c>
      <c r="G36" s="524">
        <f>+[2]Cotizaciones!I498</f>
        <v>24772.727272727276</v>
      </c>
      <c r="H36" s="524"/>
      <c r="I36" s="519">
        <f t="shared" si="25"/>
        <v>24772.727272727276</v>
      </c>
      <c r="J36" s="524"/>
      <c r="K36" s="524"/>
      <c r="L36" s="519">
        <f t="shared" si="26"/>
        <v>0</v>
      </c>
      <c r="M36" s="518"/>
      <c r="N36" s="519">
        <f t="shared" si="28"/>
        <v>24772.727272727276</v>
      </c>
      <c r="O36" s="520">
        <f t="shared" si="29"/>
        <v>5945454.5454545459</v>
      </c>
      <c r="P36" s="520">
        <f t="shared" si="30"/>
        <v>0</v>
      </c>
      <c r="Q36" s="520">
        <f t="shared" si="31"/>
        <v>0</v>
      </c>
      <c r="R36" s="520">
        <f t="shared" si="32"/>
        <v>0</v>
      </c>
      <c r="S36" s="520">
        <f t="shared" si="33"/>
        <v>0</v>
      </c>
      <c r="T36" s="521">
        <f t="shared" si="34"/>
        <v>5945454.5454545459</v>
      </c>
      <c r="U36" s="522"/>
      <c r="V36" s="382">
        <f t="shared" si="35"/>
        <v>31137</v>
      </c>
      <c r="W36" s="382">
        <f t="shared" si="36"/>
        <v>7472880</v>
      </c>
      <c r="Y36" s="159"/>
    </row>
    <row r="37" spans="1:29" ht="13" outlineLevel="1" x14ac:dyDescent="0.3">
      <c r="A37" s="1003"/>
      <c r="B37" s="514">
        <v>3.14</v>
      </c>
      <c r="C37" s="525" t="s">
        <v>75</v>
      </c>
      <c r="D37" s="547" t="s">
        <v>112</v>
      </c>
      <c r="E37" s="537" t="s">
        <v>107</v>
      </c>
      <c r="F37" s="538">
        <v>1</v>
      </c>
      <c r="G37" s="548"/>
      <c r="H37" s="524"/>
      <c r="I37" s="519">
        <f t="shared" si="25"/>
        <v>0</v>
      </c>
      <c r="J37" s="549"/>
      <c r="K37" s="524"/>
      <c r="L37" s="519">
        <f t="shared" si="26"/>
        <v>0</v>
      </c>
      <c r="M37" s="524">
        <f>+'[2]ENCOFRADO '!G148</f>
        <v>8822750</v>
      </c>
      <c r="N37" s="519">
        <f t="shared" si="28"/>
        <v>8822750</v>
      </c>
      <c r="O37" s="520">
        <f t="shared" si="29"/>
        <v>0</v>
      </c>
      <c r="P37" s="520">
        <f t="shared" si="30"/>
        <v>0</v>
      </c>
      <c r="Q37" s="520">
        <f t="shared" si="31"/>
        <v>0</v>
      </c>
      <c r="R37" s="520">
        <f t="shared" si="32"/>
        <v>0</v>
      </c>
      <c r="S37" s="520">
        <f t="shared" si="33"/>
        <v>8822750</v>
      </c>
      <c r="T37" s="521">
        <f t="shared" si="34"/>
        <v>8822750</v>
      </c>
      <c r="U37" s="522"/>
      <c r="V37" s="382">
        <f t="shared" si="35"/>
        <v>11089161</v>
      </c>
      <c r="W37" s="382">
        <f t="shared" si="36"/>
        <v>11089161</v>
      </c>
      <c r="Y37" s="159"/>
    </row>
    <row r="38" spans="1:29" ht="13" outlineLevel="1" x14ac:dyDescent="0.3">
      <c r="A38" s="1005"/>
      <c r="B38" s="514">
        <v>3.15</v>
      </c>
      <c r="C38" s="525" t="s">
        <v>75</v>
      </c>
      <c r="D38" s="547" t="s">
        <v>198</v>
      </c>
      <c r="E38" s="537" t="s">
        <v>111</v>
      </c>
      <c r="F38" s="538">
        <f>+'[2]H°A° '!P34</f>
        <v>14</v>
      </c>
      <c r="G38" s="524">
        <f>+'[2]H°A° '!T40</f>
        <v>123492.85714285714</v>
      </c>
      <c r="H38" s="157"/>
      <c r="I38" s="519">
        <f t="shared" si="25"/>
        <v>123492.85714285714</v>
      </c>
      <c r="J38" s="549"/>
      <c r="K38" s="157"/>
      <c r="L38" s="519">
        <f t="shared" si="26"/>
        <v>0</v>
      </c>
      <c r="M38" s="518"/>
      <c r="N38" s="519">
        <f t="shared" si="28"/>
        <v>123492.85714285714</v>
      </c>
      <c r="O38" s="520">
        <f t="shared" si="29"/>
        <v>1728900</v>
      </c>
      <c r="P38" s="520">
        <f t="shared" si="30"/>
        <v>0</v>
      </c>
      <c r="Q38" s="520">
        <f t="shared" si="31"/>
        <v>0</v>
      </c>
      <c r="R38" s="520">
        <f t="shared" si="32"/>
        <v>0</v>
      </c>
      <c r="S38" s="520">
        <f t="shared" si="33"/>
        <v>0</v>
      </c>
      <c r="T38" s="521">
        <f t="shared" si="34"/>
        <v>1728900</v>
      </c>
      <c r="U38" s="522"/>
      <c r="V38" s="382">
        <f t="shared" si="35"/>
        <v>155217</v>
      </c>
      <c r="W38" s="382">
        <f t="shared" si="36"/>
        <v>2173038</v>
      </c>
      <c r="Y38" s="159"/>
    </row>
    <row r="39" spans="1:29" ht="13" outlineLevel="1" x14ac:dyDescent="0.3">
      <c r="A39" s="1005"/>
      <c r="B39" s="514">
        <v>3.16</v>
      </c>
      <c r="C39" s="550" t="s">
        <v>75</v>
      </c>
      <c r="D39" s="551" t="s">
        <v>293</v>
      </c>
      <c r="E39" s="552" t="s">
        <v>107</v>
      </c>
      <c r="F39" s="553">
        <f>+[2]GGBB!R12</f>
        <v>4</v>
      </c>
      <c r="G39" s="524">
        <v>55000</v>
      </c>
      <c r="H39" s="157"/>
      <c r="I39" s="519">
        <f t="shared" si="25"/>
        <v>55000</v>
      </c>
      <c r="J39" s="549"/>
      <c r="K39" s="157"/>
      <c r="L39" s="519">
        <f t="shared" si="26"/>
        <v>0</v>
      </c>
      <c r="M39" s="518"/>
      <c r="N39" s="519">
        <f t="shared" si="28"/>
        <v>55000</v>
      </c>
      <c r="O39" s="520">
        <f t="shared" si="29"/>
        <v>220000</v>
      </c>
      <c r="P39" s="520">
        <f t="shared" si="30"/>
        <v>0</v>
      </c>
      <c r="Q39" s="520">
        <f t="shared" si="31"/>
        <v>0</v>
      </c>
      <c r="R39" s="520">
        <f t="shared" si="32"/>
        <v>0</v>
      </c>
      <c r="S39" s="520">
        <f t="shared" si="33"/>
        <v>0</v>
      </c>
      <c r="T39" s="521">
        <f t="shared" si="34"/>
        <v>220000</v>
      </c>
      <c r="U39" s="522"/>
      <c r="V39" s="382">
        <f t="shared" si="35"/>
        <v>69129</v>
      </c>
      <c r="W39" s="382">
        <f t="shared" si="36"/>
        <v>276516</v>
      </c>
      <c r="Y39" s="159"/>
    </row>
    <row r="40" spans="1:29" ht="13" outlineLevel="1" x14ac:dyDescent="0.3">
      <c r="A40" s="1003"/>
      <c r="B40" s="514">
        <v>3.17</v>
      </c>
      <c r="C40" s="527" t="s">
        <v>75</v>
      </c>
      <c r="D40" s="528" t="s">
        <v>409</v>
      </c>
      <c r="E40" s="217" t="s">
        <v>109</v>
      </c>
      <c r="F40" s="554">
        <f>+[2]Computo!F53</f>
        <v>93</v>
      </c>
      <c r="G40" s="533">
        <f>+[2]Tareas!H70</f>
        <v>3440.8602150537636</v>
      </c>
      <c r="H40" s="533">
        <f>+[2]Tareas!I70</f>
        <v>1612.9032258064517</v>
      </c>
      <c r="I40" s="531">
        <f t="shared" si="25"/>
        <v>5053.7634408602153</v>
      </c>
      <c r="J40" s="533">
        <f>+[2]Tareas!Q70</f>
        <v>0</v>
      </c>
      <c r="K40" s="533">
        <f>+[2]Tareas!R70</f>
        <v>14213.22346320137</v>
      </c>
      <c r="L40" s="531">
        <f t="shared" si="26"/>
        <v>14213.22346320137</v>
      </c>
      <c r="M40" s="533">
        <f>+(I40+L40)*0.015</f>
        <v>289.00480356092379</v>
      </c>
      <c r="N40" s="519">
        <f t="shared" si="28"/>
        <v>19555.99170762251</v>
      </c>
      <c r="O40" s="520">
        <f t="shared" si="29"/>
        <v>320000</v>
      </c>
      <c r="P40" s="520">
        <f t="shared" si="30"/>
        <v>150000</v>
      </c>
      <c r="Q40" s="520">
        <f t="shared" si="31"/>
        <v>0</v>
      </c>
      <c r="R40" s="520">
        <f t="shared" si="32"/>
        <v>1321829.7820777274</v>
      </c>
      <c r="S40" s="520">
        <f t="shared" si="33"/>
        <v>26877.446731165914</v>
      </c>
      <c r="T40" s="521">
        <f t="shared" si="34"/>
        <v>1818707.2288088934</v>
      </c>
      <c r="U40" s="522"/>
      <c r="V40" s="382">
        <f t="shared" si="35"/>
        <v>24580</v>
      </c>
      <c r="W40" s="382">
        <f t="shared" si="36"/>
        <v>2285940</v>
      </c>
      <c r="Y40" s="159"/>
    </row>
    <row r="41" spans="1:29" ht="13" x14ac:dyDescent="0.3">
      <c r="A41" s="1005"/>
      <c r="B41" s="500">
        <v>4</v>
      </c>
      <c r="C41" s="501"/>
      <c r="D41" s="380" t="s">
        <v>125</v>
      </c>
      <c r="E41" s="213"/>
      <c r="F41" s="502"/>
      <c r="G41" s="502"/>
      <c r="H41" s="502"/>
      <c r="I41" s="502"/>
      <c r="J41" s="502"/>
      <c r="K41" s="502"/>
      <c r="L41" s="502"/>
      <c r="M41" s="502"/>
      <c r="N41" s="503"/>
      <c r="O41" s="502"/>
      <c r="P41" s="502"/>
      <c r="Q41" s="502"/>
      <c r="R41" s="502"/>
      <c r="S41" s="502"/>
      <c r="T41" s="502"/>
      <c r="U41" s="504">
        <f>SUM(T42:T49)</f>
        <v>43203971.232858703</v>
      </c>
      <c r="V41" s="502"/>
      <c r="W41" s="502"/>
      <c r="X41" s="505">
        <f>SUM(W42:W49)</f>
        <v>54302889.68</v>
      </c>
      <c r="Y41" s="159">
        <f>+X41/$X$216</f>
        <v>4.8166362281562521E-2</v>
      </c>
      <c r="Z41" s="458">
        <f>+X41</f>
        <v>54302889.68</v>
      </c>
    </row>
    <row r="42" spans="1:29" s="221" customFormat="1" ht="13" outlineLevel="1" x14ac:dyDescent="0.3">
      <c r="A42" s="1007"/>
      <c r="B42" s="506">
        <v>4.01</v>
      </c>
      <c r="C42" s="555" t="s">
        <v>75</v>
      </c>
      <c r="D42" s="508" t="s">
        <v>302</v>
      </c>
      <c r="E42" s="218" t="s">
        <v>109</v>
      </c>
      <c r="F42" s="556">
        <f>+[2]Mampostería!L3</f>
        <v>819</v>
      </c>
      <c r="G42" s="557"/>
      <c r="H42" s="557">
        <f>+'[2]APU 09.24'!E13</f>
        <v>6545.2009385010006</v>
      </c>
      <c r="I42" s="509">
        <f t="shared" ref="I42:I49" si="37">G42+H42</f>
        <v>6545.2009385010006</v>
      </c>
      <c r="J42" s="558"/>
      <c r="K42" s="557">
        <f>+'[2]APU 09.24'!H13</f>
        <v>8336.4856968762633</v>
      </c>
      <c r="L42" s="509">
        <f t="shared" ref="L42" si="38">J42+K42</f>
        <v>8336.4856968762633</v>
      </c>
      <c r="M42" s="557">
        <f>+'[2]APU 09.24'!K13</f>
        <v>229.16796425864814</v>
      </c>
      <c r="N42" s="509">
        <f>I42+L42+M42</f>
        <v>15110.854599635912</v>
      </c>
      <c r="O42" s="510">
        <f t="shared" ref="O42:O68" si="39">G42*F42</f>
        <v>0</v>
      </c>
      <c r="P42" s="510">
        <f t="shared" ref="P42" si="40">H42*F42</f>
        <v>5360519.5686323196</v>
      </c>
      <c r="Q42" s="510">
        <f t="shared" ref="Q42:Q68" si="41">J42*F42</f>
        <v>0</v>
      </c>
      <c r="R42" s="510">
        <f>K42*F42</f>
        <v>6827581.7857416598</v>
      </c>
      <c r="S42" s="510">
        <f t="shared" ref="S42:S68" si="42">+M42*F42</f>
        <v>187688.56272783282</v>
      </c>
      <c r="T42" s="511">
        <f t="shared" ref="T42:T61" si="43">SUM(O42:S42)</f>
        <v>12375789.917101813</v>
      </c>
      <c r="U42" s="462"/>
      <c r="V42" s="513">
        <f t="shared" ref="V42:V49" si="44">+ROUNDUP(N42*$U$5,0)</f>
        <v>18993</v>
      </c>
      <c r="W42" s="513">
        <f t="shared" ref="W42:W49" si="45">+V42*F42</f>
        <v>15555267</v>
      </c>
      <c r="X42" s="559"/>
      <c r="Y42" s="159"/>
      <c r="Z42" s="560"/>
      <c r="AC42" s="560"/>
    </row>
    <row r="43" spans="1:29" s="221" customFormat="1" ht="13" outlineLevel="1" x14ac:dyDescent="0.3">
      <c r="A43" s="1007"/>
      <c r="B43" s="514">
        <v>4.0199999999999996</v>
      </c>
      <c r="C43" s="525" t="s">
        <v>75</v>
      </c>
      <c r="D43" s="561" t="s">
        <v>303</v>
      </c>
      <c r="E43" s="537" t="s">
        <v>109</v>
      </c>
      <c r="F43" s="538">
        <f>+[2]Mampostería!M3</f>
        <v>612</v>
      </c>
      <c r="G43" s="562"/>
      <c r="H43" s="562">
        <f>+'[2]APU 09.24'!E17</f>
        <v>11461.565498830503</v>
      </c>
      <c r="I43" s="519">
        <f t="shared" si="37"/>
        <v>11461.565498830503</v>
      </c>
      <c r="J43" s="563"/>
      <c r="K43" s="562">
        <f>+'[2]APU 09.24'!H17</f>
        <v>8336.4856968762633</v>
      </c>
      <c r="L43" s="519">
        <f>J43+K43</f>
        <v>8336.4856968762633</v>
      </c>
      <c r="M43" s="562">
        <f>+'[2]APU 09.24'!K17</f>
        <v>229.16796425864814</v>
      </c>
      <c r="N43" s="519">
        <f>I43+L43+M43</f>
        <v>20027.219159965414</v>
      </c>
      <c r="O43" s="520">
        <f>G43*F43</f>
        <v>0</v>
      </c>
      <c r="P43" s="520">
        <f>H43*F43</f>
        <v>7014478.0852842676</v>
      </c>
      <c r="Q43" s="520">
        <f>J43*F43</f>
        <v>0</v>
      </c>
      <c r="R43" s="520">
        <f>K43*F43</f>
        <v>5101929.2464882731</v>
      </c>
      <c r="S43" s="520">
        <f>+M43*F43</f>
        <v>140250.79412629266</v>
      </c>
      <c r="T43" s="521">
        <f>SUM(O43:S43)</f>
        <v>12256658.125898832</v>
      </c>
      <c r="U43" s="462"/>
      <c r="V43" s="564">
        <f>+ROUNDUP(N43*$U$5,0)</f>
        <v>25172</v>
      </c>
      <c r="W43" s="382">
        <f>+V43*F43</f>
        <v>15405264</v>
      </c>
      <c r="X43" s="559"/>
      <c r="Y43" s="159"/>
      <c r="Z43" s="560"/>
      <c r="AC43" s="560"/>
    </row>
    <row r="44" spans="1:29" s="221" customFormat="1" ht="13" outlineLevel="1" x14ac:dyDescent="0.3">
      <c r="A44" s="1007"/>
      <c r="B44" s="514">
        <v>4.03</v>
      </c>
      <c r="C44" s="525" t="s">
        <v>75</v>
      </c>
      <c r="D44" s="516" t="s">
        <v>304</v>
      </c>
      <c r="E44" s="537" t="s">
        <v>109</v>
      </c>
      <c r="F44" s="538">
        <f>+[2]Mampostería!N3</f>
        <v>636</v>
      </c>
      <c r="G44" s="562"/>
      <c r="H44" s="562">
        <f>+'[2]APU 09.24'!E14</f>
        <v>8229.0499349999991</v>
      </c>
      <c r="I44" s="519">
        <f t="shared" si="37"/>
        <v>8229.0499349999991</v>
      </c>
      <c r="J44" s="563"/>
      <c r="K44" s="562">
        <f>+'[2]APU 09.24'!H14</f>
        <v>8336.4856968762633</v>
      </c>
      <c r="L44" s="519">
        <f>J44+K44</f>
        <v>8336.4856968762633</v>
      </c>
      <c r="M44" s="562">
        <f>+'[2]APU 09.24'!K14</f>
        <v>229.16796425864814</v>
      </c>
      <c r="N44" s="519">
        <f>I44+L44+M44</f>
        <v>16794.703596134914</v>
      </c>
      <c r="O44" s="520">
        <f>G44*F44</f>
        <v>0</v>
      </c>
      <c r="P44" s="520">
        <f>H44*F44</f>
        <v>5233675.7586599998</v>
      </c>
      <c r="Q44" s="520">
        <f>J44*F44</f>
        <v>0</v>
      </c>
      <c r="R44" s="520">
        <f>K44*F44</f>
        <v>5302004.9032133035</v>
      </c>
      <c r="S44" s="520">
        <f>+M44*F44</f>
        <v>145750.82526850022</v>
      </c>
      <c r="T44" s="521">
        <f>SUM(O44:S44)</f>
        <v>10681431.487141803</v>
      </c>
      <c r="U44" s="462"/>
      <c r="V44" s="564">
        <f t="shared" si="44"/>
        <v>21109</v>
      </c>
      <c r="W44" s="382">
        <f t="shared" si="45"/>
        <v>13425324</v>
      </c>
      <c r="X44" s="559"/>
      <c r="Y44" s="159"/>
      <c r="Z44" s="560"/>
      <c r="AC44" s="560"/>
    </row>
    <row r="45" spans="1:29" s="221" customFormat="1" ht="13" outlineLevel="1" x14ac:dyDescent="0.3">
      <c r="A45" s="1007"/>
      <c r="B45" s="514">
        <v>4.04</v>
      </c>
      <c r="C45" s="525" t="s">
        <v>75</v>
      </c>
      <c r="D45" s="516" t="s">
        <v>410</v>
      </c>
      <c r="E45" s="537" t="s">
        <v>109</v>
      </c>
      <c r="F45" s="538">
        <f>+[2]Mampostería!P3</f>
        <v>195</v>
      </c>
      <c r="G45" s="563"/>
      <c r="H45" s="565">
        <f>+'[2]APU 09.24'!E12/2</f>
        <v>5807.1589693347496</v>
      </c>
      <c r="I45" s="519">
        <f t="shared" si="37"/>
        <v>5807.1589693347496</v>
      </c>
      <c r="J45" s="562"/>
      <c r="K45" s="565">
        <f>+'[2]APU 09.24'!H12/3</f>
        <v>5954.6326406259022</v>
      </c>
      <c r="L45" s="519">
        <f>J45+K45</f>
        <v>5954.6326406259022</v>
      </c>
      <c r="M45" s="565">
        <f>+'[2]APU 09.24'!K12/2</f>
        <v>245.5371045628373</v>
      </c>
      <c r="N45" s="519">
        <f t="shared" ref="N45:N49" si="46">I45+L45+M45</f>
        <v>12007.32871452349</v>
      </c>
      <c r="O45" s="520">
        <f t="shared" ref="O45:O49" si="47">G45*F45</f>
        <v>0</v>
      </c>
      <c r="P45" s="520">
        <f t="shared" ref="P45:P49" si="48">H45*F45</f>
        <v>1132395.9990202761</v>
      </c>
      <c r="Q45" s="520">
        <f t="shared" ref="Q45:Q49" si="49">J45*F45</f>
        <v>0</v>
      </c>
      <c r="R45" s="520">
        <f t="shared" ref="R45:R49" si="50">K45*F45</f>
        <v>1161153.3649220509</v>
      </c>
      <c r="S45" s="520">
        <f t="shared" ref="S45:S49" si="51">+M45*F45</f>
        <v>47879.735389753274</v>
      </c>
      <c r="T45" s="521">
        <f t="shared" ref="T45:T49" si="52">SUM(O45:S45)</f>
        <v>2341429.0993320802</v>
      </c>
      <c r="U45" s="462"/>
      <c r="V45" s="564">
        <f t="shared" si="44"/>
        <v>15092</v>
      </c>
      <c r="W45" s="382">
        <f t="shared" si="45"/>
        <v>2942940</v>
      </c>
      <c r="X45" s="559"/>
      <c r="Y45" s="159"/>
      <c r="Z45" s="560"/>
      <c r="AC45" s="560"/>
    </row>
    <row r="46" spans="1:29" s="221" customFormat="1" ht="13" outlineLevel="1" x14ac:dyDescent="0.3">
      <c r="A46" s="1007"/>
      <c r="B46" s="514">
        <v>4.05</v>
      </c>
      <c r="C46" s="525" t="s">
        <v>79</v>
      </c>
      <c r="D46" s="516" t="s">
        <v>305</v>
      </c>
      <c r="E46" s="537" t="s">
        <v>109</v>
      </c>
      <c r="F46" s="538">
        <f>+[2]Computo!H185</f>
        <v>30.053999999999998</v>
      </c>
      <c r="G46" s="565">
        <f>+H46*0.5</f>
        <v>5807.1589693347496</v>
      </c>
      <c r="H46" s="562">
        <f>+'[2]APU 09.24'!E12</f>
        <v>11614.317938669499</v>
      </c>
      <c r="I46" s="519">
        <f t="shared" si="37"/>
        <v>17421.47690800425</v>
      </c>
      <c r="J46" s="565">
        <f>+K46</f>
        <v>17863.897921877706</v>
      </c>
      <c r="K46" s="562">
        <f>+'[2]APU 09.24'!H12</f>
        <v>17863.897921877706</v>
      </c>
      <c r="L46" s="519">
        <f>J46+K46</f>
        <v>35727.795843755412</v>
      </c>
      <c r="M46" s="562">
        <f>+'[2]APU 09.24'!K12</f>
        <v>491.0742091256746</v>
      </c>
      <c r="N46" s="519">
        <f t="shared" si="46"/>
        <v>53640.346960885341</v>
      </c>
      <c r="O46" s="520">
        <f t="shared" si="47"/>
        <v>174528.35566438656</v>
      </c>
      <c r="P46" s="520">
        <f t="shared" si="48"/>
        <v>349056.71132877312</v>
      </c>
      <c r="Q46" s="520">
        <f t="shared" si="49"/>
        <v>536881.58814411249</v>
      </c>
      <c r="R46" s="520">
        <f t="shared" si="50"/>
        <v>536881.58814411249</v>
      </c>
      <c r="S46" s="520">
        <f t="shared" si="51"/>
        <v>14758.744281063024</v>
      </c>
      <c r="T46" s="521">
        <f t="shared" si="52"/>
        <v>1612106.9875624476</v>
      </c>
      <c r="U46" s="462"/>
      <c r="V46" s="564">
        <f t="shared" si="44"/>
        <v>67420</v>
      </c>
      <c r="W46" s="382">
        <f t="shared" si="45"/>
        <v>2026240.68</v>
      </c>
      <c r="X46" s="559"/>
      <c r="Y46" s="159"/>
      <c r="Z46" s="560"/>
      <c r="AC46" s="560"/>
    </row>
    <row r="47" spans="1:29" s="221" customFormat="1" ht="13" outlineLevel="1" x14ac:dyDescent="0.3">
      <c r="A47" s="1007"/>
      <c r="B47" s="514">
        <v>4.0599999999999996</v>
      </c>
      <c r="C47" s="525" t="s">
        <v>79</v>
      </c>
      <c r="D47" s="516" t="s">
        <v>306</v>
      </c>
      <c r="E47" s="537" t="s">
        <v>109</v>
      </c>
      <c r="F47" s="538">
        <f>+[2]Mampostería!O3</f>
        <v>24</v>
      </c>
      <c r="G47" s="565">
        <f>+H47</f>
        <v>14352.049965449041</v>
      </c>
      <c r="H47" s="562">
        <f>+'[2]APU 09.24'!E62</f>
        <v>14352.049965449041</v>
      </c>
      <c r="I47" s="519">
        <f t="shared" si="37"/>
        <v>28704.099930898083</v>
      </c>
      <c r="J47" s="565">
        <f>+K47*0.5</f>
        <v>4894.0750498478674</v>
      </c>
      <c r="K47" s="562">
        <f>+'[2]APU 09.24'!H62</f>
        <v>9788.1500996957348</v>
      </c>
      <c r="L47" s="519">
        <f>J47+K47</f>
        <v>14682.225149543603</v>
      </c>
      <c r="M47" s="562">
        <f>+'[2]APU 09.24'!K62</f>
        <v>298.91473598954104</v>
      </c>
      <c r="N47" s="519">
        <f t="shared" si="46"/>
        <v>43685.239816431233</v>
      </c>
      <c r="O47" s="520">
        <f t="shared" si="47"/>
        <v>344449.19917077699</v>
      </c>
      <c r="P47" s="520">
        <f t="shared" si="48"/>
        <v>344449.19917077699</v>
      </c>
      <c r="Q47" s="520">
        <f t="shared" si="49"/>
        <v>117457.80119634882</v>
      </c>
      <c r="R47" s="520">
        <f t="shared" si="50"/>
        <v>234915.60239269765</v>
      </c>
      <c r="S47" s="520">
        <f t="shared" si="51"/>
        <v>7173.9536637489855</v>
      </c>
      <c r="T47" s="521">
        <f t="shared" si="52"/>
        <v>1048445.7555943496</v>
      </c>
      <c r="U47" s="462"/>
      <c r="V47" s="564">
        <f t="shared" si="44"/>
        <v>54908</v>
      </c>
      <c r="W47" s="382">
        <f t="shared" si="45"/>
        <v>1317792</v>
      </c>
      <c r="X47" s="559"/>
      <c r="Y47" s="159"/>
      <c r="Z47" s="560"/>
      <c r="AC47" s="560"/>
    </row>
    <row r="48" spans="1:29" s="221" customFormat="1" ht="13" outlineLevel="1" x14ac:dyDescent="0.3">
      <c r="A48" s="1007"/>
      <c r="B48" s="514">
        <v>4.07</v>
      </c>
      <c r="C48" s="525" t="s">
        <v>79</v>
      </c>
      <c r="D48" s="516" t="s">
        <v>307</v>
      </c>
      <c r="E48" s="537" t="s">
        <v>124</v>
      </c>
      <c r="F48" s="538">
        <f>9*9</f>
        <v>81</v>
      </c>
      <c r="G48" s="518">
        <f>+[2]Tareas!H75</f>
        <v>17364.127814814812</v>
      </c>
      <c r="H48" s="518">
        <f>+[2]Tareas!I75</f>
        <v>0</v>
      </c>
      <c r="I48" s="519">
        <f t="shared" si="37"/>
        <v>17364.127814814812</v>
      </c>
      <c r="J48" s="518">
        <f>+[2]Tareas!Q75</f>
        <v>0</v>
      </c>
      <c r="K48" s="518">
        <f>+[2]Tareas!R75</f>
        <v>6926.4989701940704</v>
      </c>
      <c r="L48" s="519">
        <f t="shared" ref="L48:L49" si="53">J48+K48</f>
        <v>6926.4989701940704</v>
      </c>
      <c r="M48" s="518">
        <f>+(I48+L48)*0.015</f>
        <v>364.35940177513328</v>
      </c>
      <c r="N48" s="519">
        <f t="shared" si="46"/>
        <v>24654.986186784019</v>
      </c>
      <c r="O48" s="520">
        <f t="shared" si="47"/>
        <v>1406494.3529999999</v>
      </c>
      <c r="P48" s="520">
        <f t="shared" si="48"/>
        <v>0</v>
      </c>
      <c r="Q48" s="520">
        <f t="shared" si="49"/>
        <v>0</v>
      </c>
      <c r="R48" s="520">
        <f t="shared" si="50"/>
        <v>561046.41658571968</v>
      </c>
      <c r="S48" s="520">
        <f t="shared" si="51"/>
        <v>29513.111543785795</v>
      </c>
      <c r="T48" s="521">
        <f t="shared" si="52"/>
        <v>1997053.8811295053</v>
      </c>
      <c r="U48" s="462"/>
      <c r="V48" s="564">
        <f t="shared" si="44"/>
        <v>30989</v>
      </c>
      <c r="W48" s="382">
        <f t="shared" si="45"/>
        <v>2510109</v>
      </c>
      <c r="X48" s="559"/>
      <c r="Y48" s="159"/>
      <c r="Z48" s="560"/>
      <c r="AC48" s="560"/>
    </row>
    <row r="49" spans="1:29" s="221" customFormat="1" ht="13" outlineLevel="1" x14ac:dyDescent="0.3">
      <c r="A49" s="1007"/>
      <c r="B49" s="514">
        <v>4.08</v>
      </c>
      <c r="C49" s="525" t="s">
        <v>79</v>
      </c>
      <c r="D49" s="516" t="s">
        <v>308</v>
      </c>
      <c r="E49" s="537" t="s">
        <v>107</v>
      </c>
      <c r="F49" s="538">
        <v>1</v>
      </c>
      <c r="G49" s="518">
        <f>+[2]Tareas!H81</f>
        <v>451217.9481498308</v>
      </c>
      <c r="H49" s="518">
        <f>+[2]Tareas!I81</f>
        <v>0</v>
      </c>
      <c r="I49" s="519">
        <f t="shared" si="37"/>
        <v>451217.9481498308</v>
      </c>
      <c r="J49" s="518">
        <f>+[2]Tareas!Q81</f>
        <v>0</v>
      </c>
      <c r="K49" s="518">
        <f>+[2]Tareas!R81</f>
        <v>426669.71598600381</v>
      </c>
      <c r="L49" s="519">
        <f t="shared" si="53"/>
        <v>426669.71598600381</v>
      </c>
      <c r="M49" s="533">
        <f>+(I49+L49)*0.015</f>
        <v>13168.314962037519</v>
      </c>
      <c r="N49" s="519">
        <f t="shared" si="46"/>
        <v>891055.97909787216</v>
      </c>
      <c r="O49" s="520">
        <f t="shared" si="47"/>
        <v>451217.9481498308</v>
      </c>
      <c r="P49" s="520">
        <f t="shared" si="48"/>
        <v>0</v>
      </c>
      <c r="Q49" s="520">
        <f t="shared" si="49"/>
        <v>0</v>
      </c>
      <c r="R49" s="520">
        <f t="shared" si="50"/>
        <v>426669.71598600381</v>
      </c>
      <c r="S49" s="520">
        <f t="shared" si="51"/>
        <v>13168.314962037519</v>
      </c>
      <c r="T49" s="521">
        <f t="shared" si="52"/>
        <v>891055.97909787216</v>
      </c>
      <c r="U49" s="462"/>
      <c r="V49" s="564">
        <f t="shared" si="44"/>
        <v>1119953</v>
      </c>
      <c r="W49" s="382">
        <f t="shared" si="45"/>
        <v>1119953</v>
      </c>
      <c r="X49" s="559"/>
      <c r="Y49" s="159"/>
      <c r="Z49" s="560"/>
      <c r="AC49" s="560"/>
    </row>
    <row r="50" spans="1:29" ht="13" x14ac:dyDescent="0.3">
      <c r="A50" s="1005"/>
      <c r="B50" s="500">
        <v>5</v>
      </c>
      <c r="C50" s="501"/>
      <c r="D50" s="380" t="s">
        <v>121</v>
      </c>
      <c r="E50" s="213"/>
      <c r="F50" s="502"/>
      <c r="G50" s="502"/>
      <c r="H50" s="502"/>
      <c r="I50" s="502"/>
      <c r="J50" s="502"/>
      <c r="K50" s="502"/>
      <c r="L50" s="502"/>
      <c r="M50" s="502"/>
      <c r="N50" s="502"/>
      <c r="O50" s="502"/>
      <c r="P50" s="502"/>
      <c r="Q50" s="502"/>
      <c r="R50" s="502"/>
      <c r="S50" s="502"/>
      <c r="T50" s="502"/>
      <c r="U50" s="504">
        <f>SUM(T51:T57)</f>
        <v>28614596.531481914</v>
      </c>
      <c r="V50" s="502"/>
      <c r="W50" s="502"/>
      <c r="X50" s="505">
        <f>SUM(W51:W57)</f>
        <v>35966419</v>
      </c>
      <c r="Y50" s="159">
        <f>+X50/$X$216</f>
        <v>3.1902014381428284E-2</v>
      </c>
      <c r="Z50" s="458">
        <f>+X50</f>
        <v>35966419</v>
      </c>
    </row>
    <row r="51" spans="1:29" s="221" customFormat="1" ht="13" outlineLevel="1" x14ac:dyDescent="0.3">
      <c r="A51" s="1007"/>
      <c r="B51" s="514">
        <v>5.01</v>
      </c>
      <c r="C51" s="525" t="s">
        <v>75</v>
      </c>
      <c r="D51" s="516" t="s">
        <v>411</v>
      </c>
      <c r="E51" s="537" t="s">
        <v>109</v>
      </c>
      <c r="F51" s="538">
        <f>+[2]Locales!AA147</f>
        <v>139.05000000000001</v>
      </c>
      <c r="G51" s="518"/>
      <c r="H51" s="562">
        <f>+'[2]APU 09.24'!E50</f>
        <v>9809.5604040679573</v>
      </c>
      <c r="I51" s="519">
        <f>G51+H51</f>
        <v>9809.5604040679573</v>
      </c>
      <c r="J51" s="565">
        <f>+K51*0.5</f>
        <v>2500.9457090628789</v>
      </c>
      <c r="K51" s="562">
        <f>+'[2]APU 09.24'!H50</f>
        <v>5001.8914181257578</v>
      </c>
      <c r="L51" s="519">
        <f t="shared" ref="L51:L57" si="54">J51+K51</f>
        <v>7502.8371271886372</v>
      </c>
      <c r="M51" s="562">
        <f>+'[2]APU 09.24'!K50</f>
        <v>31.337344543287259</v>
      </c>
      <c r="N51" s="519">
        <f>I51+L51+M51</f>
        <v>17343.734875799884</v>
      </c>
      <c r="O51" s="520">
        <f t="shared" si="39"/>
        <v>0</v>
      </c>
      <c r="P51" s="520">
        <f>H51*F51</f>
        <v>1364019.3741856497</v>
      </c>
      <c r="Q51" s="520">
        <f t="shared" si="41"/>
        <v>347756.50084519334</v>
      </c>
      <c r="R51" s="520">
        <f t="shared" ref="R51:R68" si="55">K51*F51</f>
        <v>695513.00169038668</v>
      </c>
      <c r="S51" s="520">
        <f t="shared" si="42"/>
        <v>4357.4577587440936</v>
      </c>
      <c r="T51" s="521">
        <f t="shared" si="43"/>
        <v>2411646.3344799741</v>
      </c>
      <c r="U51" s="522"/>
      <c r="V51" s="566">
        <f>+ROUNDUP(N51*$U$5,0)</f>
        <v>21800</v>
      </c>
      <c r="W51" s="564">
        <f t="shared" ref="W51:W57" si="56">+V51*F51</f>
        <v>3031290.0000000005</v>
      </c>
      <c r="X51" s="559"/>
      <c r="Y51" s="159"/>
      <c r="Z51" s="560"/>
      <c r="AC51" s="560"/>
    </row>
    <row r="52" spans="1:29" s="221" customFormat="1" ht="13" outlineLevel="1" x14ac:dyDescent="0.3">
      <c r="A52" s="1007"/>
      <c r="B52" s="514">
        <v>5.0199999999999996</v>
      </c>
      <c r="C52" s="525" t="s">
        <v>75</v>
      </c>
      <c r="D52" s="516" t="s">
        <v>412</v>
      </c>
      <c r="E52" s="537" t="s">
        <v>109</v>
      </c>
      <c r="F52" s="538">
        <v>300</v>
      </c>
      <c r="G52" s="563"/>
      <c r="H52" s="562">
        <f>+'[2]APU 09.24'!E21</f>
        <v>758.10738300000003</v>
      </c>
      <c r="I52" s="519">
        <f>G52+H52</f>
        <v>758.10738300000003</v>
      </c>
      <c r="J52" s="563"/>
      <c r="K52" s="562">
        <f>+'[2]APU 09.24'!H21</f>
        <v>3395.9551113285988</v>
      </c>
      <c r="L52" s="519">
        <f t="shared" si="54"/>
        <v>3395.9551113285988</v>
      </c>
      <c r="M52" s="562">
        <f>+'[2]APU 09.24'!K21</f>
        <v>122.76855228141865</v>
      </c>
      <c r="N52" s="519">
        <f>I52+L52+M52</f>
        <v>4276.8310466100174</v>
      </c>
      <c r="O52" s="520">
        <f>G52*F52</f>
        <v>0</v>
      </c>
      <c r="P52" s="520">
        <f>H52*F52</f>
        <v>227432.21490000002</v>
      </c>
      <c r="Q52" s="520">
        <f>J52*F52</f>
        <v>0</v>
      </c>
      <c r="R52" s="520">
        <f>K52*F52</f>
        <v>1018786.5333985797</v>
      </c>
      <c r="S52" s="520">
        <f>+M52*F52</f>
        <v>36830.565684425594</v>
      </c>
      <c r="T52" s="521">
        <f>SUM(O52:S52)</f>
        <v>1283049.3139830055</v>
      </c>
      <c r="U52" s="522"/>
      <c r="V52" s="566">
        <f t="shared" ref="V52:V57" si="57">+ROUNDUP(N52*$U$5,0)</f>
        <v>5376</v>
      </c>
      <c r="W52" s="382">
        <f t="shared" si="56"/>
        <v>1612800</v>
      </c>
      <c r="X52" s="559"/>
      <c r="Y52" s="159"/>
      <c r="Z52" s="560"/>
      <c r="AC52" s="560"/>
    </row>
    <row r="53" spans="1:29" s="221" customFormat="1" ht="13" outlineLevel="1" x14ac:dyDescent="0.3">
      <c r="A53" s="1007"/>
      <c r="B53" s="514">
        <v>5.03</v>
      </c>
      <c r="C53" s="525" t="s">
        <v>75</v>
      </c>
      <c r="D53" s="516" t="s">
        <v>413</v>
      </c>
      <c r="E53" s="537" t="s">
        <v>109</v>
      </c>
      <c r="F53" s="538">
        <f>+[2]Locales!AB144</f>
        <v>48</v>
      </c>
      <c r="G53" s="563"/>
      <c r="H53" s="562">
        <f>+'[2]APU 09.24'!E21</f>
        <v>758.10738300000003</v>
      </c>
      <c r="I53" s="519">
        <f>G53+H53</f>
        <v>758.10738300000003</v>
      </c>
      <c r="J53" s="563"/>
      <c r="K53" s="562">
        <f>+'[2]APU 09.24'!H21</f>
        <v>3395.9551113285988</v>
      </c>
      <c r="L53" s="519">
        <f t="shared" si="54"/>
        <v>3395.9551113285988</v>
      </c>
      <c r="M53" s="562">
        <f>+'[2]APU 09.24'!K21</f>
        <v>122.76855228141865</v>
      </c>
      <c r="N53" s="519">
        <f>I53+L53+M53</f>
        <v>4276.8310466100174</v>
      </c>
      <c r="O53" s="520">
        <f>G53*F53</f>
        <v>0</v>
      </c>
      <c r="P53" s="520">
        <f>H53*F53</f>
        <v>36389.154384000001</v>
      </c>
      <c r="Q53" s="520">
        <f>J53*F53</f>
        <v>0</v>
      </c>
      <c r="R53" s="520">
        <f>K53*F53</f>
        <v>163005.84534377273</v>
      </c>
      <c r="S53" s="520">
        <f>+M53*F53</f>
        <v>5892.8905095080954</v>
      </c>
      <c r="T53" s="521">
        <f>SUM(O53:S53)</f>
        <v>205287.89023728081</v>
      </c>
      <c r="U53" s="522"/>
      <c r="V53" s="566">
        <f t="shared" si="57"/>
        <v>5376</v>
      </c>
      <c r="W53" s="382">
        <f t="shared" si="56"/>
        <v>258048</v>
      </c>
      <c r="X53" s="559"/>
      <c r="Y53" s="159"/>
      <c r="Z53" s="560"/>
      <c r="AC53" s="560"/>
    </row>
    <row r="54" spans="1:29" s="221" customFormat="1" ht="13" outlineLevel="1" x14ac:dyDescent="0.3">
      <c r="A54" s="1007"/>
      <c r="B54" s="514">
        <v>5.04</v>
      </c>
      <c r="C54" s="525" t="s">
        <v>75</v>
      </c>
      <c r="D54" s="516" t="s">
        <v>309</v>
      </c>
      <c r="E54" s="537" t="s">
        <v>109</v>
      </c>
      <c r="F54" s="538">
        <f>+[2]Locales!AC144</f>
        <v>262</v>
      </c>
      <c r="G54" s="563"/>
      <c r="H54" s="524">
        <f>+[2]Cotizaciones!D49</f>
        <v>3502.8</v>
      </c>
      <c r="I54" s="519">
        <f t="shared" ref="I54:I56" si="58">G54+H54</f>
        <v>3502.8</v>
      </c>
      <c r="J54" s="563"/>
      <c r="K54" s="563"/>
      <c r="L54" s="519">
        <f t="shared" si="54"/>
        <v>0</v>
      </c>
      <c r="M54" s="563"/>
      <c r="N54" s="519">
        <f t="shared" ref="N54:N56" si="59">I54+L54+M54</f>
        <v>3502.8</v>
      </c>
      <c r="O54" s="520">
        <f t="shared" ref="O54:O56" si="60">G54*F54</f>
        <v>0</v>
      </c>
      <c r="P54" s="520">
        <f t="shared" ref="P54:P57" si="61">H54*F54</f>
        <v>917733.60000000009</v>
      </c>
      <c r="Q54" s="520">
        <f t="shared" ref="Q54:Q57" si="62">J54*F54</f>
        <v>0</v>
      </c>
      <c r="R54" s="520">
        <f t="shared" ref="R54:R57" si="63">K54*F54</f>
        <v>0</v>
      </c>
      <c r="S54" s="520">
        <f t="shared" ref="S54:S57" si="64">+M54*F54</f>
        <v>0</v>
      </c>
      <c r="T54" s="521">
        <f t="shared" ref="T54:T56" si="65">SUM(O54:S54)</f>
        <v>917733.60000000009</v>
      </c>
      <c r="U54" s="522"/>
      <c r="V54" s="566">
        <f t="shared" si="57"/>
        <v>4403</v>
      </c>
      <c r="W54" s="382">
        <f t="shared" si="56"/>
        <v>1153586</v>
      </c>
      <c r="X54" s="559"/>
      <c r="Y54" s="159"/>
      <c r="Z54" s="560"/>
      <c r="AC54" s="560"/>
    </row>
    <row r="55" spans="1:29" s="221" customFormat="1" ht="13" outlineLevel="1" x14ac:dyDescent="0.3">
      <c r="A55" s="1007"/>
      <c r="B55" s="514">
        <v>5.05</v>
      </c>
      <c r="C55" s="525" t="s">
        <v>75</v>
      </c>
      <c r="D55" s="516" t="s">
        <v>199</v>
      </c>
      <c r="E55" s="537" t="s">
        <v>109</v>
      </c>
      <c r="F55" s="538">
        <f>+[2]Locales!AD147</f>
        <v>510</v>
      </c>
      <c r="G55" s="563"/>
      <c r="H55" s="562">
        <f>+'[2]APU 09.24'!E56</f>
        <v>1273.3407295555555</v>
      </c>
      <c r="I55" s="519">
        <f t="shared" si="58"/>
        <v>1273.3407295555555</v>
      </c>
      <c r="J55" s="563"/>
      <c r="K55" s="562">
        <f>+'[2]APU 09.24'!H56</f>
        <v>1563.0910681642993</v>
      </c>
      <c r="L55" s="519">
        <f t="shared" si="54"/>
        <v>1563.0910681642993</v>
      </c>
      <c r="M55" s="562">
        <f>+'[2]APU 09.24'!K56</f>
        <v>9.7929201697772683</v>
      </c>
      <c r="N55" s="519">
        <f t="shared" si="59"/>
        <v>2846.2247178896318</v>
      </c>
      <c r="O55" s="520">
        <f t="shared" si="60"/>
        <v>0</v>
      </c>
      <c r="P55" s="520">
        <f t="shared" si="61"/>
        <v>649403.77207333327</v>
      </c>
      <c r="Q55" s="520">
        <f t="shared" si="62"/>
        <v>0</v>
      </c>
      <c r="R55" s="520">
        <f t="shared" si="63"/>
        <v>797176.44476379268</v>
      </c>
      <c r="S55" s="520">
        <f t="shared" si="64"/>
        <v>4994.3892865864073</v>
      </c>
      <c r="T55" s="521">
        <f t="shared" si="65"/>
        <v>1451574.6061237121</v>
      </c>
      <c r="U55" s="522"/>
      <c r="V55" s="566">
        <f t="shared" si="57"/>
        <v>3578</v>
      </c>
      <c r="W55" s="382">
        <f t="shared" si="56"/>
        <v>1824780</v>
      </c>
      <c r="X55" s="559"/>
      <c r="Y55" s="159"/>
      <c r="Z55" s="560"/>
      <c r="AC55" s="560"/>
    </row>
    <row r="56" spans="1:29" s="569" customFormat="1" ht="13" outlineLevel="1" x14ac:dyDescent="0.3">
      <c r="A56" s="1008"/>
      <c r="B56" s="514">
        <v>5.0599999999999996</v>
      </c>
      <c r="C56" s="525" t="s">
        <v>75</v>
      </c>
      <c r="D56" s="516" t="s">
        <v>414</v>
      </c>
      <c r="E56" s="567" t="s">
        <v>109</v>
      </c>
      <c r="F56" s="538">
        <f>+[2]Locales!AD147</f>
        <v>510</v>
      </c>
      <c r="G56" s="518"/>
      <c r="H56" s="562">
        <f>+'[2]APU 09.24'!E50</f>
        <v>9809.5604040679573</v>
      </c>
      <c r="I56" s="519">
        <f t="shared" si="58"/>
        <v>9809.5604040679573</v>
      </c>
      <c r="J56" s="565">
        <f>+K56*0.5</f>
        <v>2500.9457090628789</v>
      </c>
      <c r="K56" s="562">
        <f>+'[2]APU 09.24'!H50</f>
        <v>5001.8914181257578</v>
      </c>
      <c r="L56" s="519">
        <f t="shared" si="54"/>
        <v>7502.8371271886372</v>
      </c>
      <c r="M56" s="562">
        <f>+'[2]APU 09.24'!K50</f>
        <v>31.337344543287259</v>
      </c>
      <c r="N56" s="519">
        <f t="shared" si="59"/>
        <v>17343.734875799884</v>
      </c>
      <c r="O56" s="520">
        <f t="shared" si="60"/>
        <v>0</v>
      </c>
      <c r="P56" s="520">
        <f t="shared" si="61"/>
        <v>5002875.8060746584</v>
      </c>
      <c r="Q56" s="520">
        <f t="shared" si="62"/>
        <v>1275482.3116220683</v>
      </c>
      <c r="R56" s="520">
        <f t="shared" si="63"/>
        <v>2550964.6232441366</v>
      </c>
      <c r="S56" s="520">
        <f t="shared" si="64"/>
        <v>15982.045717076502</v>
      </c>
      <c r="T56" s="521">
        <f t="shared" si="65"/>
        <v>8845304.7866579406</v>
      </c>
      <c r="U56" s="522"/>
      <c r="V56" s="566">
        <f t="shared" si="57"/>
        <v>21800</v>
      </c>
      <c r="W56" s="382">
        <f t="shared" si="56"/>
        <v>11118000</v>
      </c>
      <c r="X56" s="568"/>
      <c r="Y56" s="159"/>
      <c r="Z56" s="461"/>
      <c r="AC56" s="461"/>
    </row>
    <row r="57" spans="1:29" s="569" customFormat="1" ht="13" outlineLevel="1" x14ac:dyDescent="0.3">
      <c r="A57" s="1008"/>
      <c r="B57" s="514">
        <v>5.07</v>
      </c>
      <c r="C57" s="525" t="s">
        <v>75</v>
      </c>
      <c r="D57" s="516" t="s">
        <v>310</v>
      </c>
      <c r="E57" s="567" t="s">
        <v>107</v>
      </c>
      <c r="F57" s="538">
        <v>1</v>
      </c>
      <c r="G57" s="570"/>
      <c r="H57" s="570"/>
      <c r="I57" s="519">
        <f>G57+H57</f>
        <v>0</v>
      </c>
      <c r="J57" s="571">
        <v>13500000</v>
      </c>
      <c r="K57" s="570"/>
      <c r="L57" s="519">
        <f t="shared" si="54"/>
        <v>13500000</v>
      </c>
      <c r="M57" s="572"/>
      <c r="N57" s="519">
        <f>I57+L57+M57</f>
        <v>13500000</v>
      </c>
      <c r="O57" s="520">
        <f>G57*F57</f>
        <v>0</v>
      </c>
      <c r="P57" s="520">
        <f t="shared" si="61"/>
        <v>0</v>
      </c>
      <c r="Q57" s="520">
        <f t="shared" si="62"/>
        <v>13500000</v>
      </c>
      <c r="R57" s="520">
        <f t="shared" si="63"/>
        <v>0</v>
      </c>
      <c r="S57" s="520">
        <f t="shared" si="64"/>
        <v>0</v>
      </c>
      <c r="T57" s="521">
        <f>SUM(O57:S57)</f>
        <v>13500000</v>
      </c>
      <c r="U57" s="522"/>
      <c r="V57" s="566">
        <f t="shared" si="57"/>
        <v>16967915</v>
      </c>
      <c r="W57" s="382">
        <f t="shared" si="56"/>
        <v>16967915</v>
      </c>
      <c r="X57" s="462"/>
      <c r="Y57" s="159"/>
      <c r="Z57" s="461"/>
      <c r="AC57" s="461"/>
    </row>
    <row r="58" spans="1:29" ht="13" x14ac:dyDescent="0.3">
      <c r="A58" s="1005"/>
      <c r="B58" s="500">
        <v>6</v>
      </c>
      <c r="C58" s="501"/>
      <c r="D58" s="380" t="s">
        <v>200</v>
      </c>
      <c r="E58" s="213"/>
      <c r="F58" s="502"/>
      <c r="G58" s="502"/>
      <c r="H58" s="502"/>
      <c r="I58" s="502"/>
      <c r="J58" s="502"/>
      <c r="K58" s="502"/>
      <c r="L58" s="502"/>
      <c r="M58" s="502"/>
      <c r="N58" s="503"/>
      <c r="O58" s="502"/>
      <c r="P58" s="502"/>
      <c r="Q58" s="502"/>
      <c r="R58" s="502"/>
      <c r="S58" s="502"/>
      <c r="T58" s="502"/>
      <c r="U58" s="504">
        <f>SUM(T59:T59)</f>
        <v>1936418.4263133551</v>
      </c>
      <c r="V58" s="502"/>
      <c r="W58" s="502"/>
      <c r="X58" s="505">
        <f>SUM(W59:W59)</f>
        <v>2433900</v>
      </c>
      <c r="Y58" s="159">
        <f>+X58/$X$216</f>
        <v>2.1588558150022748E-3</v>
      </c>
      <c r="Z58" s="458">
        <f>+X58</f>
        <v>2433900</v>
      </c>
    </row>
    <row r="59" spans="1:29" s="569" customFormat="1" ht="13" outlineLevel="1" x14ac:dyDescent="0.3">
      <c r="A59" s="1008"/>
      <c r="B59" s="525">
        <v>6.02</v>
      </c>
      <c r="C59" s="525" t="s">
        <v>75</v>
      </c>
      <c r="D59" s="528" t="s">
        <v>201</v>
      </c>
      <c r="E59" s="573" t="s">
        <v>124</v>
      </c>
      <c r="F59" s="529">
        <v>60</v>
      </c>
      <c r="G59" s="530">
        <f>+[2]Tareas!H95</f>
        <v>13939.39393939394</v>
      </c>
      <c r="H59" s="530">
        <f>+[2]Tareas!I95</f>
        <v>0</v>
      </c>
      <c r="I59" s="531">
        <f>G59+H59</f>
        <v>13939.39393939394</v>
      </c>
      <c r="J59" s="530">
        <f>+[2]Tareas!Q95</f>
        <v>0</v>
      </c>
      <c r="K59" s="530">
        <f>+[2]Tareas!R95</f>
        <v>4329.9039997714654</v>
      </c>
      <c r="L59" s="531">
        <f t="shared" ref="L59" si="66">J59+K59</f>
        <v>4329.9039997714654</v>
      </c>
      <c r="M59" s="574">
        <f>+I59+L59*(0.015)</f>
        <v>14004.342499390512</v>
      </c>
      <c r="N59" s="531">
        <f t="shared" ref="N59" si="67">I59+L59+M59</f>
        <v>32273.640438555914</v>
      </c>
      <c r="O59" s="534">
        <f>G59*F59</f>
        <v>836363.63636363635</v>
      </c>
      <c r="P59" s="534">
        <f>H59*F59</f>
        <v>0</v>
      </c>
      <c r="Q59" s="534">
        <f>J59*F59</f>
        <v>0</v>
      </c>
      <c r="R59" s="534">
        <f>K59*F59</f>
        <v>259794.23998628792</v>
      </c>
      <c r="S59" s="534">
        <f>+M59*F59</f>
        <v>840260.54996343073</v>
      </c>
      <c r="T59" s="535">
        <f>SUM(O59:S59)</f>
        <v>1936418.4263133551</v>
      </c>
      <c r="U59" s="522"/>
      <c r="V59" s="382">
        <f>+ROUNDUP(N59*$U$5,0)</f>
        <v>40565</v>
      </c>
      <c r="W59" s="382">
        <f>+V59*F59</f>
        <v>2433900</v>
      </c>
      <c r="X59" s="568"/>
      <c r="Y59" s="159"/>
      <c r="Z59" s="461"/>
      <c r="AC59" s="461"/>
    </row>
    <row r="60" spans="1:29" ht="13" x14ac:dyDescent="0.3">
      <c r="A60" s="1005"/>
      <c r="B60" s="500">
        <v>7</v>
      </c>
      <c r="C60" s="501"/>
      <c r="D60" s="380" t="s">
        <v>122</v>
      </c>
      <c r="E60" s="213"/>
      <c r="F60" s="502"/>
      <c r="G60" s="502"/>
      <c r="H60" s="502"/>
      <c r="I60" s="502"/>
      <c r="J60" s="502"/>
      <c r="K60" s="502"/>
      <c r="L60" s="502"/>
      <c r="M60" s="502"/>
      <c r="N60" s="503"/>
      <c r="O60" s="502"/>
      <c r="P60" s="502"/>
      <c r="Q60" s="502"/>
      <c r="R60" s="502"/>
      <c r="S60" s="502"/>
      <c r="T60" s="502"/>
      <c r="U60" s="504">
        <f>SUM(T61:T68)</f>
        <v>108511185.97251408</v>
      </c>
      <c r="V60" s="502"/>
      <c r="W60" s="502"/>
      <c r="X60" s="505">
        <f>SUM(W61:W68)</f>
        <v>136390555.29860002</v>
      </c>
      <c r="Y60" s="159">
        <f>+X60/$X$216</f>
        <v>0.12097766687940012</v>
      </c>
      <c r="Z60" s="458">
        <f>+X60</f>
        <v>136390555.29860002</v>
      </c>
    </row>
    <row r="61" spans="1:29" s="221" customFormat="1" ht="13" outlineLevel="1" x14ac:dyDescent="0.3">
      <c r="A61" s="1007"/>
      <c r="B61" s="506">
        <v>7.01</v>
      </c>
      <c r="C61" s="555" t="s">
        <v>83</v>
      </c>
      <c r="D61" s="575" t="s">
        <v>311</v>
      </c>
      <c r="E61" s="218" t="s">
        <v>109</v>
      </c>
      <c r="F61" s="556">
        <f>+[2]Computo!J260</f>
        <v>678.25199999999995</v>
      </c>
      <c r="G61" s="557"/>
      <c r="H61" s="557">
        <f>+'[2]APU 09.24'!E23</f>
        <v>3747.8693230000003</v>
      </c>
      <c r="I61" s="509">
        <f>G61+H61</f>
        <v>3747.8693230000003</v>
      </c>
      <c r="J61" s="163"/>
      <c r="K61" s="557">
        <f>+'[2]APU 09.24'!H23</f>
        <v>9136.8339619578401</v>
      </c>
      <c r="L61" s="509">
        <f>J61+K61</f>
        <v>9136.8339619578401</v>
      </c>
      <c r="M61" s="557">
        <f>+'[2]APU 09.24'!K23</f>
        <v>298.91473598954104</v>
      </c>
      <c r="N61" s="509">
        <f>I61+L61+M61</f>
        <v>13183.618020947382</v>
      </c>
      <c r="O61" s="510">
        <f t="shared" si="39"/>
        <v>0</v>
      </c>
      <c r="P61" s="510">
        <f>H61*F61</f>
        <v>2541999.8640633961</v>
      </c>
      <c r="Q61" s="510">
        <f t="shared" si="41"/>
        <v>0</v>
      </c>
      <c r="R61" s="510">
        <f t="shared" si="55"/>
        <v>6197075.9083658289</v>
      </c>
      <c r="S61" s="510">
        <f t="shared" si="42"/>
        <v>202739.51751437818</v>
      </c>
      <c r="T61" s="511">
        <f t="shared" si="43"/>
        <v>8941815.2899436019</v>
      </c>
      <c r="U61" s="522"/>
      <c r="V61" s="513">
        <f t="shared" ref="V61:V68" si="68">+ROUNDUP(N61*$U$5,0)</f>
        <v>16571</v>
      </c>
      <c r="W61" s="513">
        <f t="shared" ref="W61:W68" si="69">+V61*F61</f>
        <v>11239313.891999999</v>
      </c>
      <c r="X61" s="576"/>
      <c r="Y61" s="159"/>
      <c r="Z61" s="560"/>
      <c r="AC61" s="560"/>
    </row>
    <row r="62" spans="1:29" s="221" customFormat="1" ht="13" outlineLevel="1" x14ac:dyDescent="0.3">
      <c r="A62" s="1007"/>
      <c r="B62" s="514">
        <v>7.02</v>
      </c>
      <c r="C62" s="525" t="s">
        <v>83</v>
      </c>
      <c r="D62" s="577" t="s">
        <v>415</v>
      </c>
      <c r="E62" s="537" t="s">
        <v>109</v>
      </c>
      <c r="F62" s="538">
        <f>+[2]Computo!H233</f>
        <v>876.08119999999985</v>
      </c>
      <c r="G62" s="562"/>
      <c r="H62" s="562">
        <f>+'[2]APU 09.24'!E24</f>
        <v>3747.8693230000003</v>
      </c>
      <c r="I62" s="519">
        <f>G62+H62</f>
        <v>3747.8693230000003</v>
      </c>
      <c r="J62" s="518"/>
      <c r="K62" s="562">
        <f>+'[2]APU 09.24'!H24</f>
        <v>13134.198820314396</v>
      </c>
      <c r="L62" s="519">
        <f>J62+K62</f>
        <v>13134.198820314396</v>
      </c>
      <c r="M62" s="562">
        <f>+'[2]APU 09.24'!K24</f>
        <v>766.41029483988711</v>
      </c>
      <c r="N62" s="519">
        <f>I62+L62+M62</f>
        <v>17648.478438154281</v>
      </c>
      <c r="O62" s="520">
        <f t="shared" si="39"/>
        <v>0</v>
      </c>
      <c r="P62" s="520">
        <f t="shared" ref="P62:P68" si="70">H62*F62</f>
        <v>3283437.8539370275</v>
      </c>
      <c r="Q62" s="520">
        <f t="shared" si="41"/>
        <v>0</v>
      </c>
      <c r="R62" s="520">
        <f t="shared" si="55"/>
        <v>11506624.663539618</v>
      </c>
      <c r="S62" s="520">
        <f t="shared" si="42"/>
        <v>671437.65079568198</v>
      </c>
      <c r="T62" s="521">
        <f t="shared" ref="T62:T68" si="71">SUM(O62:S62)</f>
        <v>15461500.168272328</v>
      </c>
      <c r="U62" s="522"/>
      <c r="V62" s="382">
        <f t="shared" si="68"/>
        <v>22183</v>
      </c>
      <c r="W62" s="382">
        <f t="shared" si="69"/>
        <v>19434109.259599999</v>
      </c>
      <c r="X62" s="568"/>
      <c r="Y62" s="159"/>
      <c r="Z62" s="560"/>
      <c r="AC62" s="560"/>
    </row>
    <row r="63" spans="1:29" s="221" customFormat="1" ht="13" outlineLevel="1" x14ac:dyDescent="0.3">
      <c r="A63" s="1007"/>
      <c r="B63" s="515">
        <v>7.03</v>
      </c>
      <c r="C63" s="525"/>
      <c r="D63" s="577" t="s">
        <v>312</v>
      </c>
      <c r="E63" s="537" t="s">
        <v>124</v>
      </c>
      <c r="F63" s="538">
        <f>+[2]Computo!F264</f>
        <v>182</v>
      </c>
      <c r="G63" s="562"/>
      <c r="H63" s="562"/>
      <c r="I63" s="519">
        <f t="shared" ref="I63:I68" si="72">G63+H63</f>
        <v>0</v>
      </c>
      <c r="J63" s="518"/>
      <c r="K63" s="524">
        <f>+[2]SUBCONTRATOS!D32</f>
        <v>8597.4065149288563</v>
      </c>
      <c r="L63" s="519">
        <f t="shared" ref="L63:L68" si="73">J63+K63</f>
        <v>8597.4065149288563</v>
      </c>
      <c r="M63" s="562"/>
      <c r="N63" s="519">
        <f t="shared" ref="N63:N68" si="74">I63+L63+M63</f>
        <v>8597.4065149288563</v>
      </c>
      <c r="O63" s="520">
        <f t="shared" si="39"/>
        <v>0</v>
      </c>
      <c r="P63" s="520">
        <f t="shared" si="70"/>
        <v>0</v>
      </c>
      <c r="Q63" s="520">
        <f t="shared" si="41"/>
        <v>0</v>
      </c>
      <c r="R63" s="520">
        <f t="shared" si="55"/>
        <v>1564727.9857170519</v>
      </c>
      <c r="S63" s="520">
        <f t="shared" si="42"/>
        <v>0</v>
      </c>
      <c r="T63" s="521">
        <f t="shared" ref="T63:T65" si="75">SUM(O63:S63)</f>
        <v>1564727.9857170519</v>
      </c>
      <c r="U63" s="522"/>
      <c r="V63" s="382">
        <f t="shared" si="68"/>
        <v>10806</v>
      </c>
      <c r="W63" s="382">
        <f t="shared" si="69"/>
        <v>1966692</v>
      </c>
      <c r="X63" s="568"/>
      <c r="Y63" s="159"/>
      <c r="Z63" s="560"/>
      <c r="AC63" s="560"/>
    </row>
    <row r="64" spans="1:29" s="221" customFormat="1" ht="13" outlineLevel="1" x14ac:dyDescent="0.3">
      <c r="A64" s="1007"/>
      <c r="B64" s="515">
        <v>7.04</v>
      </c>
      <c r="C64" s="525" t="s">
        <v>83</v>
      </c>
      <c r="D64" s="516" t="s">
        <v>202</v>
      </c>
      <c r="E64" s="537" t="s">
        <v>109</v>
      </c>
      <c r="F64" s="538">
        <f>+[2]Locales!Y144</f>
        <v>995.85109999999997</v>
      </c>
      <c r="G64" s="562"/>
      <c r="H64" s="562">
        <f>+'[2]APU 09.24'!E22</f>
        <v>2606.0755930000005</v>
      </c>
      <c r="I64" s="519">
        <f t="shared" si="72"/>
        <v>2606.0755930000005</v>
      </c>
      <c r="J64" s="157"/>
      <c r="K64" s="562">
        <f>+'[2]APU 09.24'!H22</f>
        <v>17928.383737307293</v>
      </c>
      <c r="L64" s="519">
        <f t="shared" si="73"/>
        <v>17928.383737307293</v>
      </c>
      <c r="M64" s="562">
        <f>+'[2]APU 09.24'!K22</f>
        <v>572.91991064662034</v>
      </c>
      <c r="N64" s="519">
        <f t="shared" si="74"/>
        <v>21107.379240953916</v>
      </c>
      <c r="O64" s="520">
        <f t="shared" si="39"/>
        <v>0</v>
      </c>
      <c r="P64" s="520">
        <f t="shared" si="70"/>
        <v>2595263.2459722026</v>
      </c>
      <c r="Q64" s="520">
        <f t="shared" si="41"/>
        <v>0</v>
      </c>
      <c r="R64" s="520">
        <f t="shared" si="55"/>
        <v>17854000.666019578</v>
      </c>
      <c r="S64" s="520">
        <f t="shared" si="42"/>
        <v>570542.9232293386</v>
      </c>
      <c r="T64" s="521">
        <f t="shared" si="75"/>
        <v>21019806.835221119</v>
      </c>
      <c r="U64" s="522"/>
      <c r="V64" s="382">
        <f t="shared" si="68"/>
        <v>26530</v>
      </c>
      <c r="W64" s="382">
        <f t="shared" si="69"/>
        <v>26419929.682999998</v>
      </c>
      <c r="X64" s="568"/>
      <c r="Y64" s="159"/>
      <c r="Z64" s="560"/>
      <c r="AC64" s="560"/>
    </row>
    <row r="65" spans="1:29" s="221" customFormat="1" ht="13" outlineLevel="1" x14ac:dyDescent="0.3">
      <c r="A65" s="1007"/>
      <c r="B65" s="515">
        <v>7.05</v>
      </c>
      <c r="C65" s="525" t="s">
        <v>83</v>
      </c>
      <c r="D65" s="516" t="s">
        <v>203</v>
      </c>
      <c r="E65" s="537" t="s">
        <v>109</v>
      </c>
      <c r="F65" s="538">
        <f>+[2]Locales!U144</f>
        <v>2514.8970000000013</v>
      </c>
      <c r="G65" s="518">
        <f>+[2]Tareas!H101</f>
        <v>0</v>
      </c>
      <c r="H65" s="518">
        <f>+[2]Tareas!I101</f>
        <v>5135.3398886713831</v>
      </c>
      <c r="I65" s="519">
        <f t="shared" si="72"/>
        <v>5135.3398886713831</v>
      </c>
      <c r="J65" s="518">
        <f>+[2]Tareas!Q101</f>
        <v>12817.951531348474</v>
      </c>
      <c r="K65" s="518">
        <f>+[2]Tareas!R101</f>
        <v>0</v>
      </c>
      <c r="L65" s="519">
        <f t="shared" si="73"/>
        <v>12817.951531348474</v>
      </c>
      <c r="M65" s="563"/>
      <c r="N65" s="519">
        <f t="shared" si="74"/>
        <v>17953.291420019857</v>
      </c>
      <c r="O65" s="520">
        <f t="shared" si="39"/>
        <v>0</v>
      </c>
      <c r="P65" s="520">
        <f t="shared" si="70"/>
        <v>12914850.880000003</v>
      </c>
      <c r="Q65" s="520">
        <f t="shared" si="41"/>
        <v>32235827.852333698</v>
      </c>
      <c r="R65" s="520">
        <f t="shared" si="55"/>
        <v>0</v>
      </c>
      <c r="S65" s="520">
        <f t="shared" si="42"/>
        <v>0</v>
      </c>
      <c r="T65" s="521">
        <f t="shared" si="75"/>
        <v>45150678.732333705</v>
      </c>
      <c r="U65" s="522"/>
      <c r="V65" s="382">
        <f t="shared" si="68"/>
        <v>22566</v>
      </c>
      <c r="W65" s="382">
        <f t="shared" si="69"/>
        <v>56751165.702000029</v>
      </c>
      <c r="X65" s="568"/>
      <c r="Y65" s="159"/>
      <c r="Z65" s="560"/>
      <c r="AC65" s="560"/>
    </row>
    <row r="66" spans="1:29" s="221" customFormat="1" ht="13" outlineLevel="1" x14ac:dyDescent="0.3">
      <c r="A66" s="1007"/>
      <c r="B66" s="515">
        <v>7.06</v>
      </c>
      <c r="C66" s="525" t="s">
        <v>83</v>
      </c>
      <c r="D66" s="578" t="s">
        <v>313</v>
      </c>
      <c r="E66" s="537" t="s">
        <v>124</v>
      </c>
      <c r="F66" s="538">
        <f>+[2]Locales!V144</f>
        <v>509.9</v>
      </c>
      <c r="G66" s="518">
        <f>+[2]Tareas!H106</f>
        <v>0</v>
      </c>
      <c r="H66" s="518">
        <f>+[2]Tareas!I106</f>
        <v>0</v>
      </c>
      <c r="I66" s="519">
        <f t="shared" si="72"/>
        <v>0</v>
      </c>
      <c r="J66" s="518">
        <f>+[2]Tareas!Q106</f>
        <v>10160.57133582501</v>
      </c>
      <c r="K66" s="518">
        <f>+[2]Tareas!R106</f>
        <v>0</v>
      </c>
      <c r="L66" s="519">
        <f t="shared" si="73"/>
        <v>10160.57133582501</v>
      </c>
      <c r="M66" s="563"/>
      <c r="N66" s="519">
        <f t="shared" si="74"/>
        <v>10160.57133582501</v>
      </c>
      <c r="O66" s="520">
        <f t="shared" si="39"/>
        <v>0</v>
      </c>
      <c r="P66" s="520">
        <f t="shared" si="70"/>
        <v>0</v>
      </c>
      <c r="Q66" s="520">
        <f t="shared" si="41"/>
        <v>5180875.3241371727</v>
      </c>
      <c r="R66" s="520">
        <f t="shared" si="55"/>
        <v>0</v>
      </c>
      <c r="S66" s="520">
        <f t="shared" si="42"/>
        <v>0</v>
      </c>
      <c r="T66" s="521">
        <f t="shared" si="71"/>
        <v>5180875.3241371727</v>
      </c>
      <c r="U66" s="522"/>
      <c r="V66" s="382">
        <f t="shared" si="68"/>
        <v>12771</v>
      </c>
      <c r="W66" s="382">
        <f t="shared" si="69"/>
        <v>6511932.8999999994</v>
      </c>
      <c r="X66" s="568"/>
      <c r="Y66" s="159"/>
      <c r="Z66" s="560"/>
      <c r="AC66" s="560"/>
    </row>
    <row r="67" spans="1:29" s="221" customFormat="1" ht="13" outlineLevel="1" x14ac:dyDescent="0.3">
      <c r="A67" s="1007"/>
      <c r="B67" s="515">
        <v>7.07</v>
      </c>
      <c r="C67" s="525" t="s">
        <v>83</v>
      </c>
      <c r="D67" s="578" t="s">
        <v>314</v>
      </c>
      <c r="E67" s="537" t="s">
        <v>111</v>
      </c>
      <c r="F67" s="538">
        <f>+[2]Locales!W144</f>
        <v>198</v>
      </c>
      <c r="G67" s="518">
        <f>+[2]Tareas!H108</f>
        <v>0</v>
      </c>
      <c r="H67" s="518">
        <f>+[2]Tareas!I108</f>
        <v>1217.7454545454545</v>
      </c>
      <c r="I67" s="519">
        <f t="shared" si="72"/>
        <v>1217.7454545454545</v>
      </c>
      <c r="J67" s="518">
        <f>+[2]Tareas!Q108</f>
        <v>10673.73150430102</v>
      </c>
      <c r="K67" s="518">
        <f>+[2]Tareas!R108</f>
        <v>0</v>
      </c>
      <c r="L67" s="519">
        <f t="shared" si="73"/>
        <v>10673.73150430102</v>
      </c>
      <c r="M67" s="563"/>
      <c r="N67" s="519">
        <f t="shared" si="74"/>
        <v>11891.476958846475</v>
      </c>
      <c r="O67" s="520">
        <f t="shared" si="39"/>
        <v>0</v>
      </c>
      <c r="P67" s="520">
        <f t="shared" si="70"/>
        <v>241113.60000000001</v>
      </c>
      <c r="Q67" s="520">
        <f t="shared" si="41"/>
        <v>2113398.8378516021</v>
      </c>
      <c r="R67" s="520">
        <f t="shared" si="55"/>
        <v>0</v>
      </c>
      <c r="S67" s="520">
        <f t="shared" si="42"/>
        <v>0</v>
      </c>
      <c r="T67" s="521">
        <f t="shared" si="71"/>
        <v>2354512.4378516022</v>
      </c>
      <c r="U67" s="522"/>
      <c r="V67" s="382">
        <f t="shared" si="68"/>
        <v>14947</v>
      </c>
      <c r="W67" s="382">
        <f t="shared" si="69"/>
        <v>2959506</v>
      </c>
      <c r="X67" s="568"/>
      <c r="Y67" s="159"/>
      <c r="Z67" s="560"/>
      <c r="AC67" s="560"/>
    </row>
    <row r="68" spans="1:29" s="221" customFormat="1" ht="13" outlineLevel="1" x14ac:dyDescent="0.3">
      <c r="A68" s="1007"/>
      <c r="B68" s="579">
        <v>7.08</v>
      </c>
      <c r="C68" s="527" t="s">
        <v>83</v>
      </c>
      <c r="D68" s="528" t="s">
        <v>123</v>
      </c>
      <c r="E68" s="580" t="s">
        <v>109</v>
      </c>
      <c r="F68" s="554">
        <f>+[2]Locales!X144</f>
        <v>670.322</v>
      </c>
      <c r="G68" s="581"/>
      <c r="H68" s="574">
        <f>+'[2]APU 09.24'!E23</f>
        <v>3747.8693230000003</v>
      </c>
      <c r="I68" s="531">
        <f t="shared" si="72"/>
        <v>3747.8693230000003</v>
      </c>
      <c r="J68" s="164"/>
      <c r="K68" s="574">
        <f>+'[2]APU 09.24'!H23</f>
        <v>9136.8339619578401</v>
      </c>
      <c r="L68" s="531">
        <f t="shared" si="73"/>
        <v>9136.8339619578401</v>
      </c>
      <c r="M68" s="574">
        <f>+'[2]APU 09.24'!K23</f>
        <v>298.91473598954104</v>
      </c>
      <c r="N68" s="531">
        <f t="shared" si="74"/>
        <v>13183.618020947382</v>
      </c>
      <c r="O68" s="534">
        <f t="shared" si="39"/>
        <v>0</v>
      </c>
      <c r="P68" s="534">
        <f t="shared" si="70"/>
        <v>2512279.260332006</v>
      </c>
      <c r="Q68" s="534">
        <f t="shared" si="41"/>
        <v>0</v>
      </c>
      <c r="R68" s="534">
        <f t="shared" si="55"/>
        <v>6124620.8150475034</v>
      </c>
      <c r="S68" s="534">
        <f t="shared" si="42"/>
        <v>200369.12365798114</v>
      </c>
      <c r="T68" s="535">
        <f t="shared" si="71"/>
        <v>8837269.1990374904</v>
      </c>
      <c r="U68" s="522"/>
      <c r="V68" s="382">
        <f t="shared" si="68"/>
        <v>16571</v>
      </c>
      <c r="W68" s="382">
        <f t="shared" si="69"/>
        <v>11107905.862</v>
      </c>
      <c r="X68" s="568"/>
      <c r="Y68" s="159"/>
      <c r="Z68" s="560"/>
      <c r="AC68" s="560"/>
    </row>
    <row r="69" spans="1:29" ht="13" x14ac:dyDescent="0.3">
      <c r="A69" s="1005"/>
      <c r="B69" s="500">
        <v>8</v>
      </c>
      <c r="C69" s="501"/>
      <c r="D69" s="380" t="s">
        <v>120</v>
      </c>
      <c r="E69" s="213"/>
      <c r="F69" s="502"/>
      <c r="G69" s="502"/>
      <c r="H69" s="502"/>
      <c r="I69" s="502"/>
      <c r="J69" s="502"/>
      <c r="K69" s="502"/>
      <c r="L69" s="502"/>
      <c r="M69" s="502"/>
      <c r="N69" s="503"/>
      <c r="O69" s="502"/>
      <c r="P69" s="502"/>
      <c r="Q69" s="502"/>
      <c r="R69" s="502"/>
      <c r="S69" s="502"/>
      <c r="T69" s="502"/>
      <c r="U69" s="504">
        <f>SUM(T70:T77)</f>
        <v>35633227.224129379</v>
      </c>
      <c r="V69" s="502"/>
      <c r="W69" s="502"/>
      <c r="X69" s="505">
        <f>SUM(W70:W77)</f>
        <v>44788107</v>
      </c>
      <c r="Y69" s="159">
        <f>+X69/$X$216</f>
        <v>3.9726802760957344E-2</v>
      </c>
      <c r="Z69" s="458">
        <f>+X69</f>
        <v>44788107</v>
      </c>
    </row>
    <row r="70" spans="1:29" s="221" customFormat="1" ht="13" outlineLevel="1" x14ac:dyDescent="0.3">
      <c r="A70" s="1007"/>
      <c r="B70" s="506">
        <v>8.01</v>
      </c>
      <c r="C70" s="555" t="s">
        <v>75</v>
      </c>
      <c r="D70" s="508" t="s">
        <v>315</v>
      </c>
      <c r="E70" s="218" t="s">
        <v>109</v>
      </c>
      <c r="F70" s="556">
        <f>+[2]Locales!Q144</f>
        <v>104</v>
      </c>
      <c r="G70" s="582"/>
      <c r="H70" s="557">
        <f>+'[2]APU 09.24'!E25*0.15</f>
        <v>9763.5190306500008</v>
      </c>
      <c r="I70" s="509">
        <f t="shared" ref="I70:I77" si="76">G70+H70</f>
        <v>9763.5190306500008</v>
      </c>
      <c r="J70" s="582"/>
      <c r="K70" s="557">
        <f>+'[2]APU 09.24'!H25*0.2</f>
        <v>15181.289056642992</v>
      </c>
      <c r="L70" s="509">
        <f t="shared" ref="L70:L76" si="77">J70+K70</f>
        <v>15181.289056642992</v>
      </c>
      <c r="M70" s="557">
        <f>+'[2]APU 09.24'!K25*0.2</f>
        <v>451.34429264543519</v>
      </c>
      <c r="N70" s="509">
        <f t="shared" ref="N70:N77" si="78">I70+L70+M70</f>
        <v>25396.152379938427</v>
      </c>
      <c r="O70" s="510">
        <f t="shared" ref="O70:O77" si="79">G70*F70</f>
        <v>0</v>
      </c>
      <c r="P70" s="510">
        <f t="shared" ref="P70:P77" si="80">H70*F70</f>
        <v>1015405.9791876001</v>
      </c>
      <c r="Q70" s="510">
        <f t="shared" ref="Q70:Q77" si="81">J70*F70</f>
        <v>0</v>
      </c>
      <c r="R70" s="510">
        <f t="shared" ref="R70:R77" si="82">K70*F70</f>
        <v>1578854.0618908713</v>
      </c>
      <c r="S70" s="510">
        <f t="shared" ref="S70:S77" si="83">+M70*F70</f>
        <v>46939.806435125261</v>
      </c>
      <c r="T70" s="511">
        <f t="shared" ref="T70:T77" si="84">SUM(O70:S70)</f>
        <v>2641199.847513597</v>
      </c>
      <c r="U70" s="583"/>
      <c r="V70" s="564">
        <f t="shared" ref="V70:V77" si="85">+ROUNDUP(N70*$U$5,0)</f>
        <v>31920</v>
      </c>
      <c r="W70" s="564">
        <f t="shared" ref="W70:W77" si="86">+V70*F70</f>
        <v>3319680</v>
      </c>
      <c r="X70" s="559"/>
      <c r="Y70" s="159"/>
      <c r="Z70" s="560"/>
      <c r="AC70" s="560"/>
    </row>
    <row r="71" spans="1:29" s="221" customFormat="1" ht="13" outlineLevel="1" x14ac:dyDescent="0.3">
      <c r="A71" s="1007"/>
      <c r="B71" s="514">
        <v>8.02</v>
      </c>
      <c r="C71" s="525" t="s">
        <v>75</v>
      </c>
      <c r="D71" s="584" t="s">
        <v>316</v>
      </c>
      <c r="E71" s="537" t="s">
        <v>109</v>
      </c>
      <c r="F71" s="538">
        <f>+[2]Locales!P144</f>
        <v>48</v>
      </c>
      <c r="G71" s="585">
        <v>500</v>
      </c>
      <c r="H71" s="562">
        <f>+'[2]APU 09.24'!E25*0.2</f>
        <v>13018.025374200002</v>
      </c>
      <c r="I71" s="519">
        <f t="shared" si="76"/>
        <v>13518.025374200002</v>
      </c>
      <c r="J71" s="586">
        <f>+G71</f>
        <v>500</v>
      </c>
      <c r="K71" s="562">
        <f>+'[2]APU 09.24'!H25*0.2</f>
        <v>15181.289056642992</v>
      </c>
      <c r="L71" s="519">
        <f t="shared" si="77"/>
        <v>15681.289056642992</v>
      </c>
      <c r="M71" s="562">
        <f>+'[2]APU 09.24'!K25*0.2</f>
        <v>451.34429264543519</v>
      </c>
      <c r="N71" s="519">
        <f t="shared" si="78"/>
        <v>29650.658723488428</v>
      </c>
      <c r="O71" s="520">
        <f t="shared" si="79"/>
        <v>24000</v>
      </c>
      <c r="P71" s="520">
        <f t="shared" si="80"/>
        <v>624865.21796160005</v>
      </c>
      <c r="Q71" s="520">
        <f t="shared" si="81"/>
        <v>24000</v>
      </c>
      <c r="R71" s="520">
        <f t="shared" si="82"/>
        <v>728701.87471886363</v>
      </c>
      <c r="S71" s="520">
        <f t="shared" si="83"/>
        <v>21664.526046980889</v>
      </c>
      <c r="T71" s="521">
        <f t="shared" si="84"/>
        <v>1423231.6187274444</v>
      </c>
      <c r="U71" s="583"/>
      <c r="V71" s="564">
        <f t="shared" si="85"/>
        <v>37268</v>
      </c>
      <c r="W71" s="564">
        <f t="shared" si="86"/>
        <v>1788864</v>
      </c>
      <c r="X71" s="559"/>
      <c r="Y71" s="159"/>
      <c r="Z71" s="560"/>
      <c r="AC71" s="560"/>
    </row>
    <row r="72" spans="1:29" s="221" customFormat="1" ht="13" outlineLevel="1" x14ac:dyDescent="0.3">
      <c r="A72" s="1007"/>
      <c r="B72" s="514">
        <v>8.0299999999999994</v>
      </c>
      <c r="C72" s="525" t="s">
        <v>75</v>
      </c>
      <c r="D72" s="516" t="s">
        <v>317</v>
      </c>
      <c r="E72" s="537" t="s">
        <v>109</v>
      </c>
      <c r="F72" s="538">
        <f>+[2]Locales!O144</f>
        <v>235</v>
      </c>
      <c r="G72" s="518"/>
      <c r="H72" s="562">
        <f>+'[2]APU 09.24'!E25*0.18</f>
        <v>11716.222836780002</v>
      </c>
      <c r="I72" s="519">
        <f t="shared" si="76"/>
        <v>11716.222836780002</v>
      </c>
      <c r="J72" s="518"/>
      <c r="K72" s="562">
        <f>+'[2]APU 09.24'!H25*0.18</f>
        <v>13663.160150978691</v>
      </c>
      <c r="L72" s="519">
        <f>J72+K72</f>
        <v>13663.160150978691</v>
      </c>
      <c r="M72" s="562">
        <f>+'[2]APU 09.24'!K25*0.18</f>
        <v>406.20986338089159</v>
      </c>
      <c r="N72" s="519">
        <f t="shared" si="78"/>
        <v>25785.592851139583</v>
      </c>
      <c r="O72" s="520">
        <f t="shared" si="79"/>
        <v>0</v>
      </c>
      <c r="P72" s="520">
        <f t="shared" si="80"/>
        <v>2753312.3666433003</v>
      </c>
      <c r="Q72" s="520">
        <f t="shared" si="81"/>
        <v>0</v>
      </c>
      <c r="R72" s="520">
        <f t="shared" si="82"/>
        <v>3210842.6354799923</v>
      </c>
      <c r="S72" s="520">
        <f t="shared" si="83"/>
        <v>95459.317894509528</v>
      </c>
      <c r="T72" s="521">
        <f t="shared" si="84"/>
        <v>6059614.3200178016</v>
      </c>
      <c r="U72" s="583"/>
      <c r="V72" s="382">
        <f>+ROUNDUP(N72*$U$5,0)</f>
        <v>32410</v>
      </c>
      <c r="W72" s="382">
        <f>+V72*F72</f>
        <v>7616350</v>
      </c>
      <c r="X72" s="559"/>
      <c r="Y72" s="159"/>
      <c r="Z72" s="560"/>
      <c r="AC72" s="560"/>
    </row>
    <row r="73" spans="1:29" s="221" customFormat="1" ht="13" outlineLevel="1" x14ac:dyDescent="0.3">
      <c r="A73" s="1007"/>
      <c r="B73" s="514">
        <v>8.0399999999999991</v>
      </c>
      <c r="C73" s="525" t="s">
        <v>75</v>
      </c>
      <c r="D73" s="516" t="s">
        <v>204</v>
      </c>
      <c r="E73" s="537" t="s">
        <v>109</v>
      </c>
      <c r="F73" s="538">
        <f>+[2]Locales!N144</f>
        <v>878</v>
      </c>
      <c r="G73" s="518"/>
      <c r="H73" s="562">
        <f>+'[2]APU 09.24'!E27</f>
        <v>6431.816156095043</v>
      </c>
      <c r="I73" s="519">
        <f t="shared" si="76"/>
        <v>6431.816156095043</v>
      </c>
      <c r="J73" s="518"/>
      <c r="K73" s="562">
        <f>+'[2]APU 09.24'!H27</f>
        <v>8572.2516609388531</v>
      </c>
      <c r="L73" s="519">
        <f t="shared" si="77"/>
        <v>8572.2516609388531</v>
      </c>
      <c r="M73" s="562">
        <f>+'[2]APU 09.24'!K27</f>
        <v>116.9025805965067</v>
      </c>
      <c r="N73" s="519">
        <f t="shared" si="78"/>
        <v>15120.970397630403</v>
      </c>
      <c r="O73" s="520">
        <f t="shared" si="79"/>
        <v>0</v>
      </c>
      <c r="P73" s="520">
        <f t="shared" si="80"/>
        <v>5647134.5850514481</v>
      </c>
      <c r="Q73" s="520">
        <f t="shared" si="81"/>
        <v>0</v>
      </c>
      <c r="R73" s="520">
        <f t="shared" si="82"/>
        <v>7526436.958304313</v>
      </c>
      <c r="S73" s="520">
        <f t="shared" si="83"/>
        <v>102640.46576373288</v>
      </c>
      <c r="T73" s="521">
        <f t="shared" si="84"/>
        <v>13276212.009119494</v>
      </c>
      <c r="U73" s="583"/>
      <c r="V73" s="382">
        <f t="shared" si="85"/>
        <v>19006</v>
      </c>
      <c r="W73" s="382">
        <f t="shared" si="86"/>
        <v>16687268</v>
      </c>
      <c r="X73" s="559"/>
      <c r="Y73" s="159"/>
      <c r="Z73" s="560"/>
      <c r="AC73" s="560"/>
    </row>
    <row r="74" spans="1:29" s="221" customFormat="1" ht="13" outlineLevel="1" x14ac:dyDescent="0.3">
      <c r="A74" s="1007"/>
      <c r="B74" s="514">
        <v>8.0500000000000007</v>
      </c>
      <c r="C74" s="525" t="s">
        <v>75</v>
      </c>
      <c r="D74" s="516" t="s">
        <v>318</v>
      </c>
      <c r="E74" s="537" t="s">
        <v>109</v>
      </c>
      <c r="F74" s="538">
        <f>+[2]Locales!R144</f>
        <v>564</v>
      </c>
      <c r="G74" s="518"/>
      <c r="H74" s="562">
        <f>+'[2]APU 09.24'!E26</f>
        <v>3180.0905400000011</v>
      </c>
      <c r="I74" s="519">
        <f t="shared" si="76"/>
        <v>3180.0905400000011</v>
      </c>
      <c r="J74" s="562"/>
      <c r="K74" s="562">
        <f>+'[2]APU 09.24'!H26</f>
        <v>6505.5636652352905</v>
      </c>
      <c r="L74" s="519">
        <f t="shared" si="77"/>
        <v>6505.5636652352905</v>
      </c>
      <c r="M74" s="562">
        <f>+'[2]APU 09.24'!K26</f>
        <v>210.62733656786975</v>
      </c>
      <c r="N74" s="519">
        <f t="shared" si="78"/>
        <v>9896.2815418031623</v>
      </c>
      <c r="O74" s="520">
        <f t="shared" si="79"/>
        <v>0</v>
      </c>
      <c r="P74" s="520">
        <f t="shared" si="80"/>
        <v>1793571.0645600006</v>
      </c>
      <c r="Q74" s="520">
        <f t="shared" si="81"/>
        <v>0</v>
      </c>
      <c r="R74" s="520">
        <f t="shared" si="82"/>
        <v>3669137.9071927038</v>
      </c>
      <c r="S74" s="520">
        <f t="shared" si="83"/>
        <v>118793.81782427854</v>
      </c>
      <c r="T74" s="521">
        <f t="shared" si="84"/>
        <v>5581502.7895769831</v>
      </c>
      <c r="U74" s="583"/>
      <c r="V74" s="382">
        <f t="shared" si="85"/>
        <v>12439</v>
      </c>
      <c r="W74" s="382">
        <f t="shared" si="86"/>
        <v>7015596</v>
      </c>
      <c r="X74" s="559"/>
      <c r="Y74" s="159"/>
      <c r="Z74" s="560"/>
      <c r="AC74" s="560"/>
    </row>
    <row r="75" spans="1:29" s="221" customFormat="1" ht="13" outlineLevel="1" x14ac:dyDescent="0.3">
      <c r="A75" s="1007"/>
      <c r="B75" s="514">
        <v>8.06</v>
      </c>
      <c r="C75" s="525" t="s">
        <v>75</v>
      </c>
      <c r="D75" s="516" t="s">
        <v>319</v>
      </c>
      <c r="E75" s="537" t="s">
        <v>109</v>
      </c>
      <c r="F75" s="538">
        <f>+[2]Locales!S144</f>
        <v>438</v>
      </c>
      <c r="G75" s="518"/>
      <c r="H75" s="562">
        <f>+'[2]APU 09.24'!E26</f>
        <v>3180.0905400000011</v>
      </c>
      <c r="I75" s="519">
        <f t="shared" si="76"/>
        <v>3180.0905400000011</v>
      </c>
      <c r="J75" s="562"/>
      <c r="K75" s="562">
        <f>+'[2]APU 09.24'!H26</f>
        <v>6505.5636652352905</v>
      </c>
      <c r="L75" s="519">
        <f t="shared" si="77"/>
        <v>6505.5636652352905</v>
      </c>
      <c r="M75" s="562">
        <f>+'[2]APU 09.24'!K26</f>
        <v>210.62733656786975</v>
      </c>
      <c r="N75" s="519">
        <f t="shared" si="78"/>
        <v>9896.2815418031623</v>
      </c>
      <c r="O75" s="520">
        <f t="shared" si="79"/>
        <v>0</v>
      </c>
      <c r="P75" s="520">
        <f t="shared" si="80"/>
        <v>1392879.6565200004</v>
      </c>
      <c r="Q75" s="520">
        <f t="shared" si="81"/>
        <v>0</v>
      </c>
      <c r="R75" s="520">
        <f t="shared" si="82"/>
        <v>2849436.8853730573</v>
      </c>
      <c r="S75" s="520">
        <f t="shared" si="83"/>
        <v>92254.773416726952</v>
      </c>
      <c r="T75" s="521">
        <f t="shared" si="84"/>
        <v>4334571.3153097844</v>
      </c>
      <c r="U75" s="583"/>
      <c r="V75" s="382">
        <f t="shared" si="85"/>
        <v>12439</v>
      </c>
      <c r="W75" s="382">
        <f t="shared" si="86"/>
        <v>5448282</v>
      </c>
      <c r="X75" s="559"/>
      <c r="Y75" s="159"/>
      <c r="Z75" s="560"/>
      <c r="AC75" s="560"/>
    </row>
    <row r="76" spans="1:29" s="221" customFormat="1" ht="13" outlineLevel="1" x14ac:dyDescent="0.3">
      <c r="A76" s="1007"/>
      <c r="B76" s="514">
        <v>8.07</v>
      </c>
      <c r="C76" s="525" t="s">
        <v>83</v>
      </c>
      <c r="D76" s="516" t="s">
        <v>320</v>
      </c>
      <c r="E76" s="537" t="s">
        <v>107</v>
      </c>
      <c r="F76" s="538">
        <v>1</v>
      </c>
      <c r="G76" s="518">
        <f>+[2]Tareas!H111</f>
        <v>1076227.6597</v>
      </c>
      <c r="H76" s="518">
        <f>+[2]Tareas!I111</f>
        <v>0</v>
      </c>
      <c r="I76" s="519">
        <f t="shared" si="76"/>
        <v>1076227.6597</v>
      </c>
      <c r="J76" s="518">
        <f>+[2]Tareas!Q111</f>
        <v>0</v>
      </c>
      <c r="K76" s="518">
        <f>+[2]Tareas!R111</f>
        <v>826143.61379857967</v>
      </c>
      <c r="L76" s="519">
        <f t="shared" si="77"/>
        <v>826143.61379857967</v>
      </c>
      <c r="M76" s="518">
        <f>+(I76+L76)*0.015</f>
        <v>28535.569102478694</v>
      </c>
      <c r="N76" s="519">
        <f t="shared" si="78"/>
        <v>1930906.8426010583</v>
      </c>
      <c r="O76" s="520">
        <f t="shared" si="79"/>
        <v>1076227.6597</v>
      </c>
      <c r="P76" s="520">
        <f t="shared" si="80"/>
        <v>0</v>
      </c>
      <c r="Q76" s="520">
        <f t="shared" si="81"/>
        <v>0</v>
      </c>
      <c r="R76" s="520">
        <f t="shared" si="82"/>
        <v>826143.61379857967</v>
      </c>
      <c r="S76" s="520">
        <f t="shared" si="83"/>
        <v>28535.569102478694</v>
      </c>
      <c r="T76" s="521">
        <f t="shared" si="84"/>
        <v>1930906.8426010583</v>
      </c>
      <c r="U76" s="583"/>
      <c r="V76" s="382">
        <f t="shared" si="85"/>
        <v>2426924</v>
      </c>
      <c r="W76" s="382">
        <f t="shared" si="86"/>
        <v>2426924</v>
      </c>
      <c r="X76" s="559"/>
      <c r="Y76" s="159"/>
      <c r="Z76" s="560"/>
      <c r="AC76" s="560"/>
    </row>
    <row r="77" spans="1:29" s="221" customFormat="1" ht="13" outlineLevel="1" x14ac:dyDescent="0.3">
      <c r="A77" s="1007"/>
      <c r="B77" s="514">
        <v>8.08</v>
      </c>
      <c r="C77" s="525" t="s">
        <v>83</v>
      </c>
      <c r="D77" s="528" t="s">
        <v>321</v>
      </c>
      <c r="E77" s="580" t="s">
        <v>107</v>
      </c>
      <c r="F77" s="554">
        <v>1</v>
      </c>
      <c r="G77" s="533">
        <f>+[2]Tareas!H116</f>
        <v>215055.49523360003</v>
      </c>
      <c r="H77" s="533">
        <f>+[2]Tareas!I116</f>
        <v>0</v>
      </c>
      <c r="I77" s="531">
        <f t="shared" si="76"/>
        <v>215055.49523360003</v>
      </c>
      <c r="J77" s="533">
        <f>+[2]Tareas!Q116</f>
        <v>0</v>
      </c>
      <c r="K77" s="533">
        <f>+[2]Tareas!R116</f>
        <v>165228.72275971592</v>
      </c>
      <c r="L77" s="531">
        <f>J77+K77</f>
        <v>165228.72275971592</v>
      </c>
      <c r="M77" s="518">
        <f>+(I77+L77)*0.015</f>
        <v>5704.2632698997386</v>
      </c>
      <c r="N77" s="531">
        <f t="shared" si="78"/>
        <v>385988.48126321571</v>
      </c>
      <c r="O77" s="534">
        <f t="shared" si="79"/>
        <v>215055.49523360003</v>
      </c>
      <c r="P77" s="534">
        <f t="shared" si="80"/>
        <v>0</v>
      </c>
      <c r="Q77" s="534">
        <f t="shared" si="81"/>
        <v>0</v>
      </c>
      <c r="R77" s="534">
        <f t="shared" si="82"/>
        <v>165228.72275971592</v>
      </c>
      <c r="S77" s="534">
        <f t="shared" si="83"/>
        <v>5704.2632698997386</v>
      </c>
      <c r="T77" s="535">
        <f t="shared" si="84"/>
        <v>385988.48126321571</v>
      </c>
      <c r="U77" s="462"/>
      <c r="V77" s="382">
        <f t="shared" si="85"/>
        <v>485143</v>
      </c>
      <c r="W77" s="382">
        <f t="shared" si="86"/>
        <v>485143</v>
      </c>
      <c r="X77" s="559"/>
      <c r="Y77" s="159"/>
      <c r="Z77" s="560"/>
      <c r="AC77" s="560"/>
    </row>
    <row r="78" spans="1:29" ht="13" x14ac:dyDescent="0.3">
      <c r="A78" s="1005"/>
      <c r="B78" s="500">
        <v>9</v>
      </c>
      <c r="C78" s="501"/>
      <c r="D78" s="380" t="s">
        <v>205</v>
      </c>
      <c r="E78" s="213"/>
      <c r="F78" s="502"/>
      <c r="G78" s="502"/>
      <c r="H78" s="502"/>
      <c r="I78" s="502"/>
      <c r="J78" s="502"/>
      <c r="K78" s="502"/>
      <c r="L78" s="502"/>
      <c r="M78" s="502"/>
      <c r="N78" s="503"/>
      <c r="O78" s="502"/>
      <c r="P78" s="502"/>
      <c r="Q78" s="502"/>
      <c r="R78" s="502"/>
      <c r="S78" s="502"/>
      <c r="T78" s="502"/>
      <c r="U78" s="504">
        <f>SUM(T79:T82)</f>
        <v>4659674.0929475352</v>
      </c>
      <c r="V78" s="502"/>
      <c r="W78" s="502"/>
      <c r="X78" s="505">
        <f>SUM(W79:W82)</f>
        <v>5769056.5999999996</v>
      </c>
      <c r="Y78" s="159">
        <f>+X78/$X$216</f>
        <v>5.1171212408016977E-3</v>
      </c>
      <c r="Z78" s="458">
        <f>+X78</f>
        <v>5769056.5999999996</v>
      </c>
    </row>
    <row r="79" spans="1:29" ht="13" outlineLevel="1" x14ac:dyDescent="0.3">
      <c r="A79" s="1003"/>
      <c r="B79" s="506">
        <v>9.01</v>
      </c>
      <c r="C79" s="555" t="s">
        <v>83</v>
      </c>
      <c r="D79" s="508" t="s">
        <v>322</v>
      </c>
      <c r="E79" s="587" t="s">
        <v>107</v>
      </c>
      <c r="F79" s="556">
        <v>1</v>
      </c>
      <c r="G79" s="582">
        <f>+[2]Tareas!H122</f>
        <v>0</v>
      </c>
      <c r="H79" s="582">
        <f>+[2]Tareas!I122</f>
        <v>203505.44198054407</v>
      </c>
      <c r="I79" s="509">
        <f>G79+H79</f>
        <v>203505.44198054407</v>
      </c>
      <c r="J79" s="582">
        <f>+[2]Tareas!Q122</f>
        <v>0</v>
      </c>
      <c r="K79" s="582">
        <f>+[2]Tareas!R122</f>
        <v>1383533.8263977272</v>
      </c>
      <c r="L79" s="509">
        <f t="shared" ref="L79:L82" si="87">J79+K79</f>
        <v>1383533.8263977272</v>
      </c>
      <c r="M79" s="582">
        <f>+(I79+L79)*0.015</f>
        <v>23805.589025674068</v>
      </c>
      <c r="N79" s="509">
        <f>I79+L79+M79</f>
        <v>1610844.8574039454</v>
      </c>
      <c r="O79" s="510">
        <f>G79*F79</f>
        <v>0</v>
      </c>
      <c r="P79" s="510">
        <f>H79*F79</f>
        <v>203505.44198054407</v>
      </c>
      <c r="Q79" s="510">
        <f>J79*F79</f>
        <v>0</v>
      </c>
      <c r="R79" s="510">
        <f>K79*F79</f>
        <v>1383533.8263977272</v>
      </c>
      <c r="S79" s="510">
        <f>+M79*F79</f>
        <v>23805.589025674068</v>
      </c>
      <c r="T79" s="511">
        <f>SUM(O79:S79)</f>
        <v>1610844.8574039454</v>
      </c>
      <c r="U79" s="522"/>
      <c r="V79" s="513">
        <f>+ROUNDUP(N79*$U$5,0)</f>
        <v>2024643</v>
      </c>
      <c r="W79" s="513">
        <f>+V79*F79</f>
        <v>2024643</v>
      </c>
      <c r="X79" s="568"/>
      <c r="Y79" s="222"/>
      <c r="AA79" s="162"/>
      <c r="AB79" s="162"/>
    </row>
    <row r="80" spans="1:29" ht="13" outlineLevel="1" x14ac:dyDescent="0.3">
      <c r="A80" s="1003"/>
      <c r="B80" s="588">
        <v>9.02</v>
      </c>
      <c r="C80" s="589" t="s">
        <v>83</v>
      </c>
      <c r="D80" s="590" t="s">
        <v>323</v>
      </c>
      <c r="E80" s="591" t="s">
        <v>124</v>
      </c>
      <c r="F80" s="592">
        <f>+[2]Computo!H128</f>
        <v>122</v>
      </c>
      <c r="G80" s="518">
        <f>+[2]Tareas!H125</f>
        <v>2447.0972090502642</v>
      </c>
      <c r="H80" s="518">
        <f>+[2]Tareas!I125</f>
        <v>0</v>
      </c>
      <c r="I80" s="519">
        <f>G80+H80</f>
        <v>2447.0972090502642</v>
      </c>
      <c r="J80" s="518">
        <f>+[2]Tareas!Q125</f>
        <v>0</v>
      </c>
      <c r="K80" s="518">
        <f>+[2]Tareas!R125</f>
        <v>12299.732995391207</v>
      </c>
      <c r="L80" s="519">
        <f t="shared" si="87"/>
        <v>12299.732995391207</v>
      </c>
      <c r="M80" s="518">
        <f>+(I80+L80)*0.015</f>
        <v>221.20245306662204</v>
      </c>
      <c r="N80" s="519">
        <f>I80+L80+M80</f>
        <v>14968.032657508093</v>
      </c>
      <c r="O80" s="520">
        <f>G80*F80</f>
        <v>298545.85950413224</v>
      </c>
      <c r="P80" s="520">
        <f t="shared" ref="P80:P82" si="88">H80*F80</f>
        <v>0</v>
      </c>
      <c r="Q80" s="520">
        <f t="shared" ref="Q80:Q82" si="89">J80*F80</f>
        <v>0</v>
      </c>
      <c r="R80" s="520">
        <f t="shared" ref="R80:R82" si="90">K80*F80</f>
        <v>1500567.4254377272</v>
      </c>
      <c r="S80" s="520">
        <f t="shared" ref="S80:S82" si="91">+M80*F80</f>
        <v>26986.699274127888</v>
      </c>
      <c r="T80" s="521">
        <f>SUM(O80:S80)</f>
        <v>1826099.9842159874</v>
      </c>
      <c r="U80" s="462"/>
      <c r="V80" s="382">
        <f>+ROUNDUP(N80*$U$5,0)</f>
        <v>18814</v>
      </c>
      <c r="W80" s="382">
        <f>+V80*F80</f>
        <v>2295308</v>
      </c>
      <c r="X80" s="462"/>
      <c r="Y80" s="222"/>
      <c r="AA80" s="162"/>
      <c r="AB80" s="162"/>
    </row>
    <row r="81" spans="1:29" ht="13" outlineLevel="1" x14ac:dyDescent="0.3">
      <c r="A81" s="1003"/>
      <c r="B81" s="514">
        <v>9.0299999999999994</v>
      </c>
      <c r="C81" s="525" t="s">
        <v>83</v>
      </c>
      <c r="D81" s="516" t="s">
        <v>324</v>
      </c>
      <c r="E81" s="593" t="s">
        <v>124</v>
      </c>
      <c r="F81" s="538">
        <f>+[2]Locales!BT144</f>
        <v>155</v>
      </c>
      <c r="G81" s="594"/>
      <c r="H81" s="562">
        <f>+'[2]APU 09.24'!E21</f>
        <v>758.10738300000003</v>
      </c>
      <c r="I81" s="519">
        <f t="shared" ref="I81:I82" si="92">G81+H81</f>
        <v>758.10738300000003</v>
      </c>
      <c r="J81" s="595"/>
      <c r="K81" s="562">
        <f>+'[2]APU 09.24'!H21</f>
        <v>3395.9551113285988</v>
      </c>
      <c r="L81" s="519">
        <f t="shared" si="87"/>
        <v>3395.9551113285988</v>
      </c>
      <c r="M81" s="562">
        <f>+'[2]APU 09.24'!K21</f>
        <v>122.76855228141865</v>
      </c>
      <c r="N81" s="519">
        <f t="shared" ref="N81:N82" si="93">I81+L81+M81</f>
        <v>4276.8310466100174</v>
      </c>
      <c r="O81" s="520">
        <f t="shared" ref="O81:O82" si="94">G81*F81</f>
        <v>0</v>
      </c>
      <c r="P81" s="520">
        <f t="shared" si="88"/>
        <v>117506.644365</v>
      </c>
      <c r="Q81" s="520">
        <f t="shared" si="89"/>
        <v>0</v>
      </c>
      <c r="R81" s="520">
        <f t="shared" si="90"/>
        <v>526373.04225593281</v>
      </c>
      <c r="S81" s="520">
        <f t="shared" si="91"/>
        <v>19029.12560361989</v>
      </c>
      <c r="T81" s="521">
        <f t="shared" ref="T81:T82" si="95">SUM(O81:S81)</f>
        <v>662908.81222455262</v>
      </c>
      <c r="U81" s="462"/>
      <c r="V81" s="382">
        <f>+ROUNDUP(N81*$U$5,0)</f>
        <v>5376</v>
      </c>
      <c r="W81" s="382">
        <f>+V81*F81</f>
        <v>833280</v>
      </c>
      <c r="X81" s="462"/>
      <c r="Y81" s="222"/>
    </row>
    <row r="82" spans="1:29" ht="13" outlineLevel="1" x14ac:dyDescent="0.3">
      <c r="A82" s="1003"/>
      <c r="B82" s="527">
        <v>9.0399999999999991</v>
      </c>
      <c r="C82" s="527" t="s">
        <v>83</v>
      </c>
      <c r="D82" s="596" t="s">
        <v>325</v>
      </c>
      <c r="E82" s="226" t="s">
        <v>124</v>
      </c>
      <c r="F82" s="164">
        <f>+[2]Computo!E131</f>
        <v>31.200000000000003</v>
      </c>
      <c r="G82" s="533">
        <f>+[2]Tareas!H130</f>
        <v>7086.2110616656082</v>
      </c>
      <c r="H82" s="533">
        <f>+[2]Tareas!I130</f>
        <v>0</v>
      </c>
      <c r="I82" s="531">
        <f t="shared" si="92"/>
        <v>7086.2110616656082</v>
      </c>
      <c r="J82" s="533">
        <f>+[2]Tareas!Q130</f>
        <v>0</v>
      </c>
      <c r="K82" s="533">
        <f>+[2]Tareas!R130</f>
        <v>10591.584792289481</v>
      </c>
      <c r="L82" s="531">
        <f t="shared" si="87"/>
        <v>10591.584792289481</v>
      </c>
      <c r="M82" s="518">
        <f>+(I82+L82)*0.015</f>
        <v>265.16693780932633</v>
      </c>
      <c r="N82" s="531">
        <f t="shared" si="93"/>
        <v>17942.962791764414</v>
      </c>
      <c r="O82" s="520">
        <f t="shared" si="94"/>
        <v>221089.78512396698</v>
      </c>
      <c r="P82" s="520">
        <f t="shared" si="88"/>
        <v>0</v>
      </c>
      <c r="Q82" s="520">
        <f t="shared" si="89"/>
        <v>0</v>
      </c>
      <c r="R82" s="520">
        <f t="shared" si="90"/>
        <v>330457.44551943184</v>
      </c>
      <c r="S82" s="520">
        <f t="shared" si="91"/>
        <v>8273.2084596509831</v>
      </c>
      <c r="T82" s="521">
        <f t="shared" si="95"/>
        <v>559820.43910304981</v>
      </c>
      <c r="U82" s="462"/>
      <c r="V82" s="157">
        <f t="shared" ref="V82" si="96">+ROUNDUP(N82*$U$6,0)</f>
        <v>19738</v>
      </c>
      <c r="W82" s="157">
        <f t="shared" ref="W82" si="97">+V82*F82</f>
        <v>615825.60000000009</v>
      </c>
      <c r="X82" s="462"/>
      <c r="Y82" s="222"/>
    </row>
    <row r="83" spans="1:29" ht="13" x14ac:dyDescent="0.3">
      <c r="A83" s="1005"/>
      <c r="B83" s="500">
        <v>10</v>
      </c>
      <c r="C83" s="501"/>
      <c r="D83" s="380" t="s">
        <v>206</v>
      </c>
      <c r="E83" s="213"/>
      <c r="F83" s="502"/>
      <c r="G83" s="502"/>
      <c r="H83" s="502"/>
      <c r="I83" s="502"/>
      <c r="J83" s="502"/>
      <c r="K83" s="502"/>
      <c r="L83" s="502"/>
      <c r="M83" s="502"/>
      <c r="N83" s="503"/>
      <c r="O83" s="502"/>
      <c r="P83" s="502"/>
      <c r="Q83" s="502"/>
      <c r="R83" s="502"/>
      <c r="S83" s="502"/>
      <c r="T83" s="502"/>
      <c r="U83" s="504">
        <f>SUM(T84:T87)</f>
        <v>3714963.4922108371</v>
      </c>
      <c r="V83" s="502"/>
      <c r="W83" s="502"/>
      <c r="X83" s="505">
        <f>SUM(W84:W87)</f>
        <v>4669278</v>
      </c>
      <c r="Y83" s="159">
        <f>+X83/$X$216</f>
        <v>4.1416237159136327E-3</v>
      </c>
      <c r="Z83" s="458">
        <f>+X83</f>
        <v>4669278</v>
      </c>
    </row>
    <row r="84" spans="1:29" ht="13" outlineLevel="1" x14ac:dyDescent="0.3">
      <c r="A84" s="1009"/>
      <c r="B84" s="506">
        <v>10.01</v>
      </c>
      <c r="C84" s="597" t="s">
        <v>83</v>
      </c>
      <c r="D84" s="508" t="s">
        <v>416</v>
      </c>
      <c r="E84" s="598" t="s">
        <v>107</v>
      </c>
      <c r="F84" s="507">
        <v>0</v>
      </c>
      <c r="G84" s="599"/>
      <c r="H84" s="599"/>
      <c r="I84" s="509">
        <f>G84+H84</f>
        <v>0</v>
      </c>
      <c r="J84" s="599"/>
      <c r="K84" s="599"/>
      <c r="L84" s="509">
        <f>J84+K84</f>
        <v>0</v>
      </c>
      <c r="M84" s="600"/>
      <c r="N84" s="509">
        <f t="shared" ref="N84:N86" si="98">I84+L84+M84</f>
        <v>0</v>
      </c>
      <c r="O84" s="510">
        <f t="shared" ref="O84:O86" si="99">G84*F84</f>
        <v>0</v>
      </c>
      <c r="P84" s="510">
        <f t="shared" ref="P84:P87" si="100">H84*F84</f>
        <v>0</v>
      </c>
      <c r="Q84" s="510">
        <f t="shared" ref="Q84:Q86" si="101">J84*F84</f>
        <v>0</v>
      </c>
      <c r="R84" s="510">
        <f t="shared" ref="R84:R87" si="102">K84*F84</f>
        <v>0</v>
      </c>
      <c r="S84" s="510">
        <f t="shared" ref="S84:S87" si="103">+M84*F84</f>
        <v>0</v>
      </c>
      <c r="T84" s="511">
        <f t="shared" ref="T84:T86" si="104">SUM(O84:S84)</f>
        <v>0</v>
      </c>
      <c r="U84" s="522"/>
      <c r="V84" s="382">
        <f>+ROUNDUP(N84*$U$5,0)</f>
        <v>0</v>
      </c>
      <c r="W84" s="382">
        <f>+V84*F84</f>
        <v>0</v>
      </c>
      <c r="Y84" s="159"/>
    </row>
    <row r="85" spans="1:29" ht="13" outlineLevel="1" x14ac:dyDescent="0.3">
      <c r="A85" s="1009"/>
      <c r="B85" s="514">
        <v>10.02</v>
      </c>
      <c r="C85" s="515" t="s">
        <v>83</v>
      </c>
      <c r="D85" s="516" t="s">
        <v>417</v>
      </c>
      <c r="E85" s="227" t="s">
        <v>107</v>
      </c>
      <c r="F85" s="517">
        <v>1</v>
      </c>
      <c r="G85" s="586">
        <v>700000</v>
      </c>
      <c r="H85" s="524"/>
      <c r="I85" s="519">
        <f t="shared" ref="I85:I86" si="105">G85+H85</f>
        <v>700000</v>
      </c>
      <c r="J85" s="586">
        <f>+G85*1.5</f>
        <v>1050000</v>
      </c>
      <c r="K85" s="524"/>
      <c r="L85" s="519">
        <f t="shared" ref="L85:L86" si="106">J85+K85</f>
        <v>1050000</v>
      </c>
      <c r="M85" s="540"/>
      <c r="N85" s="519">
        <f t="shared" si="98"/>
        <v>1750000</v>
      </c>
      <c r="O85" s="520">
        <f t="shared" si="99"/>
        <v>700000</v>
      </c>
      <c r="P85" s="520">
        <f t="shared" si="100"/>
        <v>0</v>
      </c>
      <c r="Q85" s="520">
        <f t="shared" si="101"/>
        <v>1050000</v>
      </c>
      <c r="R85" s="520">
        <f t="shared" si="102"/>
        <v>0</v>
      </c>
      <c r="S85" s="520">
        <f t="shared" si="103"/>
        <v>0</v>
      </c>
      <c r="T85" s="521">
        <f t="shared" si="104"/>
        <v>1750000</v>
      </c>
      <c r="U85" s="522"/>
      <c r="V85" s="382">
        <f>+ROUNDUP(N85*$U$5,0)</f>
        <v>2199545</v>
      </c>
      <c r="W85" s="382">
        <f>+V85*F85</f>
        <v>2199545</v>
      </c>
      <c r="X85" s="601"/>
      <c r="Y85" s="159"/>
    </row>
    <row r="86" spans="1:29" ht="13" outlineLevel="1" x14ac:dyDescent="0.3">
      <c r="A86" s="1009"/>
      <c r="B86" s="514">
        <v>10.029999999999999</v>
      </c>
      <c r="C86" s="515" t="s">
        <v>83</v>
      </c>
      <c r="D86" s="516" t="s">
        <v>418</v>
      </c>
      <c r="E86" s="227" t="s">
        <v>104</v>
      </c>
      <c r="F86" s="517">
        <v>0</v>
      </c>
      <c r="G86" s="524"/>
      <c r="H86" s="524"/>
      <c r="I86" s="519">
        <f t="shared" si="105"/>
        <v>0</v>
      </c>
      <c r="J86" s="524"/>
      <c r="K86" s="524"/>
      <c r="L86" s="519">
        <f t="shared" si="106"/>
        <v>0</v>
      </c>
      <c r="M86" s="540"/>
      <c r="N86" s="519">
        <f t="shared" si="98"/>
        <v>0</v>
      </c>
      <c r="O86" s="520">
        <f t="shared" si="99"/>
        <v>0</v>
      </c>
      <c r="P86" s="520">
        <f t="shared" si="100"/>
        <v>0</v>
      </c>
      <c r="Q86" s="520">
        <f t="shared" si="101"/>
        <v>0</v>
      </c>
      <c r="R86" s="520">
        <f t="shared" si="102"/>
        <v>0</v>
      </c>
      <c r="S86" s="520">
        <f t="shared" si="103"/>
        <v>0</v>
      </c>
      <c r="T86" s="521">
        <f t="shared" si="104"/>
        <v>0</v>
      </c>
      <c r="U86" s="522"/>
      <c r="V86" s="382">
        <f>+ROUNDUP(N86*$U$5,0)</f>
        <v>0</v>
      </c>
      <c r="W86" s="382">
        <f>+V86*F86</f>
        <v>0</v>
      </c>
      <c r="Y86" s="159"/>
    </row>
    <row r="87" spans="1:29" s="221" customFormat="1" ht="13" outlineLevel="1" x14ac:dyDescent="0.3">
      <c r="A87" s="1002"/>
      <c r="B87" s="514">
        <v>10.039999999999999</v>
      </c>
      <c r="C87" s="525" t="s">
        <v>83</v>
      </c>
      <c r="D87" s="516" t="s">
        <v>326</v>
      </c>
      <c r="E87" s="537" t="s">
        <v>111</v>
      </c>
      <c r="F87" s="538">
        <v>7</v>
      </c>
      <c r="G87" s="602">
        <f>+[2]COVE!L32</f>
        <v>225038.87603305787</v>
      </c>
      <c r="H87" s="602"/>
      <c r="I87" s="519">
        <f>G87+H87</f>
        <v>225038.87603305787</v>
      </c>
      <c r="J87" s="524">
        <f>+[2]COVE!T32</f>
        <v>55670.194282775978</v>
      </c>
      <c r="K87" s="602"/>
      <c r="L87" s="519">
        <f>J87+K87</f>
        <v>55670.194282775978</v>
      </c>
      <c r="M87" s="540"/>
      <c r="N87" s="519">
        <f>I87+L87+M87</f>
        <v>280709.07031583384</v>
      </c>
      <c r="O87" s="520">
        <f>G87*F87</f>
        <v>1575272.132231405</v>
      </c>
      <c r="P87" s="520">
        <f t="shared" si="100"/>
        <v>0</v>
      </c>
      <c r="Q87" s="520">
        <f>J87*F87</f>
        <v>389691.35997943184</v>
      </c>
      <c r="R87" s="520">
        <f t="shared" si="102"/>
        <v>0</v>
      </c>
      <c r="S87" s="520">
        <f t="shared" si="103"/>
        <v>0</v>
      </c>
      <c r="T87" s="521">
        <f>SUM(O87:S87)</f>
        <v>1964963.4922108368</v>
      </c>
      <c r="U87" s="522"/>
      <c r="V87" s="382">
        <f>+ROUNDUP(N87*$U$5,0)</f>
        <v>352819</v>
      </c>
      <c r="W87" s="382">
        <f>+V87*F87</f>
        <v>2469733</v>
      </c>
      <c r="X87" s="559"/>
      <c r="Y87" s="159"/>
      <c r="Z87" s="560"/>
      <c r="AC87" s="560"/>
    </row>
    <row r="88" spans="1:29" ht="13" x14ac:dyDescent="0.3">
      <c r="A88" s="1005"/>
      <c r="B88" s="500">
        <v>11</v>
      </c>
      <c r="C88" s="501"/>
      <c r="D88" s="380" t="s">
        <v>207</v>
      </c>
      <c r="E88" s="213"/>
      <c r="F88" s="502"/>
      <c r="G88" s="502"/>
      <c r="H88" s="502"/>
      <c r="I88" s="502"/>
      <c r="J88" s="502"/>
      <c r="K88" s="502"/>
      <c r="L88" s="502"/>
      <c r="M88" s="502"/>
      <c r="N88" s="503"/>
      <c r="O88" s="502"/>
      <c r="P88" s="502"/>
      <c r="Q88" s="502"/>
      <c r="R88" s="502"/>
      <c r="S88" s="502"/>
      <c r="T88" s="502"/>
      <c r="U88" s="504">
        <f>SUM(T89:T95)</f>
        <v>38221919.229422204</v>
      </c>
      <c r="V88" s="502"/>
      <c r="W88" s="502"/>
      <c r="X88" s="505">
        <f>SUM(W89:W95)</f>
        <v>48040802</v>
      </c>
      <c r="Y88" s="159">
        <f>+X88/$X$216</f>
        <v>4.2611925204434409E-2</v>
      </c>
      <c r="Z88" s="458">
        <f>+X88</f>
        <v>48040802</v>
      </c>
    </row>
    <row r="89" spans="1:29" ht="13" outlineLevel="1" x14ac:dyDescent="0.3">
      <c r="A89" s="1003"/>
      <c r="B89" s="506">
        <v>11.01</v>
      </c>
      <c r="C89" s="555" t="s">
        <v>75</v>
      </c>
      <c r="D89" s="508" t="s">
        <v>419</v>
      </c>
      <c r="E89" s="587" t="s">
        <v>109</v>
      </c>
      <c r="F89" s="556">
        <f>+[2]Locales!BJ144</f>
        <v>30</v>
      </c>
      <c r="G89" s="582"/>
      <c r="H89" s="557">
        <f>+'[2]APU 09.24'!E36</f>
        <v>7250.1086533719017</v>
      </c>
      <c r="I89" s="509">
        <f>G89+H89</f>
        <v>7250.1086533719017</v>
      </c>
      <c r="J89" s="582"/>
      <c r="K89" s="557">
        <f>+'[2]APU 09.24'!H36</f>
        <v>9992.0861533187654</v>
      </c>
      <c r="L89" s="509">
        <f>J89+K89</f>
        <v>9992.0861533187654</v>
      </c>
      <c r="M89" s="557">
        <f>+'[2]APU 09.24'!K36</f>
        <v>219.89812852357096</v>
      </c>
      <c r="N89" s="509">
        <f t="shared" ref="N89:N94" si="107">I89+L89+M89</f>
        <v>17462.092935214238</v>
      </c>
      <c r="O89" s="510">
        <f t="shared" ref="O89:O94" si="108">G89*F89</f>
        <v>0</v>
      </c>
      <c r="P89" s="510">
        <f t="shared" ref="P89:P94" si="109">H89*F89</f>
        <v>217503.25960115704</v>
      </c>
      <c r="Q89" s="510">
        <f t="shared" ref="Q89:Q94" si="110">J89*F89</f>
        <v>0</v>
      </c>
      <c r="R89" s="510">
        <f t="shared" ref="R89:R95" si="111">K89*F89</f>
        <v>299762.58459956298</v>
      </c>
      <c r="S89" s="510">
        <f t="shared" ref="S89:S94" si="112">+M89*F89</f>
        <v>6596.9438557071289</v>
      </c>
      <c r="T89" s="511">
        <f t="shared" ref="T89:T94" si="113">SUM(O89:S89)</f>
        <v>523862.78805642715</v>
      </c>
      <c r="U89" s="583"/>
      <c r="V89" s="382">
        <f t="shared" ref="V89:V95" si="114">+ROUNDUP(N89*$U$5,0)</f>
        <v>21948</v>
      </c>
      <c r="W89" s="382">
        <f t="shared" ref="W89:W95" si="115">+V89*F89</f>
        <v>658440</v>
      </c>
      <c r="X89" s="568"/>
      <c r="Y89" s="222"/>
    </row>
    <row r="90" spans="1:29" ht="13" outlineLevel="1" x14ac:dyDescent="0.3">
      <c r="A90" s="1003"/>
      <c r="B90" s="514">
        <v>11.02</v>
      </c>
      <c r="C90" s="525" t="s">
        <v>75</v>
      </c>
      <c r="D90" s="516" t="s">
        <v>420</v>
      </c>
      <c r="E90" s="593" t="s">
        <v>109</v>
      </c>
      <c r="F90" s="538">
        <f>+[2]Locales!BM144</f>
        <v>185</v>
      </c>
      <c r="G90" s="518"/>
      <c r="H90" s="562">
        <f>+'[2]APU 09.24'!E36</f>
        <v>7250.1086533719017</v>
      </c>
      <c r="I90" s="519">
        <f>G90+H90</f>
        <v>7250.1086533719017</v>
      </c>
      <c r="J90" s="518"/>
      <c r="K90" s="562">
        <f>+'[2]APU 09.24'!H36</f>
        <v>9992.0861533187654</v>
      </c>
      <c r="L90" s="519">
        <f>J90+K90</f>
        <v>9992.0861533187654</v>
      </c>
      <c r="M90" s="562">
        <f>+'[2]APU 09.24'!K36</f>
        <v>219.89812852357096</v>
      </c>
      <c r="N90" s="519">
        <f t="shared" si="107"/>
        <v>17462.092935214238</v>
      </c>
      <c r="O90" s="520">
        <f t="shared" si="108"/>
        <v>0</v>
      </c>
      <c r="P90" s="520">
        <f t="shared" si="109"/>
        <v>1341270.1008738019</v>
      </c>
      <c r="Q90" s="520">
        <f t="shared" si="110"/>
        <v>0</v>
      </c>
      <c r="R90" s="520">
        <f t="shared" si="111"/>
        <v>1848535.9383639717</v>
      </c>
      <c r="S90" s="520">
        <f t="shared" si="112"/>
        <v>40681.153776860629</v>
      </c>
      <c r="T90" s="521">
        <f t="shared" si="113"/>
        <v>3230487.1930146343</v>
      </c>
      <c r="U90" s="462"/>
      <c r="V90" s="382">
        <f t="shared" si="114"/>
        <v>21948</v>
      </c>
      <c r="W90" s="382">
        <f t="shared" si="115"/>
        <v>4060380</v>
      </c>
      <c r="X90" s="462"/>
      <c r="Y90" s="222"/>
    </row>
    <row r="91" spans="1:29" ht="13" outlineLevel="1" x14ac:dyDescent="0.3">
      <c r="A91" s="1003"/>
      <c r="B91" s="514">
        <v>11.03</v>
      </c>
      <c r="C91" s="525" t="s">
        <v>75</v>
      </c>
      <c r="D91" s="516" t="s">
        <v>421</v>
      </c>
      <c r="E91" s="593" t="s">
        <v>109</v>
      </c>
      <c r="F91" s="538">
        <f>+[2]Locales!BK144</f>
        <v>942</v>
      </c>
      <c r="G91" s="518"/>
      <c r="H91" s="562">
        <f>+'[2]APU 09.24'!E36</f>
        <v>7250.1086533719017</v>
      </c>
      <c r="I91" s="519">
        <f t="shared" ref="I91:I94" si="116">G91+H91</f>
        <v>7250.1086533719017</v>
      </c>
      <c r="J91" s="518"/>
      <c r="K91" s="562">
        <f>+'[2]APU 09.24'!H36</f>
        <v>9992.0861533187654</v>
      </c>
      <c r="L91" s="519">
        <f t="shared" ref="L91:L95" si="117">J91+K91</f>
        <v>9992.0861533187654</v>
      </c>
      <c r="M91" s="562">
        <f>+'[2]APU 09.24'!K36</f>
        <v>219.89812852357096</v>
      </c>
      <c r="N91" s="519">
        <f t="shared" si="107"/>
        <v>17462.092935214238</v>
      </c>
      <c r="O91" s="520">
        <f t="shared" si="108"/>
        <v>0</v>
      </c>
      <c r="P91" s="520">
        <f t="shared" si="109"/>
        <v>6829602.3514763312</v>
      </c>
      <c r="Q91" s="520">
        <f t="shared" si="110"/>
        <v>0</v>
      </c>
      <c r="R91" s="520">
        <f t="shared" si="111"/>
        <v>9412545.156426277</v>
      </c>
      <c r="S91" s="520">
        <f t="shared" si="112"/>
        <v>207144.03706920386</v>
      </c>
      <c r="T91" s="521">
        <f t="shared" si="113"/>
        <v>16449291.544971811</v>
      </c>
      <c r="U91" s="462"/>
      <c r="V91" s="382">
        <f t="shared" si="114"/>
        <v>21948</v>
      </c>
      <c r="W91" s="382">
        <f t="shared" si="115"/>
        <v>20675016</v>
      </c>
      <c r="X91" s="462"/>
      <c r="Y91" s="222"/>
    </row>
    <row r="92" spans="1:29" ht="13" outlineLevel="1" x14ac:dyDescent="0.3">
      <c r="A92" s="1003"/>
      <c r="B92" s="514">
        <v>11.04</v>
      </c>
      <c r="C92" s="525" t="s">
        <v>75</v>
      </c>
      <c r="D92" s="516" t="s">
        <v>422</v>
      </c>
      <c r="E92" s="593" t="s">
        <v>109</v>
      </c>
      <c r="F92" s="538">
        <f>+[2]Locales!BL144</f>
        <v>110</v>
      </c>
      <c r="G92" s="518"/>
      <c r="H92" s="562">
        <f>+'[2]APU 09.24'!E37</f>
        <v>7250.1086533719017</v>
      </c>
      <c r="I92" s="519">
        <f t="shared" si="116"/>
        <v>7250.1086533719017</v>
      </c>
      <c r="J92" s="518"/>
      <c r="K92" s="562">
        <f>+'[2]APU 09.24'!H37</f>
        <v>12989.711999314395</v>
      </c>
      <c r="L92" s="519">
        <f t="shared" si="117"/>
        <v>12989.711999314395</v>
      </c>
      <c r="M92" s="562">
        <f>+'[2]APU 09.24'!K37</f>
        <v>285.86756708064229</v>
      </c>
      <c r="N92" s="519">
        <f t="shared" si="107"/>
        <v>20525.688219766937</v>
      </c>
      <c r="O92" s="520">
        <f t="shared" si="108"/>
        <v>0</v>
      </c>
      <c r="P92" s="520">
        <f t="shared" si="109"/>
        <v>797511.95187090919</v>
      </c>
      <c r="Q92" s="520">
        <f t="shared" si="110"/>
        <v>0</v>
      </c>
      <c r="R92" s="520">
        <f t="shared" si="111"/>
        <v>1428868.3199245834</v>
      </c>
      <c r="S92" s="520">
        <f t="shared" si="112"/>
        <v>31445.432378870653</v>
      </c>
      <c r="T92" s="521">
        <f t="shared" si="113"/>
        <v>2257825.7041743631</v>
      </c>
      <c r="U92" s="462"/>
      <c r="V92" s="382">
        <f t="shared" si="114"/>
        <v>25799</v>
      </c>
      <c r="W92" s="382">
        <f t="shared" si="115"/>
        <v>2837890</v>
      </c>
      <c r="X92" s="462"/>
      <c r="Y92" s="222"/>
    </row>
    <row r="93" spans="1:29" s="221" customFormat="1" ht="13" outlineLevel="1" x14ac:dyDescent="0.3">
      <c r="A93" s="1007"/>
      <c r="B93" s="514">
        <v>11.05</v>
      </c>
      <c r="C93" s="525" t="s">
        <v>75</v>
      </c>
      <c r="D93" s="516" t="s">
        <v>327</v>
      </c>
      <c r="E93" s="537" t="s">
        <v>109</v>
      </c>
      <c r="F93" s="538">
        <f>+[2]Locales!BN144</f>
        <v>128</v>
      </c>
      <c r="G93" s="518"/>
      <c r="H93" s="562">
        <f>+'[2]APU 09.24'!E29</f>
        <v>3816.1086480000013</v>
      </c>
      <c r="I93" s="519">
        <f t="shared" si="116"/>
        <v>3816.1086480000013</v>
      </c>
      <c r="J93" s="518"/>
      <c r="K93" s="562">
        <f>+'[2]APU 09.24'!H29</f>
        <v>8702.6232034659097</v>
      </c>
      <c r="L93" s="519">
        <f t="shared" si="117"/>
        <v>8702.6232034659097</v>
      </c>
      <c r="M93" s="562">
        <f>+'[2]APU 09.24'!K29</f>
        <v>274.73130856678659</v>
      </c>
      <c r="N93" s="519">
        <f t="shared" si="107"/>
        <v>12793.463160032697</v>
      </c>
      <c r="O93" s="520">
        <f t="shared" si="108"/>
        <v>0</v>
      </c>
      <c r="P93" s="520">
        <f t="shared" si="109"/>
        <v>488461.90694400016</v>
      </c>
      <c r="Q93" s="520">
        <f t="shared" si="110"/>
        <v>0</v>
      </c>
      <c r="R93" s="520">
        <f t="shared" si="111"/>
        <v>1113935.7700436364</v>
      </c>
      <c r="S93" s="520">
        <f t="shared" si="112"/>
        <v>35165.607496548684</v>
      </c>
      <c r="T93" s="521">
        <f t="shared" si="113"/>
        <v>1637563.2844841853</v>
      </c>
      <c r="U93" s="462"/>
      <c r="V93" s="382">
        <f t="shared" si="114"/>
        <v>16080</v>
      </c>
      <c r="W93" s="382">
        <f t="shared" si="115"/>
        <v>2058240</v>
      </c>
      <c r="X93" s="559"/>
      <c r="Y93" s="159"/>
      <c r="Z93" s="560"/>
      <c r="AC93" s="560"/>
    </row>
    <row r="94" spans="1:29" ht="13" outlineLevel="1" x14ac:dyDescent="0.3">
      <c r="A94" s="1003"/>
      <c r="B94" s="514">
        <v>11.06</v>
      </c>
      <c r="C94" s="525" t="s">
        <v>75</v>
      </c>
      <c r="D94" s="516" t="s">
        <v>423</v>
      </c>
      <c r="E94" s="593" t="s">
        <v>109</v>
      </c>
      <c r="F94" s="538">
        <f>+[2]Locales!BP144</f>
        <v>48</v>
      </c>
      <c r="G94" s="518"/>
      <c r="H94" s="562">
        <f>+'[2]APU 09.24'!E36</f>
        <v>7250.1086533719017</v>
      </c>
      <c r="I94" s="519">
        <f t="shared" si="116"/>
        <v>7250.1086533719017</v>
      </c>
      <c r="J94" s="518"/>
      <c r="K94" s="562">
        <f>+'[2]APU 09.24'!H36</f>
        <v>9992.0861533187654</v>
      </c>
      <c r="L94" s="519">
        <f t="shared" si="117"/>
        <v>9992.0861533187654</v>
      </c>
      <c r="M94" s="562">
        <f>+'[2]APU 09.24'!K36</f>
        <v>219.89812852357096</v>
      </c>
      <c r="N94" s="519">
        <f t="shared" si="107"/>
        <v>17462.092935214238</v>
      </c>
      <c r="O94" s="520">
        <f t="shared" si="108"/>
        <v>0</v>
      </c>
      <c r="P94" s="520">
        <f t="shared" si="109"/>
        <v>348005.21536185127</v>
      </c>
      <c r="Q94" s="520">
        <f t="shared" si="110"/>
        <v>0</v>
      </c>
      <c r="R94" s="520">
        <f t="shared" si="111"/>
        <v>479620.13535930077</v>
      </c>
      <c r="S94" s="520">
        <f t="shared" si="112"/>
        <v>10555.110169131407</v>
      </c>
      <c r="T94" s="521">
        <f t="shared" si="113"/>
        <v>838180.46089028346</v>
      </c>
      <c r="U94" s="462"/>
      <c r="V94" s="382">
        <f t="shared" si="114"/>
        <v>21948</v>
      </c>
      <c r="W94" s="382">
        <f t="shared" si="115"/>
        <v>1053504</v>
      </c>
      <c r="X94" s="568"/>
      <c r="Y94" s="222"/>
    </row>
    <row r="95" spans="1:29" ht="13" outlineLevel="1" x14ac:dyDescent="0.3">
      <c r="A95" s="1003"/>
      <c r="B95" s="514">
        <v>11.07</v>
      </c>
      <c r="C95" s="527" t="s">
        <v>79</v>
      </c>
      <c r="D95" s="528" t="s">
        <v>328</v>
      </c>
      <c r="E95" s="603" t="s">
        <v>109</v>
      </c>
      <c r="F95" s="554">
        <f>+[2]Locales!BI144</f>
        <v>226</v>
      </c>
      <c r="G95" s="533">
        <f>+[2]Tareas!H135</f>
        <v>44376.421876106186</v>
      </c>
      <c r="H95" s="533">
        <f>+[2]Tareas!I135</f>
        <v>0</v>
      </c>
      <c r="I95" s="531">
        <f>G95+H95</f>
        <v>44376.421876106186</v>
      </c>
      <c r="J95" s="533">
        <f>+[2]Tareas!Q135</f>
        <v>1659.2920353982302</v>
      </c>
      <c r="K95" s="533">
        <f>+[2]Tareas!R135</f>
        <v>11877.483062341447</v>
      </c>
      <c r="L95" s="531">
        <f t="shared" si="117"/>
        <v>13536.775097739677</v>
      </c>
      <c r="M95" s="533">
        <f>(I95+L95)*0.015</f>
        <v>868.69795460768796</v>
      </c>
      <c r="N95" s="531">
        <f>I95+L95+M95</f>
        <v>58781.894928453556</v>
      </c>
      <c r="O95" s="534">
        <f>G95*F95</f>
        <v>10029071.343999999</v>
      </c>
      <c r="P95" s="534">
        <f>H95*F95</f>
        <v>0</v>
      </c>
      <c r="Q95" s="534">
        <f>J95*F95</f>
        <v>375000</v>
      </c>
      <c r="R95" s="534">
        <f t="shared" si="111"/>
        <v>2684311.1720891669</v>
      </c>
      <c r="S95" s="534">
        <f>+M95*F95</f>
        <v>196325.73774133748</v>
      </c>
      <c r="T95" s="535">
        <f>SUM(O95:S95)</f>
        <v>13284708.253830504</v>
      </c>
      <c r="U95" s="583"/>
      <c r="V95" s="382">
        <f t="shared" si="114"/>
        <v>73882</v>
      </c>
      <c r="W95" s="382">
        <f t="shared" si="115"/>
        <v>16697332</v>
      </c>
      <c r="X95" s="462"/>
      <c r="Y95" s="222"/>
    </row>
    <row r="96" spans="1:29" ht="13" x14ac:dyDescent="0.3">
      <c r="A96" s="1005"/>
      <c r="B96" s="500">
        <v>12</v>
      </c>
      <c r="C96" s="501"/>
      <c r="D96" s="380" t="s">
        <v>329</v>
      </c>
      <c r="E96" s="213"/>
      <c r="F96" s="502"/>
      <c r="G96" s="502"/>
      <c r="H96" s="502"/>
      <c r="I96" s="502"/>
      <c r="J96" s="502"/>
      <c r="K96" s="502"/>
      <c r="L96" s="502"/>
      <c r="M96" s="502"/>
      <c r="N96" s="503"/>
      <c r="O96" s="502"/>
      <c r="P96" s="502"/>
      <c r="Q96" s="502"/>
      <c r="R96" s="502"/>
      <c r="S96" s="502"/>
      <c r="T96" s="502"/>
      <c r="U96" s="504">
        <f>SUM(T97:T101)</f>
        <v>8769049.6313986629</v>
      </c>
      <c r="V96" s="502"/>
      <c r="W96" s="502"/>
      <c r="X96" s="505">
        <f>SUM(W97:W101)</f>
        <v>11022518</v>
      </c>
      <c r="Y96" s="159">
        <f>+X96/$X$216</f>
        <v>9.7769123958532569E-3</v>
      </c>
      <c r="Z96" s="458">
        <f>+X96</f>
        <v>11022518</v>
      </c>
    </row>
    <row r="97" spans="1:29" ht="13" outlineLevel="1" x14ac:dyDescent="0.3">
      <c r="A97" s="1009"/>
      <c r="B97" s="506">
        <f>+B96+0.01</f>
        <v>12.01</v>
      </c>
      <c r="C97" s="555" t="s">
        <v>79</v>
      </c>
      <c r="D97" s="508" t="s">
        <v>330</v>
      </c>
      <c r="E97" s="587" t="s">
        <v>124</v>
      </c>
      <c r="F97" s="556">
        <f>+[2]Locales!BQ144</f>
        <v>779</v>
      </c>
      <c r="G97" s="582">
        <f>+[2]Tareas!H148</f>
        <v>3132.231404958678</v>
      </c>
      <c r="H97" s="582">
        <f>+[2]Tareas!I148</f>
        <v>0</v>
      </c>
      <c r="I97" s="509">
        <f>G97+H97</f>
        <v>3132.231404958678</v>
      </c>
      <c r="J97" s="582">
        <f>+[2]Tareas!Q148</f>
        <v>0</v>
      </c>
      <c r="K97" s="582">
        <f>+[2]Tareas!R148</f>
        <v>2684.888248793714</v>
      </c>
      <c r="L97" s="509">
        <f>J97+K97</f>
        <v>2684.888248793714</v>
      </c>
      <c r="M97" s="582">
        <f>(I97+L97)*0.015</f>
        <v>87.256794806285882</v>
      </c>
      <c r="N97" s="509">
        <f>I97+L97+M97</f>
        <v>5904.376448558678</v>
      </c>
      <c r="O97" s="510">
        <f>G97*F97</f>
        <v>2440008.26446281</v>
      </c>
      <c r="P97" s="510">
        <f>H97*F97</f>
        <v>0</v>
      </c>
      <c r="Q97" s="510">
        <f>J97*F97</f>
        <v>0</v>
      </c>
      <c r="R97" s="510">
        <f>K97*F97</f>
        <v>2091527.9458103031</v>
      </c>
      <c r="S97" s="510">
        <f>+M97*F97</f>
        <v>67973.043154096697</v>
      </c>
      <c r="T97" s="511">
        <f>SUM(O97:S97)</f>
        <v>4599509.2534272093</v>
      </c>
      <c r="U97" s="522"/>
      <c r="V97" s="382">
        <f>+ROUNDUP(N97*$U$5,0)</f>
        <v>7422</v>
      </c>
      <c r="W97" s="382">
        <f>+V97*F97</f>
        <v>5781738</v>
      </c>
      <c r="Y97" s="159"/>
    </row>
    <row r="98" spans="1:29" ht="13" outlineLevel="1" x14ac:dyDescent="0.3">
      <c r="A98" s="1003"/>
      <c r="B98" s="588">
        <v>12.02</v>
      </c>
      <c r="C98" s="589" t="s">
        <v>75</v>
      </c>
      <c r="D98" s="516" t="s">
        <v>324</v>
      </c>
      <c r="E98" s="591" t="s">
        <v>124</v>
      </c>
      <c r="F98" s="592">
        <f>+[2]Locales!BT144</f>
        <v>155</v>
      </c>
      <c r="G98" s="604"/>
      <c r="H98" s="562">
        <f>+'[2]APU 09.24'!E21</f>
        <v>758.10738300000003</v>
      </c>
      <c r="I98" s="519">
        <f>G98+H98</f>
        <v>758.10738300000003</v>
      </c>
      <c r="J98" s="604"/>
      <c r="K98" s="562">
        <f>+'[2]APU 09.24'!H21</f>
        <v>3395.9551113285988</v>
      </c>
      <c r="L98" s="519">
        <f>J98+K98</f>
        <v>3395.9551113285988</v>
      </c>
      <c r="M98" s="562">
        <f>+'[2]APU 09.24'!K21</f>
        <v>122.76855228141865</v>
      </c>
      <c r="N98" s="519">
        <f>I98+L98+M98</f>
        <v>4276.8310466100174</v>
      </c>
      <c r="O98" s="520">
        <f>G98*F98</f>
        <v>0</v>
      </c>
      <c r="P98" s="520">
        <f>H98*F98</f>
        <v>117506.644365</v>
      </c>
      <c r="Q98" s="520">
        <f>J98*F98</f>
        <v>0</v>
      </c>
      <c r="R98" s="520">
        <f>K98*F98</f>
        <v>526373.04225593281</v>
      </c>
      <c r="S98" s="520">
        <f>+M98*F98</f>
        <v>19029.12560361989</v>
      </c>
      <c r="T98" s="521">
        <f>SUM(O98:S98)</f>
        <v>662908.81222455262</v>
      </c>
      <c r="U98" s="522"/>
      <c r="V98" s="382">
        <f>+ROUNDUP(N98*$U$5,0)</f>
        <v>5376</v>
      </c>
      <c r="W98" s="382">
        <f>+V98*F98</f>
        <v>833280</v>
      </c>
      <c r="Y98" s="159"/>
    </row>
    <row r="99" spans="1:29" ht="13" outlineLevel="1" x14ac:dyDescent="0.3">
      <c r="A99" s="1003"/>
      <c r="B99" s="588">
        <v>12.03</v>
      </c>
      <c r="C99" s="589" t="s">
        <v>75</v>
      </c>
      <c r="D99" s="590" t="s">
        <v>424</v>
      </c>
      <c r="E99" s="591" t="s">
        <v>124</v>
      </c>
      <c r="F99" s="592">
        <f>+[2]Locales!BR144</f>
        <v>37</v>
      </c>
      <c r="G99" s="604"/>
      <c r="H99" s="562">
        <f>+'[2]APU 09.24'!E38</f>
        <v>1185.4173163966941</v>
      </c>
      <c r="I99" s="519">
        <f>G99+H99</f>
        <v>1185.4173163966941</v>
      </c>
      <c r="J99" s="604"/>
      <c r="K99" s="562">
        <f>+'[2]APU 09.24'!H38</f>
        <v>4329.9039997714654</v>
      </c>
      <c r="L99" s="519">
        <f>J99+K99</f>
        <v>4329.9039997714654</v>
      </c>
      <c r="M99" s="562">
        <f>+'[2]APU 09.24'!K38</f>
        <v>95.289189026880749</v>
      </c>
      <c r="N99" s="519">
        <f>I99+L99+M99</f>
        <v>5610.6105051950408</v>
      </c>
      <c r="O99" s="520">
        <f>G99*F99</f>
        <v>0</v>
      </c>
      <c r="P99" s="520">
        <f>H99*F99</f>
        <v>43860.440706677684</v>
      </c>
      <c r="Q99" s="520">
        <f>J99*F99</f>
        <v>0</v>
      </c>
      <c r="R99" s="520">
        <f>K99*F99</f>
        <v>160206.44799154421</v>
      </c>
      <c r="S99" s="520">
        <f>+M99*F99</f>
        <v>3525.6999939945877</v>
      </c>
      <c r="T99" s="521">
        <f>SUM(O99:S99)</f>
        <v>207592.58869221646</v>
      </c>
      <c r="U99" s="522"/>
      <c r="V99" s="382">
        <f>+ROUNDUP(N99*$U$5,0)</f>
        <v>7052</v>
      </c>
      <c r="W99" s="382">
        <f>+V99*F99</f>
        <v>260924</v>
      </c>
      <c r="Y99" s="159"/>
    </row>
    <row r="100" spans="1:29" ht="13" outlineLevel="1" x14ac:dyDescent="0.3">
      <c r="A100" s="1003"/>
      <c r="B100" s="588">
        <v>12.04</v>
      </c>
      <c r="C100" s="589" t="s">
        <v>75</v>
      </c>
      <c r="D100" s="590" t="s">
        <v>425</v>
      </c>
      <c r="E100" s="591" t="s">
        <v>124</v>
      </c>
      <c r="F100" s="592">
        <f>+[2]Locales!BS144</f>
        <v>433</v>
      </c>
      <c r="G100" s="604"/>
      <c r="H100" s="562">
        <f>+'[2]APU 09.24'!E38</f>
        <v>1185.4173163966941</v>
      </c>
      <c r="I100" s="519">
        <f>G100+H100</f>
        <v>1185.4173163966941</v>
      </c>
      <c r="J100" s="604"/>
      <c r="K100" s="562">
        <f>+'[2]APU 09.24'!H38</f>
        <v>4329.9039997714654</v>
      </c>
      <c r="L100" s="519">
        <f>J100+K100</f>
        <v>4329.9039997714654</v>
      </c>
      <c r="M100" s="562">
        <f>+'[2]APU 09.24'!K38</f>
        <v>95.289189026880749</v>
      </c>
      <c r="N100" s="519">
        <f>I100+L100+M100</f>
        <v>5610.6105051950408</v>
      </c>
      <c r="O100" s="520">
        <f>G100*F100</f>
        <v>0</v>
      </c>
      <c r="P100" s="520">
        <f>H100*F100</f>
        <v>513285.69799976854</v>
      </c>
      <c r="Q100" s="520">
        <f>J100*F100</f>
        <v>0</v>
      </c>
      <c r="R100" s="520">
        <f>K100*F100</f>
        <v>1874848.4319010444</v>
      </c>
      <c r="S100" s="520">
        <f>+M100*F100</f>
        <v>41260.218848639364</v>
      </c>
      <c r="T100" s="521">
        <f>SUM(O100:S100)</f>
        <v>2429394.3487494523</v>
      </c>
      <c r="U100" s="522"/>
      <c r="V100" s="382">
        <f>+ROUNDUP(N100*$U$5,0)</f>
        <v>7052</v>
      </c>
      <c r="W100" s="382">
        <f>+V100*F100</f>
        <v>3053516</v>
      </c>
      <c r="Y100" s="159"/>
    </row>
    <row r="101" spans="1:29" ht="13" outlineLevel="1" x14ac:dyDescent="0.3">
      <c r="A101" s="1003"/>
      <c r="B101" s="514">
        <v>12.05</v>
      </c>
      <c r="C101" s="525" t="s">
        <v>75</v>
      </c>
      <c r="D101" s="605" t="s">
        <v>426</v>
      </c>
      <c r="E101" s="593" t="s">
        <v>124</v>
      </c>
      <c r="F101" s="538">
        <f>+[2]Locales!BT144</f>
        <v>155</v>
      </c>
      <c r="G101" s="518"/>
      <c r="H101" s="562">
        <f>+'[2]APU 09.24'!E38</f>
        <v>1185.4173163966941</v>
      </c>
      <c r="I101" s="519">
        <f>G101+H101</f>
        <v>1185.4173163966941</v>
      </c>
      <c r="J101" s="518"/>
      <c r="K101" s="562">
        <f>+'[2]APU 09.24'!H38</f>
        <v>4329.9039997714654</v>
      </c>
      <c r="L101" s="519">
        <f>J101+K101</f>
        <v>4329.9039997714654</v>
      </c>
      <c r="M101" s="562">
        <f>+'[2]APU 09.24'!K38</f>
        <v>95.289189026880749</v>
      </c>
      <c r="N101" s="519">
        <f>I101+L101+M101</f>
        <v>5610.6105051950408</v>
      </c>
      <c r="O101" s="520">
        <f>G101*F101</f>
        <v>0</v>
      </c>
      <c r="P101" s="520">
        <f>H101*F101</f>
        <v>183739.68404148758</v>
      </c>
      <c r="Q101" s="520">
        <f>J101*F101</f>
        <v>0</v>
      </c>
      <c r="R101" s="520">
        <f>K101*F101</f>
        <v>671135.11996457714</v>
      </c>
      <c r="S101" s="520">
        <f>+M101*F101</f>
        <v>14769.824299166516</v>
      </c>
      <c r="T101" s="521">
        <f>SUM(O101:S101)</f>
        <v>869644.62830523134</v>
      </c>
      <c r="U101" s="522"/>
      <c r="V101" s="382">
        <f>+ROUNDUP(N101*$U$5,0)</f>
        <v>7052</v>
      </c>
      <c r="W101" s="382">
        <f>+V101*F101</f>
        <v>1093060</v>
      </c>
      <c r="Y101" s="159"/>
    </row>
    <row r="102" spans="1:29" ht="13" x14ac:dyDescent="0.3">
      <c r="A102" s="1005"/>
      <c r="B102" s="500">
        <v>13</v>
      </c>
      <c r="C102" s="501"/>
      <c r="D102" s="380" t="s">
        <v>331</v>
      </c>
      <c r="E102" s="213"/>
      <c r="F102" s="502"/>
      <c r="G102" s="502"/>
      <c r="H102" s="502"/>
      <c r="I102" s="502"/>
      <c r="J102" s="502"/>
      <c r="K102" s="502"/>
      <c r="L102" s="502"/>
      <c r="M102" s="502"/>
      <c r="N102" s="503"/>
      <c r="O102" s="502"/>
      <c r="P102" s="502"/>
      <c r="Q102" s="502"/>
      <c r="R102" s="502"/>
      <c r="S102" s="502"/>
      <c r="T102" s="502"/>
      <c r="U102" s="504">
        <f>SUM(T103:T106)</f>
        <v>15460934.564319279</v>
      </c>
      <c r="V102" s="502"/>
      <c r="W102" s="502"/>
      <c r="X102" s="505">
        <f>SUM(W103:W106)</f>
        <v>19433086.480999999</v>
      </c>
      <c r="Y102" s="159">
        <f>+X102/$X$216</f>
        <v>1.7237040039832754E-2</v>
      </c>
      <c r="Z102" s="458">
        <f>+X102</f>
        <v>19433086.480999999</v>
      </c>
    </row>
    <row r="103" spans="1:29" ht="13" outlineLevel="1" x14ac:dyDescent="0.3">
      <c r="A103" s="1003"/>
      <c r="B103" s="525">
        <v>13.01</v>
      </c>
      <c r="C103" s="525" t="s">
        <v>75</v>
      </c>
      <c r="D103" s="584" t="s">
        <v>427</v>
      </c>
      <c r="E103" s="227" t="s">
        <v>109</v>
      </c>
      <c r="F103" s="517">
        <f>+[2]Locales!BW144</f>
        <v>511</v>
      </c>
      <c r="G103" s="562"/>
      <c r="H103" s="562">
        <f>+'[2]APU 09.24'!E37</f>
        <v>7250.1086533719017</v>
      </c>
      <c r="I103" s="519">
        <f>G103+H103</f>
        <v>7250.1086533719017</v>
      </c>
      <c r="J103" s="562"/>
      <c r="K103" s="562">
        <f>+'[2]APU 09.24'!H37</f>
        <v>12989.711999314395</v>
      </c>
      <c r="L103" s="519">
        <f>J103+K103</f>
        <v>12989.711999314395</v>
      </c>
      <c r="M103" s="562">
        <f>+'[2]APU 09.24'!K37</f>
        <v>285.86756708064229</v>
      </c>
      <c r="N103" s="519">
        <f>I103+L103+M103</f>
        <v>20525.688219766937</v>
      </c>
      <c r="O103" s="520">
        <f>G103*F103</f>
        <v>0</v>
      </c>
      <c r="P103" s="520">
        <f>H103*F103</f>
        <v>3704805.521873042</v>
      </c>
      <c r="Q103" s="520">
        <f>J103*F103</f>
        <v>0</v>
      </c>
      <c r="R103" s="520">
        <f>K103*F103</f>
        <v>6637742.8316496555</v>
      </c>
      <c r="S103" s="520">
        <f>+M103*F103</f>
        <v>146078.3267782082</v>
      </c>
      <c r="T103" s="521">
        <f>SUM(O103:S103)</f>
        <v>10488626.680300906</v>
      </c>
      <c r="U103" s="462"/>
      <c r="V103" s="382">
        <f>+ROUNDUP(N103*$U$5,0)</f>
        <v>25799</v>
      </c>
      <c r="W103" s="382">
        <f>+V103*F103</f>
        <v>13183289</v>
      </c>
      <c r="Y103" s="159"/>
    </row>
    <row r="104" spans="1:29" ht="13" outlineLevel="1" x14ac:dyDescent="0.3">
      <c r="A104" s="1003"/>
      <c r="B104" s="525">
        <v>13.02</v>
      </c>
      <c r="C104" s="525"/>
      <c r="D104" s="584" t="s">
        <v>428</v>
      </c>
      <c r="E104" s="227" t="s">
        <v>109</v>
      </c>
      <c r="F104" s="517">
        <f>+[2]Locales!BV144</f>
        <v>40</v>
      </c>
      <c r="G104" s="562"/>
      <c r="H104" s="562">
        <f>+'[2]APU 09.24'!E37</f>
        <v>7250.1086533719017</v>
      </c>
      <c r="I104" s="519">
        <f>G104+H104</f>
        <v>7250.1086533719017</v>
      </c>
      <c r="J104" s="562"/>
      <c r="K104" s="562">
        <f>+'[2]APU 09.24'!H37</f>
        <v>12989.711999314395</v>
      </c>
      <c r="L104" s="519">
        <f>J104+K104</f>
        <v>12989.711999314395</v>
      </c>
      <c r="M104" s="562">
        <f>+'[2]APU 09.24'!K37</f>
        <v>285.86756708064229</v>
      </c>
      <c r="N104" s="519">
        <f>I104+L104+M104</f>
        <v>20525.688219766937</v>
      </c>
      <c r="O104" s="520">
        <f>G104*F104</f>
        <v>0</v>
      </c>
      <c r="P104" s="520">
        <f>H104*F104</f>
        <v>290004.34613487608</v>
      </c>
      <c r="Q104" s="520">
        <f>J104*F104</f>
        <v>0</v>
      </c>
      <c r="R104" s="520">
        <f>K104*F104</f>
        <v>519588.47997257579</v>
      </c>
      <c r="S104" s="520">
        <f>+M104*F104</f>
        <v>11434.702683225692</v>
      </c>
      <c r="T104" s="521">
        <f>SUM(O104:S104)</f>
        <v>821027.52879067766</v>
      </c>
      <c r="U104" s="462"/>
      <c r="V104" s="382">
        <f>+ROUNDUP(N104*$U$5,0)</f>
        <v>25799</v>
      </c>
      <c r="W104" s="382">
        <f>+V104*F104</f>
        <v>1031960</v>
      </c>
      <c r="Y104" s="159"/>
    </row>
    <row r="105" spans="1:29" ht="13" outlineLevel="1" x14ac:dyDescent="0.3">
      <c r="A105" s="1003"/>
      <c r="B105" s="525">
        <v>13.03</v>
      </c>
      <c r="C105" s="525" t="s">
        <v>75</v>
      </c>
      <c r="D105" s="516" t="s">
        <v>429</v>
      </c>
      <c r="E105" s="593" t="s">
        <v>109</v>
      </c>
      <c r="F105" s="538">
        <f>+[2]Computo!H169</f>
        <v>147.60100000000003</v>
      </c>
      <c r="G105" s="518"/>
      <c r="H105" s="562">
        <f>+'[2]APU 09.24'!E36</f>
        <v>7250.1086533719017</v>
      </c>
      <c r="I105" s="519">
        <f>G105+H105</f>
        <v>7250.1086533719017</v>
      </c>
      <c r="J105" s="565">
        <f>+K105*0.25</f>
        <v>3247.4279998285988</v>
      </c>
      <c r="K105" s="562">
        <f>+'[2]APU 09.24'!H37</f>
        <v>12989.711999314395</v>
      </c>
      <c r="L105" s="519">
        <f>J105+K105</f>
        <v>16237.139999142993</v>
      </c>
      <c r="M105" s="562">
        <f>+'[2]APU 09.24'!K37</f>
        <v>285.86756708064229</v>
      </c>
      <c r="N105" s="519">
        <f>I105+L105+M105</f>
        <v>23773.116219595537</v>
      </c>
      <c r="O105" s="520">
        <f>G105*F105</f>
        <v>0</v>
      </c>
      <c r="P105" s="520">
        <f>H105*F105</f>
        <v>1070123.2873463463</v>
      </c>
      <c r="Q105" s="520">
        <f>J105*F105</f>
        <v>479323.62020270107</v>
      </c>
      <c r="R105" s="520">
        <f>K105*F105</f>
        <v>1917294.4808108043</v>
      </c>
      <c r="S105" s="520">
        <f>+M105*F105</f>
        <v>42194.338768669892</v>
      </c>
      <c r="T105" s="521">
        <f>SUM(O105:S105)</f>
        <v>3508935.7271285215</v>
      </c>
      <c r="U105" s="462"/>
      <c r="V105" s="382">
        <f>+ROUNDUP(N105*$U$5,0)</f>
        <v>29881</v>
      </c>
      <c r="W105" s="382">
        <f>+V105*F105</f>
        <v>4410465.4810000006</v>
      </c>
      <c r="X105" s="462"/>
      <c r="Y105" s="222"/>
    </row>
    <row r="106" spans="1:29" ht="13" outlineLevel="1" x14ac:dyDescent="0.3">
      <c r="A106" s="1003"/>
      <c r="B106" s="527">
        <v>13.04</v>
      </c>
      <c r="C106" s="527" t="s">
        <v>75</v>
      </c>
      <c r="D106" s="528" t="s">
        <v>332</v>
      </c>
      <c r="E106" s="606" t="s">
        <v>111</v>
      </c>
      <c r="F106" s="529">
        <f>+[2]Computo!E149</f>
        <v>41</v>
      </c>
      <c r="G106" s="164"/>
      <c r="H106" s="524">
        <f>+[2]Cotizaciones!D68</f>
        <v>15666.94214876033</v>
      </c>
      <c r="I106" s="531">
        <f>G106+H106</f>
        <v>15666.94214876033</v>
      </c>
      <c r="J106" s="164"/>
      <c r="K106" s="574"/>
      <c r="L106" s="531">
        <f>J106+K106</f>
        <v>0</v>
      </c>
      <c r="M106" s="574"/>
      <c r="N106" s="531">
        <f>I106+L106+M106</f>
        <v>15666.94214876033</v>
      </c>
      <c r="O106" s="534">
        <f>G106*F106</f>
        <v>0</v>
      </c>
      <c r="P106" s="534">
        <f>H106*F106</f>
        <v>642344.62809917354</v>
      </c>
      <c r="Q106" s="534">
        <f>J106*F106</f>
        <v>0</v>
      </c>
      <c r="R106" s="534">
        <f>K106*F106</f>
        <v>0</v>
      </c>
      <c r="S106" s="534">
        <f>+M106*F106</f>
        <v>0</v>
      </c>
      <c r="T106" s="535">
        <f>SUM(O106:S106)</f>
        <v>642344.62809917354</v>
      </c>
      <c r="U106" s="462"/>
      <c r="V106" s="607">
        <f>+ROUNDUP(N106*$U$5,0)</f>
        <v>19692</v>
      </c>
      <c r="W106" s="607">
        <f>+V106*F106</f>
        <v>807372</v>
      </c>
      <c r="Y106" s="159"/>
    </row>
    <row r="107" spans="1:29" s="221" customFormat="1" ht="13" x14ac:dyDescent="0.3">
      <c r="A107" s="1010"/>
      <c r="B107" s="500">
        <v>14</v>
      </c>
      <c r="C107" s="501"/>
      <c r="D107" s="380" t="s">
        <v>126</v>
      </c>
      <c r="E107" s="213"/>
      <c r="F107" s="502"/>
      <c r="G107" s="502"/>
      <c r="H107" s="502"/>
      <c r="I107" s="502"/>
      <c r="J107" s="502"/>
      <c r="K107" s="502"/>
      <c r="L107" s="502"/>
      <c r="M107" s="502"/>
      <c r="N107" s="503"/>
      <c r="O107" s="502"/>
      <c r="P107" s="502"/>
      <c r="Q107" s="502"/>
      <c r="R107" s="502"/>
      <c r="S107" s="502"/>
      <c r="T107" s="502"/>
      <c r="U107" s="504">
        <f>SUM(T108:T114)</f>
        <v>40015552.389827222</v>
      </c>
      <c r="V107" s="502"/>
      <c r="W107" s="502"/>
      <c r="X107" s="505">
        <f>SUM(W108:W114)</f>
        <v>50296168.959899999</v>
      </c>
      <c r="Y107" s="159">
        <f>+X107/$X$216</f>
        <v>4.4612423202028441E-2</v>
      </c>
      <c r="Z107" s="458">
        <f>+X107</f>
        <v>50296168.959899999</v>
      </c>
      <c r="AC107" s="560"/>
    </row>
    <row r="108" spans="1:29" ht="13" outlineLevel="1" x14ac:dyDescent="0.3">
      <c r="A108" s="1003"/>
      <c r="B108" s="506">
        <f>+B107+0.01</f>
        <v>14.01</v>
      </c>
      <c r="C108" s="555" t="s">
        <v>75</v>
      </c>
      <c r="D108" s="508" t="s">
        <v>208</v>
      </c>
      <c r="E108" s="598" t="s">
        <v>109</v>
      </c>
      <c r="F108" s="507">
        <f>+[2]Locales!AF144</f>
        <v>334.91519999999997</v>
      </c>
      <c r="G108" s="557">
        <f>+'[2]APU 09.24'!E40</f>
        <v>9357.531771197835</v>
      </c>
      <c r="H108" s="557"/>
      <c r="I108" s="509">
        <f>G108+H108</f>
        <v>9357.531771197835</v>
      </c>
      <c r="J108" s="557">
        <f>+'[2]APU 09.24'!H40</f>
        <v>13673.38105190989</v>
      </c>
      <c r="K108" s="557"/>
      <c r="L108" s="509">
        <f>J108+K108</f>
        <v>13673.38105190989</v>
      </c>
      <c r="M108" s="557">
        <f>+'[2]APU 09.24'!K40</f>
        <v>256.8223600688724</v>
      </c>
      <c r="N108" s="509">
        <f>I108+L108+M108</f>
        <v>23287.735183176599</v>
      </c>
      <c r="O108" s="510">
        <f t="shared" ref="O108:O114" si="118">G108*F108</f>
        <v>3133979.6246570768</v>
      </c>
      <c r="P108" s="510">
        <f t="shared" ref="P108:P114" si="119">H108*F108</f>
        <v>0</v>
      </c>
      <c r="Q108" s="510">
        <f t="shared" ref="Q108:Q114" si="120">J108*F108</f>
        <v>4579423.1496766107</v>
      </c>
      <c r="R108" s="510">
        <f t="shared" ref="R108:R114" si="121">K108*F108</f>
        <v>0</v>
      </c>
      <c r="S108" s="510">
        <f t="shared" ref="S108:S114" si="122">+M108*F108</f>
        <v>86013.712086938409</v>
      </c>
      <c r="T108" s="511">
        <f t="shared" ref="T108:T124" si="123">SUM(O108:S108)</f>
        <v>7799416.4864206258</v>
      </c>
      <c r="U108" s="522"/>
      <c r="V108" s="382">
        <f t="shared" ref="V108:V114" si="124">+ROUNDUP(N108*$U$5,0)</f>
        <v>29270</v>
      </c>
      <c r="W108" s="382">
        <f t="shared" ref="W108:W114" si="125">+V108*F108</f>
        <v>9802967.9039999992</v>
      </c>
      <c r="Y108" s="159"/>
    </row>
    <row r="109" spans="1:29" ht="13" outlineLevel="1" x14ac:dyDescent="0.3">
      <c r="A109" s="1003"/>
      <c r="B109" s="514">
        <f t="shared" ref="B109" si="126">+B108+0.01</f>
        <v>14.02</v>
      </c>
      <c r="C109" s="525" t="s">
        <v>75</v>
      </c>
      <c r="D109" s="516" t="s">
        <v>333</v>
      </c>
      <c r="E109" s="227" t="s">
        <v>109</v>
      </c>
      <c r="F109" s="517">
        <f>+[2]Locales!AG144</f>
        <v>280.3913</v>
      </c>
      <c r="G109" s="562">
        <f>+'[2]APU 09.24'!E41</f>
        <v>13094.309718890145</v>
      </c>
      <c r="H109" s="562"/>
      <c r="I109" s="519">
        <f t="shared" ref="I109:I113" si="127">G109+H109</f>
        <v>13094.309718890145</v>
      </c>
      <c r="J109" s="562">
        <f>+'[2]APU 09.24'!H41</f>
        <v>13673.38105190989</v>
      </c>
      <c r="K109" s="562"/>
      <c r="L109" s="519">
        <f t="shared" ref="L109:L112" si="128">J109+K109</f>
        <v>13673.38105190989</v>
      </c>
      <c r="M109" s="562">
        <f>+'[2]APU 09.24'!K41</f>
        <v>256.8223600688724</v>
      </c>
      <c r="N109" s="519">
        <f t="shared" ref="N109:N114" si="129">I109+L109+M109</f>
        <v>27024.513130868909</v>
      </c>
      <c r="O109" s="520">
        <f>G109*F109</f>
        <v>3671530.5246822424</v>
      </c>
      <c r="P109" s="520">
        <f>H109*F109</f>
        <v>0</v>
      </c>
      <c r="Q109" s="520">
        <f>J109*F109</f>
        <v>3833897.0885403813</v>
      </c>
      <c r="R109" s="520">
        <f>K109*F109</f>
        <v>0</v>
      </c>
      <c r="S109" s="520">
        <f>+M109*F109</f>
        <v>72010.755408779223</v>
      </c>
      <c r="T109" s="521">
        <f t="shared" ref="T109:T114" si="130">SUM(O109:S109)</f>
        <v>7577438.368631402</v>
      </c>
      <c r="U109" s="522"/>
      <c r="V109" s="382">
        <f t="shared" si="124"/>
        <v>33967</v>
      </c>
      <c r="W109" s="382">
        <f t="shared" si="125"/>
        <v>9524051.2871000003</v>
      </c>
      <c r="Y109" s="159"/>
    </row>
    <row r="110" spans="1:29" ht="13" outlineLevel="1" x14ac:dyDescent="0.3">
      <c r="A110" s="1003"/>
      <c r="B110" s="514">
        <v>14.03</v>
      </c>
      <c r="C110" s="525" t="s">
        <v>75</v>
      </c>
      <c r="D110" s="516" t="s">
        <v>334</v>
      </c>
      <c r="E110" s="227" t="s">
        <v>124</v>
      </c>
      <c r="F110" s="517">
        <f>+[2]Locales!AI144</f>
        <v>60.8</v>
      </c>
      <c r="G110" s="562">
        <f>+'[2]APU 09.24'!E40</f>
        <v>9357.531771197835</v>
      </c>
      <c r="H110" s="562"/>
      <c r="I110" s="519">
        <f t="shared" si="127"/>
        <v>9357.531771197835</v>
      </c>
      <c r="J110" s="562">
        <f>+'[2]APU 09.24'!H40</f>
        <v>13673.38105190989</v>
      </c>
      <c r="K110" s="562"/>
      <c r="L110" s="519">
        <f t="shared" si="128"/>
        <v>13673.38105190989</v>
      </c>
      <c r="M110" s="562">
        <f>+'[2]APU 09.24'!K40</f>
        <v>256.8223600688724</v>
      </c>
      <c r="N110" s="519">
        <f t="shared" si="129"/>
        <v>23287.735183176599</v>
      </c>
      <c r="O110" s="520">
        <f>G110*F110</f>
        <v>568937.93168882839</v>
      </c>
      <c r="P110" s="520">
        <f>H110*F110</f>
        <v>0</v>
      </c>
      <c r="Q110" s="520">
        <f>J110*F110</f>
        <v>831341.56795612129</v>
      </c>
      <c r="R110" s="520">
        <f>K110*F110</f>
        <v>0</v>
      </c>
      <c r="S110" s="520">
        <f>+M110*F110</f>
        <v>15614.799492187442</v>
      </c>
      <c r="T110" s="521">
        <f t="shared" si="130"/>
        <v>1415894.2991371369</v>
      </c>
      <c r="U110" s="522"/>
      <c r="V110" s="382">
        <f t="shared" si="124"/>
        <v>29270</v>
      </c>
      <c r="W110" s="382">
        <f t="shared" si="125"/>
        <v>1779616</v>
      </c>
      <c r="Y110" s="159"/>
    </row>
    <row r="111" spans="1:29" ht="13" outlineLevel="1" x14ac:dyDescent="0.3">
      <c r="A111" s="1003"/>
      <c r="B111" s="514">
        <v>14.04</v>
      </c>
      <c r="C111" s="525" t="s">
        <v>75</v>
      </c>
      <c r="D111" s="516" t="s">
        <v>209</v>
      </c>
      <c r="E111" s="227" t="s">
        <v>124</v>
      </c>
      <c r="F111" s="517">
        <f>+[2]Locales!AH144</f>
        <v>1058.3799999999997</v>
      </c>
      <c r="G111" s="562">
        <f>+'[2]APU 09.24'!E60</f>
        <v>1093.3011417</v>
      </c>
      <c r="H111" s="518"/>
      <c r="I111" s="519">
        <f t="shared" si="127"/>
        <v>1093.3011417</v>
      </c>
      <c r="J111" s="562">
        <f>+'[2]APU 09.24'!H60</f>
        <v>5007.5365484381318</v>
      </c>
      <c r="K111" s="518"/>
      <c r="L111" s="519">
        <f t="shared" si="128"/>
        <v>5007.5365484381318</v>
      </c>
      <c r="M111" s="562">
        <f>+'[2]APU 09.24'!K60</f>
        <v>162.65416137695254</v>
      </c>
      <c r="N111" s="519">
        <f t="shared" si="129"/>
        <v>6263.4918515150839</v>
      </c>
      <c r="O111" s="520">
        <f t="shared" ref="O111:O112" si="131">G111*F111</f>
        <v>1157128.0623524457</v>
      </c>
      <c r="P111" s="520">
        <f t="shared" ref="P111:P112" si="132">H111*F111</f>
        <v>0</v>
      </c>
      <c r="Q111" s="520">
        <f t="shared" ref="Q111:Q112" si="133">J111*F111</f>
        <v>5299876.5321359485</v>
      </c>
      <c r="R111" s="520">
        <f t="shared" ref="R111:R112" si="134">K111*F111</f>
        <v>0</v>
      </c>
      <c r="S111" s="520">
        <f t="shared" ref="S111:S112" si="135">+M111*F111</f>
        <v>172149.91131813897</v>
      </c>
      <c r="T111" s="521">
        <f t="shared" si="130"/>
        <v>6629154.5058065336</v>
      </c>
      <c r="U111" s="522"/>
      <c r="V111" s="382">
        <f t="shared" si="124"/>
        <v>7873</v>
      </c>
      <c r="W111" s="382">
        <f t="shared" si="125"/>
        <v>8332625.7399999974</v>
      </c>
      <c r="Y111" s="159"/>
    </row>
    <row r="112" spans="1:29" s="221" customFormat="1" ht="13" outlineLevel="1" x14ac:dyDescent="0.3">
      <c r="A112" s="1007"/>
      <c r="B112" s="514">
        <v>14.05</v>
      </c>
      <c r="C112" s="525" t="s">
        <v>75</v>
      </c>
      <c r="D112" s="516" t="s">
        <v>335</v>
      </c>
      <c r="E112" s="227" t="s">
        <v>109</v>
      </c>
      <c r="F112" s="517">
        <f>+[2]Locales!AK144</f>
        <v>504.12220000000002</v>
      </c>
      <c r="G112" s="518">
        <f>+[2]Tareas!H153</f>
        <v>0</v>
      </c>
      <c r="H112" s="518">
        <f>+[2]Tareas!I153</f>
        <v>5770.2850618361972</v>
      </c>
      <c r="I112" s="519">
        <f t="shared" si="127"/>
        <v>5770.2850618361972</v>
      </c>
      <c r="J112" s="518">
        <f>+[2]Tareas!Q153</f>
        <v>12817.951531348474</v>
      </c>
      <c r="K112" s="518">
        <f>+[2]Tareas!R153</f>
        <v>0</v>
      </c>
      <c r="L112" s="519">
        <f t="shared" si="128"/>
        <v>12817.951531348474</v>
      </c>
      <c r="M112" s="518"/>
      <c r="N112" s="519">
        <f t="shared" si="129"/>
        <v>18588.236593184673</v>
      </c>
      <c r="O112" s="520">
        <f t="shared" si="131"/>
        <v>0</v>
      </c>
      <c r="P112" s="520">
        <f t="shared" si="132"/>
        <v>2908928.8</v>
      </c>
      <c r="Q112" s="520">
        <f t="shared" si="133"/>
        <v>6461813.9254767615</v>
      </c>
      <c r="R112" s="520">
        <f t="shared" si="134"/>
        <v>0</v>
      </c>
      <c r="S112" s="520">
        <f t="shared" si="135"/>
        <v>0</v>
      </c>
      <c r="T112" s="521">
        <f t="shared" si="130"/>
        <v>9370742.7254767604</v>
      </c>
      <c r="U112" s="522"/>
      <c r="V112" s="382">
        <f t="shared" si="124"/>
        <v>23364</v>
      </c>
      <c r="W112" s="382">
        <f t="shared" si="125"/>
        <v>11778311.080800001</v>
      </c>
      <c r="X112" s="559"/>
      <c r="Y112" s="159"/>
      <c r="Z112" s="560"/>
      <c r="AC112" s="560"/>
    </row>
    <row r="113" spans="1:29" s="221" customFormat="1" ht="13" outlineLevel="1" x14ac:dyDescent="0.3">
      <c r="A113" s="1007"/>
      <c r="B113" s="514">
        <v>14.06</v>
      </c>
      <c r="C113" s="525" t="s">
        <v>75</v>
      </c>
      <c r="D113" s="516" t="s">
        <v>336</v>
      </c>
      <c r="E113" s="227" t="s">
        <v>124</v>
      </c>
      <c r="F113" s="517">
        <f>+[2]Locales!AL144</f>
        <v>555.99</v>
      </c>
      <c r="G113" s="518"/>
      <c r="H113" s="157"/>
      <c r="I113" s="519">
        <f t="shared" si="127"/>
        <v>0</v>
      </c>
      <c r="J113" s="524">
        <f>+[2]SUBCONTRATOS!D29</f>
        <v>10160.57133582501</v>
      </c>
      <c r="K113" s="157"/>
      <c r="L113" s="519">
        <f>J113+K113</f>
        <v>10160.57133582501</v>
      </c>
      <c r="M113" s="518"/>
      <c r="N113" s="519">
        <f t="shared" si="129"/>
        <v>10160.57133582501</v>
      </c>
      <c r="O113" s="520">
        <f t="shared" si="118"/>
        <v>0</v>
      </c>
      <c r="P113" s="520">
        <f t="shared" si="119"/>
        <v>0</v>
      </c>
      <c r="Q113" s="520">
        <f t="shared" si="120"/>
        <v>5649176.0570053477</v>
      </c>
      <c r="R113" s="520">
        <f t="shared" si="121"/>
        <v>0</v>
      </c>
      <c r="S113" s="520">
        <f t="shared" si="122"/>
        <v>0</v>
      </c>
      <c r="T113" s="521">
        <f t="shared" si="130"/>
        <v>5649176.0570053477</v>
      </c>
      <c r="U113" s="522"/>
      <c r="V113" s="382">
        <f t="shared" si="124"/>
        <v>12771</v>
      </c>
      <c r="W113" s="382">
        <f t="shared" si="125"/>
        <v>7100548.29</v>
      </c>
      <c r="X113" s="559"/>
      <c r="Y113" s="159"/>
      <c r="Z113" s="560"/>
      <c r="AC113" s="560"/>
    </row>
    <row r="114" spans="1:29" ht="13" outlineLevel="1" x14ac:dyDescent="0.3">
      <c r="A114" s="1003"/>
      <c r="B114" s="514">
        <v>14.07</v>
      </c>
      <c r="C114" s="527" t="s">
        <v>75</v>
      </c>
      <c r="D114" s="528" t="s">
        <v>337</v>
      </c>
      <c r="E114" s="606" t="s">
        <v>109</v>
      </c>
      <c r="F114" s="529">
        <f>+[2]Locales!AN144</f>
        <v>429.07780000000002</v>
      </c>
      <c r="G114" s="518">
        <f>+[2]Tareas!H157</f>
        <v>349.58695136406493</v>
      </c>
      <c r="H114" s="518">
        <f>+[2]Tareas!I157</f>
        <v>349.58695136406493</v>
      </c>
      <c r="I114" s="531">
        <f>G114+H114</f>
        <v>699.17390272812986</v>
      </c>
      <c r="J114" s="518">
        <f>+[2]Tareas!Q157</f>
        <v>0</v>
      </c>
      <c r="K114" s="518">
        <f>+[2]Tareas!R157</f>
        <v>2914.3266198611054</v>
      </c>
      <c r="L114" s="531">
        <f t="shared" ref="L114" si="136">J114+K114</f>
        <v>2914.3266198611054</v>
      </c>
      <c r="M114" s="518">
        <f>+(I114+L114)*0.015</f>
        <v>54.202507838838528</v>
      </c>
      <c r="N114" s="519">
        <f t="shared" si="129"/>
        <v>3667.7030304280743</v>
      </c>
      <c r="O114" s="520">
        <f t="shared" si="118"/>
        <v>150000</v>
      </c>
      <c r="P114" s="520">
        <f t="shared" si="119"/>
        <v>150000</v>
      </c>
      <c r="Q114" s="520">
        <f t="shared" si="120"/>
        <v>0</v>
      </c>
      <c r="R114" s="520">
        <f t="shared" si="121"/>
        <v>1250472.8545314395</v>
      </c>
      <c r="S114" s="520">
        <f t="shared" si="122"/>
        <v>23257.092817971592</v>
      </c>
      <c r="T114" s="521">
        <f t="shared" si="130"/>
        <v>1573729.947349411</v>
      </c>
      <c r="U114" s="522"/>
      <c r="V114" s="382">
        <f t="shared" si="124"/>
        <v>4610</v>
      </c>
      <c r="W114" s="382">
        <f t="shared" si="125"/>
        <v>1978048.6580000001</v>
      </c>
      <c r="Y114" s="159"/>
    </row>
    <row r="115" spans="1:29" ht="13" x14ac:dyDescent="0.3">
      <c r="A115" s="1005"/>
      <c r="B115" s="500">
        <v>15</v>
      </c>
      <c r="C115" s="501"/>
      <c r="D115" s="380" t="s">
        <v>133</v>
      </c>
      <c r="E115" s="213"/>
      <c r="F115" s="502"/>
      <c r="G115" s="502"/>
      <c r="H115" s="502"/>
      <c r="I115" s="502"/>
      <c r="J115" s="502"/>
      <c r="K115" s="502"/>
      <c r="L115" s="502"/>
      <c r="M115" s="502"/>
      <c r="N115" s="503"/>
      <c r="O115" s="502"/>
      <c r="P115" s="502"/>
      <c r="Q115" s="502"/>
      <c r="R115" s="502"/>
      <c r="S115" s="502"/>
      <c r="T115" s="502"/>
      <c r="U115" s="504">
        <f>SUM(T116:T124)</f>
        <v>0</v>
      </c>
      <c r="V115" s="502"/>
      <c r="W115" s="502"/>
      <c r="X115" s="504">
        <f>SUM(W116:W124)</f>
        <v>0</v>
      </c>
      <c r="Y115" s="159">
        <f>+X115/$X$216</f>
        <v>0</v>
      </c>
    </row>
    <row r="116" spans="1:29" ht="13" outlineLevel="1" x14ac:dyDescent="0.3">
      <c r="A116" s="1009"/>
      <c r="B116" s="514">
        <v>15.01</v>
      </c>
      <c r="C116" s="525" t="s">
        <v>75</v>
      </c>
      <c r="D116" s="516" t="s">
        <v>338</v>
      </c>
      <c r="E116" s="593" t="s">
        <v>109</v>
      </c>
      <c r="F116" s="538">
        <f>+[2]Locales!BY144</f>
        <v>2670</v>
      </c>
      <c r="G116" s="562">
        <f>+'[2]APU 09.24'!E80</f>
        <v>2322.5571895000003</v>
      </c>
      <c r="H116" s="608"/>
      <c r="I116" s="519">
        <f t="shared" ref="I116:I124" si="137">G116+H116</f>
        <v>2322.5571895000003</v>
      </c>
      <c r="J116" s="562">
        <f>+'[2]APU 09.24'!H80</f>
        <v>3755.6524113285986</v>
      </c>
      <c r="K116" s="608"/>
      <c r="L116" s="519">
        <f t="shared" ref="L116:L120" si="138">J116+K116</f>
        <v>3755.6524113285986</v>
      </c>
      <c r="M116" s="562">
        <f>+'[2]APU 09.24'!K80</f>
        <v>93.674384885486944</v>
      </c>
      <c r="N116" s="519"/>
      <c r="O116" s="520"/>
      <c r="P116" s="520"/>
      <c r="Q116" s="520"/>
      <c r="R116" s="520"/>
      <c r="S116" s="520"/>
      <c r="T116" s="521">
        <f t="shared" ref="T116:T120" si="139">SUM(O116:S116)</f>
        <v>0</v>
      </c>
      <c r="U116" s="522"/>
      <c r="V116" s="382">
        <f t="shared" ref="V116:V124" si="140">+ROUNDUP(N116*$U$5,0)</f>
        <v>0</v>
      </c>
      <c r="W116" s="382">
        <f t="shared" ref="W116:W124" si="141">+V116*F116</f>
        <v>0</v>
      </c>
      <c r="Y116" s="159"/>
    </row>
    <row r="117" spans="1:29" ht="13" outlineLevel="1" x14ac:dyDescent="0.3">
      <c r="A117" s="1009"/>
      <c r="B117" s="514">
        <v>15.02</v>
      </c>
      <c r="C117" s="525" t="s">
        <v>75</v>
      </c>
      <c r="D117" s="516" t="s">
        <v>339</v>
      </c>
      <c r="E117" s="593" t="s">
        <v>109</v>
      </c>
      <c r="F117" s="538">
        <f>+[2]Locales!BX144</f>
        <v>961</v>
      </c>
      <c r="G117" s="562">
        <f>+'[2]APU 09.24'!E89</f>
        <v>2180.3602315000003</v>
      </c>
      <c r="H117" s="608"/>
      <c r="I117" s="519">
        <f t="shared" si="137"/>
        <v>2180.3602315000003</v>
      </c>
      <c r="J117" s="562">
        <f>+'[2]APU 09.24'!H89</f>
        <v>3004.5219290628793</v>
      </c>
      <c r="K117" s="608"/>
      <c r="L117" s="519">
        <f t="shared" si="138"/>
        <v>3004.5219290628793</v>
      </c>
      <c r="M117" s="562">
        <f>+'[2]APU 09.24'!K89</f>
        <v>74.939507908389544</v>
      </c>
      <c r="N117" s="519"/>
      <c r="O117" s="520"/>
      <c r="P117" s="520"/>
      <c r="Q117" s="520"/>
      <c r="R117" s="520"/>
      <c r="S117" s="520"/>
      <c r="T117" s="521">
        <f t="shared" si="139"/>
        <v>0</v>
      </c>
      <c r="U117" s="522"/>
      <c r="V117" s="382">
        <f t="shared" si="140"/>
        <v>0</v>
      </c>
      <c r="W117" s="382">
        <f t="shared" si="141"/>
        <v>0</v>
      </c>
      <c r="Y117" s="159"/>
    </row>
    <row r="118" spans="1:29" ht="13" outlineLevel="1" x14ac:dyDescent="0.3">
      <c r="A118" s="1009"/>
      <c r="B118" s="514">
        <v>15.03</v>
      </c>
      <c r="C118" s="525" t="s">
        <v>75</v>
      </c>
      <c r="D118" s="516" t="s">
        <v>340</v>
      </c>
      <c r="E118" s="593" t="s">
        <v>109</v>
      </c>
      <c r="F118" s="538">
        <f>+[2]Locales!CB144</f>
        <v>518</v>
      </c>
      <c r="G118" s="562">
        <f>+'[2]APU 09.24'!E80</f>
        <v>2322.5571895000003</v>
      </c>
      <c r="H118" s="608"/>
      <c r="I118" s="519">
        <f t="shared" si="137"/>
        <v>2322.5571895000003</v>
      </c>
      <c r="J118" s="562">
        <f>+'[2]APU 09.24'!H80</f>
        <v>3755.6524113285986</v>
      </c>
      <c r="K118" s="608"/>
      <c r="L118" s="519">
        <f t="shared" si="138"/>
        <v>3755.6524113285986</v>
      </c>
      <c r="M118" s="562">
        <f>+'[2]APU 09.24'!K80</f>
        <v>93.674384885486944</v>
      </c>
      <c r="N118" s="519"/>
      <c r="O118" s="520"/>
      <c r="P118" s="520"/>
      <c r="Q118" s="520"/>
      <c r="R118" s="520"/>
      <c r="S118" s="520"/>
      <c r="T118" s="521">
        <f t="shared" si="139"/>
        <v>0</v>
      </c>
      <c r="U118" s="522"/>
      <c r="V118" s="382">
        <f t="shared" si="140"/>
        <v>0</v>
      </c>
      <c r="W118" s="382">
        <f t="shared" si="141"/>
        <v>0</v>
      </c>
      <c r="Y118" s="159"/>
    </row>
    <row r="119" spans="1:29" ht="13" outlineLevel="1" x14ac:dyDescent="0.3">
      <c r="A119" s="1009"/>
      <c r="B119" s="514">
        <v>15.04</v>
      </c>
      <c r="C119" s="525" t="s">
        <v>75</v>
      </c>
      <c r="D119" s="516" t="s">
        <v>341</v>
      </c>
      <c r="E119" s="593" t="s">
        <v>109</v>
      </c>
      <c r="F119" s="538">
        <f>+[2]Locales!CC144</f>
        <v>612</v>
      </c>
      <c r="G119" s="562">
        <f>+'[2]APU 09.24'!E31</f>
        <v>3131.6140255000005</v>
      </c>
      <c r="H119" s="608"/>
      <c r="I119" s="519">
        <f t="shared" si="137"/>
        <v>3131.6140255000005</v>
      </c>
      <c r="J119" s="562">
        <f>+'[2]APU 09.24'!H31</f>
        <v>7422.6925710367968</v>
      </c>
      <c r="K119" s="608"/>
      <c r="L119" s="519">
        <f t="shared" si="138"/>
        <v>7422.6925710367968</v>
      </c>
      <c r="M119" s="562">
        <f>+'[2]APU 09.24'!K31</f>
        <v>234.75350228517792</v>
      </c>
      <c r="N119" s="519"/>
      <c r="O119" s="520"/>
      <c r="P119" s="520"/>
      <c r="Q119" s="520"/>
      <c r="R119" s="520"/>
      <c r="S119" s="520"/>
      <c r="T119" s="521">
        <f t="shared" si="139"/>
        <v>0</v>
      </c>
      <c r="U119" s="522"/>
      <c r="V119" s="382">
        <f t="shared" si="140"/>
        <v>0</v>
      </c>
      <c r="W119" s="382">
        <f t="shared" si="141"/>
        <v>0</v>
      </c>
      <c r="Y119" s="159"/>
    </row>
    <row r="120" spans="1:29" ht="13" outlineLevel="1" x14ac:dyDescent="0.3">
      <c r="A120" s="1009"/>
      <c r="B120" s="514">
        <v>15.05</v>
      </c>
      <c r="C120" s="525" t="s">
        <v>75</v>
      </c>
      <c r="D120" s="516" t="s">
        <v>342</v>
      </c>
      <c r="E120" s="593" t="s">
        <v>109</v>
      </c>
      <c r="F120" s="538">
        <f>+[2]Locales!CA144</f>
        <v>422</v>
      </c>
      <c r="G120" s="562">
        <f>+'[2]APU 09.24'!E89</f>
        <v>2180.3602315000003</v>
      </c>
      <c r="H120" s="608"/>
      <c r="I120" s="519">
        <f t="shared" si="137"/>
        <v>2180.3602315000003</v>
      </c>
      <c r="J120" s="562">
        <f>+'[2]APU 09.24'!H89</f>
        <v>3004.5219290628793</v>
      </c>
      <c r="K120" s="608"/>
      <c r="L120" s="519">
        <f t="shared" si="138"/>
        <v>3004.5219290628793</v>
      </c>
      <c r="M120" s="562">
        <f>+'[2]APU 09.24'!K89</f>
        <v>74.939507908389544</v>
      </c>
      <c r="N120" s="519"/>
      <c r="O120" s="520"/>
      <c r="P120" s="520"/>
      <c r="Q120" s="520"/>
      <c r="R120" s="520"/>
      <c r="S120" s="520"/>
      <c r="T120" s="521">
        <f t="shared" si="139"/>
        <v>0</v>
      </c>
      <c r="U120" s="522"/>
      <c r="V120" s="382">
        <f t="shared" si="140"/>
        <v>0</v>
      </c>
      <c r="W120" s="382">
        <f t="shared" si="141"/>
        <v>0</v>
      </c>
      <c r="Y120" s="159"/>
    </row>
    <row r="121" spans="1:29" ht="13" outlineLevel="1" x14ac:dyDescent="0.3">
      <c r="A121" s="1009"/>
      <c r="B121" s="514">
        <v>15.07</v>
      </c>
      <c r="C121" s="525" t="s">
        <v>75</v>
      </c>
      <c r="D121" s="516" t="s">
        <v>343</v>
      </c>
      <c r="E121" s="593" t="s">
        <v>109</v>
      </c>
      <c r="F121" s="538">
        <f>+[2]Computo!O223</f>
        <v>678.25199999999995</v>
      </c>
      <c r="G121" s="586">
        <v>7500</v>
      </c>
      <c r="H121" s="608"/>
      <c r="I121" s="519">
        <f>G121+H121</f>
        <v>7500</v>
      </c>
      <c r="J121" s="524">
        <f>+[2]SUBCONTRATOS!D34</f>
        <v>7815.8241044807764</v>
      </c>
      <c r="K121" s="608"/>
      <c r="L121" s="519">
        <f>J121+K121</f>
        <v>7815.8241044807764</v>
      </c>
      <c r="M121" s="562">
        <f>+'[2]APU 09.24'!K35</f>
        <v>176.93378676788083</v>
      </c>
      <c r="N121" s="519"/>
      <c r="O121" s="520"/>
      <c r="P121" s="520"/>
      <c r="Q121" s="520"/>
      <c r="R121" s="520"/>
      <c r="S121" s="520"/>
      <c r="T121" s="521">
        <f>SUM(O121:S121)</f>
        <v>0</v>
      </c>
      <c r="U121" s="522"/>
      <c r="V121" s="382">
        <f t="shared" si="140"/>
        <v>0</v>
      </c>
      <c r="W121" s="382">
        <f t="shared" si="141"/>
        <v>0</v>
      </c>
      <c r="Y121" s="159"/>
    </row>
    <row r="122" spans="1:29" ht="13" outlineLevel="1" x14ac:dyDescent="0.3">
      <c r="A122" s="1009"/>
      <c r="B122" s="514">
        <v>15.08</v>
      </c>
      <c r="C122" s="525" t="s">
        <v>75</v>
      </c>
      <c r="D122" s="516" t="s">
        <v>344</v>
      </c>
      <c r="E122" s="593" t="s">
        <v>109</v>
      </c>
      <c r="F122" s="538">
        <f>+[2]Computo!O222</f>
        <v>728.48019999999985</v>
      </c>
      <c r="G122" s="586">
        <v>7500</v>
      </c>
      <c r="H122" s="608"/>
      <c r="I122" s="519">
        <f t="shared" si="137"/>
        <v>7500</v>
      </c>
      <c r="J122" s="524">
        <f>+[2]SUBCONTRATOS!D35</f>
        <v>10942.153746273088</v>
      </c>
      <c r="K122" s="608"/>
      <c r="L122" s="519">
        <f t="shared" ref="L122:L124" si="142">J122+K122</f>
        <v>10942.153746273088</v>
      </c>
      <c r="M122" s="562">
        <f>+'[2]APU 09.24'!K35</f>
        <v>176.93378676788083</v>
      </c>
      <c r="N122" s="519"/>
      <c r="O122" s="520"/>
      <c r="P122" s="520"/>
      <c r="Q122" s="520"/>
      <c r="R122" s="520"/>
      <c r="S122" s="520"/>
      <c r="T122" s="521">
        <f t="shared" ref="T122:T123" si="143">SUM(O122:S122)</f>
        <v>0</v>
      </c>
      <c r="U122" s="522"/>
      <c r="V122" s="382">
        <f t="shared" si="140"/>
        <v>0</v>
      </c>
      <c r="W122" s="382">
        <f t="shared" si="141"/>
        <v>0</v>
      </c>
      <c r="Y122" s="159"/>
    </row>
    <row r="123" spans="1:29" ht="13" outlineLevel="1" x14ac:dyDescent="0.3">
      <c r="A123" s="1009"/>
      <c r="B123" s="514">
        <v>15.09</v>
      </c>
      <c r="C123" s="525" t="s">
        <v>75</v>
      </c>
      <c r="D123" s="516" t="s">
        <v>345</v>
      </c>
      <c r="E123" s="593" t="s">
        <v>104</v>
      </c>
      <c r="F123" s="538">
        <f>+[2]Computo!C78</f>
        <v>76</v>
      </c>
      <c r="G123" s="518">
        <f>+[2]Tareas!H166</f>
        <v>13327.501195326317</v>
      </c>
      <c r="H123" s="518">
        <f>+[2]Tareas!I166</f>
        <v>0</v>
      </c>
      <c r="I123" s="519">
        <f t="shared" si="137"/>
        <v>13327.501195326317</v>
      </c>
      <c r="J123" s="518">
        <f>+[2]Tareas!Q166</f>
        <v>44901.004229325525</v>
      </c>
      <c r="K123" s="518">
        <f>+[2]Tareas!R166</f>
        <v>0</v>
      </c>
      <c r="L123" s="519">
        <f t="shared" si="142"/>
        <v>44901.004229325525</v>
      </c>
      <c r="M123" s="518">
        <f>(I123+L123)*0.015</f>
        <v>873.42758136977761</v>
      </c>
      <c r="N123" s="519"/>
      <c r="O123" s="520"/>
      <c r="P123" s="520"/>
      <c r="Q123" s="520"/>
      <c r="R123" s="520"/>
      <c r="S123" s="520"/>
      <c r="T123" s="521">
        <f t="shared" si="143"/>
        <v>0</v>
      </c>
      <c r="U123" s="522"/>
      <c r="V123" s="382">
        <f t="shared" si="140"/>
        <v>0</v>
      </c>
      <c r="W123" s="382">
        <f t="shared" si="141"/>
        <v>0</v>
      </c>
      <c r="Y123" s="159"/>
    </row>
    <row r="124" spans="1:29" ht="13" outlineLevel="1" x14ac:dyDescent="0.3">
      <c r="A124" s="1009"/>
      <c r="B124" s="514">
        <v>15.1</v>
      </c>
      <c r="C124" s="527" t="s">
        <v>75</v>
      </c>
      <c r="D124" s="609" t="s">
        <v>430</v>
      </c>
      <c r="E124" s="603" t="s">
        <v>107</v>
      </c>
      <c r="F124" s="554">
        <v>1</v>
      </c>
      <c r="G124" s="533">
        <f>+[2]Tareas!H168</f>
        <v>756143.49726719991</v>
      </c>
      <c r="H124" s="533">
        <f>+[2]Tareas!I168</f>
        <v>0</v>
      </c>
      <c r="I124" s="531">
        <f t="shared" si="137"/>
        <v>756143.49726719991</v>
      </c>
      <c r="J124" s="533">
        <f>+[2]Tareas!Q168</f>
        <v>2547484.4737344817</v>
      </c>
      <c r="K124" s="533">
        <f>+[2]Tareas!R168</f>
        <v>0</v>
      </c>
      <c r="L124" s="531">
        <f t="shared" si="142"/>
        <v>2547484.4737344817</v>
      </c>
      <c r="M124" s="518">
        <f>(I124+L124)*0.015</f>
        <v>49554.41956502523</v>
      </c>
      <c r="N124" s="531"/>
      <c r="O124" s="534"/>
      <c r="P124" s="534"/>
      <c r="Q124" s="534"/>
      <c r="R124" s="534"/>
      <c r="S124" s="534"/>
      <c r="T124" s="535">
        <f t="shared" si="123"/>
        <v>0</v>
      </c>
      <c r="U124" s="610"/>
      <c r="V124" s="382">
        <f t="shared" si="140"/>
        <v>0</v>
      </c>
      <c r="W124" s="382">
        <f t="shared" si="141"/>
        <v>0</v>
      </c>
      <c r="Y124" s="159"/>
    </row>
    <row r="125" spans="1:29" ht="13" x14ac:dyDescent="0.3">
      <c r="A125" s="1005"/>
      <c r="B125" s="500">
        <v>16</v>
      </c>
      <c r="C125" s="501"/>
      <c r="D125" s="611" t="s">
        <v>346</v>
      </c>
      <c r="E125" s="213"/>
      <c r="F125" s="502"/>
      <c r="G125" s="502"/>
      <c r="H125" s="502"/>
      <c r="I125" s="502"/>
      <c r="J125" s="502"/>
      <c r="K125" s="502"/>
      <c r="L125" s="502"/>
      <c r="M125" s="502"/>
      <c r="N125" s="503"/>
      <c r="O125" s="502"/>
      <c r="P125" s="502"/>
      <c r="Q125" s="502"/>
      <c r="R125" s="502"/>
      <c r="S125" s="502"/>
      <c r="T125" s="502"/>
      <c r="U125" s="504">
        <f>SUM(T126:T126)</f>
        <v>0</v>
      </c>
      <c r="V125" s="502"/>
      <c r="W125" s="502"/>
      <c r="X125" s="505">
        <f>SUM(W126:W126)</f>
        <v>0</v>
      </c>
      <c r="Y125" s="159">
        <f>+X125/$X$216</f>
        <v>0</v>
      </c>
      <c r="Z125" s="458">
        <f>+X125</f>
        <v>0</v>
      </c>
    </row>
    <row r="126" spans="1:29" s="221" customFormat="1" ht="13" outlineLevel="1" x14ac:dyDescent="0.3">
      <c r="A126" s="1010"/>
      <c r="B126" s="506"/>
      <c r="C126" s="555"/>
      <c r="D126" s="508"/>
      <c r="E126" s="218"/>
      <c r="F126" s="556"/>
      <c r="G126" s="582"/>
      <c r="H126" s="582"/>
      <c r="I126" s="509">
        <f>G126+H126</f>
        <v>0</v>
      </c>
      <c r="J126" s="582"/>
      <c r="K126" s="582"/>
      <c r="L126" s="509">
        <f t="shared" ref="L126" si="144">J126+K126</f>
        <v>0</v>
      </c>
      <c r="M126" s="557"/>
      <c r="N126" s="509">
        <f>I126+L126+M126</f>
        <v>0</v>
      </c>
      <c r="O126" s="510">
        <f t="shared" ref="O126" si="145">G126*F126</f>
        <v>0</v>
      </c>
      <c r="P126" s="510">
        <f t="shared" ref="P126" si="146">H126*F126</f>
        <v>0</v>
      </c>
      <c r="Q126" s="510">
        <f t="shared" ref="Q126" si="147">J126*F126</f>
        <v>0</v>
      </c>
      <c r="R126" s="510">
        <f t="shared" ref="R126" si="148">K126*F126</f>
        <v>0</v>
      </c>
      <c r="S126" s="510">
        <f t="shared" ref="S126" si="149">+M126*F126</f>
        <v>0</v>
      </c>
      <c r="T126" s="511">
        <f t="shared" ref="T126" si="150">SUM(O126:S126)</f>
        <v>0</v>
      </c>
      <c r="U126" s="522"/>
      <c r="V126" s="566">
        <f>+ROUNDUP(N126*$U$5,0)</f>
        <v>0</v>
      </c>
      <c r="W126" s="564">
        <f>+V126*F126</f>
        <v>0</v>
      </c>
      <c r="X126" s="568"/>
      <c r="Y126" s="222"/>
      <c r="Z126" s="560"/>
      <c r="AC126" s="560"/>
    </row>
    <row r="127" spans="1:29" s="221" customFormat="1" ht="13" x14ac:dyDescent="0.3">
      <c r="A127" s="1010"/>
      <c r="B127" s="500">
        <v>17</v>
      </c>
      <c r="C127" s="501"/>
      <c r="D127" s="380" t="s">
        <v>347</v>
      </c>
      <c r="E127" s="213"/>
      <c r="F127" s="502"/>
      <c r="G127" s="502"/>
      <c r="H127" s="502"/>
      <c r="I127" s="502"/>
      <c r="J127" s="502"/>
      <c r="K127" s="502"/>
      <c r="L127" s="502"/>
      <c r="M127" s="502"/>
      <c r="N127" s="503"/>
      <c r="O127" s="502"/>
      <c r="P127" s="502"/>
      <c r="Q127" s="502"/>
      <c r="R127" s="502"/>
      <c r="S127" s="502"/>
      <c r="T127" s="502"/>
      <c r="U127" s="504">
        <f>SUM(T128:T131)</f>
        <v>5774751.9174432056</v>
      </c>
      <c r="V127" s="502"/>
      <c r="W127" s="502"/>
      <c r="X127" s="505">
        <f>SUM(W128:W131)</f>
        <v>7258243</v>
      </c>
      <c r="Y127" s="159">
        <f>+X127/$X$216</f>
        <v>6.4380213267798822E-3</v>
      </c>
      <c r="Z127" s="458">
        <f>+X127</f>
        <v>7258243</v>
      </c>
      <c r="AC127" s="560"/>
    </row>
    <row r="128" spans="1:29" s="221" customFormat="1" ht="13" outlineLevel="1" x14ac:dyDescent="0.3">
      <c r="A128" s="1007"/>
      <c r="B128" s="506">
        <f>+B127+0.01</f>
        <v>17.010000000000002</v>
      </c>
      <c r="C128" s="555" t="s">
        <v>75</v>
      </c>
      <c r="D128" s="612" t="s">
        <v>431</v>
      </c>
      <c r="E128" s="1011" t="s">
        <v>111</v>
      </c>
      <c r="F128" s="556">
        <f>+[2]Locales!AQ144</f>
        <v>47</v>
      </c>
      <c r="G128" s="557"/>
      <c r="H128" s="557">
        <f>+'[2]APU 09.24'!E18</f>
        <v>3816.1086480000004</v>
      </c>
      <c r="I128" s="509">
        <f>G128+H128</f>
        <v>3816.1086480000004</v>
      </c>
      <c r="J128" s="613"/>
      <c r="K128" s="557">
        <f>+'[2]APU 09.24'!H18</f>
        <v>46892.732044928976</v>
      </c>
      <c r="L128" s="509">
        <f>J128+K128</f>
        <v>46892.732044928976</v>
      </c>
      <c r="M128" s="557">
        <f>+'[2]APU 09.24'!K18</f>
        <v>394.92625606475576</v>
      </c>
      <c r="N128" s="509">
        <f>I128+L128+M128</f>
        <v>51103.766948993733</v>
      </c>
      <c r="O128" s="510">
        <f>G128*F128</f>
        <v>0</v>
      </c>
      <c r="P128" s="510">
        <f>H128*F128</f>
        <v>179357.10645600001</v>
      </c>
      <c r="Q128" s="510">
        <f>J128*F128</f>
        <v>0</v>
      </c>
      <c r="R128" s="510">
        <f>K128*F128</f>
        <v>2203958.4061116618</v>
      </c>
      <c r="S128" s="510">
        <f>+M128*F128</f>
        <v>18561.534035043522</v>
      </c>
      <c r="T128" s="511">
        <f>SUM(O128:S128)</f>
        <v>2401877.046602705</v>
      </c>
      <c r="U128" s="568"/>
      <c r="V128" s="513">
        <f>+ROUNDUP(N128*$U$5,0)</f>
        <v>64232</v>
      </c>
      <c r="W128" s="513">
        <f>+V128*F128</f>
        <v>3018904</v>
      </c>
      <c r="X128" s="559"/>
      <c r="Y128" s="159"/>
      <c r="Z128" s="560"/>
      <c r="AC128" s="560"/>
    </row>
    <row r="129" spans="1:29" s="221" customFormat="1" ht="13" outlineLevel="1" x14ac:dyDescent="0.3">
      <c r="A129" s="1007"/>
      <c r="B129" s="514">
        <v>17.02</v>
      </c>
      <c r="C129" s="525" t="s">
        <v>75</v>
      </c>
      <c r="D129" s="614" t="s">
        <v>432</v>
      </c>
      <c r="E129" s="1012" t="s">
        <v>111</v>
      </c>
      <c r="F129" s="538">
        <f>+[2]Locales!AS147</f>
        <v>23</v>
      </c>
      <c r="G129" s="562"/>
      <c r="H129" s="562">
        <f>+'[2]APU 09.24'!E18</f>
        <v>3816.1086480000004</v>
      </c>
      <c r="I129" s="519">
        <f>G129+H129</f>
        <v>3816.1086480000004</v>
      </c>
      <c r="J129" s="615"/>
      <c r="K129" s="562">
        <f>+'[2]APU 09.24'!H18</f>
        <v>46892.732044928976</v>
      </c>
      <c r="L129" s="519">
        <f>J129+K129</f>
        <v>46892.732044928976</v>
      </c>
      <c r="M129" s="562">
        <f>+'[2]APU 09.24'!K18</f>
        <v>394.92625606475576</v>
      </c>
      <c r="N129" s="519">
        <f>I129+L129+M129</f>
        <v>51103.766948993733</v>
      </c>
      <c r="O129" s="520">
        <f>G129*F129</f>
        <v>0</v>
      </c>
      <c r="P129" s="520">
        <f>H129*F129</f>
        <v>87770.498904000007</v>
      </c>
      <c r="Q129" s="520">
        <f>J129*F129</f>
        <v>0</v>
      </c>
      <c r="R129" s="520">
        <f>K129*F129</f>
        <v>1078532.8370333666</v>
      </c>
      <c r="S129" s="520">
        <f>+M129*F129</f>
        <v>9083.3038894893834</v>
      </c>
      <c r="T129" s="521">
        <f>SUM(O129:S129)</f>
        <v>1175386.6398268561</v>
      </c>
      <c r="U129" s="568"/>
      <c r="V129" s="382">
        <f>+ROUNDUP(N129*$U$5,0)</f>
        <v>64232</v>
      </c>
      <c r="W129" s="382">
        <f>+V129*F129</f>
        <v>1477336</v>
      </c>
      <c r="X129" s="559"/>
      <c r="Y129" s="159"/>
      <c r="Z129" s="560"/>
      <c r="AC129" s="560"/>
    </row>
    <row r="130" spans="1:29" s="221" customFormat="1" ht="13" outlineLevel="1" x14ac:dyDescent="0.3">
      <c r="A130" s="1007"/>
      <c r="B130" s="514">
        <v>17.03</v>
      </c>
      <c r="C130" s="525" t="s">
        <v>75</v>
      </c>
      <c r="D130" s="614" t="s">
        <v>433</v>
      </c>
      <c r="E130" s="1012" t="s">
        <v>111</v>
      </c>
      <c r="F130" s="538">
        <f>+[2]Locales!BG146</f>
        <v>51</v>
      </c>
      <c r="G130" s="562"/>
      <c r="H130" s="562">
        <f>+'[2]APU 09.24'!E19</f>
        <v>1396.3488462000003</v>
      </c>
      <c r="I130" s="519">
        <f>G130+H130</f>
        <v>1396.3488462000003</v>
      </c>
      <c r="J130" s="562"/>
      <c r="K130" s="562">
        <f>+'[2]APU 09.24'!H19</f>
        <v>31261.821363285984</v>
      </c>
      <c r="L130" s="519">
        <f t="shared" ref="L130:L131" si="151">J130+K130</f>
        <v>31261.821363285984</v>
      </c>
      <c r="M130" s="562">
        <f>+'[2]APU 09.24'!K19</f>
        <v>197.46312803237788</v>
      </c>
      <c r="N130" s="519">
        <f>I130+L130+M130</f>
        <v>32855.63333751836</v>
      </c>
      <c r="O130" s="520">
        <f>G130*F130</f>
        <v>0</v>
      </c>
      <c r="P130" s="520">
        <f>H130*F130</f>
        <v>71213.791156200008</v>
      </c>
      <c r="Q130" s="520">
        <f>J130*F130</f>
        <v>0</v>
      </c>
      <c r="R130" s="520">
        <f>K130*F130</f>
        <v>1594352.8895275851</v>
      </c>
      <c r="S130" s="520">
        <f>+M130*F130</f>
        <v>10070.619529651272</v>
      </c>
      <c r="T130" s="521">
        <f>SUM(O130:S130)</f>
        <v>1675637.3002134364</v>
      </c>
      <c r="U130" s="568"/>
      <c r="V130" s="382">
        <f>+ROUNDUP(N130*$U$5,0)</f>
        <v>41296</v>
      </c>
      <c r="W130" s="382">
        <f>+V130*F130</f>
        <v>2106096</v>
      </c>
      <c r="X130" s="559"/>
      <c r="Y130" s="159"/>
      <c r="Z130" s="560"/>
      <c r="AC130" s="560"/>
    </row>
    <row r="131" spans="1:29" s="221" customFormat="1" ht="13" outlineLevel="1" x14ac:dyDescent="0.3">
      <c r="A131" s="1007"/>
      <c r="B131" s="579">
        <v>17.04</v>
      </c>
      <c r="C131" s="527" t="s">
        <v>75</v>
      </c>
      <c r="D131" s="528" t="s">
        <v>434</v>
      </c>
      <c r="E131" s="580" t="s">
        <v>111</v>
      </c>
      <c r="F131" s="554">
        <f>+[2]Locales!AU144</f>
        <v>7</v>
      </c>
      <c r="G131" s="574"/>
      <c r="H131" s="574">
        <f>+H128</f>
        <v>3816.1086480000004</v>
      </c>
      <c r="I131" s="531">
        <f>G131+H131</f>
        <v>3816.1086480000004</v>
      </c>
      <c r="J131" s="616">
        <f>+K131*0.5</f>
        <v>23446.366022464488</v>
      </c>
      <c r="K131" s="574">
        <f>+K128</f>
        <v>46892.732044928976</v>
      </c>
      <c r="L131" s="531">
        <f t="shared" si="151"/>
        <v>70339.098067393468</v>
      </c>
      <c r="M131" s="574">
        <f>+M128</f>
        <v>394.92625606475576</v>
      </c>
      <c r="N131" s="531">
        <f>I131+L131+M131</f>
        <v>74550.132971458224</v>
      </c>
      <c r="O131" s="534">
        <f>G131*F131</f>
        <v>0</v>
      </c>
      <c r="P131" s="534">
        <f>H131*F131</f>
        <v>26712.760536000002</v>
      </c>
      <c r="Q131" s="534">
        <f>J131*F131</f>
        <v>164124.56215725141</v>
      </c>
      <c r="R131" s="534">
        <f>K131*F131</f>
        <v>328249.12431450281</v>
      </c>
      <c r="S131" s="534">
        <f>+M131*F131</f>
        <v>2764.4837924532903</v>
      </c>
      <c r="T131" s="535">
        <f>SUM(O131:S131)</f>
        <v>521850.93080020754</v>
      </c>
      <c r="U131" s="568"/>
      <c r="V131" s="607">
        <f>+ROUNDUP(N131*$U$5,0)</f>
        <v>93701</v>
      </c>
      <c r="W131" s="607">
        <f>+V131*F131</f>
        <v>655907</v>
      </c>
      <c r="X131" s="559"/>
      <c r="Y131" s="159"/>
      <c r="Z131" s="560"/>
      <c r="AC131" s="560"/>
    </row>
    <row r="132" spans="1:29" ht="13" x14ac:dyDescent="0.3">
      <c r="A132" s="1005"/>
      <c r="B132" s="500">
        <v>18</v>
      </c>
      <c r="C132" s="501"/>
      <c r="D132" s="380" t="s">
        <v>129</v>
      </c>
      <c r="E132" s="213"/>
      <c r="F132" s="502"/>
      <c r="G132" s="502"/>
      <c r="H132" s="502"/>
      <c r="I132" s="502"/>
      <c r="J132" s="502"/>
      <c r="K132" s="502"/>
      <c r="L132" s="502"/>
      <c r="M132" s="502"/>
      <c r="N132" s="503"/>
      <c r="O132" s="502"/>
      <c r="P132" s="502"/>
      <c r="Q132" s="502"/>
      <c r="R132" s="502"/>
      <c r="S132" s="502"/>
      <c r="T132" s="502"/>
      <c r="U132" s="504">
        <f>SUM(T133:T162)</f>
        <v>78986713.271521568</v>
      </c>
      <c r="V132" s="502"/>
      <c r="W132" s="502"/>
      <c r="X132" s="505">
        <f>SUM(W133:W162)</f>
        <v>99277732</v>
      </c>
      <c r="Y132" s="159">
        <f>+X132/$X$216</f>
        <v>8.8058798236754762E-2</v>
      </c>
      <c r="Z132" s="458">
        <f>+X132</f>
        <v>99277732</v>
      </c>
    </row>
    <row r="133" spans="1:29" ht="13" outlineLevel="1" x14ac:dyDescent="0.3">
      <c r="A133" s="1003"/>
      <c r="B133" s="617">
        <f>+B132+0.01</f>
        <v>18.010000000000002</v>
      </c>
      <c r="C133" s="555" t="s">
        <v>75</v>
      </c>
      <c r="D133" s="618" t="s">
        <v>348</v>
      </c>
      <c r="E133" s="223" t="s">
        <v>111</v>
      </c>
      <c r="F133" s="619">
        <f>+[2]Locales!CJ144</f>
        <v>392</v>
      </c>
      <c r="G133" s="557">
        <f>+'[2]APU 09.24'!E63</f>
        <v>13184.711802349999</v>
      </c>
      <c r="H133" s="620"/>
      <c r="I133" s="509">
        <f>G133+H133</f>
        <v>13184.711802349999</v>
      </c>
      <c r="J133" s="621">
        <f>+[2]SUBCONTRATOS!$D$43</f>
        <v>32886.699999999997</v>
      </c>
      <c r="K133" s="620"/>
      <c r="L133" s="509">
        <f>J133+K133</f>
        <v>32886.699999999997</v>
      </c>
      <c r="M133" s="557">
        <f>+'[2]APU 09.24'!K63</f>
        <v>1623.6466772663525</v>
      </c>
      <c r="N133" s="509">
        <f>I133+L133+M133</f>
        <v>47695.058479616353</v>
      </c>
      <c r="O133" s="510">
        <f t="shared" ref="O133:O136" si="152">G133*F133</f>
        <v>5168407.0265211994</v>
      </c>
      <c r="P133" s="510">
        <f t="shared" ref="P133:P136" si="153">H133*F133</f>
        <v>0</v>
      </c>
      <c r="Q133" s="510">
        <f t="shared" ref="Q133:Q136" si="154">J133*F133</f>
        <v>12891586.399999999</v>
      </c>
      <c r="R133" s="510">
        <f t="shared" ref="R133:R136" si="155">K133*F133</f>
        <v>0</v>
      </c>
      <c r="S133" s="510">
        <f t="shared" ref="S133:S136" si="156">+M133*F133</f>
        <v>636469.49748841021</v>
      </c>
      <c r="T133" s="511">
        <f t="shared" si="11"/>
        <v>18696462.924009606</v>
      </c>
      <c r="U133" s="512"/>
      <c r="V133" s="513">
        <f t="shared" ref="V133:V162" si="157">+ROUNDUP(N133*$U$5,0)</f>
        <v>59948</v>
      </c>
      <c r="W133" s="513">
        <f t="shared" ref="W133:W162" si="158">+V133*F133</f>
        <v>23499616</v>
      </c>
      <c r="Y133" s="159"/>
    </row>
    <row r="134" spans="1:29" ht="13" outlineLevel="1" x14ac:dyDescent="0.3">
      <c r="A134" s="1003"/>
      <c r="B134" s="622">
        <v>18.02</v>
      </c>
      <c r="C134" s="525" t="s">
        <v>75</v>
      </c>
      <c r="D134" s="623" t="s">
        <v>349</v>
      </c>
      <c r="E134" s="224" t="s">
        <v>111</v>
      </c>
      <c r="F134" s="624">
        <f>+[2]Locales!CK144</f>
        <v>19</v>
      </c>
      <c r="G134" s="562">
        <f>+'[2]APU 09.24'!E63</f>
        <v>13184.711802349999</v>
      </c>
      <c r="H134" s="625"/>
      <c r="I134" s="519">
        <f t="shared" ref="I134:I162" si="159">G134+H134</f>
        <v>13184.711802349999</v>
      </c>
      <c r="J134" s="621">
        <f>+[2]SUBCONTRATOS!$D$43</f>
        <v>32886.699999999997</v>
      </c>
      <c r="K134" s="625"/>
      <c r="L134" s="519">
        <f t="shared" ref="L134:L162" si="160">J134+K134</f>
        <v>32886.699999999997</v>
      </c>
      <c r="M134" s="562">
        <f>+'[2]APU 09.24'!K63</f>
        <v>1623.6466772663525</v>
      </c>
      <c r="N134" s="519">
        <f t="shared" ref="N134:N136" si="161">I134+L134+M134</f>
        <v>47695.058479616353</v>
      </c>
      <c r="O134" s="520">
        <f t="shared" si="152"/>
        <v>250509.52424464998</v>
      </c>
      <c r="P134" s="520">
        <f t="shared" si="153"/>
        <v>0</v>
      </c>
      <c r="Q134" s="520">
        <f t="shared" si="154"/>
        <v>624847.29999999993</v>
      </c>
      <c r="R134" s="520">
        <f t="shared" si="155"/>
        <v>0</v>
      </c>
      <c r="S134" s="520">
        <f t="shared" si="156"/>
        <v>30849.286868060699</v>
      </c>
      <c r="T134" s="521">
        <f t="shared" si="11"/>
        <v>906206.11111271055</v>
      </c>
      <c r="U134" s="522"/>
      <c r="V134" s="382">
        <f t="shared" si="157"/>
        <v>59948</v>
      </c>
      <c r="W134" s="382">
        <f t="shared" si="158"/>
        <v>1139012</v>
      </c>
      <c r="Y134" s="159"/>
    </row>
    <row r="135" spans="1:29" ht="13" outlineLevel="1" x14ac:dyDescent="0.3">
      <c r="A135" s="1003"/>
      <c r="B135" s="622">
        <v>18.03</v>
      </c>
      <c r="C135" s="525" t="s">
        <v>75</v>
      </c>
      <c r="D135" s="623" t="s">
        <v>350</v>
      </c>
      <c r="E135" s="224" t="s">
        <v>111</v>
      </c>
      <c r="F135" s="624">
        <f>+[2]Locales!CO146</f>
        <v>349</v>
      </c>
      <c r="G135" s="562">
        <f>+'[2]APU 09.24'!E64</f>
        <v>11193.920501279999</v>
      </c>
      <c r="H135" s="625"/>
      <c r="I135" s="519">
        <f t="shared" si="159"/>
        <v>11193.920501279999</v>
      </c>
      <c r="J135" s="621">
        <f>+[2]SUBCONTRATOS!$D$43</f>
        <v>32886.699999999997</v>
      </c>
      <c r="K135" s="625"/>
      <c r="L135" s="519">
        <f t="shared" si="160"/>
        <v>32886.699999999997</v>
      </c>
      <c r="M135" s="562">
        <f>+'[2]APU 09.24'!K64</f>
        <v>1623.6466772663525</v>
      </c>
      <c r="N135" s="519">
        <f t="shared" si="161"/>
        <v>45704.267178546354</v>
      </c>
      <c r="O135" s="520">
        <f t="shared" si="152"/>
        <v>3906678.2549467199</v>
      </c>
      <c r="P135" s="520">
        <f t="shared" si="153"/>
        <v>0</v>
      </c>
      <c r="Q135" s="520">
        <f t="shared" si="154"/>
        <v>11477458.299999999</v>
      </c>
      <c r="R135" s="520">
        <f t="shared" si="155"/>
        <v>0</v>
      </c>
      <c r="S135" s="520">
        <f t="shared" si="156"/>
        <v>566652.69036595698</v>
      </c>
      <c r="T135" s="521">
        <f t="shared" si="11"/>
        <v>15950789.245312676</v>
      </c>
      <c r="U135" s="522"/>
      <c r="V135" s="382">
        <f t="shared" si="157"/>
        <v>57445</v>
      </c>
      <c r="W135" s="382">
        <f t="shared" si="158"/>
        <v>20048305</v>
      </c>
      <c r="Y135" s="159"/>
    </row>
    <row r="136" spans="1:29" ht="13" outlineLevel="1" x14ac:dyDescent="0.3">
      <c r="A136" s="1003"/>
      <c r="B136" s="626">
        <v>18.04</v>
      </c>
      <c r="C136" s="525" t="s">
        <v>75</v>
      </c>
      <c r="D136" s="623" t="s">
        <v>351</v>
      </c>
      <c r="E136" s="224" t="s">
        <v>111</v>
      </c>
      <c r="F136" s="624">
        <f>+[2]Locales!CP144</f>
        <v>35</v>
      </c>
      <c r="G136" s="562">
        <f>+'[2]APU 09.24'!E64</f>
        <v>11193.920501279999</v>
      </c>
      <c r="H136" s="565">
        <f>+G136*0.5</f>
        <v>5596.9602506399997</v>
      </c>
      <c r="I136" s="519">
        <f t="shared" si="159"/>
        <v>16790.880751919998</v>
      </c>
      <c r="J136" s="621">
        <f>+[2]SUBCONTRATOS!$D$43</f>
        <v>32886.699999999997</v>
      </c>
      <c r="K136" s="625"/>
      <c r="L136" s="519">
        <f t="shared" si="160"/>
        <v>32886.699999999997</v>
      </c>
      <c r="M136" s="562">
        <f>+'[2]APU 09.24'!K64</f>
        <v>1623.6466772663525</v>
      </c>
      <c r="N136" s="519">
        <f t="shared" si="161"/>
        <v>51301.22742918635</v>
      </c>
      <c r="O136" s="520">
        <f t="shared" si="152"/>
        <v>391787.21754479996</v>
      </c>
      <c r="P136" s="520">
        <f t="shared" si="153"/>
        <v>195893.60877239998</v>
      </c>
      <c r="Q136" s="520">
        <f t="shared" si="154"/>
        <v>1151034.5</v>
      </c>
      <c r="R136" s="520">
        <f t="shared" si="155"/>
        <v>0</v>
      </c>
      <c r="S136" s="520">
        <f t="shared" si="156"/>
        <v>56827.633704322339</v>
      </c>
      <c r="T136" s="521">
        <f t="shared" si="11"/>
        <v>1795542.9600215224</v>
      </c>
      <c r="U136" s="522"/>
      <c r="V136" s="382">
        <f t="shared" si="157"/>
        <v>64480</v>
      </c>
      <c r="W136" s="382">
        <f t="shared" si="158"/>
        <v>2256800</v>
      </c>
      <c r="Y136" s="159"/>
    </row>
    <row r="137" spans="1:29" ht="13" outlineLevel="1" x14ac:dyDescent="0.3">
      <c r="A137" s="1003"/>
      <c r="B137" s="622">
        <v>18.05</v>
      </c>
      <c r="C137" s="525" t="s">
        <v>75</v>
      </c>
      <c r="D137" s="623" t="s">
        <v>352</v>
      </c>
      <c r="E137" s="224" t="s">
        <v>111</v>
      </c>
      <c r="F137" s="624">
        <f>+[2]Locales!CM144</f>
        <v>16</v>
      </c>
      <c r="G137" s="562">
        <f>+'[2]APU 09.24'!E64</f>
        <v>11193.920501279999</v>
      </c>
      <c r="H137" s="625"/>
      <c r="I137" s="519">
        <f>G137+H137</f>
        <v>11193.920501279999</v>
      </c>
      <c r="J137" s="621">
        <f>+[2]SUBCONTRATOS!$D$43</f>
        <v>32886.699999999997</v>
      </c>
      <c r="K137" s="625"/>
      <c r="L137" s="519">
        <f>J137+K137</f>
        <v>32886.699999999997</v>
      </c>
      <c r="M137" s="562">
        <f>+'[2]APU 09.24'!K64</f>
        <v>1623.6466772663525</v>
      </c>
      <c r="N137" s="519">
        <f>I137+L137+M137</f>
        <v>45704.267178546354</v>
      </c>
      <c r="O137" s="520">
        <f>G137*F137</f>
        <v>179102.72802047999</v>
      </c>
      <c r="P137" s="520">
        <f>H137*F137</f>
        <v>0</v>
      </c>
      <c r="Q137" s="520">
        <f>J137*F137</f>
        <v>526187.19999999995</v>
      </c>
      <c r="R137" s="520">
        <f>K137*F137</f>
        <v>0</v>
      </c>
      <c r="S137" s="520">
        <f>+M137*F137</f>
        <v>25978.34683626164</v>
      </c>
      <c r="T137" s="521">
        <f>SUM(O137:S137)</f>
        <v>731268.27485674166</v>
      </c>
      <c r="U137" s="522"/>
      <c r="V137" s="382">
        <f>+ROUNDUP(N137*$U$5,0)</f>
        <v>57445</v>
      </c>
      <c r="W137" s="382">
        <f>+V137*F137</f>
        <v>919120</v>
      </c>
      <c r="Y137" s="159"/>
    </row>
    <row r="138" spans="1:29" ht="13" outlineLevel="1" x14ac:dyDescent="0.3">
      <c r="A138" s="1003"/>
      <c r="B138" s="626">
        <v>18.059999999999999</v>
      </c>
      <c r="C138" s="525" t="s">
        <v>75</v>
      </c>
      <c r="D138" s="623" t="s">
        <v>435</v>
      </c>
      <c r="E138" s="224" t="s">
        <v>111</v>
      </c>
      <c r="F138" s="624">
        <f>+[2]Locales!CQ144</f>
        <v>16</v>
      </c>
      <c r="G138" s="562">
        <f>+'[2]APU 09.24'!E64</f>
        <v>11193.920501279999</v>
      </c>
      <c r="H138" s="625"/>
      <c r="I138" s="519">
        <f>G138+H138</f>
        <v>11193.920501279999</v>
      </c>
      <c r="J138" s="621">
        <f>+[2]SUBCONTRATOS!$D$43</f>
        <v>32886.699999999997</v>
      </c>
      <c r="K138" s="625"/>
      <c r="L138" s="519">
        <f>J138+K138</f>
        <v>32886.699999999997</v>
      </c>
      <c r="M138" s="562">
        <f>+'[2]APU 09.24'!K64</f>
        <v>1623.6466772663525</v>
      </c>
      <c r="N138" s="519">
        <f t="shared" ref="N138" si="162">I138+L138+M138</f>
        <v>45704.267178546354</v>
      </c>
      <c r="O138" s="520">
        <f t="shared" ref="O138" si="163">G138*F138</f>
        <v>179102.72802047999</v>
      </c>
      <c r="P138" s="520">
        <f t="shared" ref="P138" si="164">H138*F138</f>
        <v>0</v>
      </c>
      <c r="Q138" s="520">
        <f t="shared" ref="Q138" si="165">J138*F138</f>
        <v>526187.19999999995</v>
      </c>
      <c r="R138" s="520">
        <f t="shared" ref="R138" si="166">K138*F138</f>
        <v>0</v>
      </c>
      <c r="S138" s="520">
        <f t="shared" ref="S138" si="167">+M138*F138</f>
        <v>25978.34683626164</v>
      </c>
      <c r="T138" s="521">
        <f t="shared" ref="T138" si="168">SUM(O138:S138)</f>
        <v>731268.27485674166</v>
      </c>
      <c r="U138" s="522"/>
      <c r="V138" s="382">
        <f t="shared" ref="V138" si="169">+ROUNDUP(N138*$U$5,0)</f>
        <v>57445</v>
      </c>
      <c r="W138" s="382">
        <f t="shared" ref="W138" si="170">+V138*F138</f>
        <v>919120</v>
      </c>
      <c r="Y138" s="159"/>
    </row>
    <row r="139" spans="1:29" ht="13" outlineLevel="1" x14ac:dyDescent="0.3">
      <c r="A139" s="1003"/>
      <c r="B139" s="622">
        <v>18.07</v>
      </c>
      <c r="C139" s="525" t="s">
        <v>75</v>
      </c>
      <c r="D139" s="623" t="s">
        <v>353</v>
      </c>
      <c r="E139" s="224" t="s">
        <v>111</v>
      </c>
      <c r="F139" s="624">
        <f>+[2]Locales!CR144</f>
        <v>46</v>
      </c>
      <c r="G139" s="565">
        <f>+'[2]APU 09.24'!E63*0.75</f>
        <v>9888.5338517624987</v>
      </c>
      <c r="H139" s="625"/>
      <c r="I139" s="519">
        <f t="shared" si="159"/>
        <v>9888.5338517624987</v>
      </c>
      <c r="J139" s="621">
        <f>+[2]SUBCONTRATOS!$D$41</f>
        <v>22868.3</v>
      </c>
      <c r="K139" s="625"/>
      <c r="L139" s="519">
        <f t="shared" si="160"/>
        <v>22868.3</v>
      </c>
      <c r="M139" s="562">
        <f>+'[2]APU 09.24'!K63</f>
        <v>1623.6466772663525</v>
      </c>
      <c r="N139" s="519">
        <f>I139+L139+M139</f>
        <v>34380.48052902885</v>
      </c>
      <c r="O139" s="520">
        <f>G139*F139</f>
        <v>454872.55718107492</v>
      </c>
      <c r="P139" s="520">
        <f>H139*F139</f>
        <v>0</v>
      </c>
      <c r="Q139" s="520">
        <f>J139*F139</f>
        <v>1051941.8</v>
      </c>
      <c r="R139" s="520">
        <f>K139*F139</f>
        <v>0</v>
      </c>
      <c r="S139" s="520">
        <f>+M139*F139</f>
        <v>74687.747154252211</v>
      </c>
      <c r="T139" s="521">
        <f>SUM(O139:S139)</f>
        <v>1581502.1043353272</v>
      </c>
      <c r="U139" s="522"/>
      <c r="V139" s="382">
        <f t="shared" si="157"/>
        <v>43213</v>
      </c>
      <c r="W139" s="382">
        <f t="shared" si="158"/>
        <v>1987798</v>
      </c>
      <c r="Y139" s="159"/>
    </row>
    <row r="140" spans="1:29" ht="13" outlineLevel="1" x14ac:dyDescent="0.3">
      <c r="A140" s="1003"/>
      <c r="B140" s="626">
        <v>18.079999999999998</v>
      </c>
      <c r="C140" s="525" t="s">
        <v>75</v>
      </c>
      <c r="D140" s="623" t="s">
        <v>354</v>
      </c>
      <c r="E140" s="224" t="s">
        <v>111</v>
      </c>
      <c r="F140" s="624">
        <f>+[2]Locales!CS144</f>
        <v>17</v>
      </c>
      <c r="G140" s="565">
        <f>+'[2]APU 09.24'!E63*0.75</f>
        <v>9888.5338517624987</v>
      </c>
      <c r="H140" s="625"/>
      <c r="I140" s="519">
        <f t="shared" si="159"/>
        <v>9888.5338517624987</v>
      </c>
      <c r="J140" s="621">
        <f>+[2]SUBCONTRATOS!$D$41</f>
        <v>22868.3</v>
      </c>
      <c r="K140" s="625"/>
      <c r="L140" s="519">
        <f t="shared" si="160"/>
        <v>22868.3</v>
      </c>
      <c r="M140" s="562">
        <f>+'[2]APU 09.24'!K63</f>
        <v>1623.6466772663525</v>
      </c>
      <c r="N140" s="519">
        <f t="shared" ref="N140:N162" si="171">I140+L140+M140</f>
        <v>34380.48052902885</v>
      </c>
      <c r="O140" s="520">
        <f t="shared" ref="O140:O162" si="172">G140*F140</f>
        <v>168105.07547996248</v>
      </c>
      <c r="P140" s="520">
        <f t="shared" ref="P140:P162" si="173">H140*F140</f>
        <v>0</v>
      </c>
      <c r="Q140" s="520">
        <f t="shared" ref="Q140:Q162" si="174">J140*F140</f>
        <v>388761.1</v>
      </c>
      <c r="R140" s="520">
        <f t="shared" ref="R140:R162" si="175">K140*F140</f>
        <v>0</v>
      </c>
      <c r="S140" s="520">
        <f t="shared" ref="S140:S162" si="176">+M140*F140</f>
        <v>27601.993513527992</v>
      </c>
      <c r="T140" s="521">
        <f t="shared" ref="T140:T162" si="177">SUM(O140:S140)</f>
        <v>584468.16899349052</v>
      </c>
      <c r="U140" s="522"/>
      <c r="V140" s="382">
        <f t="shared" si="157"/>
        <v>43213</v>
      </c>
      <c r="W140" s="382">
        <f t="shared" si="158"/>
        <v>734621</v>
      </c>
      <c r="Y140" s="159"/>
    </row>
    <row r="141" spans="1:29" ht="13" outlineLevel="1" x14ac:dyDescent="0.3">
      <c r="A141" s="1003"/>
      <c r="B141" s="622">
        <v>18.09</v>
      </c>
      <c r="C141" s="525" t="s">
        <v>75</v>
      </c>
      <c r="D141" s="623" t="s">
        <v>355</v>
      </c>
      <c r="E141" s="224" t="s">
        <v>111</v>
      </c>
      <c r="F141" s="624">
        <f>+[2]Locales!CT144</f>
        <v>11</v>
      </c>
      <c r="G141" s="565">
        <f>+'[2]APU 09.24'!E63*0.75</f>
        <v>9888.5338517624987</v>
      </c>
      <c r="H141" s="625"/>
      <c r="I141" s="519">
        <f t="shared" si="159"/>
        <v>9888.5338517624987</v>
      </c>
      <c r="J141" s="621">
        <f>+[2]SUBCONTRATOS!$D$41</f>
        <v>22868.3</v>
      </c>
      <c r="K141" s="625"/>
      <c r="L141" s="519">
        <f t="shared" si="160"/>
        <v>22868.3</v>
      </c>
      <c r="M141" s="562">
        <f>+'[2]APU 09.24'!K63</f>
        <v>1623.6466772663525</v>
      </c>
      <c r="N141" s="519">
        <f t="shared" si="171"/>
        <v>34380.48052902885</v>
      </c>
      <c r="O141" s="520">
        <f t="shared" si="172"/>
        <v>108773.87236938748</v>
      </c>
      <c r="P141" s="520">
        <f t="shared" si="173"/>
        <v>0</v>
      </c>
      <c r="Q141" s="520">
        <f t="shared" si="174"/>
        <v>251551.3</v>
      </c>
      <c r="R141" s="520">
        <f t="shared" si="175"/>
        <v>0</v>
      </c>
      <c r="S141" s="520">
        <f t="shared" si="176"/>
        <v>17860.113449929879</v>
      </c>
      <c r="T141" s="521">
        <f t="shared" si="177"/>
        <v>378185.28581931733</v>
      </c>
      <c r="U141" s="522"/>
      <c r="V141" s="382">
        <f t="shared" si="157"/>
        <v>43213</v>
      </c>
      <c r="W141" s="382">
        <f t="shared" si="158"/>
        <v>475343</v>
      </c>
      <c r="Y141" s="159"/>
    </row>
    <row r="142" spans="1:29" ht="13" outlineLevel="1" x14ac:dyDescent="0.3">
      <c r="A142" s="1003"/>
      <c r="B142" s="626">
        <v>18.100000000000001</v>
      </c>
      <c r="C142" s="525" t="s">
        <v>75</v>
      </c>
      <c r="D142" s="623" t="s">
        <v>356</v>
      </c>
      <c r="E142" s="224" t="s">
        <v>111</v>
      </c>
      <c r="F142" s="624">
        <v>1</v>
      </c>
      <c r="G142" s="621">
        <f>+[2]ELECT!I5</f>
        <v>1524162.9241119854</v>
      </c>
      <c r="H142" s="627"/>
      <c r="I142" s="519">
        <f t="shared" si="159"/>
        <v>1524162.9241119854</v>
      </c>
      <c r="J142" s="621">
        <f>+[2]SUBCONTRATOS!D51</f>
        <v>329747.40000000002</v>
      </c>
      <c r="K142" s="627"/>
      <c r="L142" s="519">
        <f t="shared" si="160"/>
        <v>329747.40000000002</v>
      </c>
      <c r="M142" s="518">
        <f>(I142+L142)*0.015</f>
        <v>27808.654861679781</v>
      </c>
      <c r="N142" s="519">
        <f t="shared" si="171"/>
        <v>1881718.9789736653</v>
      </c>
      <c r="O142" s="520">
        <f t="shared" si="172"/>
        <v>1524162.9241119854</v>
      </c>
      <c r="P142" s="520">
        <f t="shared" si="173"/>
        <v>0</v>
      </c>
      <c r="Q142" s="520">
        <f t="shared" si="174"/>
        <v>329747.40000000002</v>
      </c>
      <c r="R142" s="520">
        <f t="shared" si="175"/>
        <v>0</v>
      </c>
      <c r="S142" s="520">
        <f t="shared" si="176"/>
        <v>27808.654861679781</v>
      </c>
      <c r="T142" s="521">
        <f t="shared" si="177"/>
        <v>1881718.9789736653</v>
      </c>
      <c r="U142" s="522"/>
      <c r="V142" s="382">
        <f t="shared" si="157"/>
        <v>2365100</v>
      </c>
      <c r="W142" s="382">
        <f t="shared" si="158"/>
        <v>2365100</v>
      </c>
      <c r="Y142" s="159"/>
    </row>
    <row r="143" spans="1:29" ht="13" outlineLevel="1" x14ac:dyDescent="0.3">
      <c r="A143" s="1003"/>
      <c r="B143" s="622">
        <v>18.11</v>
      </c>
      <c r="C143" s="525" t="s">
        <v>75</v>
      </c>
      <c r="D143" s="623" t="s">
        <v>357</v>
      </c>
      <c r="E143" s="224" t="s">
        <v>111</v>
      </c>
      <c r="F143" s="624">
        <v>1</v>
      </c>
      <c r="G143" s="621">
        <f>+[2]ELECT!I29</f>
        <v>651921.59563010593</v>
      </c>
      <c r="H143" s="625"/>
      <c r="I143" s="519">
        <f t="shared" si="159"/>
        <v>651921.59563010593</v>
      </c>
      <c r="J143" s="621">
        <f>+[2]SUBCONTRATOS!$D$50</f>
        <v>219841.65</v>
      </c>
      <c r="K143" s="625"/>
      <c r="L143" s="519">
        <f t="shared" si="160"/>
        <v>219841.65</v>
      </c>
      <c r="M143" s="518">
        <f t="shared" ref="M143:M161" si="178">(I143+L143)*0.015</f>
        <v>13076.448684451589</v>
      </c>
      <c r="N143" s="519">
        <f t="shared" si="171"/>
        <v>884839.69431455759</v>
      </c>
      <c r="O143" s="520">
        <f t="shared" si="172"/>
        <v>651921.59563010593</v>
      </c>
      <c r="P143" s="520">
        <f t="shared" si="173"/>
        <v>0</v>
      </c>
      <c r="Q143" s="520">
        <f t="shared" si="174"/>
        <v>219841.65</v>
      </c>
      <c r="R143" s="520">
        <f t="shared" si="175"/>
        <v>0</v>
      </c>
      <c r="S143" s="520">
        <f t="shared" si="176"/>
        <v>13076.448684451589</v>
      </c>
      <c r="T143" s="521">
        <f t="shared" si="177"/>
        <v>884839.69431455759</v>
      </c>
      <c r="U143" s="522"/>
      <c r="V143" s="382">
        <f t="shared" si="157"/>
        <v>1112140</v>
      </c>
      <c r="W143" s="382">
        <f t="shared" si="158"/>
        <v>1112140</v>
      </c>
      <c r="Y143" s="159"/>
    </row>
    <row r="144" spans="1:29" ht="13" outlineLevel="1" x14ac:dyDescent="0.3">
      <c r="A144" s="1003"/>
      <c r="B144" s="626">
        <v>18.12</v>
      </c>
      <c r="C144" s="525" t="s">
        <v>75</v>
      </c>
      <c r="D144" s="623" t="s">
        <v>358</v>
      </c>
      <c r="E144" s="224" t="s">
        <v>111</v>
      </c>
      <c r="F144" s="624">
        <v>1</v>
      </c>
      <c r="G144" s="524">
        <f>+[2]ELECT!I39</f>
        <v>304564.37296813715</v>
      </c>
      <c r="H144" s="594"/>
      <c r="I144" s="519">
        <f t="shared" si="159"/>
        <v>304564.37296813715</v>
      </c>
      <c r="J144" s="621">
        <f>+[2]SUBCONTRATOS!$D$50</f>
        <v>219841.65</v>
      </c>
      <c r="K144" s="625"/>
      <c r="L144" s="519">
        <f t="shared" si="160"/>
        <v>219841.65</v>
      </c>
      <c r="M144" s="518">
        <f t="shared" si="178"/>
        <v>7866.0903445220574</v>
      </c>
      <c r="N144" s="519">
        <f t="shared" si="171"/>
        <v>532272.1133126592</v>
      </c>
      <c r="O144" s="520">
        <f t="shared" si="172"/>
        <v>304564.37296813715</v>
      </c>
      <c r="P144" s="520">
        <f t="shared" si="173"/>
        <v>0</v>
      </c>
      <c r="Q144" s="520">
        <f t="shared" si="174"/>
        <v>219841.65</v>
      </c>
      <c r="R144" s="520">
        <f t="shared" si="175"/>
        <v>0</v>
      </c>
      <c r="S144" s="520">
        <f t="shared" si="176"/>
        <v>7866.0903445220574</v>
      </c>
      <c r="T144" s="521">
        <f t="shared" si="177"/>
        <v>532272.1133126592</v>
      </c>
      <c r="U144" s="522"/>
      <c r="V144" s="382">
        <f t="shared" si="157"/>
        <v>669004</v>
      </c>
      <c r="W144" s="382">
        <f t="shared" si="158"/>
        <v>669004</v>
      </c>
      <c r="Y144" s="159"/>
    </row>
    <row r="145" spans="1:25" ht="13" outlineLevel="1" x14ac:dyDescent="0.3">
      <c r="A145" s="1003"/>
      <c r="B145" s="622">
        <v>18.13</v>
      </c>
      <c r="C145" s="525" t="s">
        <v>75</v>
      </c>
      <c r="D145" s="623" t="s">
        <v>359</v>
      </c>
      <c r="E145" s="224" t="s">
        <v>111</v>
      </c>
      <c r="F145" s="624">
        <v>1</v>
      </c>
      <c r="G145" s="524">
        <f>+[2]ELECT!I46</f>
        <v>540706.66411583603</v>
      </c>
      <c r="H145" s="625"/>
      <c r="I145" s="519">
        <f t="shared" si="159"/>
        <v>540706.66411583603</v>
      </c>
      <c r="J145" s="621">
        <f>+[2]SUBCONTRATOS!$D$50</f>
        <v>219841.65</v>
      </c>
      <c r="K145" s="625"/>
      <c r="L145" s="519">
        <f t="shared" si="160"/>
        <v>219841.65</v>
      </c>
      <c r="M145" s="518">
        <f t="shared" si="178"/>
        <v>11408.224711737541</v>
      </c>
      <c r="N145" s="519">
        <f t="shared" si="171"/>
        <v>771956.53882757365</v>
      </c>
      <c r="O145" s="520">
        <f t="shared" si="172"/>
        <v>540706.66411583603</v>
      </c>
      <c r="P145" s="520">
        <f t="shared" si="173"/>
        <v>0</v>
      </c>
      <c r="Q145" s="520">
        <f t="shared" si="174"/>
        <v>219841.65</v>
      </c>
      <c r="R145" s="520">
        <f t="shared" si="175"/>
        <v>0</v>
      </c>
      <c r="S145" s="520">
        <f t="shared" si="176"/>
        <v>11408.224711737541</v>
      </c>
      <c r="T145" s="521">
        <f t="shared" si="177"/>
        <v>771956.53882757365</v>
      </c>
      <c r="U145" s="522"/>
      <c r="V145" s="382">
        <f t="shared" si="157"/>
        <v>970259</v>
      </c>
      <c r="W145" s="382">
        <f t="shared" si="158"/>
        <v>970259</v>
      </c>
      <c r="Y145" s="159"/>
    </row>
    <row r="146" spans="1:25" ht="13" outlineLevel="1" x14ac:dyDescent="0.3">
      <c r="A146" s="1003"/>
      <c r="B146" s="626">
        <v>18.14</v>
      </c>
      <c r="C146" s="525" t="s">
        <v>75</v>
      </c>
      <c r="D146" s="623" t="s">
        <v>360</v>
      </c>
      <c r="E146" s="224" t="s">
        <v>111</v>
      </c>
      <c r="F146" s="624">
        <v>1</v>
      </c>
      <c r="G146" s="621">
        <f>+[2]ELECT!I56</f>
        <v>178279.69798522911</v>
      </c>
      <c r="H146" s="625"/>
      <c r="I146" s="519">
        <f t="shared" si="159"/>
        <v>178279.69798522911</v>
      </c>
      <c r="J146" s="621">
        <f>+[2]SUBCONTRATOS!$D$50</f>
        <v>219841.65</v>
      </c>
      <c r="K146" s="625"/>
      <c r="L146" s="519">
        <f t="shared" si="160"/>
        <v>219841.65</v>
      </c>
      <c r="M146" s="518">
        <f t="shared" si="178"/>
        <v>5971.8202197784367</v>
      </c>
      <c r="N146" s="519">
        <f t="shared" si="171"/>
        <v>404093.16820500756</v>
      </c>
      <c r="O146" s="520">
        <f t="shared" si="172"/>
        <v>178279.69798522911</v>
      </c>
      <c r="P146" s="520">
        <f t="shared" si="173"/>
        <v>0</v>
      </c>
      <c r="Q146" s="520">
        <f t="shared" si="174"/>
        <v>219841.65</v>
      </c>
      <c r="R146" s="520">
        <f t="shared" si="175"/>
        <v>0</v>
      </c>
      <c r="S146" s="520">
        <f t="shared" si="176"/>
        <v>5971.8202197784367</v>
      </c>
      <c r="T146" s="521">
        <f t="shared" si="177"/>
        <v>404093.16820500756</v>
      </c>
      <c r="U146" s="522"/>
      <c r="V146" s="382">
        <f t="shared" si="157"/>
        <v>507898</v>
      </c>
      <c r="W146" s="382">
        <f t="shared" si="158"/>
        <v>507898</v>
      </c>
      <c r="Y146" s="159"/>
    </row>
    <row r="147" spans="1:25" ht="13" outlineLevel="1" x14ac:dyDescent="0.3">
      <c r="A147" s="1003"/>
      <c r="B147" s="622">
        <v>18.149999999999999</v>
      </c>
      <c r="C147" s="525" t="s">
        <v>75</v>
      </c>
      <c r="D147" s="623" t="s">
        <v>361</v>
      </c>
      <c r="E147" s="224" t="s">
        <v>111</v>
      </c>
      <c r="F147" s="624">
        <v>7</v>
      </c>
      <c r="G147" s="621">
        <f>+[2]ELECT!I56</f>
        <v>178279.69798522911</v>
      </c>
      <c r="H147" s="625"/>
      <c r="I147" s="519">
        <f t="shared" si="159"/>
        <v>178279.69798522911</v>
      </c>
      <c r="J147" s="621">
        <f>+[2]SUBCONTRATOS!$D$50</f>
        <v>219841.65</v>
      </c>
      <c r="K147" s="625"/>
      <c r="L147" s="519">
        <f t="shared" si="160"/>
        <v>219841.65</v>
      </c>
      <c r="M147" s="518">
        <f t="shared" si="178"/>
        <v>5971.8202197784367</v>
      </c>
      <c r="N147" s="519">
        <f t="shared" si="171"/>
        <v>404093.16820500756</v>
      </c>
      <c r="O147" s="520">
        <f t="shared" si="172"/>
        <v>1247957.8858966038</v>
      </c>
      <c r="P147" s="520">
        <f t="shared" si="173"/>
        <v>0</v>
      </c>
      <c r="Q147" s="520">
        <f t="shared" si="174"/>
        <v>1538891.55</v>
      </c>
      <c r="R147" s="520">
        <f t="shared" si="175"/>
        <v>0</v>
      </c>
      <c r="S147" s="520">
        <f t="shared" si="176"/>
        <v>41802.74153844906</v>
      </c>
      <c r="T147" s="521">
        <f t="shared" si="177"/>
        <v>2828652.177435053</v>
      </c>
      <c r="U147" s="522"/>
      <c r="V147" s="382">
        <f t="shared" si="157"/>
        <v>507898</v>
      </c>
      <c r="W147" s="382">
        <f t="shared" si="158"/>
        <v>3555286</v>
      </c>
      <c r="Y147" s="159"/>
    </row>
    <row r="148" spans="1:25" ht="13" outlineLevel="1" x14ac:dyDescent="0.3">
      <c r="A148" s="1003"/>
      <c r="B148" s="626">
        <v>18.16</v>
      </c>
      <c r="C148" s="525" t="s">
        <v>75</v>
      </c>
      <c r="D148" s="623" t="s">
        <v>362</v>
      </c>
      <c r="E148" s="224" t="s">
        <v>111</v>
      </c>
      <c r="F148" s="624">
        <v>9</v>
      </c>
      <c r="G148" s="621">
        <f>+[2]ELECT!I64</f>
        <v>246945.70801345402</v>
      </c>
      <c r="H148" s="625"/>
      <c r="I148" s="519">
        <f t="shared" si="159"/>
        <v>246945.70801345402</v>
      </c>
      <c r="J148" s="621">
        <f>+[2]SUBCONTRATOS!$D$50</f>
        <v>219841.65</v>
      </c>
      <c r="K148" s="625"/>
      <c r="L148" s="519">
        <f t="shared" si="160"/>
        <v>219841.65</v>
      </c>
      <c r="M148" s="518">
        <f t="shared" si="178"/>
        <v>7001.8103702018097</v>
      </c>
      <c r="N148" s="519">
        <f t="shared" si="171"/>
        <v>473789.16838365584</v>
      </c>
      <c r="O148" s="520">
        <f t="shared" si="172"/>
        <v>2222511.3721210863</v>
      </c>
      <c r="P148" s="520">
        <f t="shared" si="173"/>
        <v>0</v>
      </c>
      <c r="Q148" s="520">
        <f t="shared" si="174"/>
        <v>1978574.8499999999</v>
      </c>
      <c r="R148" s="520">
        <f t="shared" si="175"/>
        <v>0</v>
      </c>
      <c r="S148" s="520">
        <f t="shared" si="176"/>
        <v>63016.29333181629</v>
      </c>
      <c r="T148" s="521">
        <f t="shared" si="177"/>
        <v>4264102.5154529018</v>
      </c>
      <c r="U148" s="522"/>
      <c r="V148" s="382">
        <f t="shared" si="157"/>
        <v>595498</v>
      </c>
      <c r="W148" s="382">
        <f t="shared" si="158"/>
        <v>5359482</v>
      </c>
      <c r="Y148" s="159"/>
    </row>
    <row r="149" spans="1:25" ht="13" outlineLevel="1" x14ac:dyDescent="0.3">
      <c r="A149" s="1003"/>
      <c r="B149" s="622">
        <v>18.170000000000002</v>
      </c>
      <c r="C149" s="525" t="s">
        <v>75</v>
      </c>
      <c r="D149" s="623" t="s">
        <v>363</v>
      </c>
      <c r="E149" s="224" t="s">
        <v>107</v>
      </c>
      <c r="F149" s="624">
        <v>1</v>
      </c>
      <c r="G149" s="628">
        <v>5500000</v>
      </c>
      <c r="H149" s="627"/>
      <c r="I149" s="519">
        <f t="shared" si="159"/>
        <v>5500000</v>
      </c>
      <c r="J149" s="627">
        <f>+('[2]P.MO 09.24'!B4+'[2]P.MO 09.24'!B6)*10</f>
        <v>1298971.1999314395</v>
      </c>
      <c r="K149" s="627">
        <f>+J149*0.5</f>
        <v>649485.59996571974</v>
      </c>
      <c r="L149" s="519">
        <f t="shared" si="160"/>
        <v>1948456.7998971592</v>
      </c>
      <c r="M149" s="518">
        <f t="shared" si="178"/>
        <v>111726.85199845739</v>
      </c>
      <c r="N149" s="519">
        <f t="shared" si="171"/>
        <v>7560183.6518956171</v>
      </c>
      <c r="O149" s="520">
        <f t="shared" si="172"/>
        <v>5500000</v>
      </c>
      <c r="P149" s="520">
        <f t="shared" si="173"/>
        <v>0</v>
      </c>
      <c r="Q149" s="520">
        <f t="shared" si="174"/>
        <v>1298971.1999314395</v>
      </c>
      <c r="R149" s="520">
        <f t="shared" si="175"/>
        <v>649485.59996571974</v>
      </c>
      <c r="S149" s="520">
        <f t="shared" si="176"/>
        <v>111726.85199845739</v>
      </c>
      <c r="T149" s="521">
        <f t="shared" si="177"/>
        <v>7560183.6518956162</v>
      </c>
      <c r="U149" s="522"/>
      <c r="V149" s="382">
        <f t="shared" si="157"/>
        <v>9502264</v>
      </c>
      <c r="W149" s="382">
        <f t="shared" si="158"/>
        <v>9502264</v>
      </c>
      <c r="Y149" s="159"/>
    </row>
    <row r="150" spans="1:25" ht="13" outlineLevel="1" x14ac:dyDescent="0.3">
      <c r="A150" s="1003"/>
      <c r="B150" s="626">
        <v>18.18</v>
      </c>
      <c r="C150" s="525" t="s">
        <v>75</v>
      </c>
      <c r="D150" s="623" t="s">
        <v>364</v>
      </c>
      <c r="E150" s="224" t="s">
        <v>107</v>
      </c>
      <c r="F150" s="624">
        <v>1</v>
      </c>
      <c r="G150" s="621">
        <f>+[2]ELECT!I115</f>
        <v>607800.87756291637</v>
      </c>
      <c r="H150" s="627"/>
      <c r="I150" s="519">
        <f t="shared" si="159"/>
        <v>607800.87756291637</v>
      </c>
      <c r="J150" s="627">
        <f>+('[2]P.MO 09.24'!B5+'[2]P.MO 09.24'!B7)*5</f>
        <v>576472.42766571976</v>
      </c>
      <c r="K150" s="627">
        <f>+J150*0.5</f>
        <v>288236.21383285988</v>
      </c>
      <c r="L150" s="519">
        <f t="shared" si="160"/>
        <v>864708.64149857964</v>
      </c>
      <c r="M150" s="518">
        <f t="shared" si="178"/>
        <v>22087.642785922439</v>
      </c>
      <c r="N150" s="519">
        <f t="shared" si="171"/>
        <v>1494597.1618474184</v>
      </c>
      <c r="O150" s="520">
        <f t="shared" si="172"/>
        <v>607800.87756291637</v>
      </c>
      <c r="P150" s="520">
        <f t="shared" si="173"/>
        <v>0</v>
      </c>
      <c r="Q150" s="520">
        <f t="shared" si="174"/>
        <v>576472.42766571976</v>
      </c>
      <c r="R150" s="520">
        <f t="shared" si="175"/>
        <v>288236.21383285988</v>
      </c>
      <c r="S150" s="520">
        <f t="shared" si="176"/>
        <v>22087.642785922439</v>
      </c>
      <c r="T150" s="521">
        <f t="shared" si="177"/>
        <v>1494597.1618474184</v>
      </c>
      <c r="U150" s="522"/>
      <c r="V150" s="382">
        <f t="shared" si="157"/>
        <v>1878534</v>
      </c>
      <c r="W150" s="382">
        <f t="shared" si="158"/>
        <v>1878534</v>
      </c>
      <c r="Y150" s="159"/>
    </row>
    <row r="151" spans="1:25" ht="13" outlineLevel="1" x14ac:dyDescent="0.3">
      <c r="A151" s="1003"/>
      <c r="B151" s="622">
        <v>18.190000000000001</v>
      </c>
      <c r="C151" s="525" t="s">
        <v>75</v>
      </c>
      <c r="D151" s="623" t="s">
        <v>365</v>
      </c>
      <c r="E151" s="224" t="s">
        <v>107</v>
      </c>
      <c r="F151" s="624">
        <v>1</v>
      </c>
      <c r="G151" s="621">
        <f>+[2]ELECT!I115</f>
        <v>607800.87756291637</v>
      </c>
      <c r="H151" s="627"/>
      <c r="I151" s="519">
        <f t="shared" si="159"/>
        <v>607800.87756291637</v>
      </c>
      <c r="J151" s="627">
        <f>+J150</f>
        <v>576472.42766571976</v>
      </c>
      <c r="K151" s="627">
        <f>+K150</f>
        <v>288236.21383285988</v>
      </c>
      <c r="L151" s="519">
        <f t="shared" si="160"/>
        <v>864708.64149857964</v>
      </c>
      <c r="M151" s="518">
        <f t="shared" si="178"/>
        <v>22087.642785922439</v>
      </c>
      <c r="N151" s="519">
        <f t="shared" si="171"/>
        <v>1494597.1618474184</v>
      </c>
      <c r="O151" s="520">
        <f t="shared" si="172"/>
        <v>607800.87756291637</v>
      </c>
      <c r="P151" s="520">
        <f t="shared" si="173"/>
        <v>0</v>
      </c>
      <c r="Q151" s="520">
        <f t="shared" si="174"/>
        <v>576472.42766571976</v>
      </c>
      <c r="R151" s="520">
        <f t="shared" si="175"/>
        <v>288236.21383285988</v>
      </c>
      <c r="S151" s="520">
        <f t="shared" si="176"/>
        <v>22087.642785922439</v>
      </c>
      <c r="T151" s="521">
        <f t="shared" si="177"/>
        <v>1494597.1618474184</v>
      </c>
      <c r="U151" s="522"/>
      <c r="V151" s="382">
        <f t="shared" si="157"/>
        <v>1878534</v>
      </c>
      <c r="W151" s="382">
        <f t="shared" si="158"/>
        <v>1878534</v>
      </c>
      <c r="Y151" s="159"/>
    </row>
    <row r="152" spans="1:25" ht="13" outlineLevel="1" x14ac:dyDescent="0.3">
      <c r="A152" s="1003"/>
      <c r="B152" s="626">
        <v>18.2</v>
      </c>
      <c r="C152" s="525" t="s">
        <v>75</v>
      </c>
      <c r="D152" s="623" t="s">
        <v>436</v>
      </c>
      <c r="E152" s="224" t="s">
        <v>111</v>
      </c>
      <c r="F152" s="624">
        <f>+[2]Locales!CG144</f>
        <v>33</v>
      </c>
      <c r="G152" s="621"/>
      <c r="H152" s="625"/>
      <c r="I152" s="519">
        <f t="shared" si="159"/>
        <v>0</v>
      </c>
      <c r="J152" s="621">
        <f>+[2]SUBCONTRATOS!D46</f>
        <v>11158</v>
      </c>
      <c r="K152" s="625"/>
      <c r="L152" s="519">
        <f t="shared" si="160"/>
        <v>11158</v>
      </c>
      <c r="M152" s="518">
        <f t="shared" si="178"/>
        <v>167.37</v>
      </c>
      <c r="N152" s="519">
        <f t="shared" si="171"/>
        <v>11325.37</v>
      </c>
      <c r="O152" s="520">
        <f t="shared" si="172"/>
        <v>0</v>
      </c>
      <c r="P152" s="520">
        <f t="shared" si="173"/>
        <v>0</v>
      </c>
      <c r="Q152" s="520">
        <f t="shared" si="174"/>
        <v>368214</v>
      </c>
      <c r="R152" s="520">
        <f t="shared" si="175"/>
        <v>0</v>
      </c>
      <c r="S152" s="520">
        <f t="shared" si="176"/>
        <v>5523.21</v>
      </c>
      <c r="T152" s="521">
        <f t="shared" si="177"/>
        <v>373737.21</v>
      </c>
      <c r="U152" s="522"/>
      <c r="V152" s="382">
        <f t="shared" si="157"/>
        <v>14235</v>
      </c>
      <c r="W152" s="382">
        <f t="shared" si="158"/>
        <v>469755</v>
      </c>
      <c r="Y152" s="159"/>
    </row>
    <row r="153" spans="1:25" ht="13" outlineLevel="1" x14ac:dyDescent="0.3">
      <c r="A153" s="1003"/>
      <c r="B153" s="622">
        <v>18.21</v>
      </c>
      <c r="C153" s="525" t="s">
        <v>75</v>
      </c>
      <c r="D153" s="623" t="s">
        <v>437</v>
      </c>
      <c r="E153" s="224" t="s">
        <v>111</v>
      </c>
      <c r="F153" s="624">
        <f>+[2]Locales!CL144</f>
        <v>150</v>
      </c>
      <c r="G153" s="627"/>
      <c r="H153" s="627"/>
      <c r="I153" s="519">
        <f t="shared" si="159"/>
        <v>0</v>
      </c>
      <c r="J153" s="621">
        <f>+[2]SUBCONTRATOS!$D$45</f>
        <v>7270.9</v>
      </c>
      <c r="K153" s="627"/>
      <c r="L153" s="519">
        <f t="shared" si="160"/>
        <v>7270.9</v>
      </c>
      <c r="M153" s="518">
        <f t="shared" si="178"/>
        <v>109.06349999999999</v>
      </c>
      <c r="N153" s="519">
        <f t="shared" si="171"/>
        <v>7379.9634999999998</v>
      </c>
      <c r="O153" s="520">
        <f t="shared" si="172"/>
        <v>0</v>
      </c>
      <c r="P153" s="520">
        <f t="shared" si="173"/>
        <v>0</v>
      </c>
      <c r="Q153" s="520">
        <f t="shared" si="174"/>
        <v>1090635</v>
      </c>
      <c r="R153" s="520">
        <f t="shared" si="175"/>
        <v>0</v>
      </c>
      <c r="S153" s="520">
        <f t="shared" si="176"/>
        <v>16359.524999999998</v>
      </c>
      <c r="T153" s="521">
        <f t="shared" si="177"/>
        <v>1106994.5249999999</v>
      </c>
      <c r="U153" s="522"/>
      <c r="V153" s="382">
        <f t="shared" si="157"/>
        <v>9276</v>
      </c>
      <c r="W153" s="382">
        <f t="shared" si="158"/>
        <v>1391400</v>
      </c>
      <c r="Y153" s="159"/>
    </row>
    <row r="154" spans="1:25" ht="13" outlineLevel="1" x14ac:dyDescent="0.3">
      <c r="A154" s="1003"/>
      <c r="B154" s="626">
        <v>18.22</v>
      </c>
      <c r="C154" s="525" t="s">
        <v>75</v>
      </c>
      <c r="D154" s="623" t="s">
        <v>438</v>
      </c>
      <c r="E154" s="224" t="s">
        <v>111</v>
      </c>
      <c r="F154" s="624">
        <f>+[2]Locales!CM144</f>
        <v>16</v>
      </c>
      <c r="G154" s="627"/>
      <c r="H154" s="627"/>
      <c r="I154" s="519">
        <f t="shared" si="159"/>
        <v>0</v>
      </c>
      <c r="J154" s="621">
        <f>+[2]SUBCONTRATOS!$D$45</f>
        <v>7270.9</v>
      </c>
      <c r="K154" s="627"/>
      <c r="L154" s="519">
        <f t="shared" si="160"/>
        <v>7270.9</v>
      </c>
      <c r="M154" s="518">
        <f t="shared" si="178"/>
        <v>109.06349999999999</v>
      </c>
      <c r="N154" s="519">
        <f t="shared" si="171"/>
        <v>7379.9634999999998</v>
      </c>
      <c r="O154" s="520">
        <f t="shared" si="172"/>
        <v>0</v>
      </c>
      <c r="P154" s="520">
        <f t="shared" si="173"/>
        <v>0</v>
      </c>
      <c r="Q154" s="520">
        <f t="shared" si="174"/>
        <v>116334.39999999999</v>
      </c>
      <c r="R154" s="520">
        <f t="shared" si="175"/>
        <v>0</v>
      </c>
      <c r="S154" s="520">
        <f t="shared" si="176"/>
        <v>1745.0159999999998</v>
      </c>
      <c r="T154" s="521">
        <f t="shared" si="177"/>
        <v>118079.416</v>
      </c>
      <c r="U154" s="522"/>
      <c r="V154" s="382">
        <f t="shared" si="157"/>
        <v>9276</v>
      </c>
      <c r="W154" s="382">
        <f t="shared" si="158"/>
        <v>148416</v>
      </c>
      <c r="Y154" s="159"/>
    </row>
    <row r="155" spans="1:25" ht="13" outlineLevel="1" x14ac:dyDescent="0.3">
      <c r="A155" s="1003"/>
      <c r="B155" s="622">
        <v>18.23</v>
      </c>
      <c r="C155" s="525" t="s">
        <v>75</v>
      </c>
      <c r="D155" s="623" t="s">
        <v>439</v>
      </c>
      <c r="E155" s="224" t="s">
        <v>111</v>
      </c>
      <c r="F155" s="624">
        <f>+[2]Locales!CO146</f>
        <v>349</v>
      </c>
      <c r="G155" s="627"/>
      <c r="H155" s="627"/>
      <c r="I155" s="519">
        <f t="shared" si="159"/>
        <v>0</v>
      </c>
      <c r="J155" s="621">
        <f>+[2]SUBCONTRATOS!$D$45</f>
        <v>7270.9</v>
      </c>
      <c r="K155" s="627"/>
      <c r="L155" s="519">
        <f t="shared" si="160"/>
        <v>7270.9</v>
      </c>
      <c r="M155" s="518">
        <f t="shared" si="178"/>
        <v>109.06349999999999</v>
      </c>
      <c r="N155" s="519">
        <f t="shared" si="171"/>
        <v>7379.9634999999998</v>
      </c>
      <c r="O155" s="520">
        <f t="shared" si="172"/>
        <v>0</v>
      </c>
      <c r="P155" s="520">
        <f t="shared" si="173"/>
        <v>0</v>
      </c>
      <c r="Q155" s="520">
        <f t="shared" si="174"/>
        <v>2537544.1</v>
      </c>
      <c r="R155" s="520">
        <f t="shared" si="175"/>
        <v>0</v>
      </c>
      <c r="S155" s="520">
        <f t="shared" si="176"/>
        <v>38063.161499999995</v>
      </c>
      <c r="T155" s="521">
        <f t="shared" si="177"/>
        <v>2575607.2615</v>
      </c>
      <c r="U155" s="522"/>
      <c r="V155" s="382">
        <f t="shared" si="157"/>
        <v>9276</v>
      </c>
      <c r="W155" s="382">
        <f t="shared" si="158"/>
        <v>3237324</v>
      </c>
      <c r="Y155" s="159"/>
    </row>
    <row r="156" spans="1:25" ht="13" outlineLevel="1" x14ac:dyDescent="0.3">
      <c r="A156" s="1003"/>
      <c r="B156" s="626">
        <v>18.239999999999998</v>
      </c>
      <c r="C156" s="525" t="s">
        <v>75</v>
      </c>
      <c r="D156" s="623" t="s">
        <v>440</v>
      </c>
      <c r="E156" s="224" t="s">
        <v>111</v>
      </c>
      <c r="F156" s="624">
        <f>+[2]Locales!CH144</f>
        <v>27</v>
      </c>
      <c r="G156" s="629"/>
      <c r="H156" s="625"/>
      <c r="I156" s="519">
        <f t="shared" si="159"/>
        <v>0</v>
      </c>
      <c r="J156" s="621">
        <f>+[2]SUBCONTRATOS!D49</f>
        <v>17500</v>
      </c>
      <c r="K156" s="625"/>
      <c r="L156" s="519">
        <f t="shared" si="160"/>
        <v>17500</v>
      </c>
      <c r="M156" s="518">
        <f t="shared" si="178"/>
        <v>262.5</v>
      </c>
      <c r="N156" s="519">
        <f t="shared" si="171"/>
        <v>17762.5</v>
      </c>
      <c r="O156" s="520">
        <f t="shared" si="172"/>
        <v>0</v>
      </c>
      <c r="P156" s="520">
        <f t="shared" si="173"/>
        <v>0</v>
      </c>
      <c r="Q156" s="520">
        <f t="shared" si="174"/>
        <v>472500</v>
      </c>
      <c r="R156" s="520">
        <f t="shared" si="175"/>
        <v>0</v>
      </c>
      <c r="S156" s="520">
        <f t="shared" si="176"/>
        <v>7087.5</v>
      </c>
      <c r="T156" s="521">
        <f t="shared" si="177"/>
        <v>479587.5</v>
      </c>
      <c r="U156" s="522"/>
      <c r="V156" s="382">
        <f t="shared" si="157"/>
        <v>22326</v>
      </c>
      <c r="W156" s="382">
        <f t="shared" si="158"/>
        <v>602802</v>
      </c>
      <c r="Y156" s="159"/>
    </row>
    <row r="157" spans="1:25" ht="13" outlineLevel="1" x14ac:dyDescent="0.3">
      <c r="A157" s="1003"/>
      <c r="B157" s="622">
        <v>18.25</v>
      </c>
      <c r="C157" s="525" t="s">
        <v>75</v>
      </c>
      <c r="D157" s="623" t="s">
        <v>441</v>
      </c>
      <c r="E157" s="224" t="s">
        <v>111</v>
      </c>
      <c r="F157" s="624">
        <f>+[2]Locales!CM144</f>
        <v>16</v>
      </c>
      <c r="G157" s="621"/>
      <c r="H157" s="625"/>
      <c r="I157" s="519">
        <f t="shared" si="159"/>
        <v>0</v>
      </c>
      <c r="J157" s="621">
        <f>+[2]SUBCONTRATOS!D46</f>
        <v>11158</v>
      </c>
      <c r="K157" s="625"/>
      <c r="L157" s="519">
        <f t="shared" si="160"/>
        <v>11158</v>
      </c>
      <c r="M157" s="518">
        <f t="shared" si="178"/>
        <v>167.37</v>
      </c>
      <c r="N157" s="519">
        <f t="shared" si="171"/>
        <v>11325.37</v>
      </c>
      <c r="O157" s="520">
        <f t="shared" si="172"/>
        <v>0</v>
      </c>
      <c r="P157" s="520">
        <f t="shared" si="173"/>
        <v>0</v>
      </c>
      <c r="Q157" s="520">
        <f t="shared" si="174"/>
        <v>178528</v>
      </c>
      <c r="R157" s="520">
        <f t="shared" si="175"/>
        <v>0</v>
      </c>
      <c r="S157" s="520">
        <f t="shared" si="176"/>
        <v>2677.92</v>
      </c>
      <c r="T157" s="521">
        <f t="shared" si="177"/>
        <v>181205.92</v>
      </c>
      <c r="U157" s="522"/>
      <c r="V157" s="382">
        <f t="shared" si="157"/>
        <v>14235</v>
      </c>
      <c r="W157" s="382">
        <f t="shared" si="158"/>
        <v>227760</v>
      </c>
      <c r="Y157" s="159"/>
    </row>
    <row r="158" spans="1:25" ht="26" outlineLevel="1" x14ac:dyDescent="0.3">
      <c r="A158" s="1003"/>
      <c r="B158" s="626">
        <v>18.260000000000002</v>
      </c>
      <c r="C158" s="525" t="s">
        <v>75</v>
      </c>
      <c r="D158" s="623" t="s">
        <v>442</v>
      </c>
      <c r="E158" s="224" t="s">
        <v>111</v>
      </c>
      <c r="F158" s="624">
        <f>+[2]Locales!CI144</f>
        <v>137</v>
      </c>
      <c r="G158" s="629"/>
      <c r="H158" s="625"/>
      <c r="I158" s="519">
        <f t="shared" si="159"/>
        <v>0</v>
      </c>
      <c r="J158" s="630">
        <f>+[2]SUBCONTRATOS!D46</f>
        <v>11158</v>
      </c>
      <c r="K158" s="625"/>
      <c r="L158" s="519">
        <f t="shared" si="160"/>
        <v>11158</v>
      </c>
      <c r="M158" s="518">
        <f t="shared" si="178"/>
        <v>167.37</v>
      </c>
      <c r="N158" s="519">
        <f t="shared" si="171"/>
        <v>11325.37</v>
      </c>
      <c r="O158" s="520">
        <f t="shared" si="172"/>
        <v>0</v>
      </c>
      <c r="P158" s="520">
        <f t="shared" si="173"/>
        <v>0</v>
      </c>
      <c r="Q158" s="520">
        <f t="shared" si="174"/>
        <v>1528646</v>
      </c>
      <c r="R158" s="520">
        <f t="shared" si="175"/>
        <v>0</v>
      </c>
      <c r="S158" s="520">
        <f t="shared" si="176"/>
        <v>22929.690000000002</v>
      </c>
      <c r="T158" s="521">
        <f t="shared" si="177"/>
        <v>1551575.69</v>
      </c>
      <c r="U158" s="522"/>
      <c r="V158" s="382">
        <f t="shared" si="157"/>
        <v>14235</v>
      </c>
      <c r="W158" s="382">
        <f t="shared" si="158"/>
        <v>1950195</v>
      </c>
      <c r="Y158" s="159"/>
    </row>
    <row r="159" spans="1:25" ht="13" outlineLevel="1" x14ac:dyDescent="0.3">
      <c r="A159" s="1003"/>
      <c r="B159" s="622">
        <v>18.27</v>
      </c>
      <c r="C159" s="525" t="s">
        <v>75</v>
      </c>
      <c r="D159" s="623" t="s">
        <v>443</v>
      </c>
      <c r="E159" s="224" t="s">
        <v>111</v>
      </c>
      <c r="F159" s="624">
        <v>1</v>
      </c>
      <c r="G159" s="629"/>
      <c r="H159" s="625"/>
      <c r="I159" s="519">
        <f t="shared" si="159"/>
        <v>0</v>
      </c>
      <c r="J159" s="630">
        <f>+[2]SUBCONTRATOS!D46</f>
        <v>11158</v>
      </c>
      <c r="K159" s="625"/>
      <c r="L159" s="519">
        <f t="shared" si="160"/>
        <v>11158</v>
      </c>
      <c r="M159" s="518">
        <f t="shared" si="178"/>
        <v>167.37</v>
      </c>
      <c r="N159" s="519">
        <f t="shared" si="171"/>
        <v>11325.37</v>
      </c>
      <c r="O159" s="520">
        <f t="shared" si="172"/>
        <v>0</v>
      </c>
      <c r="P159" s="520">
        <f t="shared" si="173"/>
        <v>0</v>
      </c>
      <c r="Q159" s="520">
        <f t="shared" si="174"/>
        <v>11158</v>
      </c>
      <c r="R159" s="520">
        <f t="shared" si="175"/>
        <v>0</v>
      </c>
      <c r="S159" s="520">
        <f t="shared" si="176"/>
        <v>167.37</v>
      </c>
      <c r="T159" s="521">
        <f t="shared" si="177"/>
        <v>11325.37</v>
      </c>
      <c r="U159" s="522"/>
      <c r="V159" s="382">
        <f t="shared" si="157"/>
        <v>14235</v>
      </c>
      <c r="W159" s="382">
        <f t="shared" si="158"/>
        <v>14235</v>
      </c>
      <c r="Y159" s="159"/>
    </row>
    <row r="160" spans="1:25" ht="13" outlineLevel="1" x14ac:dyDescent="0.3">
      <c r="A160" s="1003"/>
      <c r="B160" s="626">
        <v>18.28</v>
      </c>
      <c r="C160" s="525" t="s">
        <v>75</v>
      </c>
      <c r="D160" s="623" t="s">
        <v>366</v>
      </c>
      <c r="E160" s="224" t="s">
        <v>107</v>
      </c>
      <c r="F160" s="624">
        <v>1</v>
      </c>
      <c r="G160" s="621">
        <f>+[2]ELECT!I80</f>
        <v>5844722.2283497546</v>
      </c>
      <c r="H160" s="627"/>
      <c r="I160" s="519">
        <f t="shared" si="159"/>
        <v>5844722.2283497546</v>
      </c>
      <c r="J160" s="621">
        <f>([2]SUBCONTRATOS!D54*4)+[2]SUBCONTRATOS!D55+[2]SUBCONTRATOS!D56+[2]SUBCONTRATOS!D57</f>
        <v>1471041.5999999999</v>
      </c>
      <c r="K160" s="627"/>
      <c r="L160" s="519">
        <f t="shared" si="160"/>
        <v>1471041.5999999999</v>
      </c>
      <c r="M160" s="518">
        <f t="shared" si="178"/>
        <v>109736.45742524631</v>
      </c>
      <c r="N160" s="519">
        <f t="shared" si="171"/>
        <v>7425500.2857750002</v>
      </c>
      <c r="O160" s="520">
        <f t="shared" si="172"/>
        <v>5844722.2283497546</v>
      </c>
      <c r="P160" s="520">
        <f t="shared" si="173"/>
        <v>0</v>
      </c>
      <c r="Q160" s="520">
        <f t="shared" si="174"/>
        <v>1471041.5999999999</v>
      </c>
      <c r="R160" s="520">
        <f t="shared" si="175"/>
        <v>0</v>
      </c>
      <c r="S160" s="520">
        <f t="shared" si="176"/>
        <v>109736.45742524631</v>
      </c>
      <c r="T160" s="521">
        <f t="shared" si="177"/>
        <v>7425500.2857750002</v>
      </c>
      <c r="U160" s="522"/>
      <c r="V160" s="382">
        <f t="shared" si="157"/>
        <v>9332982</v>
      </c>
      <c r="W160" s="382">
        <f t="shared" si="158"/>
        <v>9332982</v>
      </c>
      <c r="Y160" s="159"/>
    </row>
    <row r="161" spans="1:31" ht="13" outlineLevel="1" x14ac:dyDescent="0.3">
      <c r="A161" s="1003"/>
      <c r="B161" s="622">
        <v>18.29</v>
      </c>
      <c r="C161" s="525" t="s">
        <v>75</v>
      </c>
      <c r="D161" s="623" t="s">
        <v>367</v>
      </c>
      <c r="E161" s="224" t="s">
        <v>107</v>
      </c>
      <c r="F161" s="624">
        <v>1</v>
      </c>
      <c r="G161" s="621">
        <f>+[2]ELECT!I74</f>
        <v>1261512.1510117827</v>
      </c>
      <c r="H161" s="627"/>
      <c r="I161" s="519">
        <f t="shared" si="159"/>
        <v>1261512.1510117827</v>
      </c>
      <c r="J161" s="621">
        <f>+[2]SUBCONTRATOS!D58*5</f>
        <v>305252.49999999994</v>
      </c>
      <c r="K161" s="518"/>
      <c r="L161" s="519">
        <f t="shared" si="160"/>
        <v>305252.49999999994</v>
      </c>
      <c r="M161" s="518">
        <f t="shared" si="178"/>
        <v>23501.469765176738</v>
      </c>
      <c r="N161" s="519">
        <f t="shared" si="171"/>
        <v>1590266.1207769595</v>
      </c>
      <c r="O161" s="520">
        <f t="shared" si="172"/>
        <v>1261512.1510117827</v>
      </c>
      <c r="P161" s="520">
        <f t="shared" si="173"/>
        <v>0</v>
      </c>
      <c r="Q161" s="520">
        <f t="shared" si="174"/>
        <v>305252.49999999994</v>
      </c>
      <c r="R161" s="520">
        <f t="shared" si="175"/>
        <v>0</v>
      </c>
      <c r="S161" s="520">
        <f t="shared" si="176"/>
        <v>23501.469765176738</v>
      </c>
      <c r="T161" s="521">
        <f t="shared" si="177"/>
        <v>1590266.1207769595</v>
      </c>
      <c r="U161" s="522"/>
      <c r="V161" s="382">
        <f t="shared" si="157"/>
        <v>1998778</v>
      </c>
      <c r="W161" s="382">
        <f t="shared" si="158"/>
        <v>1998778</v>
      </c>
      <c r="Y161" s="159"/>
      <c r="AC161" s="160">
        <v>4046.5</v>
      </c>
      <c r="AD161" s="458">
        <v>45200</v>
      </c>
    </row>
    <row r="162" spans="1:31" ht="13" outlineLevel="1" x14ac:dyDescent="0.3">
      <c r="A162" s="1003"/>
      <c r="B162" s="622">
        <v>18.3</v>
      </c>
      <c r="C162" s="527" t="s">
        <v>75</v>
      </c>
      <c r="D162" s="631" t="s">
        <v>368</v>
      </c>
      <c r="E162" s="225" t="s">
        <v>107</v>
      </c>
      <c r="F162" s="632">
        <v>1</v>
      </c>
      <c r="G162" s="633"/>
      <c r="H162" s="634"/>
      <c r="I162" s="531">
        <f t="shared" si="159"/>
        <v>0</v>
      </c>
      <c r="J162" s="532">
        <f>+[2]SUBCONTRATOS!D15</f>
        <v>100127.46103958957</v>
      </c>
      <c r="K162" s="634"/>
      <c r="L162" s="531">
        <f t="shared" si="160"/>
        <v>100127.46103958957</v>
      </c>
      <c r="M162" s="518"/>
      <c r="N162" s="531">
        <f t="shared" si="171"/>
        <v>100127.46103958957</v>
      </c>
      <c r="O162" s="534">
        <f t="shared" si="172"/>
        <v>0</v>
      </c>
      <c r="P162" s="534">
        <f t="shared" si="173"/>
        <v>0</v>
      </c>
      <c r="Q162" s="534">
        <f t="shared" si="174"/>
        <v>100127.46103958957</v>
      </c>
      <c r="R162" s="534">
        <f t="shared" si="175"/>
        <v>0</v>
      </c>
      <c r="S162" s="534">
        <f t="shared" si="176"/>
        <v>0</v>
      </c>
      <c r="T162" s="535">
        <f t="shared" si="177"/>
        <v>100127.46103958957</v>
      </c>
      <c r="U162" s="610"/>
      <c r="V162" s="382">
        <f t="shared" si="157"/>
        <v>125849</v>
      </c>
      <c r="W162" s="382">
        <f t="shared" si="158"/>
        <v>125849</v>
      </c>
      <c r="Y162" s="159"/>
      <c r="AC162" s="160">
        <v>10483.299999999999</v>
      </c>
      <c r="AD162" s="458">
        <v>45536</v>
      </c>
    </row>
    <row r="163" spans="1:31" ht="13" x14ac:dyDescent="0.3">
      <c r="A163" s="1005"/>
      <c r="B163" s="500">
        <v>19</v>
      </c>
      <c r="C163" s="501"/>
      <c r="D163" s="380" t="s">
        <v>210</v>
      </c>
      <c r="E163" s="213"/>
      <c r="F163" s="502"/>
      <c r="G163" s="502"/>
      <c r="H163" s="502"/>
      <c r="I163" s="502"/>
      <c r="J163" s="502"/>
      <c r="K163" s="502"/>
      <c r="L163" s="502"/>
      <c r="M163" s="502"/>
      <c r="N163" s="503"/>
      <c r="O163" s="502"/>
      <c r="P163" s="502"/>
      <c r="Q163" s="502"/>
      <c r="R163" s="502"/>
      <c r="S163" s="502"/>
      <c r="T163" s="502"/>
      <c r="U163" s="635"/>
      <c r="V163" s="636"/>
      <c r="W163" s="636"/>
      <c r="X163" s="637"/>
      <c r="AC163" s="161">
        <f>+AC162/AC161</f>
        <v>2.5907080192759171</v>
      </c>
      <c r="AD163" s="458"/>
    </row>
    <row r="164" spans="1:31" ht="13" outlineLevel="1" x14ac:dyDescent="0.3">
      <c r="A164" s="1005"/>
      <c r="B164" s="500"/>
      <c r="C164" s="501"/>
      <c r="D164" s="380" t="s">
        <v>369</v>
      </c>
      <c r="E164" s="213"/>
      <c r="F164" s="502"/>
      <c r="G164" s="502"/>
      <c r="H164" s="502"/>
      <c r="I164" s="638"/>
      <c r="J164" s="502"/>
      <c r="K164" s="502"/>
      <c r="L164" s="502"/>
      <c r="M164" s="502"/>
      <c r="N164" s="503"/>
      <c r="O164" s="502"/>
      <c r="P164" s="502"/>
      <c r="Q164" s="502"/>
      <c r="R164" s="502"/>
      <c r="S164" s="502"/>
      <c r="T164" s="502"/>
      <c r="U164" s="504">
        <f>SUM(T165:T168)</f>
        <v>16836141.910895217</v>
      </c>
      <c r="V164" s="502"/>
      <c r="W164" s="502"/>
      <c r="X164" s="505">
        <f>SUM(W165:W168)</f>
        <v>21161055</v>
      </c>
      <c r="Y164" s="159">
        <f>+X164/$X$216</f>
        <v>1.8769738542394082E-2</v>
      </c>
      <c r="Z164" s="458">
        <f>+X164</f>
        <v>21161055</v>
      </c>
      <c r="AB164" s="456" t="s">
        <v>444</v>
      </c>
      <c r="AC164" s="456" t="s">
        <v>194</v>
      </c>
      <c r="AD164" s="464"/>
      <c r="AE164" s="456" t="s">
        <v>445</v>
      </c>
    </row>
    <row r="165" spans="1:31" ht="13" outlineLevel="1" x14ac:dyDescent="0.3">
      <c r="A165" s="1003"/>
      <c r="B165" s="506">
        <v>19.010000000000002</v>
      </c>
      <c r="C165" s="555" t="s">
        <v>79</v>
      </c>
      <c r="D165" s="639" t="s">
        <v>370</v>
      </c>
      <c r="E165" s="219" t="s">
        <v>107</v>
      </c>
      <c r="F165" s="163">
        <v>1</v>
      </c>
      <c r="G165" s="599">
        <f>+J165*0.6</f>
        <v>2127230.3546274551</v>
      </c>
      <c r="H165" s="163"/>
      <c r="I165" s="509">
        <f>G165+H165</f>
        <v>2127230.3546274551</v>
      </c>
      <c r="J165" s="599">
        <f>+AE165*0.35</f>
        <v>3545383.9243790922</v>
      </c>
      <c r="K165" s="163"/>
      <c r="L165" s="509">
        <f t="shared" ref="L165:L180" si="179">J165+K165</f>
        <v>3545383.9243790922</v>
      </c>
      <c r="M165" s="582">
        <f>(I165+L165)*0.015</f>
        <v>85089.214185098201</v>
      </c>
      <c r="N165" s="509">
        <f>I165+L165+M165</f>
        <v>5757703.4931916455</v>
      </c>
      <c r="O165" s="510">
        <f>G165*F165</f>
        <v>2127230.3546274551</v>
      </c>
      <c r="P165" s="510">
        <f t="shared" ref="P165:P178" si="180">H165*F165</f>
        <v>0</v>
      </c>
      <c r="Q165" s="510">
        <f t="shared" ref="Q165:Q178" si="181">J165*F165</f>
        <v>3545383.9243790922</v>
      </c>
      <c r="R165" s="510">
        <f t="shared" ref="R165:R178" si="182">K165*F165</f>
        <v>0</v>
      </c>
      <c r="S165" s="510">
        <f t="shared" ref="S165:S178" si="183">+M165*F165</f>
        <v>85089.214185098201</v>
      </c>
      <c r="T165" s="511">
        <f>SUM(O165:S165)</f>
        <v>5757703.4931916455</v>
      </c>
      <c r="U165" s="522"/>
      <c r="V165" s="564">
        <f t="shared" ref="V165:V168" si="184">+ROUNDUP(N165*$U$5,0)</f>
        <v>7236758</v>
      </c>
      <c r="W165" s="564">
        <f t="shared" ref="W165:W168" si="185">+V165*F165</f>
        <v>7236758</v>
      </c>
      <c r="Y165" s="159"/>
      <c r="AA165" s="160" t="s">
        <v>446</v>
      </c>
      <c r="AB165" s="161">
        <v>4600000</v>
      </c>
      <c r="AC165" s="161">
        <f>+AB165*$AC$163</f>
        <v>11917256.888669219</v>
      </c>
      <c r="AD165" s="458">
        <v>0.85</v>
      </c>
      <c r="AE165" s="161">
        <f>+AC165*AD165</f>
        <v>10129668.355368836</v>
      </c>
    </row>
    <row r="166" spans="1:31" ht="13" outlineLevel="1" x14ac:dyDescent="0.3">
      <c r="A166" s="1003"/>
      <c r="B166" s="514">
        <v>19.02</v>
      </c>
      <c r="C166" s="525" t="s">
        <v>79</v>
      </c>
      <c r="D166" s="542" t="s">
        <v>371</v>
      </c>
      <c r="E166" s="216" t="s">
        <v>107</v>
      </c>
      <c r="F166" s="157">
        <v>1</v>
      </c>
      <c r="G166" s="524">
        <f>+J166*0.55</f>
        <v>278565.87977264303</v>
      </c>
      <c r="H166" s="157"/>
      <c r="I166" s="519">
        <f>G166+H166</f>
        <v>278565.87977264303</v>
      </c>
      <c r="J166" s="524">
        <f>+AE165*0.05</f>
        <v>506483.41776844184</v>
      </c>
      <c r="K166" s="157"/>
      <c r="L166" s="519">
        <f t="shared" si="179"/>
        <v>506483.41776844184</v>
      </c>
      <c r="M166" s="518">
        <f>(I166+L166)*0.015</f>
        <v>11775.739463116273</v>
      </c>
      <c r="N166" s="519">
        <f>I166+L166+M166</f>
        <v>796825.03700420121</v>
      </c>
      <c r="O166" s="520">
        <f>G166*F166</f>
        <v>278565.87977264303</v>
      </c>
      <c r="P166" s="520">
        <f t="shared" si="180"/>
        <v>0</v>
      </c>
      <c r="Q166" s="520">
        <f t="shared" si="181"/>
        <v>506483.41776844184</v>
      </c>
      <c r="R166" s="520">
        <f t="shared" si="182"/>
        <v>0</v>
      </c>
      <c r="S166" s="520">
        <f t="shared" si="183"/>
        <v>11775.739463116273</v>
      </c>
      <c r="T166" s="521">
        <f>SUM(O166:S166)</f>
        <v>796825.03700420121</v>
      </c>
      <c r="U166" s="522"/>
      <c r="V166" s="564">
        <f t="shared" si="184"/>
        <v>1001516</v>
      </c>
      <c r="W166" s="564">
        <f t="shared" si="185"/>
        <v>1001516</v>
      </c>
      <c r="Y166" s="159"/>
      <c r="AA166" s="160" t="s">
        <v>447</v>
      </c>
      <c r="AB166" s="161">
        <v>2360000</v>
      </c>
      <c r="AC166" s="161">
        <f>+AB166*$AC$163</f>
        <v>6114070.9254911644</v>
      </c>
      <c r="AD166" s="458">
        <v>0.7</v>
      </c>
      <c r="AE166" s="161">
        <f t="shared" ref="AE166:AE168" si="186">+AC166*AD166</f>
        <v>4279849.6478438145</v>
      </c>
    </row>
    <row r="167" spans="1:31" ht="13" outlineLevel="1" x14ac:dyDescent="0.3">
      <c r="A167" s="1003"/>
      <c r="B167" s="514">
        <v>19.03</v>
      </c>
      <c r="C167" s="525" t="s">
        <v>79</v>
      </c>
      <c r="D167" s="542" t="s">
        <v>372</v>
      </c>
      <c r="E167" s="216" t="s">
        <v>107</v>
      </c>
      <c r="F167" s="157">
        <v>1</v>
      </c>
      <c r="G167" s="524">
        <f>+J167*0.7</f>
        <v>2836307.1395032741</v>
      </c>
      <c r="H167" s="157"/>
      <c r="I167" s="519">
        <f>G167+H167</f>
        <v>2836307.1395032741</v>
      </c>
      <c r="J167" s="524">
        <f>+AE165*0.4</f>
        <v>4051867.3421475347</v>
      </c>
      <c r="K167" s="157"/>
      <c r="L167" s="519">
        <f t="shared" si="179"/>
        <v>4051867.3421475347</v>
      </c>
      <c r="M167" s="518">
        <f>(I167+L167)*0.015</f>
        <v>103322.61722476213</v>
      </c>
      <c r="N167" s="519">
        <f>I167+L167+M167</f>
        <v>6991497.098875571</v>
      </c>
      <c r="O167" s="520">
        <f>G167*F167</f>
        <v>2836307.1395032741</v>
      </c>
      <c r="P167" s="520">
        <f t="shared" si="180"/>
        <v>0</v>
      </c>
      <c r="Q167" s="520">
        <f t="shared" si="181"/>
        <v>4051867.3421475347</v>
      </c>
      <c r="R167" s="520">
        <f t="shared" si="182"/>
        <v>0</v>
      </c>
      <c r="S167" s="520">
        <f t="shared" si="183"/>
        <v>103322.61722476213</v>
      </c>
      <c r="T167" s="521">
        <f>SUM(O167:S167)</f>
        <v>6991497.098875571</v>
      </c>
      <c r="U167" s="522"/>
      <c r="V167" s="382">
        <f t="shared" si="184"/>
        <v>8787491</v>
      </c>
      <c r="W167" s="382">
        <f t="shared" si="185"/>
        <v>8787491</v>
      </c>
      <c r="Y167" s="159"/>
      <c r="AA167" s="160" t="s">
        <v>448</v>
      </c>
      <c r="AB167" s="161">
        <v>8900000</v>
      </c>
      <c r="AC167" s="161">
        <f>+AB167*$AC$163</f>
        <v>23057301.371555664</v>
      </c>
      <c r="AD167" s="458">
        <v>0.85</v>
      </c>
      <c r="AE167" s="161">
        <f t="shared" si="186"/>
        <v>19598706.165822312</v>
      </c>
    </row>
    <row r="168" spans="1:31" ht="13" outlineLevel="1" x14ac:dyDescent="0.3">
      <c r="A168" s="1003"/>
      <c r="B168" s="526">
        <v>19.04</v>
      </c>
      <c r="C168" s="527" t="s">
        <v>79</v>
      </c>
      <c r="D168" s="640" t="s">
        <v>373</v>
      </c>
      <c r="E168" s="226" t="s">
        <v>107</v>
      </c>
      <c r="F168" s="164">
        <v>1</v>
      </c>
      <c r="G168" s="532">
        <f>+J168*0.6</f>
        <v>1215560.2026442604</v>
      </c>
      <c r="H168" s="164"/>
      <c r="I168" s="531">
        <f>G168+H168</f>
        <v>1215560.2026442604</v>
      </c>
      <c r="J168" s="532">
        <f>+AE165*0.2</f>
        <v>2025933.6710737674</v>
      </c>
      <c r="K168" s="164"/>
      <c r="L168" s="531">
        <f t="shared" si="179"/>
        <v>2025933.6710737674</v>
      </c>
      <c r="M168" s="533">
        <f>(I168+L168)*0.015</f>
        <v>48622.408105770417</v>
      </c>
      <c r="N168" s="531">
        <f>I168+L168+M168</f>
        <v>3290116.2818237985</v>
      </c>
      <c r="O168" s="534">
        <f>G168*F168</f>
        <v>1215560.2026442604</v>
      </c>
      <c r="P168" s="534">
        <f t="shared" si="180"/>
        <v>0</v>
      </c>
      <c r="Q168" s="534">
        <f t="shared" si="181"/>
        <v>2025933.6710737674</v>
      </c>
      <c r="R168" s="534">
        <f t="shared" si="182"/>
        <v>0</v>
      </c>
      <c r="S168" s="534">
        <f t="shared" si="183"/>
        <v>48622.408105770417</v>
      </c>
      <c r="T168" s="535">
        <f>SUM(O168:S168)</f>
        <v>3290116.2818237985</v>
      </c>
      <c r="U168" s="522"/>
      <c r="V168" s="382">
        <f t="shared" si="184"/>
        <v>4135290</v>
      </c>
      <c r="W168" s="382">
        <f t="shared" si="185"/>
        <v>4135290</v>
      </c>
      <c r="Y168" s="159"/>
      <c r="AA168" s="160" t="s">
        <v>449</v>
      </c>
      <c r="AB168" s="161">
        <v>1200000</v>
      </c>
      <c r="AC168" s="161">
        <f>+AB168*$AC$163</f>
        <v>3108849.6231311006</v>
      </c>
      <c r="AD168" s="458">
        <v>0.6</v>
      </c>
      <c r="AE168" s="161">
        <f t="shared" si="186"/>
        <v>1865309.7738786603</v>
      </c>
    </row>
    <row r="169" spans="1:31" ht="13" outlineLevel="1" x14ac:dyDescent="0.3">
      <c r="A169" s="1005"/>
      <c r="B169" s="641"/>
      <c r="C169" s="642"/>
      <c r="D169" s="643" t="s">
        <v>374</v>
      </c>
      <c r="E169" s="211"/>
      <c r="F169" s="487"/>
      <c r="G169" s="487"/>
      <c r="H169" s="487"/>
      <c r="I169" s="487"/>
      <c r="J169" s="487"/>
      <c r="K169" s="487"/>
      <c r="L169" s="487"/>
      <c r="M169" s="644"/>
      <c r="N169" s="487"/>
      <c r="O169" s="487"/>
      <c r="P169" s="487"/>
      <c r="Q169" s="487"/>
      <c r="R169" s="487"/>
      <c r="S169" s="487"/>
      <c r="T169" s="487"/>
      <c r="U169" s="504">
        <f>SUM(T170:T172)</f>
        <v>5212856.8710737657</v>
      </c>
      <c r="V169" s="502"/>
      <c r="W169" s="502"/>
      <c r="X169" s="505">
        <f>SUM(W170:W172)</f>
        <v>6551951</v>
      </c>
      <c r="Y169" s="159">
        <f>+X169/$X$216</f>
        <v>5.8115442359833883E-3</v>
      </c>
      <c r="Z169" s="458">
        <f>+X169</f>
        <v>6551951</v>
      </c>
      <c r="AC169" s="645">
        <f>SUM(AC165:AC168)</f>
        <v>44197478.808847152</v>
      </c>
      <c r="AD169" s="458"/>
      <c r="AE169" s="645">
        <f>+SUM(AE165:AE168)</f>
        <v>35873533.942913622</v>
      </c>
    </row>
    <row r="170" spans="1:31" ht="13" outlineLevel="1" x14ac:dyDescent="0.3">
      <c r="A170" s="1003"/>
      <c r="B170" s="506">
        <v>19.05</v>
      </c>
      <c r="C170" s="555" t="s">
        <v>79</v>
      </c>
      <c r="D170" s="639" t="s">
        <v>375</v>
      </c>
      <c r="E170" s="219" t="s">
        <v>107</v>
      </c>
      <c r="F170" s="163">
        <v>1</v>
      </c>
      <c r="G170" s="599">
        <f>+J170*0.4</f>
        <v>599178.95069813402</v>
      </c>
      <c r="H170" s="163"/>
      <c r="I170" s="509">
        <f>G170+H170</f>
        <v>599178.95069813402</v>
      </c>
      <c r="J170" s="599">
        <f>+AE166*0.35</f>
        <v>1497947.3767453351</v>
      </c>
      <c r="K170" s="163"/>
      <c r="L170" s="509">
        <f t="shared" si="179"/>
        <v>1497947.3767453351</v>
      </c>
      <c r="M170" s="582">
        <f>(I170+L170)*0.015</f>
        <v>31456.894911652034</v>
      </c>
      <c r="N170" s="509">
        <f>I170+L170+M170</f>
        <v>2128583.2223551213</v>
      </c>
      <c r="O170" s="510">
        <f>G170*F170</f>
        <v>599178.95069813402</v>
      </c>
      <c r="P170" s="510">
        <f t="shared" si="180"/>
        <v>0</v>
      </c>
      <c r="Q170" s="510">
        <f t="shared" si="181"/>
        <v>1497947.3767453351</v>
      </c>
      <c r="R170" s="510">
        <f t="shared" si="182"/>
        <v>0</v>
      </c>
      <c r="S170" s="510">
        <f t="shared" si="183"/>
        <v>31456.894911652034</v>
      </c>
      <c r="T170" s="511">
        <f>SUM(O170:S170)</f>
        <v>2128583.2223551213</v>
      </c>
      <c r="U170" s="462"/>
      <c r="V170" s="382">
        <f>+ROUNDUP(N170*$U$5,0)</f>
        <v>2675380</v>
      </c>
      <c r="W170" s="382">
        <f>+V170*F170</f>
        <v>2675380</v>
      </c>
      <c r="Y170" s="159"/>
    </row>
    <row r="171" spans="1:31" ht="13" outlineLevel="1" x14ac:dyDescent="0.3">
      <c r="A171" s="1003"/>
      <c r="B171" s="514">
        <v>19.059999999999999</v>
      </c>
      <c r="C171" s="525" t="s">
        <v>79</v>
      </c>
      <c r="D171" s="542" t="s">
        <v>376</v>
      </c>
      <c r="E171" s="216" t="s">
        <v>107</v>
      </c>
      <c r="F171" s="157">
        <v>1</v>
      </c>
      <c r="G171" s="524">
        <f>+J171*0.6</f>
        <v>898768.42604720104</v>
      </c>
      <c r="H171" s="157"/>
      <c r="I171" s="519">
        <f>G171+H171</f>
        <v>898768.42604720104</v>
      </c>
      <c r="J171" s="524">
        <f>+AE166*0.35</f>
        <v>1497947.3767453351</v>
      </c>
      <c r="K171" s="157"/>
      <c r="L171" s="519">
        <f t="shared" si="179"/>
        <v>1497947.3767453351</v>
      </c>
      <c r="M171" s="518">
        <f>(I171+L171)*0.015</f>
        <v>35950.737041888038</v>
      </c>
      <c r="N171" s="519">
        <f>I171+L171+M171</f>
        <v>2432666.5398344239</v>
      </c>
      <c r="O171" s="520">
        <f>G171*F171</f>
        <v>898768.42604720104</v>
      </c>
      <c r="P171" s="520">
        <f t="shared" si="180"/>
        <v>0</v>
      </c>
      <c r="Q171" s="520">
        <f t="shared" si="181"/>
        <v>1497947.3767453351</v>
      </c>
      <c r="R171" s="520">
        <f t="shared" si="182"/>
        <v>0</v>
      </c>
      <c r="S171" s="520">
        <f t="shared" si="183"/>
        <v>35950.737041888038</v>
      </c>
      <c r="T171" s="521">
        <f>SUM(O171:S171)</f>
        <v>2432666.5398344239</v>
      </c>
      <c r="U171" s="462"/>
      <c r="V171" s="382">
        <f>+ROUNDUP(N171*$U$5,0)</f>
        <v>3057577</v>
      </c>
      <c r="W171" s="382">
        <f>+V171*F171</f>
        <v>3057577</v>
      </c>
      <c r="Y171" s="159"/>
    </row>
    <row r="172" spans="1:31" ht="13" outlineLevel="1" x14ac:dyDescent="0.3">
      <c r="A172" s="1003"/>
      <c r="B172" s="526">
        <v>19.07</v>
      </c>
      <c r="C172" s="525" t="s">
        <v>79</v>
      </c>
      <c r="D172" s="640" t="s">
        <v>377</v>
      </c>
      <c r="E172" s="226" t="s">
        <v>107</v>
      </c>
      <c r="F172" s="164">
        <v>1</v>
      </c>
      <c r="G172" s="532">
        <f>+J172*0.5</f>
        <v>213992.48239219072</v>
      </c>
      <c r="H172" s="164"/>
      <c r="I172" s="531">
        <f>G172+H172</f>
        <v>213992.48239219072</v>
      </c>
      <c r="J172" s="532">
        <f>+AE166*0.1</f>
        <v>427984.96478438145</v>
      </c>
      <c r="K172" s="164"/>
      <c r="L172" s="531">
        <f t="shared" si="179"/>
        <v>427984.96478438145</v>
      </c>
      <c r="M172" s="533">
        <f>(I172+L172)*0.015</f>
        <v>9629.6617076485818</v>
      </c>
      <c r="N172" s="531">
        <f>I172+L172+M172</f>
        <v>651607.10888422071</v>
      </c>
      <c r="O172" s="534">
        <f>G172*F172</f>
        <v>213992.48239219072</v>
      </c>
      <c r="P172" s="534">
        <f t="shared" si="180"/>
        <v>0</v>
      </c>
      <c r="Q172" s="534">
        <f t="shared" si="181"/>
        <v>427984.96478438145</v>
      </c>
      <c r="R172" s="534">
        <f t="shared" si="182"/>
        <v>0</v>
      </c>
      <c r="S172" s="534">
        <f t="shared" si="183"/>
        <v>9629.6617076485818</v>
      </c>
      <c r="T172" s="535">
        <f>SUM(O172:S172)</f>
        <v>651607.10888422071</v>
      </c>
      <c r="U172" s="462"/>
      <c r="V172" s="382">
        <f>+ROUNDUP(N172*$U$5,0)</f>
        <v>818994</v>
      </c>
      <c r="W172" s="382">
        <f>+V172*F172</f>
        <v>818994</v>
      </c>
      <c r="Y172" s="159"/>
    </row>
    <row r="173" spans="1:31" ht="13" outlineLevel="1" x14ac:dyDescent="0.3">
      <c r="A173" s="1005"/>
      <c r="B173" s="500"/>
      <c r="C173" s="501"/>
      <c r="D173" s="380" t="s">
        <v>378</v>
      </c>
      <c r="E173" s="213"/>
      <c r="F173" s="502"/>
      <c r="G173" s="502"/>
      <c r="H173" s="502"/>
      <c r="I173" s="502"/>
      <c r="J173" s="502"/>
      <c r="K173" s="502"/>
      <c r="L173" s="502"/>
      <c r="M173" s="502"/>
      <c r="N173" s="503"/>
      <c r="O173" s="502"/>
      <c r="P173" s="502"/>
      <c r="Q173" s="502"/>
      <c r="R173" s="502"/>
      <c r="S173" s="502"/>
      <c r="T173" s="502"/>
      <c r="U173" s="504">
        <f>SUM(T174:T178)</f>
        <v>29441176.402298279</v>
      </c>
      <c r="V173" s="502"/>
      <c r="W173" s="502"/>
      <c r="X173" s="505">
        <f>SUM(W174:W178)</f>
        <v>37004103</v>
      </c>
      <c r="Y173" s="159">
        <f>+X173/$X$216</f>
        <v>3.2822434340150836E-2</v>
      </c>
      <c r="Z173" s="458">
        <f>+X173</f>
        <v>37004103</v>
      </c>
    </row>
    <row r="174" spans="1:31" ht="13" outlineLevel="1" x14ac:dyDescent="0.3">
      <c r="A174" s="1003"/>
      <c r="B174" s="597">
        <v>19.079999999999998</v>
      </c>
      <c r="C174" s="555" t="s">
        <v>79</v>
      </c>
      <c r="D174" s="646" t="s">
        <v>379</v>
      </c>
      <c r="E174" s="219" t="s">
        <v>107</v>
      </c>
      <c r="F174" s="163">
        <v>1</v>
      </c>
      <c r="G174" s="599">
        <f>+J174*0.5</f>
        <v>979935.30829111568</v>
      </c>
      <c r="H174" s="163"/>
      <c r="I174" s="509">
        <f t="shared" ref="I174:I178" si="187">G174+H174</f>
        <v>979935.30829111568</v>
      </c>
      <c r="J174" s="599">
        <f>+$AE$167*0.1</f>
        <v>1959870.6165822314</v>
      </c>
      <c r="K174" s="163"/>
      <c r="L174" s="509">
        <f t="shared" si="179"/>
        <v>1959870.6165822314</v>
      </c>
      <c r="M174" s="582">
        <f>(I174+L174)*0.015</f>
        <v>44097.088873100205</v>
      </c>
      <c r="N174" s="509">
        <f t="shared" ref="N174:N178" si="188">I174+L174+M174</f>
        <v>2983903.0137464469</v>
      </c>
      <c r="O174" s="510">
        <f t="shared" ref="O174:O178" si="189">G174*F174</f>
        <v>979935.30829111568</v>
      </c>
      <c r="P174" s="510">
        <f t="shared" si="180"/>
        <v>0</v>
      </c>
      <c r="Q174" s="510">
        <f t="shared" si="181"/>
        <v>1959870.6165822314</v>
      </c>
      <c r="R174" s="510">
        <f t="shared" si="182"/>
        <v>0</v>
      </c>
      <c r="S174" s="510">
        <f t="shared" si="183"/>
        <v>44097.088873100205</v>
      </c>
      <c r="T174" s="511">
        <f t="shared" ref="T174:T178" si="190">SUM(O174:S174)</f>
        <v>2983903.0137464469</v>
      </c>
      <c r="U174" s="512"/>
      <c r="V174" s="513">
        <f t="shared" ref="V174:V178" si="191">+ROUNDUP(N174*$U$5,0)</f>
        <v>3750416</v>
      </c>
      <c r="W174" s="513">
        <f t="shared" ref="W174:W178" si="192">+V174*F174</f>
        <v>3750416</v>
      </c>
      <c r="Y174" s="159"/>
    </row>
    <row r="175" spans="1:31" ht="13" outlineLevel="1" x14ac:dyDescent="0.3">
      <c r="A175" s="1003"/>
      <c r="B175" s="515">
        <v>19.09</v>
      </c>
      <c r="C175" s="525" t="s">
        <v>79</v>
      </c>
      <c r="D175" s="647" t="s">
        <v>380</v>
      </c>
      <c r="E175" s="216" t="s">
        <v>107</v>
      </c>
      <c r="F175" s="157">
        <v>1</v>
      </c>
      <c r="G175" s="524">
        <f>+J175*0.5</f>
        <v>1959870.6165822314</v>
      </c>
      <c r="H175" s="157"/>
      <c r="I175" s="519">
        <f t="shared" si="187"/>
        <v>1959870.6165822314</v>
      </c>
      <c r="J175" s="524">
        <f>+$AE$167*0.2</f>
        <v>3919741.2331644627</v>
      </c>
      <c r="K175" s="157"/>
      <c r="L175" s="519">
        <f t="shared" si="179"/>
        <v>3919741.2331644627</v>
      </c>
      <c r="M175" s="518">
        <f>(I175+L175)*0.015</f>
        <v>88194.17774620041</v>
      </c>
      <c r="N175" s="519">
        <f t="shared" si="188"/>
        <v>5967806.0274928939</v>
      </c>
      <c r="O175" s="520">
        <f t="shared" si="189"/>
        <v>1959870.6165822314</v>
      </c>
      <c r="P175" s="520">
        <f t="shared" si="180"/>
        <v>0</v>
      </c>
      <c r="Q175" s="520">
        <f t="shared" si="181"/>
        <v>3919741.2331644627</v>
      </c>
      <c r="R175" s="520">
        <f t="shared" si="182"/>
        <v>0</v>
      </c>
      <c r="S175" s="520">
        <f t="shared" si="183"/>
        <v>88194.17774620041</v>
      </c>
      <c r="T175" s="521">
        <f t="shared" si="190"/>
        <v>5967806.0274928939</v>
      </c>
      <c r="U175" s="522"/>
      <c r="V175" s="382">
        <f t="shared" si="191"/>
        <v>7500832</v>
      </c>
      <c r="W175" s="382">
        <f t="shared" si="192"/>
        <v>7500832</v>
      </c>
      <c r="Y175" s="159"/>
    </row>
    <row r="176" spans="1:31" ht="13" outlineLevel="1" x14ac:dyDescent="0.3">
      <c r="A176" s="1003"/>
      <c r="B176" s="515">
        <v>19.100000000000001</v>
      </c>
      <c r="C176" s="525" t="s">
        <v>79</v>
      </c>
      <c r="D176" s="648" t="s">
        <v>381</v>
      </c>
      <c r="E176" s="216" t="s">
        <v>107</v>
      </c>
      <c r="F176" s="157">
        <v>1</v>
      </c>
      <c r="G176" s="524">
        <f>+J176*0.4</f>
        <v>391974.12331644632</v>
      </c>
      <c r="H176" s="157"/>
      <c r="I176" s="519">
        <f t="shared" si="187"/>
        <v>391974.12331644632</v>
      </c>
      <c r="J176" s="524">
        <f>+$AE$167*0.05</f>
        <v>979935.30829111568</v>
      </c>
      <c r="K176" s="157"/>
      <c r="L176" s="519">
        <f t="shared" si="179"/>
        <v>979935.30829111568</v>
      </c>
      <c r="M176" s="518">
        <f>(I176+L176)*0.015</f>
        <v>20578.641474113432</v>
      </c>
      <c r="N176" s="519">
        <f t="shared" si="188"/>
        <v>1392488.0730816755</v>
      </c>
      <c r="O176" s="520">
        <f t="shared" si="189"/>
        <v>391974.12331644632</v>
      </c>
      <c r="P176" s="520">
        <f t="shared" si="180"/>
        <v>0</v>
      </c>
      <c r="Q176" s="520">
        <f t="shared" si="181"/>
        <v>979935.30829111568</v>
      </c>
      <c r="R176" s="520">
        <f t="shared" si="182"/>
        <v>0</v>
      </c>
      <c r="S176" s="520">
        <f t="shared" si="183"/>
        <v>20578.641474113432</v>
      </c>
      <c r="T176" s="521">
        <f t="shared" ref="T176:T177" si="193">SUM(O176:S176)</f>
        <v>1392488.0730816755</v>
      </c>
      <c r="U176" s="522"/>
      <c r="V176" s="382">
        <f t="shared" si="191"/>
        <v>1750194</v>
      </c>
      <c r="W176" s="382">
        <f t="shared" si="192"/>
        <v>1750194</v>
      </c>
      <c r="Y176" s="159"/>
    </row>
    <row r="177" spans="1:31" ht="13" outlineLevel="1" x14ac:dyDescent="0.3">
      <c r="A177" s="1003"/>
      <c r="B177" s="515">
        <v>19.11</v>
      </c>
      <c r="C177" s="525" t="s">
        <v>79</v>
      </c>
      <c r="D177" s="647" t="s">
        <v>382</v>
      </c>
      <c r="E177" s="216" t="s">
        <v>107</v>
      </c>
      <c r="F177" s="157">
        <v>1</v>
      </c>
      <c r="G177" s="524">
        <f>+J177*0.4</f>
        <v>3135792.9865315706</v>
      </c>
      <c r="H177" s="157"/>
      <c r="I177" s="519">
        <f t="shared" si="187"/>
        <v>3135792.9865315706</v>
      </c>
      <c r="J177" s="524">
        <f>+$AE$167*0.4</f>
        <v>7839482.4663289255</v>
      </c>
      <c r="K177" s="515"/>
      <c r="L177" s="519">
        <f t="shared" si="179"/>
        <v>7839482.4663289255</v>
      </c>
      <c r="M177" s="518">
        <f>(I177+L177)*0.015</f>
        <v>164629.13179290746</v>
      </c>
      <c r="N177" s="519">
        <f t="shared" si="188"/>
        <v>11139904.584653404</v>
      </c>
      <c r="O177" s="520">
        <f t="shared" si="189"/>
        <v>3135792.9865315706</v>
      </c>
      <c r="P177" s="520">
        <f t="shared" si="180"/>
        <v>0</v>
      </c>
      <c r="Q177" s="520">
        <f t="shared" si="181"/>
        <v>7839482.4663289255</v>
      </c>
      <c r="R177" s="520">
        <f t="shared" si="182"/>
        <v>0</v>
      </c>
      <c r="S177" s="520">
        <f t="shared" si="183"/>
        <v>164629.13179290746</v>
      </c>
      <c r="T177" s="521">
        <f t="shared" si="193"/>
        <v>11139904.584653404</v>
      </c>
      <c r="U177" s="522"/>
      <c r="V177" s="382">
        <f t="shared" si="191"/>
        <v>14001552</v>
      </c>
      <c r="W177" s="382">
        <f t="shared" si="192"/>
        <v>14001552</v>
      </c>
      <c r="Y177" s="159"/>
    </row>
    <row r="178" spans="1:31" ht="13" outlineLevel="1" x14ac:dyDescent="0.3">
      <c r="A178" s="1003"/>
      <c r="B178" s="515">
        <v>19.12</v>
      </c>
      <c r="C178" s="527" t="s">
        <v>79</v>
      </c>
      <c r="D178" s="649" t="s">
        <v>450</v>
      </c>
      <c r="E178" s="226" t="s">
        <v>107</v>
      </c>
      <c r="F178" s="164">
        <v>1</v>
      </c>
      <c r="G178" s="532">
        <f>+J178*0.6</f>
        <v>2939805.9248733469</v>
      </c>
      <c r="H178" s="164"/>
      <c r="I178" s="531">
        <f t="shared" si="187"/>
        <v>2939805.9248733469</v>
      </c>
      <c r="J178" s="532">
        <f>+$AE$167*0.25</f>
        <v>4899676.5414555781</v>
      </c>
      <c r="K178" s="164"/>
      <c r="L178" s="531">
        <f t="shared" si="179"/>
        <v>4899676.5414555781</v>
      </c>
      <c r="M178" s="533">
        <f>(I178+L178)*0.015</f>
        <v>117592.23699493386</v>
      </c>
      <c r="N178" s="531">
        <f t="shared" si="188"/>
        <v>7957074.7033238588</v>
      </c>
      <c r="O178" s="534">
        <f t="shared" si="189"/>
        <v>2939805.9248733469</v>
      </c>
      <c r="P178" s="534">
        <f t="shared" si="180"/>
        <v>0</v>
      </c>
      <c r="Q178" s="534">
        <f t="shared" si="181"/>
        <v>4899676.5414555781</v>
      </c>
      <c r="R178" s="534">
        <f t="shared" si="182"/>
        <v>0</v>
      </c>
      <c r="S178" s="534">
        <f t="shared" si="183"/>
        <v>117592.23699493386</v>
      </c>
      <c r="T178" s="535">
        <f t="shared" si="190"/>
        <v>7957074.7033238588</v>
      </c>
      <c r="U178" s="610"/>
      <c r="V178" s="607">
        <f t="shared" si="191"/>
        <v>10001109</v>
      </c>
      <c r="W178" s="607">
        <f t="shared" si="192"/>
        <v>10001109</v>
      </c>
      <c r="Y178" s="159"/>
    </row>
    <row r="179" spans="1:31" ht="13" outlineLevel="1" x14ac:dyDescent="0.3">
      <c r="A179" s="1005"/>
      <c r="B179" s="500"/>
      <c r="C179" s="501"/>
      <c r="D179" s="380" t="s">
        <v>383</v>
      </c>
      <c r="E179" s="213"/>
      <c r="F179" s="502"/>
      <c r="G179" s="502"/>
      <c r="H179" s="502"/>
      <c r="I179" s="502"/>
      <c r="J179" s="502"/>
      <c r="K179" s="502"/>
      <c r="L179" s="502"/>
      <c r="M179" s="502"/>
      <c r="N179" s="503"/>
      <c r="O179" s="502"/>
      <c r="P179" s="502"/>
      <c r="Q179" s="502"/>
      <c r="R179" s="502"/>
      <c r="S179" s="502"/>
      <c r="T179" s="502"/>
      <c r="U179" s="504">
        <f>SUM(T180)</f>
        <v>1629017.7722105517</v>
      </c>
      <c r="V179" s="502"/>
      <c r="W179" s="502"/>
      <c r="X179" s="505">
        <f>SUM(W180)</f>
        <v>2047485</v>
      </c>
      <c r="Y179" s="159">
        <f>+X179/$X$216</f>
        <v>1.8161078509305775E-3</v>
      </c>
      <c r="Z179" s="458">
        <f>+X179</f>
        <v>2047485</v>
      </c>
    </row>
    <row r="180" spans="1:31" ht="13" outlineLevel="1" x14ac:dyDescent="0.3">
      <c r="A180" s="1003"/>
      <c r="B180" s="514">
        <v>19.13</v>
      </c>
      <c r="C180" s="525" t="s">
        <v>79</v>
      </c>
      <c r="D180" s="542" t="s">
        <v>451</v>
      </c>
      <c r="E180" s="216" t="s">
        <v>107</v>
      </c>
      <c r="F180" s="157">
        <v>1</v>
      </c>
      <c r="G180" s="524">
        <f>+J180*0.5</f>
        <v>534981.20598047681</v>
      </c>
      <c r="H180" s="157"/>
      <c r="I180" s="519">
        <f>G180+H180</f>
        <v>534981.20598047681</v>
      </c>
      <c r="J180" s="532">
        <f>+AE166*0.25</f>
        <v>1069962.4119609536</v>
      </c>
      <c r="K180" s="157"/>
      <c r="L180" s="519">
        <f t="shared" si="179"/>
        <v>1069962.4119609536</v>
      </c>
      <c r="M180" s="582">
        <f>(I180+L180)*0.015</f>
        <v>24074.154269121453</v>
      </c>
      <c r="N180" s="519">
        <f>I180+L180+M180</f>
        <v>1629017.7722105517</v>
      </c>
      <c r="O180" s="520">
        <f>G180*F180</f>
        <v>534981.20598047681</v>
      </c>
      <c r="P180" s="520">
        <f t="shared" ref="P180" si="194">H180*F180</f>
        <v>0</v>
      </c>
      <c r="Q180" s="520">
        <f t="shared" ref="Q180" si="195">J180*F180</f>
        <v>1069962.4119609536</v>
      </c>
      <c r="R180" s="520">
        <f t="shared" ref="R180" si="196">K180*F180</f>
        <v>0</v>
      </c>
      <c r="S180" s="520">
        <f t="shared" ref="S180" si="197">+M180*F180</f>
        <v>24074.154269121453</v>
      </c>
      <c r="T180" s="521">
        <f>SUM(O180:S180)</f>
        <v>1629017.7722105517</v>
      </c>
      <c r="U180" s="522"/>
      <c r="V180" s="382">
        <f>+ROUNDUP(N180*$U$5,0)</f>
        <v>2047485</v>
      </c>
      <c r="W180" s="382">
        <f>+V180*F180</f>
        <v>2047485</v>
      </c>
      <c r="Y180" s="159"/>
      <c r="AE180" s="220"/>
    </row>
    <row r="181" spans="1:31" ht="13" outlineLevel="1" x14ac:dyDescent="0.3">
      <c r="A181" s="1005"/>
      <c r="B181" s="500"/>
      <c r="C181" s="501"/>
      <c r="D181" s="380" t="s">
        <v>384</v>
      </c>
      <c r="E181" s="213"/>
      <c r="F181" s="502"/>
      <c r="G181" s="502"/>
      <c r="H181" s="502"/>
      <c r="I181" s="502"/>
      <c r="J181" s="502"/>
      <c r="K181" s="502"/>
      <c r="L181" s="502"/>
      <c r="M181" s="502"/>
      <c r="N181" s="503"/>
      <c r="O181" s="502"/>
      <c r="P181" s="502"/>
      <c r="Q181" s="502"/>
      <c r="R181" s="502"/>
      <c r="S181" s="502"/>
      <c r="T181" s="502"/>
      <c r="U181" s="504">
        <f>SUM(T182:T184)</f>
        <v>21506632.015608381</v>
      </c>
      <c r="V181" s="502"/>
      <c r="W181" s="502"/>
      <c r="X181" s="505">
        <f>SUM(W182:W184)</f>
        <v>27031313</v>
      </c>
      <c r="Y181" s="159">
        <f>+X181/$X$216</f>
        <v>2.3976624864290474E-2</v>
      </c>
      <c r="Z181" s="458">
        <f>+X181</f>
        <v>27031313</v>
      </c>
      <c r="AE181" s="220"/>
    </row>
    <row r="182" spans="1:31" ht="13" outlineLevel="1" x14ac:dyDescent="0.3">
      <c r="A182" s="1003"/>
      <c r="B182" s="506">
        <v>19.14</v>
      </c>
      <c r="C182" s="555" t="s">
        <v>79</v>
      </c>
      <c r="D182" s="639" t="s">
        <v>385</v>
      </c>
      <c r="E182" s="219" t="s">
        <v>107</v>
      </c>
      <c r="F182" s="163">
        <v>1</v>
      </c>
      <c r="G182" s="599">
        <f>+J182*0.4</f>
        <v>3558424.4300634335</v>
      </c>
      <c r="H182" s="163"/>
      <c r="I182" s="509">
        <f>G182+H182</f>
        <v>3558424.4300634335</v>
      </c>
      <c r="J182" s="599">
        <f>+[2]SUBCONTRATOS!D62</f>
        <v>8896061.075158583</v>
      </c>
      <c r="K182" s="163"/>
      <c r="L182" s="509">
        <f t="shared" ref="L182:L184" si="198">J182+K182</f>
        <v>8896061.075158583</v>
      </c>
      <c r="M182" s="582">
        <f>(I182+L182)*0.015</f>
        <v>186817.28257833025</v>
      </c>
      <c r="N182" s="509">
        <f>I182+L182+M182</f>
        <v>12641302.787800347</v>
      </c>
      <c r="O182" s="510">
        <f>G182*F182</f>
        <v>3558424.4300634335</v>
      </c>
      <c r="P182" s="510">
        <f t="shared" ref="P182:P184" si="199">H182*F182</f>
        <v>0</v>
      </c>
      <c r="Q182" s="510">
        <f t="shared" ref="Q182:Q184" si="200">J182*F182</f>
        <v>8896061.075158583</v>
      </c>
      <c r="R182" s="510">
        <f t="shared" ref="R182:R184" si="201">K182*F182</f>
        <v>0</v>
      </c>
      <c r="S182" s="510">
        <f t="shared" ref="S182:S184" si="202">+M182*F182</f>
        <v>186817.28257833025</v>
      </c>
      <c r="T182" s="511">
        <f>SUM(O182:S182)</f>
        <v>12641302.787800347</v>
      </c>
      <c r="U182" s="462"/>
      <c r="V182" s="382">
        <f>+ROUNDUP(N182*$U$5,0)</f>
        <v>15888634</v>
      </c>
      <c r="W182" s="382">
        <f>+V182*F182</f>
        <v>15888634</v>
      </c>
      <c r="Y182" s="159"/>
      <c r="AE182" s="220"/>
    </row>
    <row r="183" spans="1:31" ht="13" outlineLevel="1" x14ac:dyDescent="0.3">
      <c r="A183" s="1003"/>
      <c r="B183" s="514">
        <v>19.149999999999999</v>
      </c>
      <c r="C183" s="525" t="s">
        <v>79</v>
      </c>
      <c r="D183" s="542" t="s">
        <v>452</v>
      </c>
      <c r="E183" s="216" t="s">
        <v>107</v>
      </c>
      <c r="F183" s="157">
        <v>1</v>
      </c>
      <c r="G183" s="524">
        <v>0</v>
      </c>
      <c r="H183" s="157"/>
      <c r="I183" s="519">
        <f>G183+H183</f>
        <v>0</v>
      </c>
      <c r="J183" s="524">
        <f>+[2]SUBCONTRATOS!D63</f>
        <v>4852396.9500864996</v>
      </c>
      <c r="K183" s="157"/>
      <c r="L183" s="519">
        <f t="shared" si="198"/>
        <v>4852396.9500864996</v>
      </c>
      <c r="M183" s="518">
        <f>(I183+L183)*0.015</f>
        <v>72785.954251297488</v>
      </c>
      <c r="N183" s="519">
        <f>I183+L183+M183</f>
        <v>4925182.9043377973</v>
      </c>
      <c r="O183" s="520">
        <f>G183*F183</f>
        <v>0</v>
      </c>
      <c r="P183" s="520">
        <f t="shared" si="199"/>
        <v>0</v>
      </c>
      <c r="Q183" s="520">
        <f t="shared" si="200"/>
        <v>4852396.9500864996</v>
      </c>
      <c r="R183" s="520">
        <f t="shared" si="201"/>
        <v>0</v>
      </c>
      <c r="S183" s="520">
        <f t="shared" si="202"/>
        <v>72785.954251297488</v>
      </c>
      <c r="T183" s="521">
        <f>SUM(O183:S183)</f>
        <v>4925182.9043377973</v>
      </c>
      <c r="U183" s="462"/>
      <c r="V183" s="382">
        <f>+ROUNDUP(N183*$U$5,0)</f>
        <v>6190377</v>
      </c>
      <c r="W183" s="382">
        <f>+V183*F183</f>
        <v>6190377</v>
      </c>
      <c r="Y183" s="159"/>
      <c r="AE183" s="220"/>
    </row>
    <row r="184" spans="1:31" ht="13" outlineLevel="1" x14ac:dyDescent="0.3">
      <c r="A184" s="1003"/>
      <c r="B184" s="526">
        <v>19.16</v>
      </c>
      <c r="C184" s="527" t="s">
        <v>79</v>
      </c>
      <c r="D184" s="640" t="s">
        <v>453</v>
      </c>
      <c r="E184" s="226" t="s">
        <v>107</v>
      </c>
      <c r="F184" s="164">
        <v>1</v>
      </c>
      <c r="G184" s="532">
        <f>+J184*0.6</f>
        <v>1455719.0850259499</v>
      </c>
      <c r="H184" s="164"/>
      <c r="I184" s="531">
        <f>G184+H184</f>
        <v>1455719.0850259499</v>
      </c>
      <c r="J184" s="532">
        <f>+[2]SUBCONTRATOS!D64</f>
        <v>2426198.4750432498</v>
      </c>
      <c r="K184" s="164"/>
      <c r="L184" s="531">
        <f t="shared" si="198"/>
        <v>2426198.4750432498</v>
      </c>
      <c r="M184" s="533">
        <f>(I184+L184)*0.015</f>
        <v>58228.763401037992</v>
      </c>
      <c r="N184" s="531">
        <f>I184+L184+M184</f>
        <v>3940146.3234702377</v>
      </c>
      <c r="O184" s="534">
        <f>G184*F184</f>
        <v>1455719.0850259499</v>
      </c>
      <c r="P184" s="534">
        <f t="shared" si="199"/>
        <v>0</v>
      </c>
      <c r="Q184" s="534">
        <f t="shared" si="200"/>
        <v>2426198.4750432498</v>
      </c>
      <c r="R184" s="534">
        <f t="shared" si="201"/>
        <v>0</v>
      </c>
      <c r="S184" s="534">
        <f t="shared" si="202"/>
        <v>58228.763401037992</v>
      </c>
      <c r="T184" s="535">
        <f>SUM(O184:S184)</f>
        <v>3940146.3234702377</v>
      </c>
      <c r="U184" s="462"/>
      <c r="V184" s="382">
        <f>+ROUNDUP(N184*$U$5,0)</f>
        <v>4952302</v>
      </c>
      <c r="W184" s="382">
        <f>+V184*F184</f>
        <v>4952302</v>
      </c>
      <c r="Y184" s="159"/>
      <c r="AE184" s="220"/>
    </row>
    <row r="185" spans="1:31" ht="13" outlineLevel="1" x14ac:dyDescent="0.3">
      <c r="A185" s="1005"/>
      <c r="B185" s="500"/>
      <c r="C185" s="501"/>
      <c r="D185" s="380" t="s">
        <v>386</v>
      </c>
      <c r="E185" s="213"/>
      <c r="F185" s="502"/>
      <c r="G185" s="502"/>
      <c r="H185" s="502"/>
      <c r="I185" s="502"/>
      <c r="J185" s="502"/>
      <c r="K185" s="502"/>
      <c r="L185" s="502"/>
      <c r="M185" s="502"/>
      <c r="N185" s="650"/>
      <c r="O185" s="502"/>
      <c r="P185" s="502"/>
      <c r="Q185" s="502"/>
      <c r="R185" s="502"/>
      <c r="S185" s="502"/>
      <c r="T185" s="502"/>
      <c r="U185" s="504">
        <f>SUM(T186)</f>
        <v>4142551.1224588528</v>
      </c>
      <c r="V185" s="502"/>
      <c r="W185" s="502"/>
      <c r="X185" s="505">
        <f>SUM(W186)</f>
        <v>5206701</v>
      </c>
      <c r="Y185" s="159">
        <f>+X185/$X$216</f>
        <v>4.6183149393270711E-3</v>
      </c>
      <c r="Z185" s="458">
        <f>+X185</f>
        <v>5206701</v>
      </c>
    </row>
    <row r="186" spans="1:31" ht="13" outlineLevel="1" x14ac:dyDescent="0.3">
      <c r="A186" s="1003"/>
      <c r="B186" s="514">
        <v>19.170000000000002</v>
      </c>
      <c r="C186" s="525" t="s">
        <v>79</v>
      </c>
      <c r="D186" s="623" t="s">
        <v>454</v>
      </c>
      <c r="E186" s="216" t="s">
        <v>107</v>
      </c>
      <c r="F186" s="157">
        <v>1</v>
      </c>
      <c r="G186" s="532">
        <f>+[2]INCEND!H4</f>
        <v>2093587.3781549993</v>
      </c>
      <c r="H186" s="625"/>
      <c r="I186" s="519">
        <f>G186+H186</f>
        <v>2093587.3781549993</v>
      </c>
      <c r="J186" s="524">
        <f>+[2]INCEND!P9</f>
        <v>1987743.7769768753</v>
      </c>
      <c r="K186" s="524"/>
      <c r="L186" s="519">
        <f t="shared" ref="L186" si="203">J186+K186</f>
        <v>1987743.7769768753</v>
      </c>
      <c r="M186" s="582">
        <f>(I186+L186)*0.015</f>
        <v>61219.96732697812</v>
      </c>
      <c r="N186" s="519">
        <f>I186+L186+M186</f>
        <v>4142551.1224588528</v>
      </c>
      <c r="O186" s="520">
        <f>G186*F186</f>
        <v>2093587.3781549993</v>
      </c>
      <c r="P186" s="520">
        <f t="shared" ref="P186" si="204">H186*F186</f>
        <v>0</v>
      </c>
      <c r="Q186" s="520">
        <f t="shared" ref="Q186" si="205">J186*F186</f>
        <v>1987743.7769768753</v>
      </c>
      <c r="R186" s="520">
        <f t="shared" ref="R186" si="206">K186*F186</f>
        <v>0</v>
      </c>
      <c r="S186" s="520">
        <f t="shared" ref="S186" si="207">+M186*F186</f>
        <v>61219.96732697812</v>
      </c>
      <c r="T186" s="521">
        <f>SUM(O186:S186)</f>
        <v>4142551.1224588528</v>
      </c>
      <c r="U186" s="522"/>
      <c r="V186" s="382">
        <f>+ROUNDUP(N186*$U$5,0)</f>
        <v>5206701</v>
      </c>
      <c r="W186" s="382">
        <f>+V186*F186</f>
        <v>5206701</v>
      </c>
      <c r="Y186" s="159"/>
    </row>
    <row r="187" spans="1:31" ht="13" outlineLevel="1" x14ac:dyDescent="0.3">
      <c r="A187" s="1005"/>
      <c r="B187" s="500"/>
      <c r="C187" s="501"/>
      <c r="D187" s="380" t="s">
        <v>387</v>
      </c>
      <c r="E187" s="213"/>
      <c r="F187" s="502"/>
      <c r="G187" s="502"/>
      <c r="H187" s="502"/>
      <c r="I187" s="502"/>
      <c r="J187" s="502"/>
      <c r="K187" s="502"/>
      <c r="L187" s="502"/>
      <c r="M187" s="502"/>
      <c r="N187" s="503"/>
      <c r="O187" s="502"/>
      <c r="P187" s="502"/>
      <c r="Q187" s="502"/>
      <c r="R187" s="502"/>
      <c r="S187" s="502"/>
      <c r="T187" s="502"/>
      <c r="U187" s="504">
        <f>SUM(T188:T189)</f>
        <v>16120000</v>
      </c>
      <c r="V187" s="502"/>
      <c r="W187" s="502"/>
      <c r="X187" s="505">
        <f>SUM(W188:W189)</f>
        <v>20260948</v>
      </c>
      <c r="Y187" s="159">
        <f>+X187/$X$216</f>
        <v>1.7971348620427589E-2</v>
      </c>
      <c r="Z187" s="458">
        <f>+X187</f>
        <v>20260948</v>
      </c>
    </row>
    <row r="188" spans="1:31" ht="13" outlineLevel="1" x14ac:dyDescent="0.3">
      <c r="A188" s="1003"/>
      <c r="B188" s="651">
        <v>19.18</v>
      </c>
      <c r="C188" s="525" t="s">
        <v>83</v>
      </c>
      <c r="D188" s="647" t="s">
        <v>388</v>
      </c>
      <c r="E188" s="216" t="s">
        <v>107</v>
      </c>
      <c r="F188" s="157">
        <v>1</v>
      </c>
      <c r="G188" s="524">
        <v>6500000</v>
      </c>
      <c r="H188" s="157"/>
      <c r="I188" s="519">
        <f>G188+H188</f>
        <v>6500000</v>
      </c>
      <c r="J188" s="524">
        <f>+G188</f>
        <v>6500000</v>
      </c>
      <c r="K188" s="157"/>
      <c r="L188" s="519">
        <f>J188+K188</f>
        <v>6500000</v>
      </c>
      <c r="M188" s="582">
        <f>(I188+L188)*0.015</f>
        <v>195000</v>
      </c>
      <c r="N188" s="519">
        <f>I188+L188+M188</f>
        <v>13195000</v>
      </c>
      <c r="O188" s="520">
        <f>G188*F188</f>
        <v>6500000</v>
      </c>
      <c r="P188" s="520">
        <f t="shared" ref="P188:P189" si="208">H188*F188</f>
        <v>0</v>
      </c>
      <c r="Q188" s="520">
        <f>J188*F188</f>
        <v>6500000</v>
      </c>
      <c r="R188" s="520">
        <f t="shared" ref="R188:R189" si="209">K188*F188</f>
        <v>0</v>
      </c>
      <c r="S188" s="520">
        <f t="shared" ref="S188:S189" si="210">+M188*F188</f>
        <v>195000</v>
      </c>
      <c r="T188" s="521">
        <f>SUM(O188:S188)</f>
        <v>13195000</v>
      </c>
      <c r="U188" s="522"/>
      <c r="V188" s="382">
        <f>+ROUNDUP(N188*$U$5,0)</f>
        <v>16584566</v>
      </c>
      <c r="W188" s="382">
        <f>+V188*F188</f>
        <v>16584566</v>
      </c>
      <c r="Y188" s="159"/>
    </row>
    <row r="189" spans="1:31" ht="13" outlineLevel="1" x14ac:dyDescent="0.3">
      <c r="A189" s="1003"/>
      <c r="B189" s="652">
        <v>19.190000000000001</v>
      </c>
      <c r="C189" s="527" t="s">
        <v>79</v>
      </c>
      <c r="D189" s="649" t="s">
        <v>389</v>
      </c>
      <c r="E189" s="226" t="s">
        <v>107</v>
      </c>
      <c r="F189" s="164">
        <v>1</v>
      </c>
      <c r="G189" s="164"/>
      <c r="H189" s="164"/>
      <c r="I189" s="531">
        <f t="shared" ref="I189" si="211">G189+H189</f>
        <v>0</v>
      </c>
      <c r="J189" s="653">
        <f>2500*X2</f>
        <v>2925000</v>
      </c>
      <c r="K189" s="164"/>
      <c r="L189" s="531">
        <f t="shared" ref="L189" si="212">J189+K189</f>
        <v>2925000</v>
      </c>
      <c r="M189" s="654"/>
      <c r="N189" s="531">
        <f t="shared" ref="N189" si="213">I189+L189+M189</f>
        <v>2925000</v>
      </c>
      <c r="O189" s="534">
        <f t="shared" ref="O189" si="214">G189*F189</f>
        <v>0</v>
      </c>
      <c r="P189" s="534">
        <f t="shared" si="208"/>
        <v>0</v>
      </c>
      <c r="Q189" s="534">
        <f t="shared" ref="Q189" si="215">J189*F189</f>
        <v>2925000</v>
      </c>
      <c r="R189" s="534">
        <f t="shared" si="209"/>
        <v>0</v>
      </c>
      <c r="S189" s="534">
        <f t="shared" si="210"/>
        <v>0</v>
      </c>
      <c r="T189" s="535">
        <f t="shared" ref="T189" si="216">SUM(O189:S189)</f>
        <v>2925000</v>
      </c>
      <c r="U189" s="522"/>
      <c r="V189" s="382">
        <f>+ROUNDUP(N189*$U$5,0)</f>
        <v>3676382</v>
      </c>
      <c r="W189" s="382">
        <f>+V189*F189</f>
        <v>3676382</v>
      </c>
      <c r="Y189" s="159"/>
    </row>
    <row r="190" spans="1:31" ht="13" x14ac:dyDescent="0.3">
      <c r="A190" s="1005"/>
      <c r="B190" s="500">
        <v>20</v>
      </c>
      <c r="C190" s="501"/>
      <c r="D190" s="380" t="s">
        <v>390</v>
      </c>
      <c r="E190" s="213"/>
      <c r="F190" s="502"/>
      <c r="G190" s="502"/>
      <c r="H190" s="502"/>
      <c r="I190" s="502"/>
      <c r="J190" s="502"/>
      <c r="K190" s="502"/>
      <c r="L190" s="502"/>
      <c r="M190" s="502"/>
      <c r="N190" s="503"/>
      <c r="O190" s="502"/>
      <c r="P190" s="502"/>
      <c r="Q190" s="502"/>
      <c r="R190" s="502"/>
      <c r="S190" s="502"/>
      <c r="T190" s="502"/>
      <c r="U190" s="504">
        <f>SUM(T191:T192)</f>
        <v>28004000</v>
      </c>
      <c r="V190" s="502"/>
      <c r="W190" s="502"/>
      <c r="X190" s="505">
        <f>SUM(W191:W192)</f>
        <v>35197776</v>
      </c>
      <c r="Y190" s="159">
        <f>+X190/$X$216</f>
        <v>3.122023229908686E-2</v>
      </c>
      <c r="Z190" s="458">
        <f>+X190</f>
        <v>35197776</v>
      </c>
    </row>
    <row r="191" spans="1:31" ht="13" outlineLevel="1" x14ac:dyDescent="0.3">
      <c r="A191" s="1003"/>
      <c r="B191" s="588">
        <v>20.010000000000002</v>
      </c>
      <c r="C191" s="655" t="s">
        <v>75</v>
      </c>
      <c r="D191" s="590" t="s">
        <v>391</v>
      </c>
      <c r="E191" s="656" t="s">
        <v>111</v>
      </c>
      <c r="F191" s="657">
        <v>36</v>
      </c>
      <c r="G191" s="658">
        <f>+[2]SUBCONTRATOS!D37</f>
        <v>375000</v>
      </c>
      <c r="H191" s="658"/>
      <c r="I191" s="659">
        <f>G191+H191</f>
        <v>375000</v>
      </c>
      <c r="J191" s="658">
        <f>+[2]SUBCONTRATOS!D38</f>
        <v>213888.88888888888</v>
      </c>
      <c r="K191" s="658"/>
      <c r="L191" s="659">
        <f>J191+K191</f>
        <v>213888.88888888888</v>
      </c>
      <c r="M191" s="660"/>
      <c r="N191" s="659">
        <f>I191+L191+M191</f>
        <v>588888.88888888888</v>
      </c>
      <c r="O191" s="661">
        <f>G191*F191</f>
        <v>13500000</v>
      </c>
      <c r="P191" s="661">
        <f>H191*F191</f>
        <v>0</v>
      </c>
      <c r="Q191" s="661">
        <f>J191*F191</f>
        <v>7700000</v>
      </c>
      <c r="R191" s="661">
        <f>K191*F191</f>
        <v>0</v>
      </c>
      <c r="S191" s="661">
        <f>+M191*F191</f>
        <v>0</v>
      </c>
      <c r="T191" s="662">
        <f>SUM(O191:S191)</f>
        <v>21200000</v>
      </c>
      <c r="U191" s="522"/>
      <c r="V191" s="564">
        <f>+ROUNDUP(N191*$U$5,0)</f>
        <v>740165</v>
      </c>
      <c r="W191" s="564">
        <f>+V191*F191</f>
        <v>26645940</v>
      </c>
      <c r="Y191" s="159"/>
    </row>
    <row r="192" spans="1:31" ht="13" outlineLevel="1" x14ac:dyDescent="0.3">
      <c r="A192" s="1003"/>
      <c r="B192" s="514">
        <v>20.02</v>
      </c>
      <c r="C192" s="515" t="s">
        <v>75</v>
      </c>
      <c r="D192" s="516" t="s">
        <v>455</v>
      </c>
      <c r="E192" s="227" t="s">
        <v>111</v>
      </c>
      <c r="F192" s="517">
        <v>36</v>
      </c>
      <c r="G192" s="524"/>
      <c r="H192" s="524"/>
      <c r="I192" s="519">
        <f>G192+H192</f>
        <v>0</v>
      </c>
      <c r="J192" s="524">
        <f>+[2]SUBCONTRATOS!D39</f>
        <v>189000</v>
      </c>
      <c r="K192" s="524"/>
      <c r="L192" s="519">
        <f>J192+K192</f>
        <v>189000</v>
      </c>
      <c r="M192" s="540"/>
      <c r="N192" s="519">
        <f>I192+L192+M192</f>
        <v>189000</v>
      </c>
      <c r="O192" s="520">
        <f>G192*F192</f>
        <v>0</v>
      </c>
      <c r="P192" s="520">
        <f>H192*F192</f>
        <v>0</v>
      </c>
      <c r="Q192" s="520">
        <f>J192*F192</f>
        <v>6804000</v>
      </c>
      <c r="R192" s="520">
        <f>K192*F192</f>
        <v>0</v>
      </c>
      <c r="S192" s="520">
        <f>+M192*F192</f>
        <v>0</v>
      </c>
      <c r="T192" s="521">
        <f>SUM(O192:S192)</f>
        <v>6804000</v>
      </c>
      <c r="U192" s="522"/>
      <c r="V192" s="382">
        <f>+ROUNDUP(N192*$U$5,0)</f>
        <v>237551</v>
      </c>
      <c r="W192" s="382">
        <f>+V192*F192</f>
        <v>8551836</v>
      </c>
      <c r="Y192" s="159"/>
    </row>
    <row r="193" spans="1:29" ht="13" x14ac:dyDescent="0.3">
      <c r="A193" s="1005"/>
      <c r="B193" s="500">
        <v>21</v>
      </c>
      <c r="C193" s="501"/>
      <c r="D193" s="380" t="s">
        <v>392</v>
      </c>
      <c r="E193" s="213"/>
      <c r="F193" s="502"/>
      <c r="G193" s="502"/>
      <c r="H193" s="502"/>
      <c r="I193" s="502"/>
      <c r="J193" s="502"/>
      <c r="K193" s="502"/>
      <c r="L193" s="502"/>
      <c r="M193" s="502"/>
      <c r="N193" s="503"/>
      <c r="O193" s="502"/>
      <c r="P193" s="502"/>
      <c r="Q193" s="502"/>
      <c r="R193" s="502"/>
      <c r="S193" s="502"/>
      <c r="T193" s="502"/>
      <c r="U193" s="504">
        <f>SUM(T194)</f>
        <v>0</v>
      </c>
      <c r="V193" s="502"/>
      <c r="W193" s="502"/>
      <c r="X193" s="505">
        <f>SUM(W194)</f>
        <v>0</v>
      </c>
      <c r="Y193" s="159">
        <f>+X193/$X$216</f>
        <v>0</v>
      </c>
      <c r="Z193" s="458">
        <f>+X193</f>
        <v>0</v>
      </c>
    </row>
    <row r="194" spans="1:29" s="221" customFormat="1" ht="13" outlineLevel="1" x14ac:dyDescent="0.3">
      <c r="A194" s="1002"/>
      <c r="B194" s="663">
        <v>21.01</v>
      </c>
      <c r="C194" s="663" t="s">
        <v>75</v>
      </c>
      <c r="D194" s="664" t="s">
        <v>456</v>
      </c>
      <c r="E194" s="665" t="s">
        <v>107</v>
      </c>
      <c r="F194" s="666">
        <v>0</v>
      </c>
      <c r="G194" s="667"/>
      <c r="H194" s="667"/>
      <c r="I194" s="668">
        <f t="shared" ref="I194" si="217">G194+H194</f>
        <v>0</v>
      </c>
      <c r="J194" s="667"/>
      <c r="K194" s="667"/>
      <c r="L194" s="668">
        <f t="shared" ref="L194" si="218">J194+K194</f>
        <v>0</v>
      </c>
      <c r="M194" s="667"/>
      <c r="N194" s="668">
        <f t="shared" ref="N194" si="219">I194+L194+M194</f>
        <v>0</v>
      </c>
      <c r="O194" s="669">
        <f>G194*F194</f>
        <v>0</v>
      </c>
      <c r="P194" s="669">
        <f>H194*F194</f>
        <v>0</v>
      </c>
      <c r="Q194" s="669">
        <f>J194*F194</f>
        <v>0</v>
      </c>
      <c r="R194" s="669">
        <f>K194*F194</f>
        <v>0</v>
      </c>
      <c r="S194" s="669">
        <f>+M194*F194</f>
        <v>0</v>
      </c>
      <c r="T194" s="670">
        <f>SUM(O194:S194)</f>
        <v>0</v>
      </c>
      <c r="U194" s="522"/>
      <c r="V194" s="566">
        <f>+ROUNDUP(N194*$U$5,0)</f>
        <v>0</v>
      </c>
      <c r="W194" s="382">
        <f>+V194*F194</f>
        <v>0</v>
      </c>
      <c r="X194" s="559"/>
      <c r="Y194" s="159"/>
      <c r="Z194" s="560"/>
      <c r="AC194" s="560"/>
    </row>
    <row r="195" spans="1:29" s="221" customFormat="1" ht="13" x14ac:dyDescent="0.3">
      <c r="A195" s="1010"/>
      <c r="B195" s="500">
        <v>22</v>
      </c>
      <c r="C195" s="501"/>
      <c r="D195" s="380" t="s">
        <v>393</v>
      </c>
      <c r="E195" s="213"/>
      <c r="F195" s="502"/>
      <c r="G195" s="502"/>
      <c r="H195" s="502"/>
      <c r="I195" s="502"/>
      <c r="J195" s="502"/>
      <c r="K195" s="502"/>
      <c r="L195" s="502"/>
      <c r="M195" s="502"/>
      <c r="N195" s="503"/>
      <c r="O195" s="502"/>
      <c r="P195" s="502"/>
      <c r="Q195" s="502"/>
      <c r="R195" s="502"/>
      <c r="S195" s="502"/>
      <c r="T195" s="502"/>
      <c r="U195" s="504">
        <f>SUM(T196:T197)</f>
        <v>2125199.9999999995</v>
      </c>
      <c r="V195" s="502"/>
      <c r="W195" s="502"/>
      <c r="X195" s="505">
        <f>SUM(W196:W197)</f>
        <v>2671152</v>
      </c>
      <c r="Y195" s="159">
        <f>+X195/$X$216</f>
        <v>2.3692970245100275E-3</v>
      </c>
      <c r="Z195" s="458">
        <f>+X195</f>
        <v>2671152</v>
      </c>
      <c r="AC195" s="560"/>
    </row>
    <row r="196" spans="1:29" ht="13" outlineLevel="1" x14ac:dyDescent="0.3">
      <c r="A196" s="1003"/>
      <c r="B196" s="555">
        <v>22.01</v>
      </c>
      <c r="C196" s="555" t="s">
        <v>75</v>
      </c>
      <c r="D196" s="618" t="s">
        <v>457</v>
      </c>
      <c r="E196" s="223" t="s">
        <v>111</v>
      </c>
      <c r="F196" s="157">
        <v>16</v>
      </c>
      <c r="G196" s="524"/>
      <c r="H196" s="671"/>
      <c r="I196" s="519">
        <f t="shared" ref="I196:I197" si="220">G196+H196</f>
        <v>0</v>
      </c>
      <c r="J196" s="524">
        <f>+[2]SUBCONTRATOS!D47</f>
        <v>64399.999999999993</v>
      </c>
      <c r="K196" s="671"/>
      <c r="L196" s="519">
        <f t="shared" ref="L196:L197" si="221">J196+K196</f>
        <v>64399.999999999993</v>
      </c>
      <c r="M196" s="600"/>
      <c r="N196" s="509">
        <f t="shared" ref="N196:N197" si="222">I196+L196+M196</f>
        <v>64399.999999999993</v>
      </c>
      <c r="O196" s="520">
        <f t="shared" ref="O196:O197" si="223">G196*F196</f>
        <v>0</v>
      </c>
      <c r="P196" s="520">
        <f t="shared" ref="P196:P197" si="224">H196*F196</f>
        <v>0</v>
      </c>
      <c r="Q196" s="520">
        <f t="shared" ref="Q196:Q197" si="225">J196*F196</f>
        <v>1030399.9999999999</v>
      </c>
      <c r="R196" s="520">
        <f t="shared" ref="R196:R197" si="226">K196*F196</f>
        <v>0</v>
      </c>
      <c r="S196" s="520">
        <f t="shared" ref="S196:S197" si="227">+M196*F196</f>
        <v>0</v>
      </c>
      <c r="T196" s="521">
        <f t="shared" ref="T196:T197" si="228">SUM(O196:S196)</f>
        <v>1030399.9999999999</v>
      </c>
      <c r="U196" s="522"/>
      <c r="V196" s="566">
        <f>+ROUNDUP(N196*$U$5,0)</f>
        <v>80944</v>
      </c>
      <c r="W196" s="564">
        <f>+V196*F196</f>
        <v>1295104</v>
      </c>
      <c r="Y196" s="159"/>
    </row>
    <row r="197" spans="1:29" ht="13" outlineLevel="1" x14ac:dyDescent="0.3">
      <c r="A197" s="1003"/>
      <c r="B197" s="525">
        <v>22.02</v>
      </c>
      <c r="C197" s="525" t="s">
        <v>75</v>
      </c>
      <c r="D197" s="623" t="s">
        <v>458</v>
      </c>
      <c r="E197" s="224" t="s">
        <v>111</v>
      </c>
      <c r="F197" s="538">
        <f>+[2]Locales!CE144</f>
        <v>17</v>
      </c>
      <c r="G197" s="595"/>
      <c r="H197" s="595"/>
      <c r="I197" s="519">
        <f t="shared" si="220"/>
        <v>0</v>
      </c>
      <c r="J197" s="524">
        <f>+[2]SUBCONTRATOS!D47</f>
        <v>64399.999999999993</v>
      </c>
      <c r="K197" s="595"/>
      <c r="L197" s="519">
        <f t="shared" si="221"/>
        <v>64399.999999999993</v>
      </c>
      <c r="M197" s="562"/>
      <c r="N197" s="519">
        <f t="shared" si="222"/>
        <v>64399.999999999993</v>
      </c>
      <c r="O197" s="520">
        <f t="shared" si="223"/>
        <v>0</v>
      </c>
      <c r="P197" s="520">
        <f t="shared" si="224"/>
        <v>0</v>
      </c>
      <c r="Q197" s="520">
        <f t="shared" si="225"/>
        <v>1094799.9999999998</v>
      </c>
      <c r="R197" s="520">
        <f t="shared" si="226"/>
        <v>0</v>
      </c>
      <c r="S197" s="520">
        <f t="shared" si="227"/>
        <v>0</v>
      </c>
      <c r="T197" s="521">
        <f t="shared" si="228"/>
        <v>1094799.9999999998</v>
      </c>
      <c r="U197" s="522"/>
      <c r="V197" s="566">
        <f>+ROUNDUP(N197*$U$5,0)</f>
        <v>80944</v>
      </c>
      <c r="W197" s="564">
        <f>+V197*F197</f>
        <v>1376048</v>
      </c>
      <c r="Y197" s="159"/>
    </row>
    <row r="198" spans="1:29" ht="13" x14ac:dyDescent="0.3">
      <c r="A198" s="1005"/>
      <c r="B198" s="500">
        <v>23</v>
      </c>
      <c r="C198" s="501"/>
      <c r="D198" s="380" t="s">
        <v>211</v>
      </c>
      <c r="E198" s="213"/>
      <c r="F198" s="502"/>
      <c r="G198" s="502"/>
      <c r="H198" s="502"/>
      <c r="I198" s="502"/>
      <c r="J198" s="502"/>
      <c r="K198" s="502"/>
      <c r="L198" s="502"/>
      <c r="M198" s="502"/>
      <c r="N198" s="503"/>
      <c r="O198" s="502"/>
      <c r="P198" s="502"/>
      <c r="Q198" s="502"/>
      <c r="R198" s="502"/>
      <c r="S198" s="502"/>
      <c r="T198" s="502"/>
      <c r="U198" s="504">
        <f>+SUM(T199:T201)</f>
        <v>3714091.0548287267</v>
      </c>
      <c r="V198" s="502"/>
      <c r="W198" s="502"/>
      <c r="X198" s="505">
        <f>SUM(W199:W201)</f>
        <v>4668180</v>
      </c>
      <c r="Y198" s="159">
        <f>+X198/$X$216</f>
        <v>4.1406497959970909E-3</v>
      </c>
      <c r="Z198" s="458">
        <f>+X198</f>
        <v>4668180</v>
      </c>
    </row>
    <row r="199" spans="1:29" s="221" customFormat="1" ht="13" outlineLevel="1" x14ac:dyDescent="0.3">
      <c r="A199" s="1007"/>
      <c r="B199" s="597">
        <v>23.01</v>
      </c>
      <c r="C199" s="555" t="s">
        <v>79</v>
      </c>
      <c r="D199" s="508" t="s">
        <v>394</v>
      </c>
      <c r="E199" s="218" t="s">
        <v>107</v>
      </c>
      <c r="F199" s="556">
        <v>7</v>
      </c>
      <c r="G199" s="672">
        <f>+[2]Tareas!H200</f>
        <v>84804.805000000008</v>
      </c>
      <c r="H199" s="672">
        <f>+[2]Tareas!I200</f>
        <v>18052.636608644149</v>
      </c>
      <c r="I199" s="509">
        <f>G199+H199</f>
        <v>102857.44160864415</v>
      </c>
      <c r="J199" s="582">
        <f>+[2]Tareas!Q200</f>
        <v>0</v>
      </c>
      <c r="K199" s="582">
        <f>+[2]Tareas!R200</f>
        <v>247059.61185673703</v>
      </c>
      <c r="L199" s="509">
        <f>J199+K199</f>
        <v>247059.61185673703</v>
      </c>
      <c r="M199" s="518">
        <f>(I199+L199)*0.015</f>
        <v>5248.7558019807175</v>
      </c>
      <c r="N199" s="509">
        <f>I199+L199+M199</f>
        <v>355165.80926736188</v>
      </c>
      <c r="O199" s="510">
        <f>G199*F199</f>
        <v>593633.63500000001</v>
      </c>
      <c r="P199" s="510">
        <f t="shared" ref="P199:P201" si="229">H199*F199</f>
        <v>126368.45626050903</v>
      </c>
      <c r="Q199" s="510">
        <f t="shared" ref="Q199:Q201" si="230">J199*F199</f>
        <v>0</v>
      </c>
      <c r="R199" s="510">
        <f t="shared" ref="R199:R201" si="231">K199*F199</f>
        <v>1729417.2829971593</v>
      </c>
      <c r="S199" s="510">
        <f t="shared" ref="S199:S201" si="232">+M199*F199</f>
        <v>36741.290613865021</v>
      </c>
      <c r="T199" s="511">
        <f>SUM(O199:S199)</f>
        <v>2486160.6648715334</v>
      </c>
      <c r="U199" s="462"/>
      <c r="V199" s="513">
        <f>+ROUNDUP(N199*$U$5,0)</f>
        <v>446402</v>
      </c>
      <c r="W199" s="513">
        <f>+V199*F199</f>
        <v>3124814</v>
      </c>
      <c r="X199" s="559"/>
      <c r="Y199" s="159"/>
      <c r="Z199" s="560"/>
      <c r="AC199" s="560"/>
    </row>
    <row r="200" spans="1:29" s="221" customFormat="1" ht="13" outlineLevel="1" x14ac:dyDescent="0.3">
      <c r="A200" s="1007"/>
      <c r="B200" s="515">
        <v>23.02</v>
      </c>
      <c r="C200" s="525"/>
      <c r="D200" s="516" t="s">
        <v>459</v>
      </c>
      <c r="E200" s="537" t="s">
        <v>107</v>
      </c>
      <c r="F200" s="538">
        <v>1</v>
      </c>
      <c r="G200" s="673">
        <f>+[2]Tareas!H212</f>
        <v>0</v>
      </c>
      <c r="H200" s="673">
        <f>+[2]Tareas!I212</f>
        <v>200000</v>
      </c>
      <c r="I200" s="519">
        <f>G200+H200</f>
        <v>200000</v>
      </c>
      <c r="J200" s="518">
        <f>+[2]Tareas!Q212</f>
        <v>0</v>
      </c>
      <c r="K200" s="518">
        <f>+[2]Tareas!R212</f>
        <v>326801.24153285986</v>
      </c>
      <c r="L200" s="519">
        <f>J200+K200</f>
        <v>326801.24153285986</v>
      </c>
      <c r="M200" s="518">
        <f>(I200+L200)*0.015</f>
        <v>7902.0186229928977</v>
      </c>
      <c r="N200" s="519">
        <f>I200+L200+M200</f>
        <v>534703.26015585277</v>
      </c>
      <c r="O200" s="520">
        <f>G200*F200</f>
        <v>0</v>
      </c>
      <c r="P200" s="520">
        <f t="shared" si="229"/>
        <v>200000</v>
      </c>
      <c r="Q200" s="520">
        <f t="shared" si="230"/>
        <v>0</v>
      </c>
      <c r="R200" s="520">
        <f t="shared" si="231"/>
        <v>326801.24153285986</v>
      </c>
      <c r="S200" s="520">
        <f t="shared" si="232"/>
        <v>7902.0186229928977</v>
      </c>
      <c r="T200" s="521">
        <f>SUM(O200:S200)</f>
        <v>534703.26015585277</v>
      </c>
      <c r="U200" s="462"/>
      <c r="V200" s="382">
        <f>+ROUNDUP(N200*$U$5,0)</f>
        <v>672060</v>
      </c>
      <c r="W200" s="382">
        <f>+V200*F200</f>
        <v>672060</v>
      </c>
      <c r="X200" s="559"/>
      <c r="Y200" s="159"/>
      <c r="Z200" s="560"/>
      <c r="AC200" s="560"/>
    </row>
    <row r="201" spans="1:29" ht="13" outlineLevel="1" x14ac:dyDescent="0.3">
      <c r="A201" s="1009"/>
      <c r="B201" s="579">
        <v>23.03</v>
      </c>
      <c r="C201" s="527" t="s">
        <v>79</v>
      </c>
      <c r="D201" s="528" t="s">
        <v>395</v>
      </c>
      <c r="E201" s="580" t="s">
        <v>107</v>
      </c>
      <c r="F201" s="554">
        <v>1</v>
      </c>
      <c r="G201" s="674">
        <f>+[2]COVE!L34*10</f>
        <v>253919.62647337769</v>
      </c>
      <c r="H201" s="674"/>
      <c r="I201" s="531">
        <f>G201+H201</f>
        <v>253919.62647337769</v>
      </c>
      <c r="J201" s="532">
        <f>+[2]COVE!T34*10</f>
        <v>439307.50332796259</v>
      </c>
      <c r="K201" s="674"/>
      <c r="L201" s="531">
        <f>J201+K201</f>
        <v>439307.50332796259</v>
      </c>
      <c r="M201" s="654"/>
      <c r="N201" s="531">
        <f>I201+L201+M201</f>
        <v>693227.12980134028</v>
      </c>
      <c r="O201" s="534">
        <f>G201*F201</f>
        <v>253919.62647337769</v>
      </c>
      <c r="P201" s="534">
        <f t="shared" si="229"/>
        <v>0</v>
      </c>
      <c r="Q201" s="534">
        <f t="shared" si="230"/>
        <v>439307.50332796259</v>
      </c>
      <c r="R201" s="534">
        <f t="shared" si="231"/>
        <v>0</v>
      </c>
      <c r="S201" s="534">
        <f t="shared" si="232"/>
        <v>0</v>
      </c>
      <c r="T201" s="535">
        <f>SUM(O201:S201)</f>
        <v>693227.12980134028</v>
      </c>
      <c r="U201" s="462"/>
      <c r="V201" s="607">
        <f>+ROUNDUP(N201*$U$5,0)</f>
        <v>871306</v>
      </c>
      <c r="W201" s="607">
        <f>+V201*F201</f>
        <v>871306</v>
      </c>
      <c r="Y201" s="159"/>
    </row>
    <row r="202" spans="1:29" ht="13" x14ac:dyDescent="0.3">
      <c r="A202" s="1005"/>
      <c r="B202" s="500">
        <v>24</v>
      </c>
      <c r="C202" s="501"/>
      <c r="D202" s="380" t="s">
        <v>212</v>
      </c>
      <c r="E202" s="213"/>
      <c r="F202" s="502"/>
      <c r="G202" s="502"/>
      <c r="H202" s="502"/>
      <c r="I202" s="502"/>
      <c r="J202" s="502"/>
      <c r="K202" s="502"/>
      <c r="L202" s="502"/>
      <c r="M202" s="502"/>
      <c r="N202" s="502"/>
      <c r="O202" s="502"/>
      <c r="P202" s="502"/>
      <c r="Q202" s="502"/>
      <c r="R202" s="502"/>
      <c r="S202" s="502"/>
      <c r="T202" s="502"/>
      <c r="U202" s="504">
        <f>SUM(T203:T212)</f>
        <v>40135188.322516404</v>
      </c>
      <c r="V202" s="502"/>
      <c r="W202" s="502"/>
      <c r="X202" s="505">
        <f>SUM(W203:W212)</f>
        <v>50445256</v>
      </c>
      <c r="Y202" s="159">
        <f>+X202/$X$216</f>
        <v>4.4744662580581941E-2</v>
      </c>
    </row>
    <row r="203" spans="1:29" ht="13" outlineLevel="1" x14ac:dyDescent="0.3">
      <c r="A203" s="1005"/>
      <c r="B203" s="506">
        <v>24.01</v>
      </c>
      <c r="C203" s="597" t="s">
        <v>75</v>
      </c>
      <c r="D203" s="675" t="s">
        <v>135</v>
      </c>
      <c r="E203" s="214" t="s">
        <v>101</v>
      </c>
      <c r="F203" s="507">
        <f>+[2]GGBB!F4</f>
        <v>14</v>
      </c>
      <c r="G203" s="163"/>
      <c r="H203" s="671"/>
      <c r="I203" s="519">
        <f t="shared" ref="I203:I204" si="233">G203+H203</f>
        <v>0</v>
      </c>
      <c r="J203" s="676">
        <f>+[2]GGBB!J29/2</f>
        <v>599210.84671886358</v>
      </c>
      <c r="K203" s="163"/>
      <c r="L203" s="519">
        <f t="shared" ref="L203:L204" si="234">J203+K203</f>
        <v>599210.84671886358</v>
      </c>
      <c r="M203" s="157"/>
      <c r="N203" s="519">
        <f t="shared" ref="N203:N204" si="235">I203+L203+M203</f>
        <v>599210.84671886358</v>
      </c>
      <c r="O203" s="520">
        <f t="shared" ref="O203:O212" si="236">G203*F203</f>
        <v>0</v>
      </c>
      <c r="P203" s="520">
        <f t="shared" ref="P203:P212" si="237">H203*F203</f>
        <v>0</v>
      </c>
      <c r="Q203" s="520">
        <f t="shared" ref="Q203:Q212" si="238">J203*F203</f>
        <v>8388951.8540640902</v>
      </c>
      <c r="R203" s="520">
        <f t="shared" ref="R203:R212" si="239">K203*F203</f>
        <v>0</v>
      </c>
      <c r="S203" s="520">
        <f t="shared" ref="S203:S212" si="240">+M203*F203</f>
        <v>0</v>
      </c>
      <c r="T203" s="521">
        <f t="shared" ref="T203:T212" si="241">SUM(O203:S203)</f>
        <v>8388951.8540640902</v>
      </c>
      <c r="U203" s="522"/>
      <c r="V203" s="382">
        <f t="shared" ref="V203:V212" si="242">+ROUNDUP(N203*$U$5,0)</f>
        <v>753138</v>
      </c>
      <c r="W203" s="382">
        <f t="shared" ref="W203:W212" si="243">+V203*F203</f>
        <v>10543932</v>
      </c>
      <c r="Z203" s="458">
        <f>+V203*AB203</f>
        <v>10543932</v>
      </c>
      <c r="AB203" s="160">
        <v>14</v>
      </c>
    </row>
    <row r="204" spans="1:29" ht="13" outlineLevel="1" x14ac:dyDescent="0.3">
      <c r="A204" s="1005"/>
      <c r="B204" s="588">
        <v>24.02</v>
      </c>
      <c r="C204" s="655" t="s">
        <v>75</v>
      </c>
      <c r="D204" s="677" t="s">
        <v>295</v>
      </c>
      <c r="E204" s="678" t="s">
        <v>101</v>
      </c>
      <c r="F204" s="657">
        <f>+[2]GGBB!Q5</f>
        <v>4</v>
      </c>
      <c r="G204" s="679"/>
      <c r="H204" s="680"/>
      <c r="I204" s="519">
        <f t="shared" si="233"/>
        <v>0</v>
      </c>
      <c r="J204" s="681">
        <f>+[2]GGBB!J12*0.6</f>
        <v>1547376.3491999998</v>
      </c>
      <c r="K204" s="679"/>
      <c r="L204" s="519">
        <f t="shared" si="234"/>
        <v>1547376.3491999998</v>
      </c>
      <c r="M204" s="157"/>
      <c r="N204" s="519">
        <f t="shared" si="235"/>
        <v>1547376.3491999998</v>
      </c>
      <c r="O204" s="520">
        <f t="shared" si="236"/>
        <v>0</v>
      </c>
      <c r="P204" s="520">
        <f t="shared" si="237"/>
        <v>0</v>
      </c>
      <c r="Q204" s="520">
        <f t="shared" si="238"/>
        <v>6189505.3967999993</v>
      </c>
      <c r="R204" s="520">
        <f t="shared" si="239"/>
        <v>0</v>
      </c>
      <c r="S204" s="520">
        <f t="shared" si="240"/>
        <v>0</v>
      </c>
      <c r="T204" s="521">
        <f t="shared" si="241"/>
        <v>6189505.3967999993</v>
      </c>
      <c r="U204" s="522"/>
      <c r="V204" s="382">
        <f t="shared" si="242"/>
        <v>1944871</v>
      </c>
      <c r="W204" s="382">
        <f t="shared" si="243"/>
        <v>7779484</v>
      </c>
      <c r="Z204" s="458">
        <f t="shared" ref="Z204:Z212" si="244">+V204*AB204</f>
        <v>7779484</v>
      </c>
      <c r="AB204" s="160">
        <v>4</v>
      </c>
    </row>
    <row r="205" spans="1:29" ht="13" outlineLevel="1" x14ac:dyDescent="0.3">
      <c r="A205" s="1005"/>
      <c r="B205" s="514">
        <v>24.03</v>
      </c>
      <c r="C205" s="515" t="s">
        <v>75</v>
      </c>
      <c r="D205" s="682" t="s">
        <v>213</v>
      </c>
      <c r="E205" s="215" t="s">
        <v>101</v>
      </c>
      <c r="F205" s="517">
        <f>+[2]GGBB!F4</f>
        <v>14</v>
      </c>
      <c r="G205" s="157"/>
      <c r="H205" s="595"/>
      <c r="I205" s="519">
        <f>G205+H205</f>
        <v>0</v>
      </c>
      <c r="J205" s="602">
        <f>+[2]GGBB!J13</f>
        <v>150000</v>
      </c>
      <c r="K205" s="157"/>
      <c r="L205" s="519">
        <f>J205+K205</f>
        <v>150000</v>
      </c>
      <c r="M205" s="157"/>
      <c r="N205" s="519">
        <f>I205+L205+M205</f>
        <v>150000</v>
      </c>
      <c r="O205" s="520">
        <f t="shared" si="236"/>
        <v>0</v>
      </c>
      <c r="P205" s="520">
        <f t="shared" si="237"/>
        <v>0</v>
      </c>
      <c r="Q205" s="520">
        <f t="shared" si="238"/>
        <v>2100000</v>
      </c>
      <c r="R205" s="520">
        <f t="shared" si="239"/>
        <v>0</v>
      </c>
      <c r="S205" s="520">
        <f t="shared" si="240"/>
        <v>0</v>
      </c>
      <c r="T205" s="521">
        <f t="shared" si="241"/>
        <v>2100000</v>
      </c>
      <c r="U205" s="522"/>
      <c r="V205" s="382">
        <f t="shared" si="242"/>
        <v>188533</v>
      </c>
      <c r="W205" s="382">
        <f t="shared" si="243"/>
        <v>2639462</v>
      </c>
      <c r="Z205" s="458">
        <f t="shared" si="244"/>
        <v>2639462</v>
      </c>
      <c r="AB205" s="160">
        <v>14</v>
      </c>
    </row>
    <row r="206" spans="1:29" ht="13" outlineLevel="1" x14ac:dyDescent="0.3">
      <c r="A206" s="1005"/>
      <c r="B206" s="588">
        <v>24.04</v>
      </c>
      <c r="C206" s="515" t="s">
        <v>75</v>
      </c>
      <c r="D206" s="682" t="s">
        <v>214</v>
      </c>
      <c r="E206" s="215" t="s">
        <v>107</v>
      </c>
      <c r="F206" s="517">
        <v>1</v>
      </c>
      <c r="G206" s="518">
        <f>+[2]Tareas!H216</f>
        <v>2388097.2693333332</v>
      </c>
      <c r="H206" s="518">
        <f>+[2]Tareas!I216</f>
        <v>0</v>
      </c>
      <c r="I206" s="519">
        <f>G206+H206</f>
        <v>2388097.2693333332</v>
      </c>
      <c r="J206" s="518">
        <f>+[2]Tareas!Q216</f>
        <v>0</v>
      </c>
      <c r="K206" s="518">
        <f>+[2]Tareas!R216</f>
        <v>1222808.0771714395</v>
      </c>
      <c r="L206" s="519">
        <f t="shared" ref="L206" si="245">J206+K206</f>
        <v>1222808.0771714395</v>
      </c>
      <c r="M206" s="518">
        <f>(I206+L206)*0.015</f>
        <v>54163.580197571595</v>
      </c>
      <c r="N206" s="519">
        <f>I206+L206+M206</f>
        <v>3665068.9267023448</v>
      </c>
      <c r="O206" s="520">
        <f>G206*F206</f>
        <v>2388097.2693333332</v>
      </c>
      <c r="P206" s="520">
        <f t="shared" si="237"/>
        <v>0</v>
      </c>
      <c r="Q206" s="520">
        <f t="shared" si="238"/>
        <v>0</v>
      </c>
      <c r="R206" s="520">
        <f t="shared" si="239"/>
        <v>1222808.0771714395</v>
      </c>
      <c r="S206" s="520">
        <f t="shared" si="240"/>
        <v>54163.580197571595</v>
      </c>
      <c r="T206" s="521">
        <f t="shared" si="241"/>
        <v>3665068.9267023448</v>
      </c>
      <c r="U206" s="522"/>
      <c r="V206" s="382">
        <f t="shared" si="242"/>
        <v>4606562</v>
      </c>
      <c r="W206" s="382">
        <f t="shared" si="243"/>
        <v>4606562</v>
      </c>
      <c r="Z206" s="458">
        <f t="shared" si="244"/>
        <v>4606562</v>
      </c>
      <c r="AB206" s="160">
        <v>1</v>
      </c>
    </row>
    <row r="207" spans="1:29" s="569" customFormat="1" ht="13" outlineLevel="1" x14ac:dyDescent="0.3">
      <c r="A207" s="1013"/>
      <c r="B207" s="514">
        <v>24.05</v>
      </c>
      <c r="C207" s="515" t="s">
        <v>75</v>
      </c>
      <c r="D207" s="682" t="s">
        <v>296</v>
      </c>
      <c r="E207" s="683" t="s">
        <v>101</v>
      </c>
      <c r="F207" s="517">
        <f>+[2]GGBB!F4</f>
        <v>14</v>
      </c>
      <c r="G207" s="523">
        <f>+[2]Tareas!H223</f>
        <v>0</v>
      </c>
      <c r="H207" s="523">
        <f>+[2]Tareas!I223</f>
        <v>50000</v>
      </c>
      <c r="I207" s="519">
        <f>G207+H207</f>
        <v>50000</v>
      </c>
      <c r="J207" s="518">
        <f>+[2]Tareas!Q223</f>
        <v>0</v>
      </c>
      <c r="K207" s="518">
        <f>+[2]Tareas!R223</f>
        <v>495686.16827914771</v>
      </c>
      <c r="L207" s="519">
        <f>J207+K207</f>
        <v>495686.16827914771</v>
      </c>
      <c r="M207" s="518">
        <f>(I207+L207)*0.015</f>
        <v>8185.2925241872153</v>
      </c>
      <c r="N207" s="519">
        <f t="shared" ref="N207" si="246">I207+L207+M207</f>
        <v>553871.46080333495</v>
      </c>
      <c r="O207" s="520">
        <f t="shared" ref="O207" si="247">G207*F207</f>
        <v>0</v>
      </c>
      <c r="P207" s="520">
        <f t="shared" si="237"/>
        <v>700000</v>
      </c>
      <c r="Q207" s="520">
        <f t="shared" si="238"/>
        <v>0</v>
      </c>
      <c r="R207" s="520">
        <f t="shared" si="239"/>
        <v>6939606.3559080679</v>
      </c>
      <c r="S207" s="520">
        <f t="shared" si="240"/>
        <v>114594.09533862102</v>
      </c>
      <c r="T207" s="521">
        <f t="shared" si="241"/>
        <v>7754200.4512466891</v>
      </c>
      <c r="U207" s="522"/>
      <c r="V207" s="382">
        <f t="shared" si="242"/>
        <v>696152</v>
      </c>
      <c r="W207" s="382">
        <f t="shared" si="243"/>
        <v>9746128</v>
      </c>
      <c r="X207" s="684"/>
      <c r="Y207" s="159"/>
      <c r="Z207" s="458">
        <f t="shared" si="244"/>
        <v>9746128</v>
      </c>
      <c r="AB207" s="569">
        <v>14</v>
      </c>
      <c r="AC207" s="461"/>
    </row>
    <row r="208" spans="1:29" s="569" customFormat="1" ht="13" outlineLevel="1" x14ac:dyDescent="0.3">
      <c r="A208" s="1013"/>
      <c r="B208" s="588">
        <v>24.06</v>
      </c>
      <c r="C208" s="515" t="s">
        <v>75</v>
      </c>
      <c r="D208" s="682" t="s">
        <v>114</v>
      </c>
      <c r="E208" s="683" t="s">
        <v>101</v>
      </c>
      <c r="F208" s="517">
        <f>+[2]GGBB!F4</f>
        <v>14</v>
      </c>
      <c r="G208" s="523">
        <f>+[2]Tareas!H227</f>
        <v>0</v>
      </c>
      <c r="H208" s="523">
        <f>+[2]Tareas!I227</f>
        <v>25000</v>
      </c>
      <c r="I208" s="519">
        <f>G208+H208</f>
        <v>25000</v>
      </c>
      <c r="J208" s="518">
        <f>+[2]Tareas!Q227</f>
        <v>0</v>
      </c>
      <c r="K208" s="518">
        <f>+[2]Tareas!R227</f>
        <v>329565.96569537499</v>
      </c>
      <c r="L208" s="519">
        <f>J208+K208</f>
        <v>329565.96569537499</v>
      </c>
      <c r="M208" s="518">
        <f>(I208+L208)*0.015</f>
        <v>5318.4894854306249</v>
      </c>
      <c r="N208" s="519">
        <f>I208+L208+M208</f>
        <v>359884.45518080564</v>
      </c>
      <c r="O208" s="520">
        <f t="shared" si="236"/>
        <v>0</v>
      </c>
      <c r="P208" s="520">
        <f t="shared" si="237"/>
        <v>350000</v>
      </c>
      <c r="Q208" s="520">
        <f t="shared" si="238"/>
        <v>0</v>
      </c>
      <c r="R208" s="520">
        <f t="shared" si="239"/>
        <v>4613923.5197352497</v>
      </c>
      <c r="S208" s="520">
        <f t="shared" si="240"/>
        <v>74458.852796028747</v>
      </c>
      <c r="T208" s="521">
        <f t="shared" si="241"/>
        <v>5038382.3725312781</v>
      </c>
      <c r="U208" s="522"/>
      <c r="V208" s="382">
        <f t="shared" si="242"/>
        <v>452333</v>
      </c>
      <c r="W208" s="382">
        <f t="shared" si="243"/>
        <v>6332662</v>
      </c>
      <c r="X208" s="684"/>
      <c r="Y208" s="159"/>
      <c r="Z208" s="458">
        <f t="shared" si="244"/>
        <v>6332662</v>
      </c>
      <c r="AB208" s="569">
        <v>14</v>
      </c>
      <c r="AC208" s="461"/>
    </row>
    <row r="209" spans="1:35" s="569" customFormat="1" ht="13" outlineLevel="1" x14ac:dyDescent="0.3">
      <c r="A209" s="1013"/>
      <c r="B209" s="514">
        <v>24.07</v>
      </c>
      <c r="C209" s="515" t="s">
        <v>75</v>
      </c>
      <c r="D209" s="682" t="s">
        <v>297</v>
      </c>
      <c r="E209" s="683" t="s">
        <v>107</v>
      </c>
      <c r="F209" s="517">
        <v>0</v>
      </c>
      <c r="G209" s="523"/>
      <c r="H209" s="523"/>
      <c r="I209" s="519">
        <f t="shared" ref="I209:I210" si="248">G209+H209</f>
        <v>0</v>
      </c>
      <c r="J209" s="518"/>
      <c r="K209" s="518"/>
      <c r="L209" s="519">
        <f t="shared" ref="L209:L210" si="249">J209+K209</f>
        <v>0</v>
      </c>
      <c r="M209" s="518">
        <f>(I209+L209)*0.015</f>
        <v>0</v>
      </c>
      <c r="N209" s="519">
        <f t="shared" ref="N209:N210" si="250">I209+L209+M209</f>
        <v>0</v>
      </c>
      <c r="O209" s="520">
        <f t="shared" si="236"/>
        <v>0</v>
      </c>
      <c r="P209" s="520">
        <f t="shared" si="237"/>
        <v>0</v>
      </c>
      <c r="Q209" s="520">
        <f t="shared" si="238"/>
        <v>0</v>
      </c>
      <c r="R209" s="520">
        <f t="shared" si="239"/>
        <v>0</v>
      </c>
      <c r="S209" s="520">
        <f t="shared" si="240"/>
        <v>0</v>
      </c>
      <c r="T209" s="521">
        <f t="shared" si="241"/>
        <v>0</v>
      </c>
      <c r="U209" s="522"/>
      <c r="V209" s="382">
        <f t="shared" si="242"/>
        <v>0</v>
      </c>
      <c r="W209" s="382">
        <f t="shared" si="243"/>
        <v>0</v>
      </c>
      <c r="X209" s="684"/>
      <c r="Y209" s="159"/>
      <c r="Z209" s="458">
        <f t="shared" si="244"/>
        <v>0</v>
      </c>
      <c r="AC209" s="461"/>
    </row>
    <row r="210" spans="1:35" s="569" customFormat="1" ht="13" outlineLevel="1" x14ac:dyDescent="0.3">
      <c r="A210" s="1013"/>
      <c r="B210" s="588">
        <v>24.08</v>
      </c>
      <c r="C210" s="515" t="s">
        <v>75</v>
      </c>
      <c r="D210" s="682" t="s">
        <v>115</v>
      </c>
      <c r="E210" s="683" t="s">
        <v>101</v>
      </c>
      <c r="F210" s="517">
        <f>+[2]GGBB!F4</f>
        <v>14</v>
      </c>
      <c r="G210" s="157"/>
      <c r="H210" s="157"/>
      <c r="I210" s="519">
        <f t="shared" si="248"/>
        <v>0</v>
      </c>
      <c r="J210" s="685">
        <v>250000</v>
      </c>
      <c r="K210" s="157"/>
      <c r="L210" s="519">
        <f t="shared" si="249"/>
        <v>250000</v>
      </c>
      <c r="M210" s="540"/>
      <c r="N210" s="519">
        <f t="shared" si="250"/>
        <v>250000</v>
      </c>
      <c r="O210" s="520">
        <f t="shared" si="236"/>
        <v>0</v>
      </c>
      <c r="P210" s="520">
        <f t="shared" si="237"/>
        <v>0</v>
      </c>
      <c r="Q210" s="520">
        <f t="shared" si="238"/>
        <v>3500000</v>
      </c>
      <c r="R210" s="520">
        <f t="shared" si="239"/>
        <v>0</v>
      </c>
      <c r="S210" s="520">
        <f t="shared" si="240"/>
        <v>0</v>
      </c>
      <c r="T210" s="521">
        <f t="shared" si="241"/>
        <v>3500000</v>
      </c>
      <c r="U210" s="522"/>
      <c r="V210" s="382">
        <f t="shared" si="242"/>
        <v>314221</v>
      </c>
      <c r="W210" s="382">
        <f t="shared" si="243"/>
        <v>4399094</v>
      </c>
      <c r="X210" s="684"/>
      <c r="Y210" s="159"/>
      <c r="Z210" s="458">
        <f t="shared" si="244"/>
        <v>4399094</v>
      </c>
      <c r="AB210" s="569">
        <v>14</v>
      </c>
      <c r="AC210" s="461"/>
    </row>
    <row r="211" spans="1:35" s="686" customFormat="1" ht="13" outlineLevel="1" x14ac:dyDescent="0.3">
      <c r="A211" s="1013"/>
      <c r="B211" s="514">
        <v>24.09</v>
      </c>
      <c r="C211" s="515" t="s">
        <v>79</v>
      </c>
      <c r="D211" s="682" t="s">
        <v>298</v>
      </c>
      <c r="E211" s="683" t="s">
        <v>101</v>
      </c>
      <c r="F211" s="517">
        <v>4</v>
      </c>
      <c r="G211" s="523">
        <f>+[2]Tareas!H233</f>
        <v>0</v>
      </c>
      <c r="H211" s="523">
        <f>+[2]Tareas!I233</f>
        <v>0</v>
      </c>
      <c r="I211" s="519">
        <f>G211+H211</f>
        <v>0</v>
      </c>
      <c r="J211" s="518"/>
      <c r="K211" s="518">
        <f>+[2]Tareas!R233</f>
        <v>0</v>
      </c>
      <c r="L211" s="519">
        <f>J211+K211</f>
        <v>0</v>
      </c>
      <c r="M211" s="540"/>
      <c r="N211" s="519">
        <f>I211+L211+M211</f>
        <v>0</v>
      </c>
      <c r="O211" s="520">
        <f t="shared" si="236"/>
        <v>0</v>
      </c>
      <c r="P211" s="520">
        <f t="shared" si="237"/>
        <v>0</v>
      </c>
      <c r="Q211" s="520">
        <f t="shared" si="238"/>
        <v>0</v>
      </c>
      <c r="R211" s="520">
        <f t="shared" si="239"/>
        <v>0</v>
      </c>
      <c r="S211" s="520">
        <f t="shared" si="240"/>
        <v>0</v>
      </c>
      <c r="T211" s="521">
        <f t="shared" si="241"/>
        <v>0</v>
      </c>
      <c r="U211" s="522"/>
      <c r="V211" s="517">
        <f t="shared" si="242"/>
        <v>0</v>
      </c>
      <c r="W211" s="517">
        <f t="shared" si="243"/>
        <v>0</v>
      </c>
      <c r="X211" s="684"/>
      <c r="Y211" s="159"/>
      <c r="Z211" s="458">
        <f t="shared" si="244"/>
        <v>0</v>
      </c>
      <c r="AC211" s="458"/>
    </row>
    <row r="212" spans="1:35" s="686" customFormat="1" ht="13" outlineLevel="1" x14ac:dyDescent="0.3">
      <c r="A212" s="1013"/>
      <c r="B212" s="588">
        <v>24.1</v>
      </c>
      <c r="C212" s="579" t="s">
        <v>75</v>
      </c>
      <c r="D212" s="687" t="s">
        <v>116</v>
      </c>
      <c r="E212" s="688" t="s">
        <v>101</v>
      </c>
      <c r="F212" s="529">
        <f>+[2]GGBB!F4</f>
        <v>14</v>
      </c>
      <c r="G212" s="685">
        <f>100000*2</f>
        <v>200000</v>
      </c>
      <c r="H212" s="533"/>
      <c r="I212" s="531">
        <f t="shared" ref="I212" si="251">G212+H212</f>
        <v>200000</v>
      </c>
      <c r="J212" s="533"/>
      <c r="K212" s="524">
        <f>+'[2]P.MO 09.24'!B7</f>
        <v>49934.237226571968</v>
      </c>
      <c r="L212" s="531">
        <f t="shared" ref="L212" si="252">J212+K212</f>
        <v>49934.237226571968</v>
      </c>
      <c r="M212" s="654"/>
      <c r="N212" s="531">
        <f t="shared" ref="N212" si="253">I212+L212+M212</f>
        <v>249934.23722657198</v>
      </c>
      <c r="O212" s="534">
        <f t="shared" si="236"/>
        <v>2800000</v>
      </c>
      <c r="P212" s="534">
        <f t="shared" si="237"/>
        <v>0</v>
      </c>
      <c r="Q212" s="534">
        <f t="shared" si="238"/>
        <v>0</v>
      </c>
      <c r="R212" s="534">
        <f t="shared" si="239"/>
        <v>699079.32117200759</v>
      </c>
      <c r="S212" s="534">
        <f t="shared" si="240"/>
        <v>0</v>
      </c>
      <c r="T212" s="535">
        <f t="shared" si="241"/>
        <v>3499079.3211720074</v>
      </c>
      <c r="U212" s="522"/>
      <c r="V212" s="607">
        <f t="shared" si="242"/>
        <v>314138</v>
      </c>
      <c r="W212" s="607">
        <f t="shared" si="243"/>
        <v>4397932</v>
      </c>
      <c r="X212" s="684"/>
      <c r="Y212" s="159"/>
      <c r="Z212" s="458">
        <f t="shared" si="244"/>
        <v>4397932</v>
      </c>
      <c r="AB212" s="686">
        <v>14</v>
      </c>
      <c r="AC212" s="458"/>
    </row>
    <row r="213" spans="1:35" ht="13" x14ac:dyDescent="0.3">
      <c r="A213" s="1005"/>
      <c r="B213" s="500">
        <v>25</v>
      </c>
      <c r="C213" s="501"/>
      <c r="D213" s="380" t="s">
        <v>215</v>
      </c>
      <c r="E213" s="213"/>
      <c r="F213" s="502"/>
      <c r="G213" s="502"/>
      <c r="H213" s="502"/>
      <c r="I213" s="502"/>
      <c r="J213" s="502"/>
      <c r="K213" s="502"/>
      <c r="L213" s="502"/>
      <c r="M213" s="502"/>
      <c r="N213" s="503"/>
      <c r="O213" s="502"/>
      <c r="P213" s="502"/>
      <c r="Q213" s="502"/>
      <c r="R213" s="502"/>
      <c r="S213" s="502"/>
      <c r="T213" s="502"/>
      <c r="U213" s="504">
        <f>SUM(T214:T215)</f>
        <v>60177188.148000002</v>
      </c>
      <c r="V213" s="502"/>
      <c r="W213" s="502"/>
      <c r="X213" s="505">
        <f>SUM(W214:W215)</f>
        <v>75635672</v>
      </c>
      <c r="Y213" s="159">
        <f>+X213/$X$216</f>
        <v>6.7088422005343165E-2</v>
      </c>
      <c r="AG213" s="458">
        <f>+X218/AD215</f>
        <v>1052405.965855594</v>
      </c>
    </row>
    <row r="214" spans="1:35" s="221" customFormat="1" ht="13" outlineLevel="1" x14ac:dyDescent="0.3">
      <c r="A214" s="1010"/>
      <c r="B214" s="506">
        <v>25.01</v>
      </c>
      <c r="C214" s="555" t="s">
        <v>75</v>
      </c>
      <c r="D214" s="508" t="s">
        <v>299</v>
      </c>
      <c r="E214" s="218" t="s">
        <v>101</v>
      </c>
      <c r="F214" s="556">
        <f>+[2]GGBB!F4</f>
        <v>14</v>
      </c>
      <c r="G214" s="557"/>
      <c r="H214" s="557"/>
      <c r="I214" s="509">
        <f>G214+H214</f>
        <v>0</v>
      </c>
      <c r="J214" s="599">
        <f>+[2]GGBB!J21</f>
        <v>3798370.5819999999</v>
      </c>
      <c r="K214" s="557"/>
      <c r="L214" s="509">
        <f t="shared" ref="L214:L215" si="254">J214+K214</f>
        <v>3798370.5819999999</v>
      </c>
      <c r="M214" s="557"/>
      <c r="N214" s="509">
        <f>I214+L214+M214</f>
        <v>3798370.5819999999</v>
      </c>
      <c r="O214" s="510">
        <f t="shared" ref="O214:O215" si="255">G214*F214</f>
        <v>0</v>
      </c>
      <c r="P214" s="510">
        <f t="shared" ref="P214:P215" si="256">H214*F214</f>
        <v>0</v>
      </c>
      <c r="Q214" s="510">
        <f t="shared" ref="Q214:Q215" si="257">J214*F214</f>
        <v>53177188.148000002</v>
      </c>
      <c r="R214" s="510">
        <f t="shared" ref="R214:R215" si="258">K214*F214</f>
        <v>0</v>
      </c>
      <c r="S214" s="510">
        <f t="shared" ref="S214:S215" si="259">+M214*F214</f>
        <v>0</v>
      </c>
      <c r="T214" s="511">
        <f t="shared" ref="T214:T215" si="260">SUM(O214:S214)</f>
        <v>53177188.148000002</v>
      </c>
      <c r="U214" s="522"/>
      <c r="V214" s="566">
        <f>+ROUNDUP(N214*$U$5,0)</f>
        <v>4774106</v>
      </c>
      <c r="W214" s="564">
        <f>+V214*F214</f>
        <v>66837484</v>
      </c>
      <c r="X214" s="576"/>
      <c r="Z214" s="560">
        <f>+V214*AB214</f>
        <v>66837484</v>
      </c>
      <c r="AB214" s="221">
        <v>14</v>
      </c>
      <c r="AC214" s="560"/>
    </row>
    <row r="215" spans="1:35" s="221" customFormat="1" ht="13" outlineLevel="1" x14ac:dyDescent="0.3">
      <c r="A215" s="1010"/>
      <c r="B215" s="526">
        <v>25.02</v>
      </c>
      <c r="C215" s="527" t="s">
        <v>75</v>
      </c>
      <c r="D215" s="528" t="s">
        <v>102</v>
      </c>
      <c r="E215" s="580" t="s">
        <v>101</v>
      </c>
      <c r="F215" s="554">
        <f>+[2]GGBB!F4</f>
        <v>14</v>
      </c>
      <c r="G215" s="574"/>
      <c r="H215" s="574"/>
      <c r="I215" s="531">
        <f>G215+H215</f>
        <v>0</v>
      </c>
      <c r="J215" s="532">
        <f>[2]GGBB!J27</f>
        <v>500000</v>
      </c>
      <c r="K215" s="574"/>
      <c r="L215" s="531">
        <f t="shared" si="254"/>
        <v>500000</v>
      </c>
      <c r="M215" s="574"/>
      <c r="N215" s="531">
        <f>I215+L215+M215</f>
        <v>500000</v>
      </c>
      <c r="O215" s="534">
        <f t="shared" si="255"/>
        <v>0</v>
      </c>
      <c r="P215" s="534">
        <f t="shared" si="256"/>
        <v>0</v>
      </c>
      <c r="Q215" s="534">
        <f t="shared" si="257"/>
        <v>7000000</v>
      </c>
      <c r="R215" s="534">
        <f t="shared" si="258"/>
        <v>0</v>
      </c>
      <c r="S215" s="534">
        <f t="shared" si="259"/>
        <v>0</v>
      </c>
      <c r="T215" s="535">
        <f t="shared" si="260"/>
        <v>7000000</v>
      </c>
      <c r="U215" s="522"/>
      <c r="V215" s="566">
        <f>+ROUNDUP(N215*$U$5,0)</f>
        <v>628442</v>
      </c>
      <c r="W215" s="382">
        <f>+V215*F215</f>
        <v>8798188</v>
      </c>
      <c r="X215" s="568"/>
      <c r="Z215" s="560">
        <f>+AB215*V215</f>
        <v>8798188</v>
      </c>
      <c r="AB215" s="221">
        <v>14</v>
      </c>
      <c r="AC215" s="545">
        <v>0.15</v>
      </c>
      <c r="AD215" s="160">
        <v>1150</v>
      </c>
      <c r="AE215" s="160">
        <v>2000</v>
      </c>
    </row>
    <row r="216" spans="1:35" s="569" customFormat="1" ht="13" x14ac:dyDescent="0.3">
      <c r="B216" s="500"/>
      <c r="C216" s="501"/>
      <c r="D216" s="380" t="s">
        <v>117</v>
      </c>
      <c r="E216" s="213"/>
      <c r="F216" s="502"/>
      <c r="G216" s="502"/>
      <c r="H216" s="502"/>
      <c r="I216" s="502"/>
      <c r="J216" s="502"/>
      <c r="K216" s="502"/>
      <c r="L216" s="502"/>
      <c r="M216" s="502"/>
      <c r="N216" s="503"/>
      <c r="O216" s="504">
        <f t="shared" ref="O216:U216" si="261">SUM(O8:O215)</f>
        <v>152635787.39072511</v>
      </c>
      <c r="P216" s="504">
        <f t="shared" si="261"/>
        <v>89943824.963067681</v>
      </c>
      <c r="Q216" s="504">
        <f t="shared" si="261"/>
        <v>466157734.73748004</v>
      </c>
      <c r="R216" s="504">
        <f t="shared" si="261"/>
        <v>167770803.14356178</v>
      </c>
      <c r="S216" s="504">
        <f t="shared" si="261"/>
        <v>20534737.960315075</v>
      </c>
      <c r="T216" s="504">
        <f t="shared" si="261"/>
        <v>897042888.19514966</v>
      </c>
      <c r="U216" s="504">
        <f t="shared" si="261"/>
        <v>897042888.1951499</v>
      </c>
      <c r="V216" s="502"/>
      <c r="W216" s="504">
        <f>SUM(W8:W215)</f>
        <v>1127402758.0195</v>
      </c>
      <c r="X216" s="505">
        <f>SUM(X8:X215)</f>
        <v>1127402758.0195</v>
      </c>
      <c r="Y216" s="159">
        <f>+X216/$X$216</f>
        <v>1</v>
      </c>
      <c r="Z216" s="461">
        <f>+SUM(Z8:Z215)</f>
        <v>1274042894.3901615</v>
      </c>
      <c r="AA216" s="569">
        <f>+X216*0.95</f>
        <v>1071032620.1185249</v>
      </c>
      <c r="AC216" s="458">
        <f>X218*AC215</f>
        <v>181540029.11008999</v>
      </c>
      <c r="AD216" s="162">
        <f>AC216/AD215</f>
        <v>157860.89487833911</v>
      </c>
      <c r="AE216" s="162">
        <f>AD216/AE215</f>
        <v>78.930447439169555</v>
      </c>
    </row>
    <row r="217" spans="1:35" s="569" customFormat="1" ht="13" x14ac:dyDescent="0.3">
      <c r="B217" s="689"/>
      <c r="C217" s="689"/>
      <c r="D217" s="690"/>
      <c r="E217" s="691"/>
      <c r="F217" s="692">
        <v>0.105</v>
      </c>
      <c r="G217" s="693"/>
      <c r="H217" s="693"/>
      <c r="I217" s="693"/>
      <c r="J217" s="693"/>
      <c r="K217" s="693"/>
      <c r="L217" s="693"/>
      <c r="M217" s="694"/>
      <c r="N217" s="694"/>
      <c r="O217" s="694"/>
      <c r="P217" s="694"/>
      <c r="Q217" s="694"/>
      <c r="R217" s="694"/>
      <c r="S217" s="694"/>
      <c r="T217" s="694"/>
      <c r="U217" s="695"/>
      <c r="V217" s="696"/>
      <c r="W217" s="696"/>
      <c r="X217" s="695">
        <f>F217*X216*0.7</f>
        <v>82864102.714433238</v>
      </c>
      <c r="Y217" s="159"/>
      <c r="Z217" s="461"/>
      <c r="AC217" s="461"/>
    </row>
    <row r="218" spans="1:35" ht="12.75" customHeight="1" x14ac:dyDescent="0.3">
      <c r="B218" s="642"/>
      <c r="C218" s="642"/>
      <c r="D218" s="697"/>
      <c r="E218" s="698"/>
      <c r="F218" s="699"/>
      <c r="G218" s="487"/>
      <c r="H218" s="487"/>
      <c r="I218" s="487"/>
      <c r="J218" s="487"/>
      <c r="K218" s="487"/>
      <c r="L218" s="487"/>
      <c r="M218" s="644"/>
      <c r="N218" s="487"/>
      <c r="O218" s="487"/>
      <c r="P218" s="487"/>
      <c r="Q218" s="487"/>
      <c r="R218" s="487"/>
      <c r="S218" s="487"/>
      <c r="T218" s="487"/>
      <c r="U218" s="700"/>
      <c r="V218" s="487"/>
      <c r="W218" s="487"/>
      <c r="X218" s="701">
        <f>X217+X216</f>
        <v>1210266860.7339332</v>
      </c>
      <c r="Z218" s="702">
        <v>1138195271.5160999</v>
      </c>
      <c r="AF218" s="160">
        <v>2000</v>
      </c>
    </row>
    <row r="219" spans="1:35" ht="12.75" customHeight="1" x14ac:dyDescent="0.3">
      <c r="B219" s="490"/>
      <c r="C219" s="491"/>
      <c r="D219" s="703" t="s">
        <v>118</v>
      </c>
      <c r="E219" s="704" t="s">
        <v>109</v>
      </c>
      <c r="F219" s="705">
        <f>+[2]INFO.!C6</f>
        <v>1618.5</v>
      </c>
      <c r="G219" s="635"/>
      <c r="H219" s="635"/>
      <c r="I219" s="635"/>
      <c r="J219" s="706"/>
      <c r="K219" s="706"/>
      <c r="L219" s="635"/>
      <c r="M219" s="228"/>
      <c r="N219" s="635"/>
      <c r="O219" s="635"/>
      <c r="P219" s="635"/>
      <c r="Q219" s="635"/>
      <c r="R219" s="635"/>
      <c r="S219" s="707" t="s">
        <v>119</v>
      </c>
      <c r="T219" s="708">
        <f>+U219/F219</f>
        <v>473.71227880365643</v>
      </c>
      <c r="U219" s="158">
        <f>+U216/[2]GGBB!H4</f>
        <v>766703.3232437179</v>
      </c>
      <c r="V219" s="707" t="s">
        <v>119</v>
      </c>
      <c r="W219" s="709">
        <f>+X219/F219</f>
        <v>595.36119917909639</v>
      </c>
      <c r="X219" s="710">
        <f>X216/X2</f>
        <v>963592.1008713675</v>
      </c>
      <c r="Y219" s="159"/>
      <c r="AA219" s="161"/>
      <c r="AB219" s="160" t="s">
        <v>460</v>
      </c>
      <c r="AC219" s="458">
        <v>72</v>
      </c>
      <c r="AD219" s="160">
        <v>11</v>
      </c>
      <c r="AE219" s="162">
        <f>+AD219+AC219</f>
        <v>83</v>
      </c>
      <c r="AF219" s="160">
        <f>+AE219*$AF$218</f>
        <v>166000</v>
      </c>
      <c r="AG219" s="160">
        <v>20000</v>
      </c>
      <c r="AH219" s="160">
        <f>+AG219+AF219</f>
        <v>186000</v>
      </c>
      <c r="AI219" s="545">
        <f>+AH219/$AG$213</f>
        <v>0.17673788066070503</v>
      </c>
    </row>
    <row r="220" spans="1:35" ht="12.75" customHeight="1" x14ac:dyDescent="0.3">
      <c r="B220" s="689"/>
      <c r="C220" s="711"/>
      <c r="D220" s="712"/>
      <c r="F220" s="713"/>
      <c r="G220" s="714"/>
      <c r="H220" s="714"/>
      <c r="I220" s="714"/>
      <c r="J220" s="715"/>
      <c r="K220" s="715"/>
      <c r="L220" s="714"/>
      <c r="M220" s="716"/>
      <c r="N220" s="714"/>
      <c r="O220" s="714"/>
      <c r="P220" s="714"/>
      <c r="Q220" s="714"/>
      <c r="R220" s="717"/>
      <c r="S220" s="718"/>
      <c r="T220" s="719"/>
      <c r="U220" s="720"/>
      <c r="V220" s="718"/>
      <c r="W220" s="721"/>
      <c r="X220" s="722"/>
      <c r="Y220" s="159"/>
      <c r="AA220" s="161"/>
      <c r="AB220" s="160" t="s">
        <v>461</v>
      </c>
      <c r="AC220" s="458">
        <v>37</v>
      </c>
      <c r="AD220" s="160">
        <v>5</v>
      </c>
      <c r="AE220" s="162">
        <f>+AD220+AC220</f>
        <v>42</v>
      </c>
      <c r="AF220" s="160">
        <f>+AE220*$AF$218</f>
        <v>84000</v>
      </c>
      <c r="AI220" s="545">
        <f>+AF220/$AG$213</f>
        <v>7.9817107395157114E-2</v>
      </c>
    </row>
    <row r="221" spans="1:35" ht="12.75" customHeight="1" x14ac:dyDescent="0.3">
      <c r="B221" s="490">
        <v>26</v>
      </c>
      <c r="C221" s="491"/>
      <c r="D221" s="723" t="s">
        <v>462</v>
      </c>
      <c r="E221" s="704"/>
      <c r="F221" s="724"/>
      <c r="G221" s="725"/>
      <c r="H221" s="725"/>
      <c r="I221" s="725"/>
      <c r="J221" s="726"/>
      <c r="K221" s="726"/>
      <c r="L221" s="725"/>
      <c r="M221" s="228"/>
      <c r="N221" s="725"/>
      <c r="O221" s="725"/>
      <c r="P221" s="725"/>
      <c r="Q221" s="725"/>
      <c r="R221" s="725"/>
      <c r="S221" s="727"/>
      <c r="T221" s="728"/>
      <c r="U221" s="729">
        <f>+SUM(T222:T229)</f>
        <v>224067752.32749999</v>
      </c>
      <c r="V221" s="727"/>
      <c r="W221" s="730"/>
      <c r="X221" s="505">
        <f>SUM(W222:W229)</f>
        <v>224072082</v>
      </c>
      <c r="Y221" s="159"/>
      <c r="Z221" s="458">
        <v>170000</v>
      </c>
      <c r="AA221" s="545">
        <f>+Z221/X216</f>
        <v>1.5078905811676186E-4</v>
      </c>
    </row>
    <row r="222" spans="1:35" ht="12.75" customHeight="1" x14ac:dyDescent="0.3">
      <c r="B222" s="597">
        <v>26.01</v>
      </c>
      <c r="C222" s="731"/>
      <c r="D222" s="675" t="s">
        <v>463</v>
      </c>
      <c r="E222" s="214" t="s">
        <v>464</v>
      </c>
      <c r="F222" s="507">
        <f>+'[2]H°A° '!O15</f>
        <v>71835</v>
      </c>
      <c r="G222" s="732">
        <f>+'[2]H°A° '!E40</f>
        <v>1675.9465</v>
      </c>
      <c r="H222" s="732"/>
      <c r="I222" s="509">
        <f>G222+H222</f>
        <v>1675.9465</v>
      </c>
      <c r="J222" s="599">
        <f>+[2]GGBB!J28</f>
        <v>0</v>
      </c>
      <c r="K222" s="557"/>
      <c r="L222" s="509">
        <f t="shared" ref="L222:L228" si="262">J222+K222</f>
        <v>0</v>
      </c>
      <c r="M222" s="557"/>
      <c r="N222" s="509">
        <f>I222+L222+M222</f>
        <v>1675.9465</v>
      </c>
      <c r="O222" s="510">
        <f t="shared" ref="O222:O228" si="263">G222*F222</f>
        <v>120391616.8275</v>
      </c>
      <c r="P222" s="510">
        <f t="shared" ref="P222:P228" si="264">H222*F222</f>
        <v>0</v>
      </c>
      <c r="Q222" s="510">
        <f t="shared" ref="Q222:Q228" si="265">J222*F222</f>
        <v>0</v>
      </c>
      <c r="R222" s="510">
        <f t="shared" ref="R222:R228" si="266">K222*F222</f>
        <v>0</v>
      </c>
      <c r="S222" s="510">
        <f t="shared" ref="S222:S228" si="267">+M222*F222</f>
        <v>0</v>
      </c>
      <c r="T222" s="511">
        <f t="shared" ref="T222:T223" si="268">SUM(O222:S222)</f>
        <v>120391616.8275</v>
      </c>
      <c r="U222" s="512"/>
      <c r="V222" s="566">
        <f>+ROUNDUP(N222*$U$4,0)</f>
        <v>1676</v>
      </c>
      <c r="W222" s="513">
        <f>+V222*F222</f>
        <v>120395460</v>
      </c>
      <c r="X222" s="733"/>
      <c r="Y222" s="159"/>
      <c r="AA222" s="161"/>
    </row>
    <row r="223" spans="1:35" ht="12.75" customHeight="1" x14ac:dyDescent="0.3">
      <c r="B223" s="515">
        <v>26.02</v>
      </c>
      <c r="C223" s="734"/>
      <c r="D223" s="735" t="s">
        <v>465</v>
      </c>
      <c r="E223" s="215" t="s">
        <v>108</v>
      </c>
      <c r="F223" s="517">
        <f>+'[2]H°A° '!L29</f>
        <v>641</v>
      </c>
      <c r="G223" s="594">
        <f>+'[2]H°A° '!M29</f>
        <v>161741.24102964118</v>
      </c>
      <c r="H223" s="594"/>
      <c r="I223" s="519">
        <f>G223+H223</f>
        <v>161741.24102964118</v>
      </c>
      <c r="J223" s="524">
        <f>[2]GGBB!J34</f>
        <v>0</v>
      </c>
      <c r="K223" s="562"/>
      <c r="L223" s="519">
        <f t="shared" si="262"/>
        <v>0</v>
      </c>
      <c r="M223" s="562"/>
      <c r="N223" s="519">
        <f>I223+L223+M223</f>
        <v>161741.24102964118</v>
      </c>
      <c r="O223" s="520">
        <f t="shared" si="263"/>
        <v>103676135.5</v>
      </c>
      <c r="P223" s="520">
        <f t="shared" si="264"/>
        <v>0</v>
      </c>
      <c r="Q223" s="520">
        <f t="shared" si="265"/>
        <v>0</v>
      </c>
      <c r="R223" s="520">
        <f t="shared" si="266"/>
        <v>0</v>
      </c>
      <c r="S223" s="520">
        <f t="shared" si="267"/>
        <v>0</v>
      </c>
      <c r="T223" s="521">
        <f t="shared" si="268"/>
        <v>103676135.5</v>
      </c>
      <c r="U223" s="522"/>
      <c r="V223" s="566">
        <f>+ROUNDUP(N223*$U$4,0)</f>
        <v>161742</v>
      </c>
      <c r="W223" s="382">
        <f>+V223*F223</f>
        <v>103676622</v>
      </c>
      <c r="X223" s="733"/>
      <c r="Y223" s="159"/>
      <c r="AA223" s="161"/>
    </row>
    <row r="224" spans="1:35" ht="12.75" customHeight="1" x14ac:dyDescent="0.3">
      <c r="B224" s="515">
        <v>26.03</v>
      </c>
      <c r="C224" s="734"/>
      <c r="D224" s="647" t="s">
        <v>466</v>
      </c>
      <c r="E224" s="227" t="s">
        <v>107</v>
      </c>
      <c r="F224" s="736">
        <v>1</v>
      </c>
      <c r="G224" s="594"/>
      <c r="H224" s="594"/>
      <c r="I224" s="519">
        <f>G224+H224</f>
        <v>0</v>
      </c>
      <c r="J224" s="524"/>
      <c r="K224" s="562"/>
      <c r="L224" s="519">
        <f t="shared" si="262"/>
        <v>0</v>
      </c>
      <c r="M224" s="562"/>
      <c r="N224" s="519">
        <f>I224+L224+M224</f>
        <v>0</v>
      </c>
      <c r="O224" s="520">
        <f t="shared" si="263"/>
        <v>0</v>
      </c>
      <c r="P224" s="520">
        <f t="shared" si="264"/>
        <v>0</v>
      </c>
      <c r="Q224" s="520">
        <f t="shared" si="265"/>
        <v>0</v>
      </c>
      <c r="R224" s="520">
        <f t="shared" si="266"/>
        <v>0</v>
      </c>
      <c r="S224" s="520">
        <f t="shared" si="267"/>
        <v>0</v>
      </c>
      <c r="T224" s="521">
        <f t="shared" ref="T224" si="269">SUM(O224:S224)</f>
        <v>0</v>
      </c>
      <c r="U224" s="522"/>
      <c r="V224" s="566">
        <f>+ROUNDUP(N224*$U$4,0)</f>
        <v>0</v>
      </c>
      <c r="W224" s="382">
        <f>+V224*F224</f>
        <v>0</v>
      </c>
      <c r="X224" s="733"/>
      <c r="Y224" s="159"/>
      <c r="AA224" s="161"/>
      <c r="AC224" s="458">
        <v>30000000</v>
      </c>
      <c r="AD224" s="645">
        <f>+AC224/X216</f>
        <v>2.6609833785310916E-2</v>
      </c>
    </row>
    <row r="225" spans="2:30" ht="12.75" customHeight="1" x14ac:dyDescent="0.3">
      <c r="B225" s="515">
        <v>26.04</v>
      </c>
      <c r="C225" s="734"/>
      <c r="D225" s="647" t="s">
        <v>467</v>
      </c>
      <c r="E225" s="227" t="s">
        <v>111</v>
      </c>
      <c r="F225" s="736">
        <v>6</v>
      </c>
      <c r="G225" s="594"/>
      <c r="H225" s="594"/>
      <c r="I225" s="519">
        <f t="shared" ref="I225:I228" si="270">G225+H225</f>
        <v>0</v>
      </c>
      <c r="J225" s="524"/>
      <c r="K225" s="562"/>
      <c r="L225" s="519">
        <f t="shared" si="262"/>
        <v>0</v>
      </c>
      <c r="M225" s="562"/>
      <c r="N225" s="519">
        <f t="shared" ref="N225:N228" si="271">I225+L225+M225</f>
        <v>0</v>
      </c>
      <c r="O225" s="520">
        <f t="shared" si="263"/>
        <v>0</v>
      </c>
      <c r="P225" s="520">
        <f t="shared" si="264"/>
        <v>0</v>
      </c>
      <c r="Q225" s="520">
        <f t="shared" si="265"/>
        <v>0</v>
      </c>
      <c r="R225" s="520">
        <f t="shared" si="266"/>
        <v>0</v>
      </c>
      <c r="S225" s="520">
        <f t="shared" si="267"/>
        <v>0</v>
      </c>
      <c r="T225" s="521">
        <f t="shared" ref="T225:T228" si="272">SUM(O225:S225)</f>
        <v>0</v>
      </c>
      <c r="U225" s="522"/>
      <c r="V225" s="566">
        <f t="shared" ref="V225:V228" si="273">+ROUNDUP(N225*$U$4,0)</f>
        <v>0</v>
      </c>
      <c r="W225" s="382">
        <f t="shared" ref="W225:W228" si="274">+V225*F225</f>
        <v>0</v>
      </c>
      <c r="X225" s="733"/>
      <c r="Y225" s="159"/>
      <c r="AA225" s="161"/>
      <c r="AC225" s="458">
        <v>11000000</v>
      </c>
      <c r="AD225" s="645">
        <f>+AC225/X216</f>
        <v>9.7569390546140035E-3</v>
      </c>
    </row>
    <row r="226" spans="2:30" ht="12.75" customHeight="1" x14ac:dyDescent="0.3">
      <c r="B226" s="515">
        <v>26.05</v>
      </c>
      <c r="C226" s="734"/>
      <c r="D226" s="647" t="s">
        <v>468</v>
      </c>
      <c r="E226" s="227" t="s">
        <v>111</v>
      </c>
      <c r="F226" s="736">
        <v>2</v>
      </c>
      <c r="G226" s="594"/>
      <c r="H226" s="594"/>
      <c r="I226" s="519">
        <f t="shared" si="270"/>
        <v>0</v>
      </c>
      <c r="J226" s="524"/>
      <c r="K226" s="562"/>
      <c r="L226" s="519">
        <f t="shared" si="262"/>
        <v>0</v>
      </c>
      <c r="M226" s="562"/>
      <c r="N226" s="519">
        <f t="shared" si="271"/>
        <v>0</v>
      </c>
      <c r="O226" s="520">
        <f t="shared" si="263"/>
        <v>0</v>
      </c>
      <c r="P226" s="520">
        <f t="shared" si="264"/>
        <v>0</v>
      </c>
      <c r="Q226" s="520">
        <f t="shared" si="265"/>
        <v>0</v>
      </c>
      <c r="R226" s="520">
        <f t="shared" si="266"/>
        <v>0</v>
      </c>
      <c r="S226" s="520">
        <f t="shared" si="267"/>
        <v>0</v>
      </c>
      <c r="T226" s="521">
        <f t="shared" si="272"/>
        <v>0</v>
      </c>
      <c r="U226" s="522"/>
      <c r="V226" s="566">
        <f t="shared" si="273"/>
        <v>0</v>
      </c>
      <c r="W226" s="382">
        <f t="shared" si="274"/>
        <v>0</v>
      </c>
      <c r="X226" s="733"/>
      <c r="Y226" s="159"/>
      <c r="AA226" s="161"/>
    </row>
    <row r="227" spans="2:30" ht="12.75" customHeight="1" x14ac:dyDescent="0.3">
      <c r="B227" s="515">
        <v>26.06</v>
      </c>
      <c r="C227" s="734"/>
      <c r="D227" s="647" t="s">
        <v>469</v>
      </c>
      <c r="E227" s="227" t="s">
        <v>111</v>
      </c>
      <c r="F227" s="736">
        <v>5</v>
      </c>
      <c r="G227" s="594"/>
      <c r="H227" s="594"/>
      <c r="I227" s="519">
        <f t="shared" si="270"/>
        <v>0</v>
      </c>
      <c r="J227" s="524"/>
      <c r="K227" s="562"/>
      <c r="L227" s="519">
        <f t="shared" si="262"/>
        <v>0</v>
      </c>
      <c r="M227" s="562"/>
      <c r="N227" s="519">
        <f t="shared" si="271"/>
        <v>0</v>
      </c>
      <c r="O227" s="520">
        <f t="shared" si="263"/>
        <v>0</v>
      </c>
      <c r="P227" s="520">
        <f t="shared" si="264"/>
        <v>0</v>
      </c>
      <c r="Q227" s="520">
        <f t="shared" si="265"/>
        <v>0</v>
      </c>
      <c r="R227" s="520">
        <f t="shared" si="266"/>
        <v>0</v>
      </c>
      <c r="S227" s="520">
        <f t="shared" si="267"/>
        <v>0</v>
      </c>
      <c r="T227" s="521">
        <f t="shared" si="272"/>
        <v>0</v>
      </c>
      <c r="U227" s="522"/>
      <c r="V227" s="566">
        <f t="shared" si="273"/>
        <v>0</v>
      </c>
      <c r="W227" s="382">
        <f t="shared" si="274"/>
        <v>0</v>
      </c>
      <c r="X227" s="733"/>
      <c r="Y227" s="159"/>
      <c r="AA227" s="161"/>
    </row>
    <row r="228" spans="2:30" ht="12.75" customHeight="1" x14ac:dyDescent="0.3">
      <c r="B228" s="515">
        <v>26.07</v>
      </c>
      <c r="C228" s="734"/>
      <c r="D228" s="647" t="s">
        <v>470</v>
      </c>
      <c r="E228" s="227" t="s">
        <v>111</v>
      </c>
      <c r="F228" s="736">
        <v>1</v>
      </c>
      <c r="G228" s="594"/>
      <c r="H228" s="594"/>
      <c r="I228" s="519">
        <f t="shared" si="270"/>
        <v>0</v>
      </c>
      <c r="J228" s="524"/>
      <c r="K228" s="562"/>
      <c r="L228" s="519">
        <f t="shared" si="262"/>
        <v>0</v>
      </c>
      <c r="M228" s="562"/>
      <c r="N228" s="519">
        <f t="shared" si="271"/>
        <v>0</v>
      </c>
      <c r="O228" s="520">
        <f t="shared" si="263"/>
        <v>0</v>
      </c>
      <c r="P228" s="520">
        <f t="shared" si="264"/>
        <v>0</v>
      </c>
      <c r="Q228" s="520">
        <f t="shared" si="265"/>
        <v>0</v>
      </c>
      <c r="R228" s="520">
        <f t="shared" si="266"/>
        <v>0</v>
      </c>
      <c r="S228" s="520">
        <f t="shared" si="267"/>
        <v>0</v>
      </c>
      <c r="T228" s="521">
        <f t="shared" si="272"/>
        <v>0</v>
      </c>
      <c r="U228" s="522"/>
      <c r="V228" s="566">
        <f t="shared" si="273"/>
        <v>0</v>
      </c>
      <c r="W228" s="382">
        <f t="shared" si="274"/>
        <v>0</v>
      </c>
      <c r="X228" s="733"/>
      <c r="Y228" s="159"/>
      <c r="AA228" s="161"/>
    </row>
    <row r="229" spans="2:30" ht="12.75" customHeight="1" x14ac:dyDescent="0.3">
      <c r="B229" s="579">
        <v>26.08</v>
      </c>
      <c r="C229" s="737"/>
      <c r="D229" s="649" t="s">
        <v>471</v>
      </c>
      <c r="E229" s="606" t="s">
        <v>264</v>
      </c>
      <c r="F229" s="738">
        <v>0</v>
      </c>
      <c r="G229" s="739">
        <f>+SUM(O222:S228)</f>
        <v>224067752.32749999</v>
      </c>
      <c r="H229" s="739"/>
      <c r="I229" s="531">
        <f>G229+H229</f>
        <v>224067752.32749999</v>
      </c>
      <c r="J229" s="532"/>
      <c r="K229" s="574"/>
      <c r="L229" s="531">
        <f>J229+K229</f>
        <v>0</v>
      </c>
      <c r="M229" s="574"/>
      <c r="N229" s="531">
        <f>I229+L229+M229</f>
        <v>224067752.32749999</v>
      </c>
      <c r="O229" s="534">
        <f>G229*F229</f>
        <v>0</v>
      </c>
      <c r="P229" s="534">
        <f>H229*F229</f>
        <v>0</v>
      </c>
      <c r="Q229" s="534">
        <f>J229*F229</f>
        <v>0</v>
      </c>
      <c r="R229" s="534">
        <f>K229*F229</f>
        <v>0</v>
      </c>
      <c r="S229" s="534">
        <f>+M229*F229</f>
        <v>0</v>
      </c>
      <c r="T229" s="535">
        <f>SUM(O229:S229)</f>
        <v>0</v>
      </c>
      <c r="U229" s="610"/>
      <c r="V229" s="566">
        <f>+ROUNDUP(N229*$U$4,0)</f>
        <v>224067753</v>
      </c>
      <c r="W229" s="382">
        <f>+V229*F229</f>
        <v>0</v>
      </c>
      <c r="X229" s="733"/>
      <c r="Y229" s="159"/>
      <c r="Z229" s="740">
        <f>W229/X232</f>
        <v>0</v>
      </c>
      <c r="AA229" s="161"/>
    </row>
    <row r="230" spans="2:30" ht="13" x14ac:dyDescent="0.3">
      <c r="B230" s="500"/>
      <c r="C230" s="501"/>
      <c r="D230" s="380"/>
      <c r="E230" s="213"/>
      <c r="F230" s="502"/>
      <c r="G230" s="502"/>
      <c r="H230" s="502"/>
      <c r="I230" s="502"/>
      <c r="J230" s="502"/>
      <c r="K230" s="502"/>
      <c r="L230" s="502"/>
      <c r="M230" s="502"/>
      <c r="N230" s="503"/>
      <c r="O230" s="504">
        <f>+SUM(O221:O229)</f>
        <v>224067752.32749999</v>
      </c>
      <c r="P230" s="504">
        <f t="shared" ref="P230:U230" si="275">+SUM(P221:P229)</f>
        <v>0</v>
      </c>
      <c r="Q230" s="504">
        <f t="shared" si="275"/>
        <v>0</v>
      </c>
      <c r="R230" s="504">
        <f t="shared" si="275"/>
        <v>0</v>
      </c>
      <c r="S230" s="504">
        <f t="shared" si="275"/>
        <v>0</v>
      </c>
      <c r="T230" s="504">
        <f t="shared" si="275"/>
        <v>224067752.32749999</v>
      </c>
      <c r="U230" s="504">
        <f t="shared" si="275"/>
        <v>224067752.32749999</v>
      </c>
      <c r="V230" s="502"/>
      <c r="W230" s="504">
        <f>+SUM(W221:W229)</f>
        <v>224072082</v>
      </c>
      <c r="X230" s="505">
        <f>+SUM(X221:X229)</f>
        <v>224072082</v>
      </c>
    </row>
    <row r="231" spans="2:30" ht="13" x14ac:dyDescent="0.3">
      <c r="B231" s="741"/>
      <c r="C231" s="741"/>
      <c r="D231" s="742"/>
      <c r="E231" s="210"/>
      <c r="F231" s="469"/>
      <c r="G231" s="469"/>
      <c r="H231" s="469"/>
      <c r="I231" s="469"/>
      <c r="J231" s="469"/>
      <c r="K231" s="469"/>
      <c r="L231" s="469"/>
      <c r="M231" s="469"/>
      <c r="N231" s="743"/>
      <c r="O231" s="462"/>
      <c r="P231" s="462"/>
      <c r="Q231" s="462"/>
      <c r="R231" s="462"/>
      <c r="S231" s="504"/>
      <c r="T231" s="504"/>
      <c r="U231" s="504"/>
      <c r="V231" s="469"/>
      <c r="W231" s="462"/>
      <c r="X231" s="462"/>
    </row>
    <row r="232" spans="2:30" ht="13" x14ac:dyDescent="0.3">
      <c r="B232" s="490"/>
      <c r="C232" s="491"/>
      <c r="D232" s="744"/>
      <c r="E232" s="704"/>
      <c r="F232" s="745"/>
      <c r="G232" s="635"/>
      <c r="H232" s="635"/>
      <c r="I232" s="635"/>
      <c r="J232" s="706"/>
      <c r="K232" s="706"/>
      <c r="L232" s="635"/>
      <c r="M232" s="228"/>
      <c r="N232" s="635"/>
      <c r="O232" s="635"/>
      <c r="P232" s="635"/>
      <c r="Q232" s="635"/>
      <c r="R232" s="635"/>
      <c r="S232" s="707" t="s">
        <v>119</v>
      </c>
      <c r="T232" s="708">
        <f>+U232/F219</f>
        <v>118.32616584813942</v>
      </c>
      <c r="U232" s="158">
        <f>+U230/[2]GGBB!H4</f>
        <v>191510.89942521366</v>
      </c>
      <c r="V232" s="727"/>
      <c r="W232" s="730"/>
      <c r="X232" s="710">
        <f>+X216+X230</f>
        <v>1351474840.0195</v>
      </c>
      <c r="Z232" s="505">
        <v>1380607239.4391999</v>
      </c>
      <c r="AA232" s="746">
        <f>X232/Z232</f>
        <v>0.97889885074662264</v>
      </c>
    </row>
    <row r="233" spans="2:30" ht="13" x14ac:dyDescent="0.3">
      <c r="B233" s="711"/>
      <c r="C233" s="711"/>
      <c r="D233" s="160"/>
      <c r="F233" s="747"/>
      <c r="G233" s="717"/>
      <c r="H233" s="717"/>
      <c r="I233" s="717"/>
      <c r="J233" s="748"/>
      <c r="K233" s="748"/>
      <c r="L233" s="717"/>
      <c r="M233" s="716"/>
      <c r="N233" s="717"/>
      <c r="O233" s="717"/>
      <c r="P233" s="717"/>
      <c r="Q233" s="717"/>
      <c r="R233" s="717"/>
      <c r="S233" s="718"/>
      <c r="T233" s="719"/>
      <c r="U233" s="720"/>
      <c r="V233" s="718"/>
      <c r="W233" s="749"/>
      <c r="X233" s="750"/>
    </row>
    <row r="234" spans="2:30" ht="13" x14ac:dyDescent="0.3">
      <c r="B234" s="490"/>
      <c r="C234" s="491"/>
      <c r="D234" s="744"/>
      <c r="E234" s="704"/>
      <c r="F234" s="745"/>
      <c r="G234" s="635"/>
      <c r="H234" s="635"/>
      <c r="I234" s="635"/>
      <c r="J234" s="706"/>
      <c r="K234" s="706"/>
      <c r="L234" s="635"/>
      <c r="M234" s="228"/>
      <c r="N234" s="635"/>
      <c r="O234" s="635"/>
      <c r="P234" s="635"/>
      <c r="Q234" s="635"/>
      <c r="R234" s="635"/>
      <c r="S234" s="707" t="s">
        <v>119</v>
      </c>
      <c r="T234" s="708">
        <f>+U234/F219</f>
        <v>592.03844465179588</v>
      </c>
      <c r="U234" s="158">
        <f>+U232+U219</f>
        <v>958214.22266893159</v>
      </c>
      <c r="V234" s="707" t="s">
        <v>119</v>
      </c>
      <c r="W234" s="709">
        <f>+X234/F219</f>
        <v>713.6896514497173</v>
      </c>
      <c r="X234" s="710">
        <f>X232/X2</f>
        <v>1155106.7008713675</v>
      </c>
    </row>
    <row r="235" spans="2:30" ht="12.75" customHeight="1" x14ac:dyDescent="0.3">
      <c r="B235" s="751"/>
      <c r="C235" s="751"/>
      <c r="D235" s="752"/>
      <c r="F235" s="753"/>
      <c r="G235" s="469"/>
      <c r="H235" s="469"/>
      <c r="I235" s="469"/>
      <c r="J235" s="469"/>
      <c r="K235" s="469"/>
      <c r="L235" s="469"/>
      <c r="M235" s="472"/>
      <c r="N235" s="469"/>
      <c r="O235" s="469"/>
      <c r="P235" s="469"/>
      <c r="Q235" s="469"/>
      <c r="R235" s="469"/>
      <c r="S235" s="469"/>
      <c r="T235" s="469"/>
      <c r="U235" s="462"/>
      <c r="V235" s="469"/>
      <c r="W235" s="469"/>
    </row>
    <row r="236" spans="2:30" ht="12.75" customHeight="1" x14ac:dyDescent="0.3">
      <c r="B236" s="754"/>
      <c r="C236" s="754"/>
      <c r="D236" s="755" t="s">
        <v>472</v>
      </c>
    </row>
    <row r="237" spans="2:30" ht="12.75" customHeight="1" x14ac:dyDescent="0.3">
      <c r="B237" s="754"/>
      <c r="C237" s="754"/>
      <c r="D237" s="756" t="s">
        <v>473</v>
      </c>
    </row>
    <row r="238" spans="2:30" ht="12.75" customHeight="1" x14ac:dyDescent="0.3">
      <c r="B238" s="754"/>
      <c r="C238" s="754"/>
      <c r="D238" s="755"/>
    </row>
    <row r="239" spans="2:30" ht="12.75" customHeight="1" x14ac:dyDescent="0.3">
      <c r="H239" s="160"/>
    </row>
    <row r="240" spans="2:30" ht="12.75" customHeight="1" x14ac:dyDescent="0.3">
      <c r="H240" s="160"/>
    </row>
    <row r="242" spans="2:24" ht="12.75" customHeight="1" x14ac:dyDescent="0.3">
      <c r="B242" s="490">
        <v>27</v>
      </c>
      <c r="C242" s="491"/>
      <c r="D242" s="723" t="s">
        <v>474</v>
      </c>
      <c r="E242" s="704"/>
      <c r="F242" s="724"/>
      <c r="G242" s="725"/>
      <c r="H242" s="725"/>
      <c r="I242" s="725"/>
      <c r="J242" s="726"/>
      <c r="K242" s="726"/>
      <c r="L242" s="725"/>
      <c r="M242" s="228"/>
      <c r="N242" s="725"/>
      <c r="O242" s="725"/>
      <c r="P242" s="725"/>
      <c r="Q242" s="725"/>
      <c r="R242" s="725"/>
      <c r="S242" s="727"/>
      <c r="T242" s="728"/>
      <c r="U242" s="729">
        <f>+SUM(T243:T245)</f>
        <v>10301340.803831734</v>
      </c>
      <c r="V242" s="727"/>
      <c r="W242" s="730"/>
      <c r="X242" s="505">
        <f>SUM(W243:W245)</f>
        <v>12189082</v>
      </c>
    </row>
    <row r="243" spans="2:24" ht="12.75" customHeight="1" x14ac:dyDescent="0.3">
      <c r="B243" s="597">
        <v>27.01</v>
      </c>
      <c r="C243" s="731"/>
      <c r="D243" s="675" t="s">
        <v>475</v>
      </c>
      <c r="E243" s="214" t="s">
        <v>111</v>
      </c>
      <c r="F243" s="507">
        <v>18</v>
      </c>
      <c r="G243" s="732">
        <v>15000</v>
      </c>
      <c r="H243" s="732"/>
      <c r="I243" s="509">
        <f>G243+H243</f>
        <v>15000</v>
      </c>
      <c r="J243" s="599">
        <f>+'[2]P.MO 09.24'!B4</f>
        <v>75113.048226571977</v>
      </c>
      <c r="K243" s="557"/>
      <c r="L243" s="509">
        <f t="shared" ref="L243:L245" si="276">J243+K243</f>
        <v>75113.048226571977</v>
      </c>
      <c r="M243" s="557"/>
      <c r="N243" s="509">
        <f>I243+L243+M243</f>
        <v>90113.048226571977</v>
      </c>
      <c r="O243" s="510">
        <f t="shared" ref="O243:O245" si="277">G243*F243</f>
        <v>270000</v>
      </c>
      <c r="P243" s="510">
        <f t="shared" ref="P243:P245" si="278">H243*F243</f>
        <v>0</v>
      </c>
      <c r="Q243" s="510">
        <f t="shared" ref="Q243:Q245" si="279">J243*F243</f>
        <v>1352034.8680782956</v>
      </c>
      <c r="R243" s="510">
        <f t="shared" ref="R243:R245" si="280">K243*F243</f>
        <v>0</v>
      </c>
      <c r="S243" s="510">
        <f t="shared" ref="S243:S245" si="281">+M243*F243</f>
        <v>0</v>
      </c>
      <c r="T243" s="511">
        <f t="shared" ref="T243:T244" si="282">SUM(O243:S243)</f>
        <v>1622034.8680782956</v>
      </c>
      <c r="U243" s="512"/>
      <c r="V243" s="566">
        <f>+ROUNDUP(N243*$U$5,0)</f>
        <v>113262</v>
      </c>
      <c r="W243" s="513">
        <f>+V243*F243</f>
        <v>2038716</v>
      </c>
      <c r="X243" s="733"/>
    </row>
    <row r="244" spans="2:24" ht="12.75" customHeight="1" x14ac:dyDescent="0.3">
      <c r="B244" s="515">
        <v>27.02</v>
      </c>
      <c r="C244" s="734"/>
      <c r="D244" s="735" t="s">
        <v>476</v>
      </c>
      <c r="E244" s="215" t="s">
        <v>107</v>
      </c>
      <c r="F244" s="517">
        <v>1</v>
      </c>
      <c r="G244" s="594">
        <f>+[2]COVE!L22</f>
        <v>4362662.0991735533</v>
      </c>
      <c r="H244" s="594"/>
      <c r="I244" s="519">
        <f>G244+H244</f>
        <v>4362662.0991735533</v>
      </c>
      <c r="J244" s="524">
        <f>+[2]COVE!T22</f>
        <v>1363919.7599280113</v>
      </c>
      <c r="K244" s="562"/>
      <c r="L244" s="519">
        <f t="shared" si="276"/>
        <v>1363919.7599280113</v>
      </c>
      <c r="M244" s="562"/>
      <c r="N244" s="519">
        <f>I244+L244+M244</f>
        <v>5726581.8591015646</v>
      </c>
      <c r="O244" s="520">
        <f t="shared" si="277"/>
        <v>4362662.0991735533</v>
      </c>
      <c r="P244" s="520">
        <f t="shared" si="278"/>
        <v>0</v>
      </c>
      <c r="Q244" s="520">
        <f t="shared" si="279"/>
        <v>1363919.7599280113</v>
      </c>
      <c r="R244" s="520">
        <f t="shared" si="280"/>
        <v>0</v>
      </c>
      <c r="S244" s="520">
        <f t="shared" si="281"/>
        <v>0</v>
      </c>
      <c r="T244" s="521">
        <f t="shared" si="282"/>
        <v>5726581.8591015646</v>
      </c>
      <c r="U244" s="522"/>
      <c r="V244" s="566">
        <f>+ROUNDUP(N244*$U$5,0)</f>
        <v>7197641</v>
      </c>
      <c r="W244" s="382">
        <f>+V244*F244</f>
        <v>7197641</v>
      </c>
      <c r="X244" s="733"/>
    </row>
    <row r="245" spans="2:24" ht="12.75" customHeight="1" x14ac:dyDescent="0.3">
      <c r="B245" s="515">
        <v>27.03</v>
      </c>
      <c r="C245" s="734"/>
      <c r="D245" s="647" t="s">
        <v>477</v>
      </c>
      <c r="E245" s="227" t="s">
        <v>107</v>
      </c>
      <c r="F245" s="517">
        <v>1</v>
      </c>
      <c r="G245" s="594">
        <f>+[2]ELECT!I152</f>
        <v>2952724.076651874</v>
      </c>
      <c r="H245" s="594"/>
      <c r="I245" s="519">
        <f>G245+H245</f>
        <v>2952724.076651874</v>
      </c>
      <c r="J245" s="524"/>
      <c r="K245" s="562"/>
      <c r="L245" s="519">
        <f t="shared" si="276"/>
        <v>0</v>
      </c>
      <c r="M245" s="562"/>
      <c r="N245" s="519">
        <f>I245+L245+M245</f>
        <v>2952724.076651874</v>
      </c>
      <c r="O245" s="520">
        <f t="shared" si="277"/>
        <v>2952724.076651874</v>
      </c>
      <c r="P245" s="520">
        <f t="shared" si="278"/>
        <v>0</v>
      </c>
      <c r="Q245" s="520">
        <f t="shared" si="279"/>
        <v>0</v>
      </c>
      <c r="R245" s="520">
        <f t="shared" si="280"/>
        <v>0</v>
      </c>
      <c r="S245" s="520">
        <f t="shared" si="281"/>
        <v>0</v>
      </c>
      <c r="T245" s="521">
        <f t="shared" ref="T245" si="283">SUM(O245:S245)</f>
        <v>2952724.076651874</v>
      </c>
      <c r="U245" s="522"/>
      <c r="V245" s="566">
        <f>+ROUNDUP(N245*$U$4,0)</f>
        <v>2952725</v>
      </c>
      <c r="W245" s="382">
        <f>+V245*F245</f>
        <v>2952725</v>
      </c>
      <c r="X245" s="733"/>
    </row>
    <row r="246" spans="2:24" ht="12.75" customHeight="1" x14ac:dyDescent="0.3">
      <c r="B246" s="490">
        <v>28</v>
      </c>
      <c r="C246" s="491"/>
      <c r="D246" s="723" t="s">
        <v>478</v>
      </c>
      <c r="E246" s="704"/>
      <c r="F246" s="724"/>
      <c r="G246" s="725"/>
      <c r="H246" s="725"/>
      <c r="I246" s="725"/>
      <c r="J246" s="726"/>
      <c r="K246" s="726"/>
      <c r="L246" s="725"/>
      <c r="M246" s="228"/>
      <c r="N246" s="725"/>
      <c r="O246" s="725"/>
      <c r="P246" s="725"/>
      <c r="Q246" s="725"/>
      <c r="R246" s="725"/>
      <c r="S246" s="727"/>
      <c r="T246" s="728"/>
      <c r="U246" s="729">
        <f>+SUM(T247:T249)</f>
        <v>31485744.797535218</v>
      </c>
      <c r="V246" s="727"/>
      <c r="W246" s="730"/>
      <c r="X246" s="505">
        <f>SUM(W247:W249)</f>
        <v>39573892</v>
      </c>
    </row>
    <row r="247" spans="2:24" ht="12.75" customHeight="1" x14ac:dyDescent="0.3">
      <c r="B247" s="597">
        <v>28.01</v>
      </c>
      <c r="C247" s="731"/>
      <c r="D247" s="646" t="s">
        <v>479</v>
      </c>
      <c r="E247" s="598" t="s">
        <v>107</v>
      </c>
      <c r="F247" s="507">
        <v>1</v>
      </c>
      <c r="G247" s="757">
        <f>+[2]CALEFA!F36</f>
        <v>8108346.1238842979</v>
      </c>
      <c r="H247" s="732"/>
      <c r="I247" s="509">
        <f>G247+H247</f>
        <v>8108346.1238842979</v>
      </c>
      <c r="J247" s="599">
        <f>+[2]SUBCONTRATOS!D60</f>
        <v>16174656.500288332</v>
      </c>
      <c r="K247" s="557"/>
      <c r="L247" s="509">
        <f t="shared" ref="L247:L249" si="284">J247+K247</f>
        <v>16174656.500288332</v>
      </c>
      <c r="M247" s="518">
        <f>(I247+L247)*0.015</f>
        <v>364245.03936258942</v>
      </c>
      <c r="N247" s="509">
        <f>I247+L247+M247</f>
        <v>24647247.663535219</v>
      </c>
      <c r="O247" s="510">
        <f t="shared" ref="O247:O249" si="285">G247*F247</f>
        <v>8108346.1238842979</v>
      </c>
      <c r="P247" s="510">
        <f t="shared" ref="P247:P249" si="286">H247*F247</f>
        <v>0</v>
      </c>
      <c r="Q247" s="510">
        <f t="shared" ref="Q247:Q249" si="287">J247*F247</f>
        <v>16174656.500288332</v>
      </c>
      <c r="R247" s="510">
        <f t="shared" ref="R247:R249" si="288">K247*F247</f>
        <v>0</v>
      </c>
      <c r="S247" s="510">
        <f t="shared" ref="S247:S249" si="289">+M247*F247</f>
        <v>364245.03936258942</v>
      </c>
      <c r="T247" s="511">
        <f t="shared" ref="T247" si="290">SUM(O247:S247)</f>
        <v>24647247.663535219</v>
      </c>
      <c r="U247" s="522"/>
      <c r="V247" s="566">
        <f>+ROUNDUP(N247*$U$5,0)</f>
        <v>30978696</v>
      </c>
      <c r="W247" s="382">
        <f>+V247*F247</f>
        <v>30978696</v>
      </c>
      <c r="X247" s="733"/>
    </row>
    <row r="248" spans="2:24" ht="12.75" customHeight="1" x14ac:dyDescent="0.3">
      <c r="B248" s="515">
        <v>28.02</v>
      </c>
      <c r="C248" s="734"/>
      <c r="D248" s="647" t="s">
        <v>480</v>
      </c>
      <c r="E248" s="227" t="s">
        <v>107</v>
      </c>
      <c r="F248" s="517">
        <v>1</v>
      </c>
      <c r="G248" s="543">
        <f>+[2]CALEFA!F46</f>
        <v>5535035.5999999996</v>
      </c>
      <c r="H248" s="594"/>
      <c r="I248" s="519">
        <f>G248+H248</f>
        <v>5535035.5999999996</v>
      </c>
      <c r="J248" s="524"/>
      <c r="K248" s="562"/>
      <c r="L248" s="519">
        <f t="shared" si="284"/>
        <v>0</v>
      </c>
      <c r="M248" s="518">
        <f>(I248+L248)*0.015</f>
        <v>83025.533999999985</v>
      </c>
      <c r="N248" s="519">
        <f>I248+L248+M248</f>
        <v>5618061.1339999996</v>
      </c>
      <c r="O248" s="520">
        <f t="shared" si="285"/>
        <v>5535035.5999999996</v>
      </c>
      <c r="P248" s="520">
        <f t="shared" si="286"/>
        <v>0</v>
      </c>
      <c r="Q248" s="520">
        <f t="shared" si="287"/>
        <v>0</v>
      </c>
      <c r="R248" s="520">
        <f t="shared" si="288"/>
        <v>0</v>
      </c>
      <c r="S248" s="520">
        <f t="shared" si="289"/>
        <v>83025.533999999985</v>
      </c>
      <c r="T248" s="521">
        <f t="shared" ref="T248" si="291">SUM(O248:S248)</f>
        <v>5618061.1339999996</v>
      </c>
      <c r="U248" s="522"/>
      <c r="V248" s="566">
        <f>+ROUNDUP(N248*$U$5,0)</f>
        <v>7061244</v>
      </c>
      <c r="W248" s="382">
        <f>+V248*F248</f>
        <v>7061244</v>
      </c>
      <c r="X248" s="733"/>
    </row>
    <row r="249" spans="2:24" ht="12.75" customHeight="1" x14ac:dyDescent="0.3">
      <c r="B249" s="579">
        <v>28.03</v>
      </c>
      <c r="C249" s="737"/>
      <c r="D249" s="649" t="s">
        <v>481</v>
      </c>
      <c r="E249" s="606" t="s">
        <v>111</v>
      </c>
      <c r="F249" s="529">
        <v>16</v>
      </c>
      <c r="G249" s="758">
        <v>75150</v>
      </c>
      <c r="H249" s="739"/>
      <c r="I249" s="531">
        <f>G249+H249</f>
        <v>75150</v>
      </c>
      <c r="J249" s="532"/>
      <c r="K249" s="574"/>
      <c r="L249" s="531">
        <f t="shared" si="284"/>
        <v>0</v>
      </c>
      <c r="M249" s="518">
        <f>(I249+L249)*0.015</f>
        <v>1127.25</v>
      </c>
      <c r="N249" s="531">
        <f>I249+L249+M249</f>
        <v>76277.25</v>
      </c>
      <c r="O249" s="534">
        <f t="shared" si="285"/>
        <v>1202400</v>
      </c>
      <c r="P249" s="534">
        <f t="shared" si="286"/>
        <v>0</v>
      </c>
      <c r="Q249" s="534">
        <f t="shared" si="287"/>
        <v>0</v>
      </c>
      <c r="R249" s="534">
        <f t="shared" si="288"/>
        <v>0</v>
      </c>
      <c r="S249" s="534">
        <f t="shared" si="289"/>
        <v>18036</v>
      </c>
      <c r="T249" s="535">
        <f t="shared" ref="T249" si="292">SUM(O249:S249)</f>
        <v>1220436</v>
      </c>
      <c r="U249" s="522"/>
      <c r="V249" s="566">
        <f>+ROUNDUP(N249*$U$5,0)</f>
        <v>95872</v>
      </c>
      <c r="W249" s="382">
        <f>+V249*F249</f>
        <v>1533952</v>
      </c>
      <c r="X249" s="733"/>
    </row>
    <row r="250" spans="2:24" ht="12.75" customHeight="1" x14ac:dyDescent="0.3">
      <c r="B250" s="500"/>
      <c r="C250" s="501"/>
      <c r="D250" s="380"/>
      <c r="E250" s="213"/>
      <c r="F250" s="502"/>
      <c r="G250" s="502"/>
      <c r="H250" s="502"/>
      <c r="I250" s="502"/>
      <c r="J250" s="502"/>
      <c r="K250" s="502"/>
      <c r="L250" s="502"/>
      <c r="M250" s="502"/>
      <c r="N250" s="503"/>
      <c r="O250" s="504">
        <f>+SUM(O242:O249)</f>
        <v>22431167.899709724</v>
      </c>
      <c r="P250" s="504">
        <f t="shared" ref="P250:X250" si="293">+SUM(P242:P249)</f>
        <v>0</v>
      </c>
      <c r="Q250" s="504">
        <f t="shared" si="293"/>
        <v>18890611.128294639</v>
      </c>
      <c r="R250" s="504">
        <f t="shared" si="293"/>
        <v>0</v>
      </c>
      <c r="S250" s="504">
        <f t="shared" si="293"/>
        <v>465306.57336258941</v>
      </c>
      <c r="T250" s="504">
        <f t="shared" si="293"/>
        <v>41787085.601366952</v>
      </c>
      <c r="U250" s="504">
        <f t="shared" si="293"/>
        <v>41787085.601366952</v>
      </c>
      <c r="V250" s="504"/>
      <c r="W250" s="504">
        <f t="shared" si="293"/>
        <v>51762974</v>
      </c>
      <c r="X250" s="504">
        <f t="shared" si="293"/>
        <v>51762974</v>
      </c>
    </row>
    <row r="251" spans="2:24" ht="12.75" customHeight="1" x14ac:dyDescent="0.3">
      <c r="B251" s="741"/>
      <c r="C251" s="741"/>
      <c r="D251" s="742"/>
      <c r="E251" s="210"/>
      <c r="F251" s="469"/>
      <c r="G251" s="469"/>
      <c r="H251" s="469"/>
      <c r="I251" s="469"/>
      <c r="J251" s="469"/>
      <c r="K251" s="469"/>
      <c r="L251" s="469"/>
      <c r="M251" s="469"/>
      <c r="N251" s="743"/>
      <c r="O251" s="462"/>
      <c r="P251" s="462"/>
      <c r="Q251" s="462"/>
      <c r="R251" s="462"/>
      <c r="S251" s="504"/>
      <c r="T251" s="504"/>
      <c r="U251" s="504"/>
      <c r="V251" s="469"/>
      <c r="W251" s="462"/>
      <c r="X251" s="462"/>
    </row>
    <row r="252" spans="2:24" ht="12.75" customHeight="1" x14ac:dyDescent="0.3">
      <c r="B252" s="490"/>
      <c r="C252" s="491"/>
      <c r="D252" s="744"/>
      <c r="E252" s="704"/>
      <c r="F252" s="745"/>
      <c r="G252" s="635"/>
      <c r="H252" s="635"/>
      <c r="I252" s="635"/>
      <c r="J252" s="706"/>
      <c r="K252" s="706"/>
      <c r="L252" s="635"/>
      <c r="M252" s="228"/>
      <c r="N252" s="635"/>
      <c r="O252" s="635"/>
      <c r="P252" s="635"/>
      <c r="Q252" s="635"/>
      <c r="R252" s="635"/>
      <c r="S252" s="707" t="s">
        <v>119</v>
      </c>
      <c r="T252" s="708" t="e">
        <f>+U252/#REF!</f>
        <v>#DIV/0!</v>
      </c>
      <c r="U252" s="158" t="e">
        <f>+U250/[2]GGBB!H25</f>
        <v>#DIV/0!</v>
      </c>
      <c r="V252" s="727"/>
      <c r="W252" s="730"/>
      <c r="X252" s="710">
        <f>+X237+X250</f>
        <v>51762974</v>
      </c>
    </row>
    <row r="253" spans="2:24" ht="12.75" customHeight="1" x14ac:dyDescent="0.3">
      <c r="B253" s="711"/>
      <c r="C253" s="711"/>
      <c r="D253" s="160"/>
      <c r="F253" s="747"/>
      <c r="G253" s="717"/>
      <c r="H253" s="717"/>
      <c r="I253" s="717"/>
      <c r="J253" s="748"/>
      <c r="K253" s="748"/>
      <c r="L253" s="717"/>
      <c r="M253" s="716"/>
      <c r="N253" s="717"/>
      <c r="O253" s="717"/>
      <c r="P253" s="717"/>
      <c r="Q253" s="717"/>
      <c r="R253" s="717"/>
      <c r="S253" s="718"/>
      <c r="T253" s="719"/>
      <c r="U253" s="720"/>
      <c r="V253" s="718"/>
      <c r="W253" s="749"/>
      <c r="X253" s="750"/>
    </row>
    <row r="254" spans="2:24" ht="12.75" customHeight="1" x14ac:dyDescent="0.3">
      <c r="B254" s="490"/>
      <c r="C254" s="491"/>
      <c r="D254" s="744"/>
      <c r="E254" s="704"/>
      <c r="F254" s="745"/>
      <c r="G254" s="635"/>
      <c r="H254" s="635"/>
      <c r="I254" s="635"/>
      <c r="J254" s="706"/>
      <c r="K254" s="706"/>
      <c r="L254" s="635"/>
      <c r="M254" s="228"/>
      <c r="N254" s="635"/>
      <c r="O254" s="635"/>
      <c r="P254" s="635"/>
      <c r="Q254" s="635"/>
      <c r="R254" s="635"/>
      <c r="S254" s="707" t="s">
        <v>119</v>
      </c>
      <c r="T254" s="708" t="e">
        <f>+U254/#REF!</f>
        <v>#DIV/0!</v>
      </c>
      <c r="U254" s="158" t="e">
        <f>+U252+#REF!</f>
        <v>#DIV/0!</v>
      </c>
      <c r="V254" s="707" t="s">
        <v>119</v>
      </c>
      <c r="W254" s="709" t="e">
        <f>+X254/#REF!</f>
        <v>#REF!</v>
      </c>
      <c r="X254" s="710">
        <f>X252/X23</f>
        <v>0.20453951019703448</v>
      </c>
    </row>
  </sheetData>
  <mergeCells count="4">
    <mergeCell ref="G5:I5"/>
    <mergeCell ref="J5:L5"/>
    <mergeCell ref="O5:P5"/>
    <mergeCell ref="Q5:R5"/>
  </mergeCells>
  <conditionalFormatting sqref="C1:C1048576">
    <cfRule type="cellIs" dxfId="25" priority="21" operator="equal">
      <formula>"C"</formula>
    </cfRule>
    <cfRule type="cellIs" dxfId="24" priority="22" operator="equal">
      <formula>"R"</formula>
    </cfRule>
    <cfRule type="cellIs" dxfId="23" priority="23" operator="equal">
      <formula>"IN"</formula>
    </cfRule>
    <cfRule type="cellIs" dxfId="22" priority="24" operator="equal">
      <formula>"OK"</formula>
    </cfRule>
    <cfRule type="cellIs" dxfId="21" priority="25" operator="equal">
      <formula>"SR"</formula>
    </cfRule>
  </conditionalFormatting>
  <conditionalFormatting sqref="E3:E11 E19:E28 E56:E67 E78:E84 E88:E92 E96:E102 E105 E163:E193 E195 E202:E213">
    <cfRule type="cellIs" dxfId="20" priority="5" operator="equal">
      <formula>"x"</formula>
    </cfRule>
  </conditionalFormatting>
  <conditionalFormatting sqref="E41">
    <cfRule type="cellIs" dxfId="19" priority="6" operator="equal">
      <formula>"x"</formula>
    </cfRule>
  </conditionalFormatting>
  <conditionalFormatting sqref="E50">
    <cfRule type="cellIs" dxfId="18" priority="7" operator="equal">
      <formula>"x"</formula>
    </cfRule>
  </conditionalFormatting>
  <conditionalFormatting sqref="E69:E70">
    <cfRule type="cellIs" dxfId="17" priority="8" operator="equal">
      <formula>"x"</formula>
    </cfRule>
  </conditionalFormatting>
  <conditionalFormatting sqref="E107">
    <cfRule type="cellIs" dxfId="16" priority="9" operator="equal">
      <formula>"x"</formula>
    </cfRule>
  </conditionalFormatting>
  <conditionalFormatting sqref="E115">
    <cfRule type="cellIs" dxfId="15" priority="10" operator="equal">
      <formula>"x"</formula>
    </cfRule>
  </conditionalFormatting>
  <conditionalFormatting sqref="E125">
    <cfRule type="cellIs" dxfId="14" priority="11" operator="equal">
      <formula>"x"</formula>
    </cfRule>
  </conditionalFormatting>
  <conditionalFormatting sqref="E127">
    <cfRule type="cellIs" dxfId="13" priority="12" operator="equal">
      <formula>"x"</formula>
    </cfRule>
  </conditionalFormatting>
  <conditionalFormatting sqref="E132">
    <cfRule type="cellIs" dxfId="12" priority="13" operator="equal">
      <formula>"x"</formula>
    </cfRule>
  </conditionalFormatting>
  <conditionalFormatting sqref="E198">
    <cfRule type="cellIs" dxfId="11" priority="15" operator="equal">
      <formula>"x"</formula>
    </cfRule>
  </conditionalFormatting>
  <conditionalFormatting sqref="E216:E217">
    <cfRule type="cellIs" dxfId="10" priority="14" operator="equal">
      <formula>"x"</formula>
    </cfRule>
  </conditionalFormatting>
  <conditionalFormatting sqref="E222:E223">
    <cfRule type="cellIs" dxfId="9" priority="3" operator="equal">
      <formula>"x"</formula>
    </cfRule>
  </conditionalFormatting>
  <conditionalFormatting sqref="E230:E231">
    <cfRule type="cellIs" dxfId="8" priority="4" operator="equal">
      <formula>"x"</formula>
    </cfRule>
  </conditionalFormatting>
  <conditionalFormatting sqref="E243:E244">
    <cfRule type="cellIs" dxfId="7" priority="1" operator="equal">
      <formula>"x"</formula>
    </cfRule>
  </conditionalFormatting>
  <conditionalFormatting sqref="E250:E251">
    <cfRule type="cellIs" dxfId="6" priority="2" operator="equal">
      <formula>"x"</formula>
    </cfRule>
  </conditionalFormatting>
  <conditionalFormatting sqref="G1:G4">
    <cfRule type="cellIs" dxfId="5" priority="17" operator="equal">
      <formula>"R"</formula>
    </cfRule>
    <cfRule type="cellIs" dxfId="4" priority="18" operator="equal">
      <formula>"IN"</formula>
    </cfRule>
    <cfRule type="cellIs" dxfId="3" priority="19" operator="equal">
      <formula>"OK"</formula>
    </cfRule>
    <cfRule type="cellIs" dxfId="2" priority="20" operator="equal">
      <formula>"SR"</formula>
    </cfRule>
  </conditionalFormatting>
  <conditionalFormatting sqref="G2:G4">
    <cfRule type="cellIs" dxfId="1" priority="16" operator="equal">
      <formula>"C"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0" min="1" max="23" man="1"/>
    <brk id="131" min="1" max="23" man="1"/>
  </rowBreak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3B1-9D2C-4D00-A366-ACA6AE0E2C91}">
  <sheetPr codeName="Hoja1"/>
  <dimension ref="A1:Y13"/>
  <sheetViews>
    <sheetView showGridLines="0" zoomScaleNormal="100" zoomScaleSheetLayoutView="100" workbookViewId="0"/>
  </sheetViews>
  <sheetFormatPr defaultColWidth="11.54296875" defaultRowHeight="12.75" customHeight="1" outlineLevelCol="2" x14ac:dyDescent="0.3"/>
  <cols>
    <col min="1" max="1" width="5.54296875" style="327" bestFit="1" customWidth="1"/>
    <col min="2" max="2" width="68.453125" style="328" customWidth="1"/>
    <col min="3" max="3" width="3.7265625" style="329" bestFit="1" customWidth="1"/>
    <col min="4" max="4" width="7.54296875" style="330" bestFit="1" customWidth="1"/>
    <col min="5" max="12" width="10.7265625" style="330" hidden="1" customWidth="1" outlineLevel="2"/>
    <col min="13" max="13" width="11" style="330" hidden="1" customWidth="1" outlineLevel="1" collapsed="1"/>
    <col min="14" max="15" width="10.7265625" style="330" hidden="1" customWidth="1" outlineLevel="1"/>
    <col min="16" max="16" width="11" style="330" hidden="1" customWidth="1" outlineLevel="1"/>
    <col min="17" max="17" width="10.7265625" style="330" hidden="1" customWidth="1" outlineLevel="1"/>
    <col min="18" max="18" width="11" style="330" hidden="1" customWidth="1" outlineLevel="1"/>
    <col min="19" max="19" width="10" style="330" hidden="1" customWidth="1" outlineLevel="1"/>
    <col min="20" max="20" width="12.453125" style="330" bestFit="1" customWidth="1" collapsed="1"/>
    <col min="21" max="21" width="12.453125" style="331" bestFit="1" customWidth="1"/>
    <col min="22" max="22" width="13.453125" style="353" bestFit="1" customWidth="1"/>
    <col min="23" max="23" width="8.7265625" style="333" bestFit="1" customWidth="1"/>
    <col min="24" max="24" width="2.54296875" style="333" customWidth="1"/>
    <col min="25" max="25" width="7.7265625" style="333" customWidth="1"/>
    <col min="26" max="16384" width="11.54296875" style="333"/>
  </cols>
  <sheetData>
    <row r="1" spans="1:25" ht="12.75" customHeight="1" x14ac:dyDescent="0.3">
      <c r="U1" s="332" t="s">
        <v>77</v>
      </c>
      <c r="V1" s="332" t="s">
        <v>78</v>
      </c>
    </row>
    <row r="2" spans="1:25" ht="13" x14ac:dyDescent="0.3">
      <c r="U2" s="335">
        <v>1500</v>
      </c>
      <c r="V2" s="335">
        <v>1500</v>
      </c>
    </row>
    <row r="3" spans="1:25" s="341" customFormat="1" ht="13" x14ac:dyDescent="0.3">
      <c r="A3" s="336"/>
      <c r="B3" s="337"/>
      <c r="C3" s="338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40"/>
      <c r="Y3" s="1217"/>
    </row>
    <row r="4" spans="1:25" s="341" customFormat="1" ht="13" x14ac:dyDescent="0.3">
      <c r="A4" s="336"/>
      <c r="B4" s="337"/>
      <c r="C4" s="338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42">
        <v>46001</v>
      </c>
      <c r="V4" s="340"/>
      <c r="Y4" s="1217"/>
    </row>
    <row r="5" spans="1:25" s="341" customFormat="1" ht="13" x14ac:dyDescent="0.3">
      <c r="A5" s="336"/>
      <c r="B5" s="343" t="s">
        <v>797</v>
      </c>
      <c r="C5" s="338"/>
      <c r="D5" s="339"/>
      <c r="E5" s="1927" t="s">
        <v>85</v>
      </c>
      <c r="F5" s="1928"/>
      <c r="G5" s="1929"/>
      <c r="H5" s="1927" t="s">
        <v>86</v>
      </c>
      <c r="I5" s="1928"/>
      <c r="J5" s="1929"/>
      <c r="K5" s="1221"/>
      <c r="L5" s="344"/>
      <c r="M5" s="1927" t="s">
        <v>85</v>
      </c>
      <c r="N5" s="1929"/>
      <c r="O5" s="1927" t="s">
        <v>86</v>
      </c>
      <c r="P5" s="1929"/>
      <c r="Q5" s="1222"/>
      <c r="R5" s="344"/>
      <c r="S5" s="1223">
        <v>1.4</v>
      </c>
      <c r="T5" s="339"/>
      <c r="U5" s="344"/>
      <c r="V5" s="340"/>
      <c r="Y5" s="333"/>
    </row>
    <row r="6" spans="1:25" s="341" customFormat="1" ht="13.9" customHeight="1" x14ac:dyDescent="0.3">
      <c r="A6" s="336"/>
      <c r="B6" s="343" t="s">
        <v>798</v>
      </c>
      <c r="C6" s="345"/>
      <c r="D6" s="346"/>
      <c r="E6" s="1218"/>
      <c r="F6" s="1219"/>
      <c r="G6" s="1220"/>
      <c r="H6" s="1218"/>
      <c r="I6" s="1219"/>
      <c r="J6" s="1220"/>
      <c r="K6" s="1221"/>
      <c r="L6" s="344"/>
      <c r="M6" s="1218"/>
      <c r="N6" s="1219"/>
      <c r="O6" s="1218"/>
      <c r="P6" s="1220"/>
      <c r="Q6" s="1222"/>
      <c r="R6" s="1222"/>
      <c r="S6" s="1074">
        <v>1.1000000000000001</v>
      </c>
      <c r="T6" s="339"/>
      <c r="U6" s="347"/>
      <c r="V6" s="340"/>
      <c r="Y6" s="333"/>
    </row>
    <row r="7" spans="1:25" ht="13" x14ac:dyDescent="0.3">
      <c r="A7" s="348" t="s">
        <v>88</v>
      </c>
      <c r="B7" s="349" t="s">
        <v>90</v>
      </c>
      <c r="C7" s="350" t="s">
        <v>91</v>
      </c>
      <c r="D7" s="351" t="s">
        <v>92</v>
      </c>
      <c r="E7" s="1224" t="s">
        <v>93</v>
      </c>
      <c r="F7" s="351" t="s">
        <v>94</v>
      </c>
      <c r="G7" s="1225" t="s">
        <v>52</v>
      </c>
      <c r="H7" s="351" t="s">
        <v>93</v>
      </c>
      <c r="I7" s="351" t="s">
        <v>95</v>
      </c>
      <c r="J7" s="1225" t="s">
        <v>52</v>
      </c>
      <c r="K7" s="351" t="s">
        <v>96</v>
      </c>
      <c r="L7" s="1226" t="s">
        <v>97</v>
      </c>
      <c r="M7" s="351" t="s">
        <v>93</v>
      </c>
      <c r="N7" s="351" t="s">
        <v>94</v>
      </c>
      <c r="O7" s="351" t="s">
        <v>93</v>
      </c>
      <c r="P7" s="351" t="s">
        <v>95</v>
      </c>
      <c r="Q7" s="351" t="s">
        <v>96</v>
      </c>
      <c r="R7" s="1227" t="s">
        <v>52</v>
      </c>
      <c r="S7" s="352" t="s">
        <v>98</v>
      </c>
      <c r="T7" s="352" t="s">
        <v>799</v>
      </c>
      <c r="U7" s="352" t="s">
        <v>98</v>
      </c>
    </row>
    <row r="8" spans="1:25" ht="13" x14ac:dyDescent="0.3">
      <c r="A8" s="354">
        <v>1</v>
      </c>
      <c r="B8" s="355"/>
      <c r="C8" s="356"/>
      <c r="D8" s="357"/>
      <c r="E8" s="357"/>
      <c r="F8" s="357"/>
      <c r="G8" s="357"/>
      <c r="H8" s="357"/>
      <c r="I8" s="357"/>
      <c r="J8" s="357"/>
      <c r="K8" s="357"/>
      <c r="L8" s="1228"/>
      <c r="M8" s="357"/>
      <c r="N8" s="357"/>
      <c r="O8" s="357"/>
      <c r="P8" s="357"/>
      <c r="Q8" s="357"/>
      <c r="R8" s="357"/>
      <c r="S8" s="415">
        <f>SUM(R9:R9)</f>
        <v>1304261.544007635</v>
      </c>
      <c r="T8" s="357"/>
      <c r="U8" s="357"/>
      <c r="V8" s="1229">
        <f>SUM(U9:U9)</f>
        <v>1825966.1616106888</v>
      </c>
      <c r="W8" s="359">
        <f>+V8/$V$10</f>
        <v>1</v>
      </c>
      <c r="X8" s="359"/>
    </row>
    <row r="9" spans="1:25" ht="13" x14ac:dyDescent="0.3">
      <c r="A9" s="1230">
        <v>1</v>
      </c>
      <c r="B9" s="361" t="s">
        <v>800</v>
      </c>
      <c r="C9" s="362" t="s">
        <v>111</v>
      </c>
      <c r="D9" s="360">
        <v>7</v>
      </c>
      <c r="E9" s="1231">
        <f>+[3]Tareas!G8</f>
        <v>49742.857142857145</v>
      </c>
      <c r="F9" s="1231">
        <f>+[3]Tareas!H8</f>
        <v>3657.1428571428573</v>
      </c>
      <c r="G9" s="1232">
        <f>E9+F9</f>
        <v>53400</v>
      </c>
      <c r="H9" s="1231">
        <f>+[3]Tareas!P8</f>
        <v>109282.45024857954</v>
      </c>
      <c r="I9" s="1231">
        <f>+[3]Tareas!Q8</f>
        <v>18213.74170809659</v>
      </c>
      <c r="J9" s="1232">
        <f>H9+I9</f>
        <v>127496.19195667614</v>
      </c>
      <c r="K9" s="1233">
        <f>+(G9+J9)*0.03</f>
        <v>5426.885758700284</v>
      </c>
      <c r="L9" s="1232">
        <f>G9+J9+K9</f>
        <v>186323.07771537642</v>
      </c>
      <c r="M9" s="1234">
        <f>E9*D9</f>
        <v>348200</v>
      </c>
      <c r="N9" s="1234">
        <f>F9*D9</f>
        <v>25600</v>
      </c>
      <c r="O9" s="1234">
        <f>H9*D9</f>
        <v>764977.15174005681</v>
      </c>
      <c r="P9" s="1234">
        <f>I9*D9</f>
        <v>127496.19195667614</v>
      </c>
      <c r="Q9" s="1234">
        <f>+K9*D9</f>
        <v>37988.200310901986</v>
      </c>
      <c r="R9" s="1235">
        <f>SUM(M9:Q9)</f>
        <v>1304261.544007635</v>
      </c>
      <c r="S9" s="1236"/>
      <c r="T9" s="360">
        <f>+L9*S5</f>
        <v>260852.30880152696</v>
      </c>
      <c r="U9" s="360">
        <f>+T9*D9</f>
        <v>1825966.1616106888</v>
      </c>
    </row>
    <row r="10" spans="1:25" ht="13" x14ac:dyDescent="0.3">
      <c r="A10" s="354"/>
      <c r="B10" s="355" t="s">
        <v>400</v>
      </c>
      <c r="C10" s="356"/>
      <c r="D10" s="1237"/>
      <c r="E10" s="1238"/>
      <c r="F10" s="1239"/>
      <c r="G10" s="1240"/>
      <c r="H10" s="1238"/>
      <c r="I10" s="1239"/>
      <c r="J10" s="1240"/>
      <c r="K10" s="1241"/>
      <c r="L10" s="1240"/>
      <c r="M10" s="415">
        <f t="shared" ref="M10:S10" si="0">+SUM(M8:M9)</f>
        <v>348200</v>
      </c>
      <c r="N10" s="415">
        <f t="shared" si="0"/>
        <v>25600</v>
      </c>
      <c r="O10" s="415">
        <f t="shared" si="0"/>
        <v>764977.15174005681</v>
      </c>
      <c r="P10" s="415">
        <f t="shared" si="0"/>
        <v>127496.19195667614</v>
      </c>
      <c r="Q10" s="415">
        <f t="shared" si="0"/>
        <v>37988.200310901986</v>
      </c>
      <c r="R10" s="415">
        <f t="shared" si="0"/>
        <v>1304261.544007635</v>
      </c>
      <c r="S10" s="415">
        <f t="shared" si="0"/>
        <v>1304261.544007635</v>
      </c>
      <c r="T10" s="1242"/>
      <c r="U10" s="1242"/>
      <c r="V10" s="1243">
        <f>+V8</f>
        <v>1825966.1616106888</v>
      </c>
      <c r="W10" s="359">
        <f>+V10/$V$10</f>
        <v>1</v>
      </c>
      <c r="X10" s="359"/>
    </row>
    <row r="11" spans="1:25" ht="13" x14ac:dyDescent="0.3">
      <c r="A11" s="1244"/>
      <c r="C11" s="1245"/>
      <c r="D11" s="1246"/>
      <c r="E11" s="1247"/>
      <c r="F11" s="1248"/>
      <c r="G11" s="1249"/>
      <c r="H11" s="1247"/>
      <c r="I11" s="1248"/>
      <c r="J11" s="1249"/>
      <c r="K11" s="1250"/>
      <c r="L11" s="1249"/>
      <c r="M11" s="899"/>
      <c r="N11" s="899"/>
      <c r="O11" s="899"/>
      <c r="P11" s="899"/>
      <c r="Q11" s="899"/>
      <c r="R11" s="899"/>
      <c r="S11" s="899"/>
      <c r="T11" s="1251"/>
      <c r="U11" s="1251"/>
      <c r="V11" s="1252"/>
      <c r="W11" s="359"/>
      <c r="X11" s="359"/>
    </row>
    <row r="12" spans="1:25" ht="12.75" customHeight="1" x14ac:dyDescent="0.3">
      <c r="B12" s="1253"/>
      <c r="T12" s="1254"/>
      <c r="U12" s="1103"/>
    </row>
    <row r="13" spans="1:25" ht="12.75" customHeight="1" x14ac:dyDescent="0.3">
      <c r="T13" s="1254"/>
    </row>
  </sheetData>
  <mergeCells count="4">
    <mergeCell ref="E5:G5"/>
    <mergeCell ref="H5:J5"/>
    <mergeCell ref="M5:N5"/>
    <mergeCell ref="O5:P5"/>
  </mergeCells>
  <conditionalFormatting sqref="C3:C11">
    <cfRule type="cellIs" dxfId="0" priority="1" operator="equal">
      <formula>"x"</formula>
    </cfRule>
  </conditionalFormatting>
  <pageMargins left="0.43307086614173229" right="0.23622047244094491" top="0.62992125984251968" bottom="0.55118110236220474" header="0.31496062992125984" footer="0.31496062992125984"/>
  <pageSetup paperSize="9" scale="80" fitToHeight="8" orientation="landscape" r:id="rId1"/>
  <headerFooter>
    <oddFooter>&amp;C&amp;P de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5F74-DE35-4415-8FA6-69F6B9FC8E1A}">
  <dimension ref="B2:E1811"/>
  <sheetViews>
    <sheetView showGridLines="0" topLeftCell="A5" zoomScaleNormal="100" workbookViewId="0">
      <selection activeCell="E1813" sqref="E1813"/>
    </sheetView>
  </sheetViews>
  <sheetFormatPr defaultColWidth="11.453125" defaultRowHeight="14.5" x14ac:dyDescent="0.35"/>
  <cols>
    <col min="1" max="1" width="4.26953125" style="1327" customWidth="1"/>
    <col min="2" max="2" width="14" style="1333" customWidth="1"/>
    <col min="3" max="3" width="11" style="1333" bestFit="1" customWidth="1"/>
    <col min="4" max="4" width="13.1796875" style="1327" bestFit="1" customWidth="1"/>
    <col min="5" max="5" width="11.453125" style="1327"/>
    <col min="6" max="6" width="14.453125" style="1327" bestFit="1" customWidth="1"/>
    <col min="7" max="16384" width="11.453125" style="1327"/>
  </cols>
  <sheetData>
    <row r="2" spans="2:5" x14ac:dyDescent="0.35">
      <c r="B2" s="1930" t="s">
        <v>898</v>
      </c>
      <c r="C2" s="1930"/>
    </row>
    <row r="3" spans="2:5" x14ac:dyDescent="0.35">
      <c r="B3" s="1930"/>
      <c r="C3" s="1930"/>
    </row>
    <row r="5" spans="2:5" ht="16" x14ac:dyDescent="0.35">
      <c r="B5" s="1328" t="s">
        <v>56</v>
      </c>
      <c r="C5" s="1329" t="s">
        <v>899</v>
      </c>
    </row>
    <row r="6" spans="2:5" x14ac:dyDescent="0.35">
      <c r="B6" s="1330">
        <v>44197</v>
      </c>
      <c r="C6" s="1331">
        <v>139.99</v>
      </c>
    </row>
    <row r="7" spans="2:5" x14ac:dyDescent="0.35">
      <c r="B7" s="1330">
        <v>44198</v>
      </c>
      <c r="C7" s="1331">
        <v>139.99</v>
      </c>
    </row>
    <row r="8" spans="2:5" x14ac:dyDescent="0.35">
      <c r="B8" s="1330">
        <v>44199</v>
      </c>
      <c r="C8" s="1331">
        <v>139.99</v>
      </c>
      <c r="E8" s="1332"/>
    </row>
    <row r="9" spans="2:5" x14ac:dyDescent="0.35">
      <c r="B9" s="1330">
        <v>44200</v>
      </c>
      <c r="C9" s="1331">
        <v>142.32</v>
      </c>
      <c r="E9" s="1332"/>
    </row>
    <row r="10" spans="2:5" x14ac:dyDescent="0.35">
      <c r="B10" s="1330">
        <v>44201</v>
      </c>
      <c r="C10" s="1331">
        <v>143.55000000000001</v>
      </c>
      <c r="E10" s="1332"/>
    </row>
    <row r="11" spans="2:5" x14ac:dyDescent="0.35">
      <c r="B11" s="1330">
        <v>44202</v>
      </c>
      <c r="C11" s="1331">
        <v>144.38999999999999</v>
      </c>
    </row>
    <row r="12" spans="2:5" x14ac:dyDescent="0.35">
      <c r="B12" s="1330">
        <v>44203</v>
      </c>
      <c r="C12" s="1331">
        <v>145.84</v>
      </c>
    </row>
    <row r="13" spans="2:5" x14ac:dyDescent="0.35">
      <c r="B13" s="1330">
        <v>44204</v>
      </c>
      <c r="C13" s="1331">
        <v>145.06</v>
      </c>
    </row>
    <row r="14" spans="2:5" x14ac:dyDescent="0.35">
      <c r="B14" s="1330">
        <v>44205</v>
      </c>
      <c r="C14" s="1331">
        <v>145.06</v>
      </c>
    </row>
    <row r="15" spans="2:5" x14ac:dyDescent="0.35">
      <c r="B15" s="1330">
        <v>44206</v>
      </c>
      <c r="C15" s="1331">
        <v>145.06</v>
      </c>
    </row>
    <row r="16" spans="2:5" x14ac:dyDescent="0.35">
      <c r="B16" s="1330">
        <v>44207</v>
      </c>
      <c r="C16" s="1331">
        <v>145.80000000000001</v>
      </c>
    </row>
    <row r="17" spans="2:3" x14ac:dyDescent="0.35">
      <c r="B17" s="1330">
        <v>44208</v>
      </c>
      <c r="C17" s="1331">
        <v>144.97999999999999</v>
      </c>
    </row>
    <row r="18" spans="2:3" x14ac:dyDescent="0.35">
      <c r="B18" s="1330">
        <v>44209</v>
      </c>
      <c r="C18" s="1331">
        <v>144.72</v>
      </c>
    </row>
    <row r="19" spans="2:3" x14ac:dyDescent="0.35">
      <c r="B19" s="1330">
        <v>44210</v>
      </c>
      <c r="C19" s="1331">
        <v>145.41999999999999</v>
      </c>
    </row>
    <row r="20" spans="2:3" x14ac:dyDescent="0.35">
      <c r="B20" s="1330">
        <v>44211</v>
      </c>
      <c r="C20" s="1331">
        <v>145.38999999999999</v>
      </c>
    </row>
    <row r="21" spans="2:3" x14ac:dyDescent="0.35">
      <c r="B21" s="1330">
        <v>44212</v>
      </c>
      <c r="C21" s="1331">
        <v>145.38999999999999</v>
      </c>
    </row>
    <row r="22" spans="2:3" x14ac:dyDescent="0.35">
      <c r="B22" s="1330">
        <v>44213</v>
      </c>
      <c r="C22" s="1331">
        <v>145.38999999999999</v>
      </c>
    </row>
    <row r="23" spans="2:3" x14ac:dyDescent="0.35">
      <c r="B23" s="1330">
        <v>44214</v>
      </c>
      <c r="C23" s="1331">
        <v>145.36000000000001</v>
      </c>
    </row>
    <row r="24" spans="2:3" x14ac:dyDescent="0.35">
      <c r="B24" s="1330">
        <v>44215</v>
      </c>
      <c r="C24" s="1331">
        <v>145.47999999999999</v>
      </c>
    </row>
    <row r="25" spans="2:3" x14ac:dyDescent="0.35">
      <c r="B25" s="1330">
        <v>44216</v>
      </c>
      <c r="C25" s="1331">
        <v>145.72</v>
      </c>
    </row>
    <row r="26" spans="2:3" x14ac:dyDescent="0.35">
      <c r="B26" s="1330">
        <v>44217</v>
      </c>
      <c r="C26" s="1331">
        <v>145.96</v>
      </c>
    </row>
    <row r="27" spans="2:3" x14ac:dyDescent="0.35">
      <c r="B27" s="1330">
        <v>44218</v>
      </c>
      <c r="C27" s="1331">
        <v>145.88</v>
      </c>
    </row>
    <row r="28" spans="2:3" x14ac:dyDescent="0.35">
      <c r="B28" s="1330">
        <v>44219</v>
      </c>
      <c r="C28" s="1331">
        <v>145.88</v>
      </c>
    </row>
    <row r="29" spans="2:3" x14ac:dyDescent="0.35">
      <c r="B29" s="1330">
        <v>44220</v>
      </c>
      <c r="C29" s="1331">
        <v>145.88</v>
      </c>
    </row>
    <row r="30" spans="2:3" x14ac:dyDescent="0.35">
      <c r="B30" s="1330">
        <v>44221</v>
      </c>
      <c r="C30" s="1331">
        <v>146.38</v>
      </c>
    </row>
    <row r="31" spans="2:3" x14ac:dyDescent="0.35">
      <c r="B31" s="1330">
        <v>44222</v>
      </c>
      <c r="C31" s="1331">
        <v>146.88999999999999</v>
      </c>
    </row>
    <row r="32" spans="2:3" x14ac:dyDescent="0.35">
      <c r="B32" s="1330">
        <v>44223</v>
      </c>
      <c r="C32" s="1331">
        <v>147.38</v>
      </c>
    </row>
    <row r="33" spans="2:3" x14ac:dyDescent="0.35">
      <c r="B33" s="1330">
        <v>44224</v>
      </c>
      <c r="C33" s="1331">
        <v>147.9</v>
      </c>
    </row>
    <row r="34" spans="2:3" x14ac:dyDescent="0.35">
      <c r="B34" s="1330">
        <v>44225</v>
      </c>
      <c r="C34" s="1331">
        <v>147.88</v>
      </c>
    </row>
    <row r="35" spans="2:3" x14ac:dyDescent="0.35">
      <c r="B35" s="1330">
        <v>44226</v>
      </c>
      <c r="C35" s="1331">
        <v>147.88</v>
      </c>
    </row>
    <row r="36" spans="2:3" x14ac:dyDescent="0.35">
      <c r="B36" s="1330">
        <v>44227</v>
      </c>
      <c r="C36" s="1331">
        <v>147.88</v>
      </c>
    </row>
    <row r="37" spans="2:3" x14ac:dyDescent="0.35">
      <c r="B37" s="1330">
        <v>44228</v>
      </c>
      <c r="C37" s="1331">
        <v>148.33000000000001</v>
      </c>
    </row>
    <row r="38" spans="2:3" x14ac:dyDescent="0.35">
      <c r="B38" s="1330">
        <v>44229</v>
      </c>
      <c r="C38" s="1331">
        <v>148.83000000000001</v>
      </c>
    </row>
    <row r="39" spans="2:3" x14ac:dyDescent="0.35">
      <c r="B39" s="1330">
        <v>44230</v>
      </c>
      <c r="C39" s="1331">
        <v>149.34</v>
      </c>
    </row>
    <row r="40" spans="2:3" x14ac:dyDescent="0.35">
      <c r="B40" s="1330">
        <v>44231</v>
      </c>
      <c r="C40" s="1331">
        <v>149.84</v>
      </c>
    </row>
    <row r="41" spans="2:3" x14ac:dyDescent="0.35">
      <c r="B41" s="1330">
        <v>44232</v>
      </c>
      <c r="C41" s="1331">
        <v>149.6</v>
      </c>
    </row>
    <row r="42" spans="2:3" x14ac:dyDescent="0.35">
      <c r="B42" s="1330">
        <v>44233</v>
      </c>
      <c r="C42" s="1331">
        <v>149.6</v>
      </c>
    </row>
    <row r="43" spans="2:3" x14ac:dyDescent="0.35">
      <c r="B43" s="1330">
        <v>44234</v>
      </c>
      <c r="C43" s="1331">
        <v>149.6</v>
      </c>
    </row>
    <row r="44" spans="2:3" x14ac:dyDescent="0.35">
      <c r="B44" s="1330">
        <v>44235</v>
      </c>
      <c r="C44" s="1331">
        <v>149.6</v>
      </c>
    </row>
    <row r="45" spans="2:3" x14ac:dyDescent="0.35">
      <c r="B45" s="1330">
        <v>44236</v>
      </c>
      <c r="C45" s="1331">
        <v>150</v>
      </c>
    </row>
    <row r="46" spans="2:3" x14ac:dyDescent="0.35">
      <c r="B46" s="1330">
        <v>44237</v>
      </c>
      <c r="C46" s="1331">
        <v>149.75</v>
      </c>
    </row>
    <row r="47" spans="2:3" x14ac:dyDescent="0.35">
      <c r="B47" s="1330">
        <v>44238</v>
      </c>
      <c r="C47" s="1331">
        <v>148.34</v>
      </c>
    </row>
    <row r="48" spans="2:3" x14ac:dyDescent="0.35">
      <c r="B48" s="1330">
        <v>44239</v>
      </c>
      <c r="C48" s="1331">
        <v>147.65</v>
      </c>
    </row>
    <row r="49" spans="2:3" x14ac:dyDescent="0.35">
      <c r="B49" s="1330">
        <v>44240</v>
      </c>
      <c r="C49" s="1331">
        <v>147.65</v>
      </c>
    </row>
    <row r="50" spans="2:3" x14ac:dyDescent="0.35">
      <c r="B50" s="1330">
        <v>44241</v>
      </c>
      <c r="C50" s="1331">
        <v>147.65</v>
      </c>
    </row>
    <row r="51" spans="2:3" x14ac:dyDescent="0.35">
      <c r="B51" s="1330">
        <v>44242</v>
      </c>
      <c r="C51" s="1331">
        <v>147.65</v>
      </c>
    </row>
    <row r="52" spans="2:3" x14ac:dyDescent="0.35">
      <c r="B52" s="1330">
        <v>44243</v>
      </c>
      <c r="C52" s="1331">
        <v>147.65</v>
      </c>
    </row>
    <row r="53" spans="2:3" x14ac:dyDescent="0.35">
      <c r="B53" s="1330">
        <v>44244</v>
      </c>
      <c r="C53" s="1331">
        <v>143.47</v>
      </c>
    </row>
    <row r="54" spans="2:3" x14ac:dyDescent="0.35">
      <c r="B54" s="1330">
        <v>44245</v>
      </c>
      <c r="C54" s="1331">
        <v>141.77000000000001</v>
      </c>
    </row>
    <row r="55" spans="2:3" x14ac:dyDescent="0.35">
      <c r="B55" s="1330">
        <v>44246</v>
      </c>
      <c r="C55" s="1331">
        <v>140.65</v>
      </c>
    </row>
    <row r="56" spans="2:3" x14ac:dyDescent="0.35">
      <c r="B56" s="1330">
        <v>44247</v>
      </c>
      <c r="C56" s="1331">
        <v>140.65</v>
      </c>
    </row>
    <row r="57" spans="2:3" x14ac:dyDescent="0.35">
      <c r="B57" s="1330">
        <v>44248</v>
      </c>
      <c r="C57" s="1331">
        <v>140.65</v>
      </c>
    </row>
    <row r="58" spans="2:3" x14ac:dyDescent="0.35">
      <c r="B58" s="1330">
        <v>44249</v>
      </c>
      <c r="C58" s="1331">
        <v>138.79</v>
      </c>
    </row>
    <row r="59" spans="2:3" x14ac:dyDescent="0.35">
      <c r="B59" s="1330">
        <v>44250</v>
      </c>
      <c r="C59" s="1331">
        <v>139.86000000000001</v>
      </c>
    </row>
    <row r="60" spans="2:3" x14ac:dyDescent="0.35">
      <c r="B60" s="1330">
        <v>44251</v>
      </c>
      <c r="C60" s="1331">
        <v>140.94</v>
      </c>
    </row>
    <row r="61" spans="2:3" x14ac:dyDescent="0.35">
      <c r="B61" s="1330">
        <v>44252</v>
      </c>
      <c r="C61" s="1331">
        <v>141.91999999999999</v>
      </c>
    </row>
    <row r="62" spans="2:3" x14ac:dyDescent="0.35">
      <c r="B62" s="1330">
        <v>44253</v>
      </c>
      <c r="C62" s="1331">
        <v>141.91999999999999</v>
      </c>
    </row>
    <row r="63" spans="2:3" x14ac:dyDescent="0.35">
      <c r="B63" s="1330">
        <v>44254</v>
      </c>
      <c r="C63" s="1331">
        <v>141.91999999999999</v>
      </c>
    </row>
    <row r="64" spans="2:3" x14ac:dyDescent="0.35">
      <c r="B64" s="1330">
        <v>44255</v>
      </c>
      <c r="C64" s="1331">
        <v>141.91999999999999</v>
      </c>
    </row>
    <row r="65" spans="2:3" x14ac:dyDescent="0.35">
      <c r="B65" s="1330">
        <v>44256</v>
      </c>
      <c r="C65" s="1331">
        <v>143.80000000000001</v>
      </c>
    </row>
    <row r="66" spans="2:3" x14ac:dyDescent="0.35">
      <c r="B66" s="1330">
        <v>44257</v>
      </c>
      <c r="C66" s="1331">
        <v>146.13</v>
      </c>
    </row>
    <row r="67" spans="2:3" x14ac:dyDescent="0.35">
      <c r="B67" s="1330">
        <v>44258</v>
      </c>
      <c r="C67" s="1331">
        <v>146.11000000000001</v>
      </c>
    </row>
    <row r="68" spans="2:3" x14ac:dyDescent="0.35">
      <c r="B68" s="1330">
        <v>44259</v>
      </c>
      <c r="C68" s="1331">
        <v>145.11000000000001</v>
      </c>
    </row>
    <row r="69" spans="2:3" x14ac:dyDescent="0.35">
      <c r="B69" s="1330">
        <v>44260</v>
      </c>
      <c r="C69" s="1331">
        <v>145.87</v>
      </c>
    </row>
    <row r="70" spans="2:3" x14ac:dyDescent="0.35">
      <c r="B70" s="1330">
        <v>44261</v>
      </c>
      <c r="C70" s="1331">
        <v>145.87</v>
      </c>
    </row>
    <row r="71" spans="2:3" x14ac:dyDescent="0.35">
      <c r="B71" s="1330">
        <v>44262</v>
      </c>
      <c r="C71" s="1331">
        <v>145.87</v>
      </c>
    </row>
    <row r="72" spans="2:3" x14ac:dyDescent="0.35">
      <c r="B72" s="1330">
        <v>44263</v>
      </c>
      <c r="C72" s="1331">
        <v>145.87</v>
      </c>
    </row>
    <row r="73" spans="2:3" x14ac:dyDescent="0.35">
      <c r="B73" s="1330">
        <v>44264</v>
      </c>
      <c r="C73" s="1331">
        <v>145.38999999999999</v>
      </c>
    </row>
    <row r="74" spans="2:3" x14ac:dyDescent="0.35">
      <c r="B74" s="1330">
        <v>44265</v>
      </c>
      <c r="C74" s="1331">
        <v>144.43</v>
      </c>
    </row>
    <row r="75" spans="2:3" x14ac:dyDescent="0.35">
      <c r="B75" s="1330">
        <v>44266</v>
      </c>
      <c r="C75" s="1331">
        <v>144.30000000000001</v>
      </c>
    </row>
    <row r="76" spans="2:3" x14ac:dyDescent="0.35">
      <c r="B76" s="1330">
        <v>44267</v>
      </c>
      <c r="C76" s="1331">
        <v>144.84</v>
      </c>
    </row>
    <row r="77" spans="2:3" x14ac:dyDescent="0.35">
      <c r="B77" s="1330">
        <v>44268</v>
      </c>
      <c r="C77" s="1331">
        <v>144.84</v>
      </c>
    </row>
    <row r="78" spans="2:3" x14ac:dyDescent="0.35">
      <c r="B78" s="1330">
        <v>44269</v>
      </c>
      <c r="C78" s="1331">
        <v>144.84</v>
      </c>
    </row>
    <row r="79" spans="2:3" x14ac:dyDescent="0.35">
      <c r="B79" s="1330">
        <v>44270</v>
      </c>
      <c r="C79" s="1331">
        <v>144.59</v>
      </c>
    </row>
    <row r="80" spans="2:3" x14ac:dyDescent="0.35">
      <c r="B80" s="1330">
        <v>44271</v>
      </c>
      <c r="C80" s="1331">
        <v>144.6</v>
      </c>
    </row>
    <row r="81" spans="2:3" x14ac:dyDescent="0.35">
      <c r="B81" s="1330">
        <v>44272</v>
      </c>
      <c r="C81" s="1331">
        <v>145.28</v>
      </c>
    </row>
    <row r="82" spans="2:3" x14ac:dyDescent="0.35">
      <c r="B82" s="1330">
        <v>44273</v>
      </c>
      <c r="C82" s="1331">
        <v>144.71</v>
      </c>
    </row>
    <row r="83" spans="2:3" x14ac:dyDescent="0.35">
      <c r="B83" s="1330">
        <v>44274</v>
      </c>
      <c r="C83" s="1331">
        <v>144</v>
      </c>
    </row>
    <row r="84" spans="2:3" x14ac:dyDescent="0.35">
      <c r="B84" s="1330">
        <v>44275</v>
      </c>
      <c r="C84" s="1331">
        <v>144</v>
      </c>
    </row>
    <row r="85" spans="2:3" x14ac:dyDescent="0.35">
      <c r="B85" s="1330">
        <v>44276</v>
      </c>
      <c r="C85" s="1331">
        <v>144</v>
      </c>
    </row>
    <row r="86" spans="2:3" x14ac:dyDescent="0.35">
      <c r="B86" s="1330">
        <v>44277</v>
      </c>
      <c r="C86" s="1331">
        <v>143.15</v>
      </c>
    </row>
    <row r="87" spans="2:3" x14ac:dyDescent="0.35">
      <c r="B87" s="1330">
        <v>44278</v>
      </c>
      <c r="C87" s="1331">
        <v>142.78</v>
      </c>
    </row>
    <row r="88" spans="2:3" x14ac:dyDescent="0.35">
      <c r="B88" s="1330">
        <v>44279</v>
      </c>
      <c r="C88" s="1331">
        <v>142.78</v>
      </c>
    </row>
    <row r="89" spans="2:3" x14ac:dyDescent="0.35">
      <c r="B89" s="1330">
        <v>44280</v>
      </c>
      <c r="C89" s="1331">
        <v>141.19</v>
      </c>
    </row>
    <row r="90" spans="2:3" x14ac:dyDescent="0.35">
      <c r="B90" s="1330">
        <v>44281</v>
      </c>
      <c r="C90" s="1331">
        <v>138.44999999999999</v>
      </c>
    </row>
    <row r="91" spans="2:3" x14ac:dyDescent="0.35">
      <c r="B91" s="1330">
        <v>44282</v>
      </c>
      <c r="C91" s="1331">
        <v>138.44999999999999</v>
      </c>
    </row>
    <row r="92" spans="2:3" x14ac:dyDescent="0.35">
      <c r="B92" s="1330">
        <v>44283</v>
      </c>
      <c r="C92" s="1331">
        <v>138.44999999999999</v>
      </c>
    </row>
    <row r="93" spans="2:3" x14ac:dyDescent="0.35">
      <c r="B93" s="1330">
        <v>44284</v>
      </c>
      <c r="C93" s="1331">
        <v>138.47999999999999</v>
      </c>
    </row>
    <row r="94" spans="2:3" x14ac:dyDescent="0.35">
      <c r="B94" s="1330">
        <v>44285</v>
      </c>
      <c r="C94" s="1331">
        <v>140.38999999999999</v>
      </c>
    </row>
    <row r="95" spans="2:3" x14ac:dyDescent="0.35">
      <c r="B95" s="1330">
        <v>44286</v>
      </c>
      <c r="C95" s="1331">
        <v>142.19</v>
      </c>
    </row>
    <row r="96" spans="2:3" x14ac:dyDescent="0.35">
      <c r="B96" s="1330">
        <v>44287</v>
      </c>
      <c r="C96" s="1331">
        <v>142.19</v>
      </c>
    </row>
    <row r="97" spans="2:3" x14ac:dyDescent="0.35">
      <c r="B97" s="1330">
        <v>44288</v>
      </c>
      <c r="C97" s="1331">
        <v>142.19</v>
      </c>
    </row>
    <row r="98" spans="2:3" x14ac:dyDescent="0.35">
      <c r="B98" s="1330">
        <v>44289</v>
      </c>
      <c r="C98" s="1331">
        <v>142.19</v>
      </c>
    </row>
    <row r="99" spans="2:3" x14ac:dyDescent="0.35">
      <c r="B99" s="1330">
        <v>44290</v>
      </c>
      <c r="C99" s="1331">
        <v>142.19</v>
      </c>
    </row>
    <row r="100" spans="2:3" x14ac:dyDescent="0.35">
      <c r="B100" s="1330">
        <v>44291</v>
      </c>
      <c r="C100" s="1331">
        <v>141.81</v>
      </c>
    </row>
    <row r="101" spans="2:3" x14ac:dyDescent="0.35">
      <c r="B101" s="1330">
        <v>44292</v>
      </c>
      <c r="C101" s="1331">
        <v>143.66</v>
      </c>
    </row>
    <row r="102" spans="2:3" x14ac:dyDescent="0.35">
      <c r="B102" s="1330">
        <v>44293</v>
      </c>
      <c r="C102" s="1331">
        <v>143.77000000000001</v>
      </c>
    </row>
    <row r="103" spans="2:3" x14ac:dyDescent="0.35">
      <c r="B103" s="1330">
        <v>44294</v>
      </c>
      <c r="C103" s="1331">
        <v>144.66</v>
      </c>
    </row>
    <row r="104" spans="2:3" x14ac:dyDescent="0.35">
      <c r="B104" s="1330">
        <v>44295</v>
      </c>
      <c r="C104" s="1331">
        <v>144.38</v>
      </c>
    </row>
    <row r="105" spans="2:3" x14ac:dyDescent="0.35">
      <c r="B105" s="1330">
        <v>44296</v>
      </c>
      <c r="C105" s="1331">
        <v>144.38</v>
      </c>
    </row>
    <row r="106" spans="2:3" x14ac:dyDescent="0.35">
      <c r="B106" s="1330">
        <v>44297</v>
      </c>
      <c r="C106" s="1331">
        <v>144.38</v>
      </c>
    </row>
    <row r="107" spans="2:3" x14ac:dyDescent="0.35">
      <c r="B107" s="1330">
        <v>44298</v>
      </c>
      <c r="C107" s="1331">
        <v>143.26</v>
      </c>
    </row>
    <row r="108" spans="2:3" x14ac:dyDescent="0.35">
      <c r="B108" s="1330">
        <v>44299</v>
      </c>
      <c r="C108" s="1331">
        <v>142.79</v>
      </c>
    </row>
    <row r="109" spans="2:3" x14ac:dyDescent="0.35">
      <c r="B109" s="1330">
        <v>44300</v>
      </c>
      <c r="C109" s="1331">
        <v>143.80000000000001</v>
      </c>
    </row>
    <row r="110" spans="2:3" x14ac:dyDescent="0.35">
      <c r="B110" s="1330">
        <v>44301</v>
      </c>
      <c r="C110" s="1331">
        <v>143.65</v>
      </c>
    </row>
    <row r="111" spans="2:3" x14ac:dyDescent="0.35">
      <c r="B111" s="1330">
        <v>44302</v>
      </c>
      <c r="C111" s="1331">
        <v>143.71</v>
      </c>
    </row>
    <row r="112" spans="2:3" x14ac:dyDescent="0.35">
      <c r="B112" s="1330">
        <v>44303</v>
      </c>
      <c r="C112" s="1331">
        <v>143.71</v>
      </c>
    </row>
    <row r="113" spans="2:3" x14ac:dyDescent="0.35">
      <c r="B113" s="1330">
        <v>44304</v>
      </c>
      <c r="C113" s="1331">
        <v>143.71</v>
      </c>
    </row>
    <row r="114" spans="2:3" x14ac:dyDescent="0.35">
      <c r="B114" s="1330">
        <v>44305</v>
      </c>
      <c r="C114" s="1331">
        <v>144.37</v>
      </c>
    </row>
    <row r="115" spans="2:3" x14ac:dyDescent="0.35">
      <c r="B115" s="1330">
        <v>44306</v>
      </c>
      <c r="C115" s="1331">
        <v>145.94</v>
      </c>
    </row>
    <row r="116" spans="2:3" x14ac:dyDescent="0.35">
      <c r="B116" s="1330">
        <v>44307</v>
      </c>
      <c r="C116" s="1331">
        <v>145.44</v>
      </c>
    </row>
    <row r="117" spans="2:3" x14ac:dyDescent="0.35">
      <c r="B117" s="1330">
        <v>44308</v>
      </c>
      <c r="C117" s="1331">
        <v>145.5</v>
      </c>
    </row>
    <row r="118" spans="2:3" x14ac:dyDescent="0.35">
      <c r="B118" s="1330">
        <v>44309</v>
      </c>
      <c r="C118" s="1331">
        <v>148.36000000000001</v>
      </c>
    </row>
    <row r="119" spans="2:3" x14ac:dyDescent="0.35">
      <c r="B119" s="1330">
        <v>44310</v>
      </c>
      <c r="C119" s="1331">
        <v>148.36000000000001</v>
      </c>
    </row>
    <row r="120" spans="2:3" x14ac:dyDescent="0.35">
      <c r="B120" s="1330">
        <v>44311</v>
      </c>
      <c r="C120" s="1331">
        <v>148.36000000000001</v>
      </c>
    </row>
    <row r="121" spans="2:3" x14ac:dyDescent="0.35">
      <c r="B121" s="1330">
        <v>44312</v>
      </c>
      <c r="C121" s="1331">
        <v>150.27000000000001</v>
      </c>
    </row>
    <row r="122" spans="2:3" x14ac:dyDescent="0.35">
      <c r="B122" s="1330">
        <v>44313</v>
      </c>
      <c r="C122" s="1331">
        <v>151.49</v>
      </c>
    </row>
    <row r="123" spans="2:3" x14ac:dyDescent="0.35">
      <c r="B123" s="1330">
        <v>44314</v>
      </c>
      <c r="C123" s="1331">
        <v>151.80000000000001</v>
      </c>
    </row>
    <row r="124" spans="2:3" x14ac:dyDescent="0.35">
      <c r="B124" s="1330">
        <v>44315</v>
      </c>
      <c r="C124" s="1331">
        <v>152.19999999999999</v>
      </c>
    </row>
    <row r="125" spans="2:3" x14ac:dyDescent="0.35">
      <c r="B125" s="1330">
        <v>44316</v>
      </c>
      <c r="C125" s="1331">
        <v>152.19</v>
      </c>
    </row>
    <row r="126" spans="2:3" x14ac:dyDescent="0.35">
      <c r="B126" s="1330">
        <v>44317</v>
      </c>
      <c r="C126" s="1331">
        <v>152.19</v>
      </c>
    </row>
    <row r="127" spans="2:3" x14ac:dyDescent="0.35">
      <c r="B127" s="1330">
        <v>44318</v>
      </c>
      <c r="C127" s="1331">
        <v>152.19</v>
      </c>
    </row>
    <row r="128" spans="2:3" x14ac:dyDescent="0.35">
      <c r="B128" s="1330">
        <v>44319</v>
      </c>
      <c r="C128" s="1331">
        <v>152.96</v>
      </c>
    </row>
    <row r="129" spans="2:3" x14ac:dyDescent="0.35">
      <c r="B129" s="1330">
        <v>44320</v>
      </c>
      <c r="C129" s="1331">
        <v>153.33000000000001</v>
      </c>
    </row>
    <row r="130" spans="2:3" x14ac:dyDescent="0.35">
      <c r="B130" s="1330">
        <v>44321</v>
      </c>
      <c r="C130" s="1331">
        <v>153.82</v>
      </c>
    </row>
    <row r="131" spans="2:3" x14ac:dyDescent="0.35">
      <c r="B131" s="1330">
        <v>44322</v>
      </c>
      <c r="C131" s="1331">
        <v>154.30000000000001</v>
      </c>
    </row>
    <row r="132" spans="2:3" x14ac:dyDescent="0.35">
      <c r="B132" s="1330">
        <v>44323</v>
      </c>
      <c r="C132" s="1331">
        <v>154.4</v>
      </c>
    </row>
    <row r="133" spans="2:3" x14ac:dyDescent="0.35">
      <c r="B133" s="1330">
        <v>44324</v>
      </c>
      <c r="C133" s="1331">
        <v>154.4</v>
      </c>
    </row>
    <row r="134" spans="2:3" x14ac:dyDescent="0.35">
      <c r="B134" s="1330">
        <v>44325</v>
      </c>
      <c r="C134" s="1331">
        <v>154.4</v>
      </c>
    </row>
    <row r="135" spans="2:3" x14ac:dyDescent="0.35">
      <c r="B135" s="1330">
        <v>44326</v>
      </c>
      <c r="C135" s="1331">
        <v>153.94999999999999</v>
      </c>
    </row>
    <row r="136" spans="2:3" x14ac:dyDescent="0.35">
      <c r="B136" s="1330">
        <v>44327</v>
      </c>
      <c r="C136" s="1331">
        <v>153.16</v>
      </c>
    </row>
    <row r="137" spans="2:3" x14ac:dyDescent="0.35">
      <c r="B137" s="1330">
        <v>44328</v>
      </c>
      <c r="C137" s="1331">
        <v>153.21</v>
      </c>
    </row>
    <row r="138" spans="2:3" x14ac:dyDescent="0.35">
      <c r="B138" s="1330">
        <v>44329</v>
      </c>
      <c r="C138" s="1331">
        <v>153.71</v>
      </c>
    </row>
    <row r="139" spans="2:3" x14ac:dyDescent="0.35">
      <c r="B139" s="1330">
        <v>44330</v>
      </c>
      <c r="C139" s="1331">
        <v>154.16999999999999</v>
      </c>
    </row>
    <row r="140" spans="2:3" x14ac:dyDescent="0.35">
      <c r="B140" s="1330">
        <v>44331</v>
      </c>
      <c r="C140" s="1331">
        <v>154.16999999999999</v>
      </c>
    </row>
    <row r="141" spans="2:3" x14ac:dyDescent="0.35">
      <c r="B141" s="1330">
        <v>44332</v>
      </c>
      <c r="C141" s="1331">
        <v>154.16999999999999</v>
      </c>
    </row>
    <row r="142" spans="2:3" x14ac:dyDescent="0.35">
      <c r="B142" s="1330">
        <v>44333</v>
      </c>
      <c r="C142" s="1331">
        <v>154.65</v>
      </c>
    </row>
    <row r="143" spans="2:3" x14ac:dyDescent="0.35">
      <c r="B143" s="1330">
        <v>44334</v>
      </c>
      <c r="C143" s="1331">
        <v>154.65</v>
      </c>
    </row>
    <row r="144" spans="2:3" x14ac:dyDescent="0.35">
      <c r="B144" s="1330">
        <v>44335</v>
      </c>
      <c r="C144" s="1331">
        <v>156.49</v>
      </c>
    </row>
    <row r="145" spans="2:3" x14ac:dyDescent="0.35">
      <c r="B145" s="1330">
        <v>44336</v>
      </c>
      <c r="C145" s="1331">
        <v>157.22</v>
      </c>
    </row>
    <row r="146" spans="2:3" x14ac:dyDescent="0.35">
      <c r="B146" s="1330">
        <v>44337</v>
      </c>
      <c r="C146" s="1331">
        <v>158.37</v>
      </c>
    </row>
    <row r="147" spans="2:3" x14ac:dyDescent="0.35">
      <c r="B147" s="1330">
        <v>44338</v>
      </c>
      <c r="C147" s="1331">
        <v>158.37</v>
      </c>
    </row>
    <row r="148" spans="2:3" x14ac:dyDescent="0.35">
      <c r="B148" s="1330">
        <v>44339</v>
      </c>
      <c r="C148" s="1331">
        <v>158.37</v>
      </c>
    </row>
    <row r="149" spans="2:3" x14ac:dyDescent="0.35">
      <c r="B149" s="1330">
        <v>44340</v>
      </c>
      <c r="C149" s="1331">
        <v>158.37</v>
      </c>
    </row>
    <row r="150" spans="2:3" x14ac:dyDescent="0.35">
      <c r="B150" s="1330">
        <v>44341</v>
      </c>
      <c r="C150" s="1331">
        <v>158.37</v>
      </c>
    </row>
    <row r="151" spans="2:3" x14ac:dyDescent="0.35">
      <c r="B151" s="1330">
        <v>44342</v>
      </c>
      <c r="C151" s="1331">
        <v>158.05000000000001</v>
      </c>
    </row>
    <row r="152" spans="2:3" x14ac:dyDescent="0.35">
      <c r="B152" s="1330">
        <v>44343</v>
      </c>
      <c r="C152" s="1331">
        <v>158.72</v>
      </c>
    </row>
    <row r="153" spans="2:3" x14ac:dyDescent="0.35">
      <c r="B153" s="1330">
        <v>44344</v>
      </c>
      <c r="C153" s="1331">
        <v>159.49</v>
      </c>
    </row>
    <row r="154" spans="2:3" x14ac:dyDescent="0.35">
      <c r="B154" s="1330">
        <v>44345</v>
      </c>
      <c r="C154" s="1331">
        <v>159.49</v>
      </c>
    </row>
    <row r="155" spans="2:3" x14ac:dyDescent="0.35">
      <c r="B155" s="1330">
        <v>44346</v>
      </c>
      <c r="C155" s="1331">
        <v>159.49</v>
      </c>
    </row>
    <row r="156" spans="2:3" x14ac:dyDescent="0.35">
      <c r="B156" s="1330">
        <v>44347</v>
      </c>
      <c r="C156" s="1331">
        <v>160.22999999999999</v>
      </c>
    </row>
    <row r="157" spans="2:3" x14ac:dyDescent="0.35">
      <c r="B157" s="1330">
        <v>44348</v>
      </c>
      <c r="C157" s="1331">
        <v>160.96</v>
      </c>
    </row>
    <row r="158" spans="2:3" x14ac:dyDescent="0.35">
      <c r="B158" s="1330">
        <v>44349</v>
      </c>
      <c r="C158" s="1331">
        <v>161.71</v>
      </c>
    </row>
    <row r="159" spans="2:3" x14ac:dyDescent="0.35">
      <c r="B159" s="1330">
        <v>44350</v>
      </c>
      <c r="C159" s="1331">
        <v>161.33000000000001</v>
      </c>
    </row>
    <row r="160" spans="2:3" x14ac:dyDescent="0.35">
      <c r="B160" s="1330">
        <v>44351</v>
      </c>
      <c r="C160" s="1331">
        <v>160.86000000000001</v>
      </c>
    </row>
    <row r="161" spans="2:3" x14ac:dyDescent="0.35">
      <c r="B161" s="1330">
        <v>44352</v>
      </c>
      <c r="C161" s="1331">
        <v>160.86000000000001</v>
      </c>
    </row>
    <row r="162" spans="2:3" x14ac:dyDescent="0.35">
      <c r="B162" s="1330">
        <v>44353</v>
      </c>
      <c r="C162" s="1331">
        <v>160.86000000000001</v>
      </c>
    </row>
    <row r="163" spans="2:3" x14ac:dyDescent="0.35">
      <c r="B163" s="1330">
        <v>44354</v>
      </c>
      <c r="C163" s="1331">
        <v>160.55000000000001</v>
      </c>
    </row>
    <row r="164" spans="2:3" x14ac:dyDescent="0.35">
      <c r="B164" s="1330">
        <v>44355</v>
      </c>
      <c r="C164" s="1331">
        <v>160.47999999999999</v>
      </c>
    </row>
    <row r="165" spans="2:3" x14ac:dyDescent="0.35">
      <c r="B165" s="1330">
        <v>44356</v>
      </c>
      <c r="C165" s="1331">
        <v>159.68</v>
      </c>
    </row>
    <row r="166" spans="2:3" x14ac:dyDescent="0.35">
      <c r="B166" s="1330">
        <v>44357</v>
      </c>
      <c r="C166" s="1331">
        <v>159.07</v>
      </c>
    </row>
    <row r="167" spans="2:3" x14ac:dyDescent="0.35">
      <c r="B167" s="1330">
        <v>44358</v>
      </c>
      <c r="C167" s="1331">
        <v>158.09</v>
      </c>
    </row>
    <row r="168" spans="2:3" x14ac:dyDescent="0.35">
      <c r="B168" s="1330">
        <v>44359</v>
      </c>
      <c r="C168" s="1331">
        <v>158.09</v>
      </c>
    </row>
    <row r="169" spans="2:3" x14ac:dyDescent="0.35">
      <c r="B169" s="1330">
        <v>44360</v>
      </c>
      <c r="C169" s="1331">
        <v>158.09</v>
      </c>
    </row>
    <row r="170" spans="2:3" x14ac:dyDescent="0.35">
      <c r="B170" s="1330">
        <v>44361</v>
      </c>
      <c r="C170" s="1331">
        <v>157.94999999999999</v>
      </c>
    </row>
    <row r="171" spans="2:3" x14ac:dyDescent="0.35">
      <c r="B171" s="1330">
        <v>44362</v>
      </c>
      <c r="C171" s="1331">
        <v>158.72</v>
      </c>
    </row>
    <row r="172" spans="2:3" x14ac:dyDescent="0.35">
      <c r="B172" s="1330">
        <v>44363</v>
      </c>
      <c r="C172" s="1331">
        <v>159.19</v>
      </c>
    </row>
    <row r="173" spans="2:3" x14ac:dyDescent="0.35">
      <c r="B173" s="1330">
        <v>44364</v>
      </c>
      <c r="C173" s="1331">
        <v>160.41</v>
      </c>
    </row>
    <row r="174" spans="2:3" x14ac:dyDescent="0.35">
      <c r="B174" s="1330">
        <v>44365</v>
      </c>
      <c r="C174" s="1331">
        <v>159.84</v>
      </c>
    </row>
    <row r="175" spans="2:3" x14ac:dyDescent="0.35">
      <c r="B175" s="1330">
        <v>44366</v>
      </c>
      <c r="C175" s="1331">
        <v>159.84</v>
      </c>
    </row>
    <row r="176" spans="2:3" x14ac:dyDescent="0.35">
      <c r="B176" s="1330">
        <v>44367</v>
      </c>
      <c r="C176" s="1331">
        <v>159.84</v>
      </c>
    </row>
    <row r="177" spans="2:3" x14ac:dyDescent="0.35">
      <c r="B177" s="1330">
        <v>44368</v>
      </c>
      <c r="C177" s="1331">
        <v>159.84</v>
      </c>
    </row>
    <row r="178" spans="2:3" x14ac:dyDescent="0.35">
      <c r="B178" s="1330">
        <v>44369</v>
      </c>
      <c r="C178" s="1331">
        <v>160.63</v>
      </c>
    </row>
    <row r="179" spans="2:3" x14ac:dyDescent="0.35">
      <c r="B179" s="1330">
        <v>44370</v>
      </c>
      <c r="C179" s="1331">
        <v>160.91999999999999</v>
      </c>
    </row>
    <row r="180" spans="2:3" x14ac:dyDescent="0.35">
      <c r="B180" s="1330">
        <v>44371</v>
      </c>
      <c r="C180" s="1331">
        <v>162.03</v>
      </c>
    </row>
    <row r="181" spans="2:3" x14ac:dyDescent="0.35">
      <c r="B181" s="1330">
        <v>44372</v>
      </c>
      <c r="C181" s="1331">
        <v>163.53</v>
      </c>
    </row>
    <row r="182" spans="2:3" x14ac:dyDescent="0.35">
      <c r="B182" s="1330">
        <v>44373</v>
      </c>
      <c r="C182" s="1331">
        <v>163.53</v>
      </c>
    </row>
    <row r="183" spans="2:3" x14ac:dyDescent="0.35">
      <c r="B183" s="1330">
        <v>44374</v>
      </c>
      <c r="C183" s="1331">
        <v>163.53</v>
      </c>
    </row>
    <row r="184" spans="2:3" x14ac:dyDescent="0.35">
      <c r="B184" s="1330">
        <v>44375</v>
      </c>
      <c r="C184" s="1331">
        <v>162.78</v>
      </c>
    </row>
    <row r="185" spans="2:3" x14ac:dyDescent="0.35">
      <c r="B185" s="1330">
        <v>44376</v>
      </c>
      <c r="C185" s="1331">
        <v>163.75</v>
      </c>
    </row>
    <row r="186" spans="2:3" x14ac:dyDescent="0.35">
      <c r="B186" s="1330">
        <v>44377</v>
      </c>
      <c r="C186" s="1331">
        <v>163.57</v>
      </c>
    </row>
    <row r="187" spans="2:3" x14ac:dyDescent="0.35">
      <c r="B187" s="1330">
        <v>44378</v>
      </c>
      <c r="C187" s="1331">
        <v>165.77</v>
      </c>
    </row>
    <row r="188" spans="2:3" x14ac:dyDescent="0.35">
      <c r="B188" s="1330">
        <v>44379</v>
      </c>
      <c r="C188" s="1331">
        <v>166.35</v>
      </c>
    </row>
    <row r="189" spans="2:3" x14ac:dyDescent="0.35">
      <c r="B189" s="1330">
        <v>44380</v>
      </c>
      <c r="C189" s="1331">
        <v>166.35</v>
      </c>
    </row>
    <row r="190" spans="2:3" x14ac:dyDescent="0.35">
      <c r="B190" s="1330">
        <v>44381</v>
      </c>
      <c r="C190" s="1331">
        <v>166.35</v>
      </c>
    </row>
    <row r="191" spans="2:3" x14ac:dyDescent="0.35">
      <c r="B191" s="1330">
        <v>44382</v>
      </c>
      <c r="C191" s="1331">
        <v>166.45</v>
      </c>
    </row>
    <row r="192" spans="2:3" x14ac:dyDescent="0.35">
      <c r="B192" s="1330">
        <v>44383</v>
      </c>
      <c r="C192" s="1331">
        <v>165.98</v>
      </c>
    </row>
    <row r="193" spans="2:3" x14ac:dyDescent="0.35">
      <c r="B193" s="1330">
        <v>44384</v>
      </c>
      <c r="C193" s="1331">
        <v>166.2</v>
      </c>
    </row>
    <row r="194" spans="2:3" x14ac:dyDescent="0.35">
      <c r="B194" s="1330">
        <v>44385</v>
      </c>
      <c r="C194" s="1331">
        <v>166.42</v>
      </c>
    </row>
    <row r="195" spans="2:3" x14ac:dyDescent="0.35">
      <c r="B195" s="1330">
        <v>44386</v>
      </c>
      <c r="C195" s="1331">
        <v>166.42</v>
      </c>
    </row>
    <row r="196" spans="2:3" x14ac:dyDescent="0.35">
      <c r="B196" s="1330">
        <v>44387</v>
      </c>
      <c r="C196" s="1331">
        <v>166.42</v>
      </c>
    </row>
    <row r="197" spans="2:3" x14ac:dyDescent="0.35">
      <c r="B197" s="1330">
        <v>44388</v>
      </c>
      <c r="C197" s="1331">
        <v>166.42</v>
      </c>
    </row>
    <row r="198" spans="2:3" x14ac:dyDescent="0.35">
      <c r="B198" s="1330">
        <v>44389</v>
      </c>
      <c r="C198" s="1331">
        <v>166.05</v>
      </c>
    </row>
    <row r="199" spans="2:3" x14ac:dyDescent="0.35">
      <c r="B199" s="1330">
        <v>44390</v>
      </c>
      <c r="C199" s="1331">
        <v>165.38</v>
      </c>
    </row>
    <row r="200" spans="2:3" x14ac:dyDescent="0.35">
      <c r="B200" s="1330">
        <v>44391</v>
      </c>
      <c r="C200" s="1331">
        <v>165.29</v>
      </c>
    </row>
    <row r="201" spans="2:3" x14ac:dyDescent="0.35">
      <c r="B201" s="1330">
        <v>44392</v>
      </c>
      <c r="C201" s="1331">
        <v>165.26</v>
      </c>
    </row>
    <row r="202" spans="2:3" x14ac:dyDescent="0.35">
      <c r="B202" s="1330">
        <v>44393</v>
      </c>
      <c r="C202" s="1331">
        <v>165.5</v>
      </c>
    </row>
    <row r="203" spans="2:3" x14ac:dyDescent="0.35">
      <c r="B203" s="1330">
        <v>44394</v>
      </c>
      <c r="C203" s="1331">
        <v>165.5</v>
      </c>
    </row>
    <row r="204" spans="2:3" x14ac:dyDescent="0.35">
      <c r="B204" s="1330">
        <v>44395</v>
      </c>
      <c r="C204" s="1331">
        <v>165.5</v>
      </c>
    </row>
    <row r="205" spans="2:3" x14ac:dyDescent="0.35">
      <c r="B205" s="1330">
        <v>44396</v>
      </c>
      <c r="C205" s="1331">
        <v>165.79</v>
      </c>
    </row>
    <row r="206" spans="2:3" x14ac:dyDescent="0.35">
      <c r="B206" s="1330">
        <v>44397</v>
      </c>
      <c r="C206" s="1331">
        <v>166.07</v>
      </c>
    </row>
    <row r="207" spans="2:3" x14ac:dyDescent="0.35">
      <c r="B207" s="1330">
        <v>44398</v>
      </c>
      <c r="C207" s="1331">
        <v>166.3</v>
      </c>
    </row>
    <row r="208" spans="2:3" x14ac:dyDescent="0.35">
      <c r="B208" s="1330">
        <v>44399</v>
      </c>
      <c r="C208" s="1331">
        <v>166.39</v>
      </c>
    </row>
    <row r="209" spans="2:3" x14ac:dyDescent="0.35">
      <c r="B209" s="1330">
        <v>44400</v>
      </c>
      <c r="C209" s="1331">
        <v>166.48</v>
      </c>
    </row>
    <row r="210" spans="2:3" x14ac:dyDescent="0.35">
      <c r="B210" s="1330">
        <v>44401</v>
      </c>
      <c r="C210" s="1331">
        <v>166.48</v>
      </c>
    </row>
    <row r="211" spans="2:3" x14ac:dyDescent="0.35">
      <c r="B211" s="1330">
        <v>44402</v>
      </c>
      <c r="C211" s="1331">
        <v>166.48</v>
      </c>
    </row>
    <row r="212" spans="2:3" x14ac:dyDescent="0.35">
      <c r="B212" s="1330">
        <v>44403</v>
      </c>
      <c r="C212" s="1331">
        <v>166.81</v>
      </c>
    </row>
    <row r="213" spans="2:3" x14ac:dyDescent="0.35">
      <c r="B213" s="1330">
        <v>44404</v>
      </c>
      <c r="C213" s="1331">
        <v>167.36</v>
      </c>
    </row>
    <row r="214" spans="2:3" x14ac:dyDescent="0.35">
      <c r="B214" s="1330">
        <v>44405</v>
      </c>
      <c r="C214" s="1331">
        <v>167.9</v>
      </c>
    </row>
    <row r="215" spans="2:3" x14ac:dyDescent="0.35">
      <c r="B215" s="1330">
        <v>44406</v>
      </c>
      <c r="C215" s="1331">
        <v>167.9</v>
      </c>
    </row>
    <row r="216" spans="2:3" x14ac:dyDescent="0.35">
      <c r="B216" s="1330">
        <v>44407</v>
      </c>
      <c r="C216" s="1331">
        <v>168.19</v>
      </c>
    </row>
    <row r="217" spans="2:3" x14ac:dyDescent="0.35">
      <c r="B217" s="1330">
        <v>44408</v>
      </c>
      <c r="C217" s="1331">
        <v>168.19</v>
      </c>
    </row>
    <row r="218" spans="2:3" x14ac:dyDescent="0.35">
      <c r="B218" s="1330">
        <v>44409</v>
      </c>
      <c r="C218" s="1331">
        <v>168.19</v>
      </c>
    </row>
    <row r="219" spans="2:3" x14ac:dyDescent="0.35">
      <c r="B219" s="1330">
        <v>44410</v>
      </c>
      <c r="C219" s="1331">
        <v>168.67</v>
      </c>
    </row>
    <row r="220" spans="2:3" x14ac:dyDescent="0.35">
      <c r="B220" s="1330">
        <v>44411</v>
      </c>
      <c r="C220" s="1331">
        <v>169.57</v>
      </c>
    </row>
    <row r="221" spans="2:3" x14ac:dyDescent="0.35">
      <c r="B221" s="1330">
        <v>44412</v>
      </c>
      <c r="C221" s="1331">
        <v>169.73</v>
      </c>
    </row>
    <row r="222" spans="2:3" x14ac:dyDescent="0.35">
      <c r="B222" s="1330">
        <v>44413</v>
      </c>
      <c r="C222" s="1331">
        <v>169.93</v>
      </c>
    </row>
    <row r="223" spans="2:3" x14ac:dyDescent="0.35">
      <c r="B223" s="1330">
        <v>44414</v>
      </c>
      <c r="C223" s="1331">
        <v>170.09</v>
      </c>
    </row>
    <row r="224" spans="2:3" x14ac:dyDescent="0.35">
      <c r="B224" s="1330">
        <v>44415</v>
      </c>
      <c r="C224" s="1331">
        <v>170.09</v>
      </c>
    </row>
    <row r="225" spans="2:3" x14ac:dyDescent="0.35">
      <c r="B225" s="1330">
        <v>44416</v>
      </c>
      <c r="C225" s="1331">
        <v>170.09</v>
      </c>
    </row>
    <row r="226" spans="2:3" x14ac:dyDescent="0.35">
      <c r="B226" s="1330">
        <v>44417</v>
      </c>
      <c r="C226" s="1331">
        <v>169.94</v>
      </c>
    </row>
    <row r="227" spans="2:3" x14ac:dyDescent="0.35">
      <c r="B227" s="1330">
        <v>44418</v>
      </c>
      <c r="C227" s="1331">
        <v>169.87</v>
      </c>
    </row>
    <row r="228" spans="2:3" x14ac:dyDescent="0.35">
      <c r="B228" s="1330">
        <v>44419</v>
      </c>
      <c r="C228" s="1331">
        <v>170.03</v>
      </c>
    </row>
    <row r="229" spans="2:3" x14ac:dyDescent="0.35">
      <c r="B229" s="1330">
        <v>44420</v>
      </c>
      <c r="C229" s="1331">
        <v>169.62</v>
      </c>
    </row>
    <row r="230" spans="2:3" x14ac:dyDescent="0.35">
      <c r="B230" s="1330">
        <v>44421</v>
      </c>
      <c r="C230" s="1331">
        <v>169.45</v>
      </c>
    </row>
    <row r="231" spans="2:3" x14ac:dyDescent="0.35">
      <c r="B231" s="1330">
        <v>44422</v>
      </c>
      <c r="C231" s="1331">
        <v>169.45</v>
      </c>
    </row>
    <row r="232" spans="2:3" x14ac:dyDescent="0.35">
      <c r="B232" s="1330">
        <v>44423</v>
      </c>
      <c r="C232" s="1331">
        <v>169.45</v>
      </c>
    </row>
    <row r="233" spans="2:3" x14ac:dyDescent="0.35">
      <c r="B233" s="1330">
        <v>44424</v>
      </c>
      <c r="C233" s="1331">
        <v>169.45</v>
      </c>
    </row>
    <row r="234" spans="2:3" x14ac:dyDescent="0.35">
      <c r="B234" s="1330">
        <v>44425</v>
      </c>
      <c r="C234" s="1331">
        <v>169.41</v>
      </c>
    </row>
    <row r="235" spans="2:3" x14ac:dyDescent="0.35">
      <c r="B235" s="1330">
        <v>44426</v>
      </c>
      <c r="C235" s="1331">
        <v>169.39</v>
      </c>
    </row>
    <row r="236" spans="2:3" x14ac:dyDescent="0.35">
      <c r="B236" s="1330">
        <v>44427</v>
      </c>
      <c r="C236" s="1331">
        <v>169.36</v>
      </c>
    </row>
    <row r="237" spans="2:3" x14ac:dyDescent="0.35">
      <c r="B237" s="1330">
        <v>44428</v>
      </c>
      <c r="C237" s="1331">
        <v>169.32</v>
      </c>
    </row>
    <row r="238" spans="2:3" x14ac:dyDescent="0.35">
      <c r="B238" s="1330">
        <v>44429</v>
      </c>
      <c r="C238" s="1331">
        <v>169.32</v>
      </c>
    </row>
    <row r="239" spans="2:3" x14ac:dyDescent="0.35">
      <c r="B239" s="1330">
        <v>44430</v>
      </c>
      <c r="C239" s="1331">
        <v>169.32</v>
      </c>
    </row>
    <row r="240" spans="2:3" x14ac:dyDescent="0.35">
      <c r="B240" s="1330">
        <v>44431</v>
      </c>
      <c r="C240" s="1331">
        <v>169.46</v>
      </c>
    </row>
    <row r="241" spans="2:3" x14ac:dyDescent="0.35">
      <c r="B241" s="1330">
        <v>44432</v>
      </c>
      <c r="C241" s="1331">
        <v>169.43</v>
      </c>
    </row>
    <row r="242" spans="2:3" x14ac:dyDescent="0.35">
      <c r="B242" s="1330">
        <v>44433</v>
      </c>
      <c r="C242" s="1331">
        <v>169.66</v>
      </c>
    </row>
    <row r="243" spans="2:3" x14ac:dyDescent="0.35">
      <c r="B243" s="1330">
        <v>44434</v>
      </c>
      <c r="C243" s="1331">
        <v>169.96</v>
      </c>
    </row>
    <row r="244" spans="2:3" x14ac:dyDescent="0.35">
      <c r="B244" s="1330">
        <v>44435</v>
      </c>
      <c r="C244" s="1331">
        <v>169.97</v>
      </c>
    </row>
    <row r="245" spans="2:3" x14ac:dyDescent="0.35">
      <c r="B245" s="1330">
        <v>44436</v>
      </c>
      <c r="C245" s="1331">
        <v>169.97</v>
      </c>
    </row>
    <row r="246" spans="2:3" x14ac:dyDescent="0.35">
      <c r="B246" s="1330">
        <v>44437</v>
      </c>
      <c r="C246" s="1331">
        <v>169.97</v>
      </c>
    </row>
    <row r="247" spans="2:3" x14ac:dyDescent="0.35">
      <c r="B247" s="1330">
        <v>44438</v>
      </c>
      <c r="C247" s="1331">
        <v>169.98</v>
      </c>
    </row>
    <row r="248" spans="2:3" x14ac:dyDescent="0.35">
      <c r="B248" s="1330">
        <v>44439</v>
      </c>
      <c r="C248" s="1331">
        <v>170.26</v>
      </c>
    </row>
    <row r="249" spans="2:3" x14ac:dyDescent="0.35">
      <c r="B249" s="1330">
        <v>44440</v>
      </c>
      <c r="C249" s="1331">
        <v>170.42</v>
      </c>
    </row>
    <row r="250" spans="2:3" x14ac:dyDescent="0.35">
      <c r="B250" s="1330">
        <v>44441</v>
      </c>
      <c r="C250" s="1331">
        <v>170.58</v>
      </c>
    </row>
    <row r="251" spans="2:3" x14ac:dyDescent="0.35">
      <c r="B251" s="1330">
        <v>44442</v>
      </c>
      <c r="C251" s="1331">
        <v>170.58</v>
      </c>
    </row>
    <row r="252" spans="2:3" x14ac:dyDescent="0.35">
      <c r="B252" s="1330">
        <v>44443</v>
      </c>
      <c r="C252" s="1331">
        <v>170.58</v>
      </c>
    </row>
    <row r="253" spans="2:3" x14ac:dyDescent="0.35">
      <c r="B253" s="1330">
        <v>44444</v>
      </c>
      <c r="C253" s="1331">
        <v>170.58</v>
      </c>
    </row>
    <row r="254" spans="2:3" x14ac:dyDescent="0.35">
      <c r="B254" s="1330">
        <v>44445</v>
      </c>
      <c r="C254" s="1331">
        <v>170.82</v>
      </c>
    </row>
    <row r="255" spans="2:3" x14ac:dyDescent="0.35">
      <c r="B255" s="1330">
        <v>44446</v>
      </c>
      <c r="C255" s="1331">
        <v>171.2</v>
      </c>
    </row>
    <row r="256" spans="2:3" x14ac:dyDescent="0.35">
      <c r="B256" s="1330">
        <v>44447</v>
      </c>
      <c r="C256" s="1331">
        <v>170.68</v>
      </c>
    </row>
    <row r="257" spans="2:3" x14ac:dyDescent="0.35">
      <c r="B257" s="1330">
        <v>44448</v>
      </c>
      <c r="C257" s="1331">
        <v>170.67</v>
      </c>
    </row>
    <row r="258" spans="2:3" x14ac:dyDescent="0.35">
      <c r="B258" s="1330">
        <v>44449</v>
      </c>
      <c r="C258" s="1331">
        <v>170.65</v>
      </c>
    </row>
    <row r="259" spans="2:3" x14ac:dyDescent="0.35">
      <c r="B259" s="1330">
        <v>44450</v>
      </c>
      <c r="C259" s="1331">
        <v>170.65</v>
      </c>
    </row>
    <row r="260" spans="2:3" x14ac:dyDescent="0.35">
      <c r="B260" s="1330">
        <v>44451</v>
      </c>
      <c r="C260" s="1331">
        <v>170.65</v>
      </c>
    </row>
    <row r="261" spans="2:3" x14ac:dyDescent="0.35">
      <c r="B261" s="1330">
        <v>44452</v>
      </c>
      <c r="C261" s="1331">
        <v>171.04</v>
      </c>
    </row>
    <row r="262" spans="2:3" x14ac:dyDescent="0.35">
      <c r="B262" s="1330">
        <v>44453</v>
      </c>
      <c r="C262" s="1331">
        <v>171.44</v>
      </c>
    </row>
    <row r="263" spans="2:3" x14ac:dyDescent="0.35">
      <c r="B263" s="1330">
        <v>44454</v>
      </c>
      <c r="C263" s="1331">
        <v>171.83</v>
      </c>
    </row>
    <row r="264" spans="2:3" x14ac:dyDescent="0.35">
      <c r="B264" s="1330">
        <v>44455</v>
      </c>
      <c r="C264" s="1331">
        <v>172.32</v>
      </c>
    </row>
    <row r="265" spans="2:3" x14ac:dyDescent="0.35">
      <c r="B265" s="1330">
        <v>44456</v>
      </c>
      <c r="C265" s="1331">
        <v>172.44</v>
      </c>
    </row>
    <row r="266" spans="2:3" x14ac:dyDescent="0.35">
      <c r="B266" s="1330">
        <v>44457</v>
      </c>
      <c r="C266" s="1331">
        <v>172.44</v>
      </c>
    </row>
    <row r="267" spans="2:3" x14ac:dyDescent="0.35">
      <c r="B267" s="1330">
        <v>44458</v>
      </c>
      <c r="C267" s="1331">
        <v>172.44</v>
      </c>
    </row>
    <row r="268" spans="2:3" x14ac:dyDescent="0.35">
      <c r="B268" s="1330">
        <v>44459</v>
      </c>
      <c r="C268" s="1331">
        <v>172.68</v>
      </c>
    </row>
    <row r="269" spans="2:3" x14ac:dyDescent="0.35">
      <c r="B269" s="1330">
        <v>44460</v>
      </c>
      <c r="C269" s="1331">
        <v>172.67</v>
      </c>
    </row>
    <row r="270" spans="2:3" x14ac:dyDescent="0.35">
      <c r="B270" s="1330">
        <v>44461</v>
      </c>
      <c r="C270" s="1331">
        <v>172.99</v>
      </c>
    </row>
    <row r="271" spans="2:3" x14ac:dyDescent="0.35">
      <c r="B271" s="1330">
        <v>44462</v>
      </c>
      <c r="C271" s="1331">
        <v>173.33</v>
      </c>
    </row>
    <row r="272" spans="2:3" x14ac:dyDescent="0.35">
      <c r="B272" s="1330">
        <v>44463</v>
      </c>
      <c r="C272" s="1331">
        <v>173.42</v>
      </c>
    </row>
    <row r="273" spans="2:3" x14ac:dyDescent="0.35">
      <c r="B273" s="1330">
        <v>44464</v>
      </c>
      <c r="C273" s="1331">
        <v>173.42</v>
      </c>
    </row>
    <row r="274" spans="2:3" x14ac:dyDescent="0.35">
      <c r="B274" s="1330">
        <v>44465</v>
      </c>
      <c r="C274" s="1331">
        <v>173.42</v>
      </c>
    </row>
    <row r="275" spans="2:3" x14ac:dyDescent="0.35">
      <c r="B275" s="1330">
        <v>44466</v>
      </c>
      <c r="C275" s="1331">
        <v>173.92</v>
      </c>
    </row>
    <row r="276" spans="2:3" x14ac:dyDescent="0.35">
      <c r="B276" s="1330">
        <v>44467</v>
      </c>
      <c r="C276" s="1331">
        <v>174.41</v>
      </c>
    </row>
    <row r="277" spans="2:3" x14ac:dyDescent="0.35">
      <c r="B277" s="1330">
        <v>44468</v>
      </c>
      <c r="C277" s="1331">
        <v>174.64</v>
      </c>
    </row>
    <row r="278" spans="2:3" x14ac:dyDescent="0.35">
      <c r="B278" s="1330">
        <v>44469</v>
      </c>
      <c r="C278" s="1331">
        <v>175.03</v>
      </c>
    </row>
    <row r="279" spans="2:3" x14ac:dyDescent="0.35">
      <c r="B279" s="1330">
        <v>44470</v>
      </c>
      <c r="C279" s="1331">
        <v>175.47</v>
      </c>
    </row>
    <row r="280" spans="2:3" x14ac:dyDescent="0.35">
      <c r="B280" s="1330">
        <v>44471</v>
      </c>
      <c r="C280" s="1331">
        <v>175.47</v>
      </c>
    </row>
    <row r="281" spans="2:3" x14ac:dyDescent="0.35">
      <c r="B281" s="1330">
        <v>44472</v>
      </c>
      <c r="C281" s="1331">
        <v>175.47</v>
      </c>
    </row>
    <row r="282" spans="2:3" x14ac:dyDescent="0.35">
      <c r="B282" s="1330">
        <v>44473</v>
      </c>
      <c r="C282" s="1331">
        <v>175.89</v>
      </c>
    </row>
    <row r="283" spans="2:3" x14ac:dyDescent="0.35">
      <c r="B283" s="1330">
        <v>44474</v>
      </c>
      <c r="C283" s="1331">
        <v>176.34</v>
      </c>
    </row>
    <row r="284" spans="2:3" x14ac:dyDescent="0.35">
      <c r="B284" s="1330">
        <v>44475</v>
      </c>
      <c r="C284" s="1331">
        <v>176.33</v>
      </c>
    </row>
    <row r="285" spans="2:3" x14ac:dyDescent="0.35">
      <c r="B285" s="1330">
        <v>44476</v>
      </c>
      <c r="C285" s="1331">
        <v>176.45</v>
      </c>
    </row>
    <row r="286" spans="2:3" x14ac:dyDescent="0.35">
      <c r="B286" s="1330">
        <v>44477</v>
      </c>
      <c r="C286" s="1331">
        <v>176.45</v>
      </c>
    </row>
    <row r="287" spans="2:3" x14ac:dyDescent="0.35">
      <c r="B287" s="1330">
        <v>44478</v>
      </c>
      <c r="C287" s="1331">
        <v>176.45</v>
      </c>
    </row>
    <row r="288" spans="2:3" x14ac:dyDescent="0.35">
      <c r="B288" s="1330">
        <v>44479</v>
      </c>
      <c r="C288" s="1331">
        <v>176.45</v>
      </c>
    </row>
    <row r="289" spans="2:3" x14ac:dyDescent="0.35">
      <c r="B289" s="1330">
        <v>44480</v>
      </c>
      <c r="C289" s="1331">
        <v>176.45</v>
      </c>
    </row>
    <row r="290" spans="2:3" x14ac:dyDescent="0.35">
      <c r="B290" s="1330">
        <v>44481</v>
      </c>
      <c r="C290" s="1331">
        <v>176.78</v>
      </c>
    </row>
    <row r="291" spans="2:3" x14ac:dyDescent="0.35">
      <c r="B291" s="1330">
        <v>44482</v>
      </c>
      <c r="C291" s="1331">
        <v>177.1</v>
      </c>
    </row>
    <row r="292" spans="2:3" x14ac:dyDescent="0.35">
      <c r="B292" s="1330">
        <v>44483</v>
      </c>
      <c r="C292" s="1331">
        <v>177.43</v>
      </c>
    </row>
    <row r="293" spans="2:3" x14ac:dyDescent="0.35">
      <c r="B293" s="1330">
        <v>44484</v>
      </c>
      <c r="C293" s="1331">
        <v>177.68</v>
      </c>
    </row>
    <row r="294" spans="2:3" x14ac:dyDescent="0.35">
      <c r="B294" s="1330">
        <v>44485</v>
      </c>
      <c r="C294" s="1331">
        <v>177.68</v>
      </c>
    </row>
    <row r="295" spans="2:3" x14ac:dyDescent="0.35">
      <c r="B295" s="1330">
        <v>44486</v>
      </c>
      <c r="C295" s="1331">
        <v>177.68</v>
      </c>
    </row>
    <row r="296" spans="2:3" x14ac:dyDescent="0.35">
      <c r="B296" s="1330">
        <v>44487</v>
      </c>
      <c r="C296" s="1331">
        <v>178.02</v>
      </c>
    </row>
    <row r="297" spans="2:3" x14ac:dyDescent="0.35">
      <c r="B297" s="1330">
        <v>44488</v>
      </c>
      <c r="C297" s="1331">
        <v>178.36</v>
      </c>
    </row>
    <row r="298" spans="2:3" x14ac:dyDescent="0.35">
      <c r="B298" s="1330">
        <v>44489</v>
      </c>
      <c r="C298" s="1331">
        <v>178.6</v>
      </c>
    </row>
    <row r="299" spans="2:3" x14ac:dyDescent="0.35">
      <c r="B299" s="1330">
        <v>44490</v>
      </c>
      <c r="C299" s="1331">
        <v>178.83</v>
      </c>
    </row>
    <row r="300" spans="2:3" x14ac:dyDescent="0.35">
      <c r="B300" s="1330">
        <v>44491</v>
      </c>
      <c r="C300" s="1331">
        <v>179.23</v>
      </c>
    </row>
    <row r="301" spans="2:3" x14ac:dyDescent="0.35">
      <c r="B301" s="1330">
        <v>44492</v>
      </c>
      <c r="C301" s="1331">
        <v>179.23</v>
      </c>
    </row>
    <row r="302" spans="2:3" x14ac:dyDescent="0.35">
      <c r="B302" s="1330">
        <v>44493</v>
      </c>
      <c r="C302" s="1331">
        <v>179.23</v>
      </c>
    </row>
    <row r="303" spans="2:3" x14ac:dyDescent="0.35">
      <c r="B303" s="1330">
        <v>44494</v>
      </c>
      <c r="C303" s="1331">
        <v>179.23</v>
      </c>
    </row>
    <row r="304" spans="2:3" x14ac:dyDescent="0.35">
      <c r="B304" s="1330">
        <v>44495</v>
      </c>
      <c r="C304" s="1331">
        <v>179.24</v>
      </c>
    </row>
    <row r="305" spans="2:3" x14ac:dyDescent="0.35">
      <c r="B305" s="1330">
        <v>44496</v>
      </c>
      <c r="C305" s="1331">
        <v>179.23</v>
      </c>
    </row>
    <row r="306" spans="2:3" x14ac:dyDescent="0.35">
      <c r="B306" s="1330">
        <v>44497</v>
      </c>
      <c r="C306" s="1331">
        <v>179.23</v>
      </c>
    </row>
    <row r="307" spans="2:3" x14ac:dyDescent="0.35">
      <c r="B307" s="1330">
        <v>44498</v>
      </c>
      <c r="C307" s="1331">
        <v>179.22</v>
      </c>
    </row>
    <row r="308" spans="2:3" x14ac:dyDescent="0.35">
      <c r="B308" s="1330">
        <v>44499</v>
      </c>
      <c r="C308" s="1331">
        <v>179.22</v>
      </c>
    </row>
    <row r="309" spans="2:3" x14ac:dyDescent="0.35">
      <c r="B309" s="1330">
        <v>44500</v>
      </c>
      <c r="C309" s="1331">
        <v>179.22</v>
      </c>
    </row>
    <row r="310" spans="2:3" x14ac:dyDescent="0.35">
      <c r="B310" s="1330">
        <v>44501</v>
      </c>
      <c r="C310" s="1331">
        <v>179.22</v>
      </c>
    </row>
    <row r="311" spans="2:3" x14ac:dyDescent="0.35">
      <c r="B311" s="1330">
        <v>44502</v>
      </c>
      <c r="C311" s="1331">
        <v>179.32</v>
      </c>
    </row>
    <row r="312" spans="2:3" x14ac:dyDescent="0.35">
      <c r="B312" s="1330">
        <v>44503</v>
      </c>
      <c r="C312" s="1331">
        <v>180.07</v>
      </c>
    </row>
    <row r="313" spans="2:3" x14ac:dyDescent="0.35">
      <c r="B313" s="1330">
        <v>44504</v>
      </c>
      <c r="C313" s="1331">
        <v>180.56</v>
      </c>
    </row>
    <row r="314" spans="2:3" x14ac:dyDescent="0.35">
      <c r="B314" s="1330">
        <v>44505</v>
      </c>
      <c r="C314" s="1331">
        <v>181.26</v>
      </c>
    </row>
    <row r="315" spans="2:3" x14ac:dyDescent="0.35">
      <c r="B315" s="1330">
        <v>44506</v>
      </c>
      <c r="C315" s="1331">
        <v>181.26</v>
      </c>
    </row>
    <row r="316" spans="2:3" x14ac:dyDescent="0.35">
      <c r="B316" s="1330">
        <v>44507</v>
      </c>
      <c r="C316" s="1331">
        <v>181.26</v>
      </c>
    </row>
    <row r="317" spans="2:3" x14ac:dyDescent="0.35">
      <c r="B317" s="1330">
        <v>44508</v>
      </c>
      <c r="C317" s="1331">
        <v>181.86</v>
      </c>
    </row>
    <row r="318" spans="2:3" x14ac:dyDescent="0.35">
      <c r="B318" s="1330">
        <v>44509</v>
      </c>
      <c r="C318" s="1331">
        <v>182.46</v>
      </c>
    </row>
    <row r="319" spans="2:3" x14ac:dyDescent="0.35">
      <c r="B319" s="1330">
        <v>44510</v>
      </c>
      <c r="C319" s="1331">
        <v>182.74</v>
      </c>
    </row>
    <row r="320" spans="2:3" x14ac:dyDescent="0.35">
      <c r="B320" s="1330">
        <v>44511</v>
      </c>
      <c r="C320" s="1331">
        <v>183.23</v>
      </c>
    </row>
    <row r="321" spans="2:3" x14ac:dyDescent="0.35">
      <c r="B321" s="1330">
        <v>44512</v>
      </c>
      <c r="C321" s="1331">
        <v>183.98</v>
      </c>
    </row>
    <row r="322" spans="2:3" x14ac:dyDescent="0.35">
      <c r="B322" s="1330">
        <v>44513</v>
      </c>
      <c r="C322" s="1331">
        <v>183.98</v>
      </c>
    </row>
    <row r="323" spans="2:3" x14ac:dyDescent="0.35">
      <c r="B323" s="1330">
        <v>44514</v>
      </c>
      <c r="C323" s="1331">
        <v>183.98</v>
      </c>
    </row>
    <row r="324" spans="2:3" x14ac:dyDescent="0.35">
      <c r="B324" s="1330">
        <v>44515</v>
      </c>
      <c r="C324" s="1331">
        <v>188.78</v>
      </c>
    </row>
    <row r="325" spans="2:3" x14ac:dyDescent="0.35">
      <c r="B325" s="1330">
        <v>44516</v>
      </c>
      <c r="C325" s="1331">
        <v>200.3</v>
      </c>
    </row>
    <row r="326" spans="2:3" x14ac:dyDescent="0.35">
      <c r="B326" s="1330">
        <v>44517</v>
      </c>
      <c r="C326" s="1331">
        <v>200</v>
      </c>
    </row>
    <row r="327" spans="2:3" x14ac:dyDescent="0.35">
      <c r="B327" s="1330">
        <v>44518</v>
      </c>
      <c r="C327" s="1331">
        <v>204.52</v>
      </c>
    </row>
    <row r="328" spans="2:3" x14ac:dyDescent="0.35">
      <c r="B328" s="1330">
        <v>44519</v>
      </c>
      <c r="C328" s="1331">
        <v>203.03</v>
      </c>
    </row>
    <row r="329" spans="2:3" x14ac:dyDescent="0.35">
      <c r="B329" s="1330">
        <v>44520</v>
      </c>
      <c r="C329" s="1331">
        <v>203.03</v>
      </c>
    </row>
    <row r="330" spans="2:3" x14ac:dyDescent="0.35">
      <c r="B330" s="1330">
        <v>44521</v>
      </c>
      <c r="C330" s="1331">
        <v>203.03</v>
      </c>
    </row>
    <row r="331" spans="2:3" x14ac:dyDescent="0.35">
      <c r="B331" s="1330">
        <v>44522</v>
      </c>
      <c r="C331" s="1331">
        <v>203.03</v>
      </c>
    </row>
    <row r="332" spans="2:3" x14ac:dyDescent="0.35">
      <c r="B332" s="1330">
        <v>44523</v>
      </c>
      <c r="C332" s="1331">
        <v>205.82</v>
      </c>
    </row>
    <row r="333" spans="2:3" x14ac:dyDescent="0.35">
      <c r="B333" s="1330">
        <v>44524</v>
      </c>
      <c r="C333" s="1331">
        <v>204.88</v>
      </c>
    </row>
    <row r="334" spans="2:3" x14ac:dyDescent="0.35">
      <c r="B334" s="1330">
        <v>44525</v>
      </c>
      <c r="C334" s="1331">
        <v>203.55</v>
      </c>
    </row>
    <row r="335" spans="2:3" x14ac:dyDescent="0.35">
      <c r="B335" s="1330">
        <v>44526</v>
      </c>
      <c r="C335" s="1331">
        <v>200.17</v>
      </c>
    </row>
    <row r="336" spans="2:3" x14ac:dyDescent="0.35">
      <c r="B336" s="1330">
        <v>44527</v>
      </c>
      <c r="C336" s="1331">
        <v>200.17</v>
      </c>
    </row>
    <row r="337" spans="2:3" x14ac:dyDescent="0.35">
      <c r="B337" s="1330">
        <v>44528</v>
      </c>
      <c r="C337" s="1331">
        <v>200.17</v>
      </c>
    </row>
    <row r="338" spans="2:3" x14ac:dyDescent="0.35">
      <c r="B338" s="1330">
        <v>44529</v>
      </c>
      <c r="C338" s="1331">
        <v>196.94</v>
      </c>
    </row>
    <row r="339" spans="2:3" x14ac:dyDescent="0.35">
      <c r="B339" s="1330">
        <v>44530</v>
      </c>
      <c r="C339" s="1331">
        <v>200.72</v>
      </c>
    </row>
    <row r="340" spans="2:3" x14ac:dyDescent="0.35">
      <c r="B340" s="1330">
        <v>44531</v>
      </c>
      <c r="C340" s="1331">
        <v>200.6</v>
      </c>
    </row>
    <row r="341" spans="2:3" x14ac:dyDescent="0.35">
      <c r="B341" s="1330">
        <v>44532</v>
      </c>
      <c r="C341" s="1331">
        <v>203.33</v>
      </c>
    </row>
    <row r="342" spans="2:3" x14ac:dyDescent="0.35">
      <c r="B342" s="1330">
        <v>44533</v>
      </c>
      <c r="C342" s="1331">
        <v>203.25</v>
      </c>
    </row>
    <row r="343" spans="2:3" x14ac:dyDescent="0.35">
      <c r="B343" s="1330">
        <v>44534</v>
      </c>
      <c r="C343" s="1331">
        <v>203.25</v>
      </c>
    </row>
    <row r="344" spans="2:3" x14ac:dyDescent="0.35">
      <c r="B344" s="1330">
        <v>44535</v>
      </c>
      <c r="C344" s="1331">
        <v>203.25</v>
      </c>
    </row>
    <row r="345" spans="2:3" x14ac:dyDescent="0.35">
      <c r="B345" s="1330">
        <v>44536</v>
      </c>
      <c r="C345" s="1331">
        <v>201.96</v>
      </c>
    </row>
    <row r="346" spans="2:3" x14ac:dyDescent="0.35">
      <c r="B346" s="1330">
        <v>44537</v>
      </c>
      <c r="C346" s="1331">
        <v>198.1</v>
      </c>
    </row>
    <row r="347" spans="2:3" x14ac:dyDescent="0.35">
      <c r="B347" s="1330">
        <v>44538</v>
      </c>
      <c r="C347" s="1331">
        <v>198.1</v>
      </c>
    </row>
    <row r="348" spans="2:3" x14ac:dyDescent="0.35">
      <c r="B348" s="1330">
        <v>44539</v>
      </c>
      <c r="C348" s="1331">
        <v>195.98</v>
      </c>
    </row>
    <row r="349" spans="2:3" x14ac:dyDescent="0.35">
      <c r="B349" s="1330">
        <v>44540</v>
      </c>
      <c r="C349" s="1331">
        <v>197.1</v>
      </c>
    </row>
    <row r="350" spans="2:3" x14ac:dyDescent="0.35">
      <c r="B350" s="1330">
        <v>44541</v>
      </c>
      <c r="C350" s="1331">
        <v>197.1</v>
      </c>
    </row>
    <row r="351" spans="2:3" x14ac:dyDescent="0.35">
      <c r="B351" s="1330">
        <v>44542</v>
      </c>
      <c r="C351" s="1331">
        <v>197.1</v>
      </c>
    </row>
    <row r="352" spans="2:3" x14ac:dyDescent="0.35">
      <c r="B352" s="1330">
        <v>44543</v>
      </c>
      <c r="C352" s="1331">
        <v>195.55</v>
      </c>
    </row>
    <row r="353" spans="2:3" x14ac:dyDescent="0.35">
      <c r="B353" s="1330">
        <v>44544</v>
      </c>
      <c r="C353" s="1331">
        <v>194.39</v>
      </c>
    </row>
    <row r="354" spans="2:3" x14ac:dyDescent="0.35">
      <c r="B354" s="1330">
        <v>44545</v>
      </c>
      <c r="C354" s="1331">
        <v>191.69</v>
      </c>
    </row>
    <row r="355" spans="2:3" x14ac:dyDescent="0.35">
      <c r="B355" s="1330">
        <v>44546</v>
      </c>
      <c r="C355" s="1331">
        <v>191.64</v>
      </c>
    </row>
    <row r="356" spans="2:3" x14ac:dyDescent="0.35">
      <c r="B356" s="1330">
        <v>44547</v>
      </c>
      <c r="C356" s="1331">
        <v>199.22</v>
      </c>
    </row>
    <row r="357" spans="2:3" x14ac:dyDescent="0.35">
      <c r="B357" s="1330">
        <v>44548</v>
      </c>
      <c r="C357" s="1331">
        <v>199.22</v>
      </c>
    </row>
    <row r="358" spans="2:3" x14ac:dyDescent="0.35">
      <c r="B358" s="1330">
        <v>44549</v>
      </c>
      <c r="C358" s="1331">
        <v>199.22</v>
      </c>
    </row>
    <row r="359" spans="2:3" x14ac:dyDescent="0.35">
      <c r="B359" s="1330">
        <v>44550</v>
      </c>
      <c r="C359" s="1331">
        <v>200.41</v>
      </c>
    </row>
    <row r="360" spans="2:3" x14ac:dyDescent="0.35">
      <c r="B360" s="1330">
        <v>44551</v>
      </c>
      <c r="C360" s="1331">
        <v>202.17</v>
      </c>
    </row>
    <row r="361" spans="2:3" x14ac:dyDescent="0.35">
      <c r="B361" s="1330">
        <v>44552</v>
      </c>
      <c r="C361" s="1331">
        <v>199.84</v>
      </c>
    </row>
    <row r="362" spans="2:3" x14ac:dyDescent="0.35">
      <c r="B362" s="1330">
        <v>44553</v>
      </c>
      <c r="C362" s="1331">
        <v>199.21</v>
      </c>
    </row>
    <row r="363" spans="2:3" x14ac:dyDescent="0.35">
      <c r="B363" s="1330">
        <v>44554</v>
      </c>
      <c r="C363" s="1331">
        <v>197.97</v>
      </c>
    </row>
    <row r="364" spans="2:3" x14ac:dyDescent="0.35">
      <c r="B364" s="1330">
        <v>44555</v>
      </c>
      <c r="C364" s="1331">
        <v>197.97</v>
      </c>
    </row>
    <row r="365" spans="2:3" x14ac:dyDescent="0.35">
      <c r="B365" s="1330">
        <v>44556</v>
      </c>
      <c r="C365" s="1331">
        <v>197.97</v>
      </c>
    </row>
    <row r="366" spans="2:3" x14ac:dyDescent="0.35">
      <c r="B366" s="1330">
        <v>44557</v>
      </c>
      <c r="C366" s="1331">
        <v>194.53</v>
      </c>
    </row>
    <row r="367" spans="2:3" x14ac:dyDescent="0.35">
      <c r="B367" s="1330">
        <v>44558</v>
      </c>
      <c r="C367" s="1331">
        <v>193.34</v>
      </c>
    </row>
    <row r="368" spans="2:3" x14ac:dyDescent="0.35">
      <c r="B368" s="1330">
        <v>44559</v>
      </c>
      <c r="C368" s="1331">
        <v>196.03</v>
      </c>
    </row>
    <row r="369" spans="2:3" x14ac:dyDescent="0.35">
      <c r="B369" s="1330">
        <v>44560</v>
      </c>
      <c r="C369" s="1331">
        <v>197.8</v>
      </c>
    </row>
    <row r="370" spans="2:3" x14ac:dyDescent="0.35">
      <c r="B370" s="1330">
        <v>44561</v>
      </c>
      <c r="C370" s="1331">
        <v>197.8</v>
      </c>
    </row>
    <row r="371" spans="2:3" x14ac:dyDescent="0.35">
      <c r="B371" s="1330">
        <v>44562</v>
      </c>
      <c r="C371" s="1331">
        <v>197.8</v>
      </c>
    </row>
    <row r="372" spans="2:3" x14ac:dyDescent="0.35">
      <c r="B372" s="1330">
        <v>44563</v>
      </c>
      <c r="C372" s="1331">
        <v>197.8</v>
      </c>
    </row>
    <row r="373" spans="2:3" x14ac:dyDescent="0.35">
      <c r="B373" s="1330">
        <v>44564</v>
      </c>
      <c r="C373" s="1331">
        <v>198.26</v>
      </c>
    </row>
    <row r="374" spans="2:3" x14ac:dyDescent="0.35">
      <c r="B374" s="1330">
        <v>44565</v>
      </c>
      <c r="C374" s="1331">
        <v>197.4</v>
      </c>
    </row>
    <row r="375" spans="2:3" x14ac:dyDescent="0.35">
      <c r="B375" s="1330">
        <v>44566</v>
      </c>
      <c r="C375" s="1331">
        <v>199.07</v>
      </c>
    </row>
    <row r="376" spans="2:3" x14ac:dyDescent="0.35">
      <c r="B376" s="1330">
        <v>44567</v>
      </c>
      <c r="C376" s="1331">
        <v>202.09</v>
      </c>
    </row>
    <row r="377" spans="2:3" x14ac:dyDescent="0.35">
      <c r="B377" s="1330">
        <v>44568</v>
      </c>
      <c r="C377" s="1331">
        <v>203.84</v>
      </c>
    </row>
    <row r="378" spans="2:3" x14ac:dyDescent="0.35">
      <c r="B378" s="1330">
        <v>44569</v>
      </c>
      <c r="C378" s="1331">
        <v>203.84</v>
      </c>
    </row>
    <row r="379" spans="2:3" x14ac:dyDescent="0.35">
      <c r="B379" s="1330">
        <v>44570</v>
      </c>
      <c r="C379" s="1331">
        <v>203.84</v>
      </c>
    </row>
    <row r="380" spans="2:3" x14ac:dyDescent="0.35">
      <c r="B380" s="1330">
        <v>44571</v>
      </c>
      <c r="C380" s="1331">
        <v>202.78</v>
      </c>
    </row>
    <row r="381" spans="2:3" x14ac:dyDescent="0.35">
      <c r="B381" s="1330">
        <v>44572</v>
      </c>
      <c r="C381" s="1331">
        <v>202.46</v>
      </c>
    </row>
    <row r="382" spans="2:3" x14ac:dyDescent="0.35">
      <c r="B382" s="1330">
        <v>44573</v>
      </c>
      <c r="C382" s="1331">
        <v>201.96</v>
      </c>
    </row>
    <row r="383" spans="2:3" x14ac:dyDescent="0.35">
      <c r="B383" s="1330">
        <v>44574</v>
      </c>
      <c r="C383" s="1331">
        <v>200.74</v>
      </c>
    </row>
    <row r="384" spans="2:3" x14ac:dyDescent="0.35">
      <c r="B384" s="1330">
        <v>44575</v>
      </c>
      <c r="C384" s="1331">
        <v>202.46</v>
      </c>
    </row>
    <row r="385" spans="2:3" x14ac:dyDescent="0.35">
      <c r="B385" s="1330">
        <v>44576</v>
      </c>
      <c r="C385" s="1331">
        <v>202.46</v>
      </c>
    </row>
    <row r="386" spans="2:3" x14ac:dyDescent="0.35">
      <c r="B386" s="1330">
        <v>44577</v>
      </c>
      <c r="C386" s="1331">
        <v>202.46</v>
      </c>
    </row>
    <row r="387" spans="2:3" x14ac:dyDescent="0.35">
      <c r="B387" s="1330">
        <v>44578</v>
      </c>
      <c r="C387" s="1331">
        <v>204.11</v>
      </c>
    </row>
    <row r="388" spans="2:3" x14ac:dyDescent="0.35">
      <c r="B388" s="1330">
        <v>44579</v>
      </c>
      <c r="C388" s="1331">
        <v>203.6</v>
      </c>
    </row>
    <row r="389" spans="2:3" x14ac:dyDescent="0.35">
      <c r="B389" s="1330">
        <v>44580</v>
      </c>
      <c r="C389" s="1331">
        <v>206.58</v>
      </c>
    </row>
    <row r="390" spans="2:3" x14ac:dyDescent="0.35">
      <c r="B390" s="1330">
        <v>44581</v>
      </c>
      <c r="C390" s="1331">
        <v>212.32</v>
      </c>
    </row>
    <row r="391" spans="2:3" x14ac:dyDescent="0.35">
      <c r="B391" s="1330">
        <v>44582</v>
      </c>
      <c r="C391" s="1331">
        <v>212.74</v>
      </c>
    </row>
    <row r="392" spans="2:3" x14ac:dyDescent="0.35">
      <c r="B392" s="1330">
        <v>44583</v>
      </c>
      <c r="C392" s="1331">
        <v>212.74</v>
      </c>
    </row>
    <row r="393" spans="2:3" x14ac:dyDescent="0.35">
      <c r="B393" s="1330">
        <v>44584</v>
      </c>
      <c r="C393" s="1331">
        <v>212.74</v>
      </c>
    </row>
    <row r="394" spans="2:3" x14ac:dyDescent="0.35">
      <c r="B394" s="1330">
        <v>44585</v>
      </c>
      <c r="C394" s="1331">
        <v>219.09</v>
      </c>
    </row>
    <row r="395" spans="2:3" x14ac:dyDescent="0.35">
      <c r="B395" s="1330">
        <v>44586</v>
      </c>
      <c r="C395" s="1331">
        <v>218.84</v>
      </c>
    </row>
    <row r="396" spans="2:3" x14ac:dyDescent="0.35">
      <c r="B396" s="1330">
        <v>44587</v>
      </c>
      <c r="C396" s="1331">
        <v>216.85</v>
      </c>
    </row>
    <row r="397" spans="2:3" x14ac:dyDescent="0.35">
      <c r="B397" s="1330">
        <v>44588</v>
      </c>
      <c r="C397" s="1331">
        <v>223.75</v>
      </c>
    </row>
    <row r="398" spans="2:3" x14ac:dyDescent="0.35">
      <c r="B398" s="1330">
        <v>44589</v>
      </c>
      <c r="C398" s="1331">
        <v>216.66</v>
      </c>
    </row>
    <row r="399" spans="2:3" x14ac:dyDescent="0.35">
      <c r="B399" s="1330">
        <v>44590</v>
      </c>
      <c r="C399" s="1331">
        <v>216.66</v>
      </c>
    </row>
    <row r="400" spans="2:3" x14ac:dyDescent="0.35">
      <c r="B400" s="1330">
        <v>44591</v>
      </c>
      <c r="C400" s="1331">
        <v>216.66</v>
      </c>
    </row>
    <row r="401" spans="2:3" x14ac:dyDescent="0.35">
      <c r="B401" s="1330">
        <v>44592</v>
      </c>
      <c r="C401" s="1331">
        <v>214.67</v>
      </c>
    </row>
    <row r="402" spans="2:3" x14ac:dyDescent="0.35">
      <c r="B402" s="1330">
        <v>44593</v>
      </c>
      <c r="C402" s="1331">
        <v>214.63</v>
      </c>
    </row>
    <row r="403" spans="2:3" x14ac:dyDescent="0.35">
      <c r="B403" s="1330">
        <v>44594</v>
      </c>
      <c r="C403" s="1331">
        <v>210.88</v>
      </c>
    </row>
    <row r="404" spans="2:3" x14ac:dyDescent="0.35">
      <c r="B404" s="1330">
        <v>44595</v>
      </c>
      <c r="C404" s="1331">
        <v>211.71</v>
      </c>
    </row>
    <row r="405" spans="2:3" x14ac:dyDescent="0.35">
      <c r="B405" s="1330">
        <v>44596</v>
      </c>
      <c r="C405" s="1331">
        <v>212.23</v>
      </c>
    </row>
    <row r="406" spans="2:3" x14ac:dyDescent="0.35">
      <c r="B406" s="1330">
        <v>44597</v>
      </c>
      <c r="C406" s="1331">
        <v>212.23</v>
      </c>
    </row>
    <row r="407" spans="2:3" x14ac:dyDescent="0.35">
      <c r="B407" s="1330">
        <v>44598</v>
      </c>
      <c r="C407" s="1331">
        <v>212.23</v>
      </c>
    </row>
    <row r="408" spans="2:3" x14ac:dyDescent="0.35">
      <c r="B408" s="1330">
        <v>44599</v>
      </c>
      <c r="C408" s="1331">
        <v>210.22</v>
      </c>
    </row>
    <row r="409" spans="2:3" x14ac:dyDescent="0.35">
      <c r="B409" s="1330">
        <v>44600</v>
      </c>
      <c r="C409" s="1331">
        <v>207.9</v>
      </c>
    </row>
    <row r="410" spans="2:3" x14ac:dyDescent="0.35">
      <c r="B410" s="1330">
        <v>44601</v>
      </c>
      <c r="C410" s="1331">
        <v>204.97</v>
      </c>
    </row>
    <row r="411" spans="2:3" x14ac:dyDescent="0.35">
      <c r="B411" s="1330">
        <v>44602</v>
      </c>
      <c r="C411" s="1331">
        <v>207.15</v>
      </c>
    </row>
    <row r="412" spans="2:3" x14ac:dyDescent="0.35">
      <c r="B412" s="1330">
        <v>44603</v>
      </c>
      <c r="C412" s="1331">
        <v>207.59</v>
      </c>
    </row>
    <row r="413" spans="2:3" x14ac:dyDescent="0.35">
      <c r="B413" s="1330">
        <v>44604</v>
      </c>
      <c r="C413" s="1331">
        <v>207.59</v>
      </c>
    </row>
    <row r="414" spans="2:3" x14ac:dyDescent="0.35">
      <c r="B414" s="1330">
        <v>44605</v>
      </c>
      <c r="C414" s="1331">
        <v>207.59</v>
      </c>
    </row>
    <row r="415" spans="2:3" x14ac:dyDescent="0.35">
      <c r="B415" s="1330">
        <v>44606</v>
      </c>
      <c r="C415" s="1331">
        <v>207.41</v>
      </c>
    </row>
    <row r="416" spans="2:3" x14ac:dyDescent="0.35">
      <c r="B416" s="1330">
        <v>44607</v>
      </c>
      <c r="C416" s="1331">
        <v>205.49</v>
      </c>
    </row>
    <row r="417" spans="2:3" x14ac:dyDescent="0.35">
      <c r="B417" s="1330">
        <v>44608</v>
      </c>
      <c r="C417" s="1331">
        <v>203.93</v>
      </c>
    </row>
    <row r="418" spans="2:3" x14ac:dyDescent="0.35">
      <c r="B418" s="1330">
        <v>44609</v>
      </c>
      <c r="C418" s="1331">
        <v>203.03</v>
      </c>
    </row>
    <row r="419" spans="2:3" x14ac:dyDescent="0.35">
      <c r="B419" s="1330">
        <v>44610</v>
      </c>
      <c r="C419" s="1331">
        <v>199.72</v>
      </c>
    </row>
    <row r="420" spans="2:3" x14ac:dyDescent="0.35">
      <c r="B420" s="1330">
        <v>44611</v>
      </c>
      <c r="C420" s="1331">
        <v>199.72</v>
      </c>
    </row>
    <row r="421" spans="2:3" x14ac:dyDescent="0.35">
      <c r="B421" s="1330">
        <v>44612</v>
      </c>
      <c r="C421" s="1331">
        <v>199.72</v>
      </c>
    </row>
    <row r="422" spans="2:3" x14ac:dyDescent="0.35">
      <c r="B422" s="1330">
        <v>44613</v>
      </c>
      <c r="C422" s="1331">
        <v>201.12</v>
      </c>
    </row>
    <row r="423" spans="2:3" x14ac:dyDescent="0.35">
      <c r="B423" s="1330">
        <v>44614</v>
      </c>
      <c r="C423" s="1331">
        <v>196.05</v>
      </c>
    </row>
    <row r="424" spans="2:3" x14ac:dyDescent="0.35">
      <c r="B424" s="1330">
        <v>44615</v>
      </c>
      <c r="C424" s="1331">
        <v>196.81</v>
      </c>
    </row>
    <row r="425" spans="2:3" x14ac:dyDescent="0.35">
      <c r="B425" s="1330">
        <v>44616</v>
      </c>
      <c r="C425" s="1331">
        <v>197.19</v>
      </c>
    </row>
    <row r="426" spans="2:3" x14ac:dyDescent="0.35">
      <c r="B426" s="1330">
        <v>44617</v>
      </c>
      <c r="C426" s="1331">
        <v>195.31</v>
      </c>
    </row>
    <row r="427" spans="2:3" x14ac:dyDescent="0.35">
      <c r="B427" s="1330">
        <v>44618</v>
      </c>
      <c r="C427" s="1331">
        <v>195.31</v>
      </c>
    </row>
    <row r="428" spans="2:3" x14ac:dyDescent="0.35">
      <c r="B428" s="1330">
        <v>44619</v>
      </c>
      <c r="C428" s="1331">
        <v>195.31</v>
      </c>
    </row>
    <row r="429" spans="2:3" x14ac:dyDescent="0.35">
      <c r="B429" s="1330">
        <v>44620</v>
      </c>
      <c r="C429" s="1331">
        <v>195.31</v>
      </c>
    </row>
    <row r="430" spans="2:3" x14ac:dyDescent="0.35">
      <c r="B430" s="1330">
        <v>44621</v>
      </c>
      <c r="C430" s="1331">
        <v>195.31</v>
      </c>
    </row>
    <row r="431" spans="2:3" x14ac:dyDescent="0.35">
      <c r="B431" s="1330">
        <v>44622</v>
      </c>
      <c r="C431" s="1331">
        <v>196.84</v>
      </c>
    </row>
    <row r="432" spans="2:3" x14ac:dyDescent="0.35">
      <c r="B432" s="1330">
        <v>44623</v>
      </c>
      <c r="C432" s="1331">
        <v>196.82</v>
      </c>
    </row>
    <row r="433" spans="2:3" x14ac:dyDescent="0.35">
      <c r="B433" s="1330">
        <v>44624</v>
      </c>
      <c r="C433" s="1331">
        <v>197.6</v>
      </c>
    </row>
    <row r="434" spans="2:3" x14ac:dyDescent="0.35">
      <c r="B434" s="1330">
        <v>44625</v>
      </c>
      <c r="C434" s="1331">
        <v>197.6</v>
      </c>
    </row>
    <row r="435" spans="2:3" x14ac:dyDescent="0.35">
      <c r="B435" s="1330">
        <v>44626</v>
      </c>
      <c r="C435" s="1331">
        <v>197.6</v>
      </c>
    </row>
    <row r="436" spans="2:3" x14ac:dyDescent="0.35">
      <c r="B436" s="1330">
        <v>44627</v>
      </c>
      <c r="C436" s="1331">
        <v>197.28</v>
      </c>
    </row>
    <row r="437" spans="2:3" x14ac:dyDescent="0.35">
      <c r="B437" s="1330">
        <v>44628</v>
      </c>
      <c r="C437" s="1331">
        <v>194.54</v>
      </c>
    </row>
    <row r="438" spans="2:3" x14ac:dyDescent="0.35">
      <c r="B438" s="1330">
        <v>44629</v>
      </c>
      <c r="C438" s="1331">
        <v>190.85</v>
      </c>
    </row>
    <row r="439" spans="2:3" x14ac:dyDescent="0.35">
      <c r="B439" s="1330">
        <v>44630</v>
      </c>
      <c r="C439" s="1331">
        <v>189.62</v>
      </c>
    </row>
    <row r="440" spans="2:3" x14ac:dyDescent="0.35">
      <c r="B440" s="1330">
        <v>44631</v>
      </c>
      <c r="C440" s="1331">
        <v>187.41</v>
      </c>
    </row>
    <row r="441" spans="2:3" x14ac:dyDescent="0.35">
      <c r="B441" s="1330">
        <v>44634</v>
      </c>
      <c r="C441" s="1331">
        <v>185.6</v>
      </c>
    </row>
    <row r="442" spans="2:3" x14ac:dyDescent="0.35">
      <c r="B442" s="1330">
        <v>44635</v>
      </c>
      <c r="C442" s="1331">
        <v>187.94</v>
      </c>
    </row>
    <row r="443" spans="2:3" x14ac:dyDescent="0.35">
      <c r="B443" s="1330">
        <v>44636</v>
      </c>
      <c r="C443" s="1331">
        <v>193.3</v>
      </c>
    </row>
    <row r="444" spans="2:3" x14ac:dyDescent="0.35">
      <c r="B444" s="1330">
        <v>44637</v>
      </c>
      <c r="C444" s="1331">
        <v>195.27</v>
      </c>
    </row>
    <row r="445" spans="2:3" x14ac:dyDescent="0.35">
      <c r="B445" s="1330">
        <v>44638</v>
      </c>
      <c r="C445" s="1331">
        <v>195.17</v>
      </c>
    </row>
    <row r="446" spans="2:3" x14ac:dyDescent="0.35">
      <c r="B446" s="1330">
        <v>44641</v>
      </c>
      <c r="C446" s="1331">
        <v>197.9</v>
      </c>
    </row>
    <row r="447" spans="2:3" x14ac:dyDescent="0.35">
      <c r="B447" s="1330">
        <v>44642</v>
      </c>
      <c r="C447" s="1331">
        <v>199.82</v>
      </c>
    </row>
    <row r="448" spans="2:3" x14ac:dyDescent="0.35">
      <c r="B448" s="1330">
        <v>44643</v>
      </c>
      <c r="C448" s="1331">
        <v>200.72</v>
      </c>
    </row>
    <row r="449" spans="2:3" x14ac:dyDescent="0.35">
      <c r="B449" s="1330">
        <v>44645</v>
      </c>
      <c r="C449" s="1331">
        <v>200.31</v>
      </c>
    </row>
    <row r="450" spans="2:3" x14ac:dyDescent="0.35">
      <c r="B450" s="1330">
        <v>44648</v>
      </c>
      <c r="C450" s="1331">
        <v>196.27</v>
      </c>
    </row>
    <row r="451" spans="2:3" x14ac:dyDescent="0.35">
      <c r="B451" s="1330">
        <v>44649</v>
      </c>
      <c r="C451" s="1331">
        <v>191.99</v>
      </c>
    </row>
    <row r="452" spans="2:3" x14ac:dyDescent="0.35">
      <c r="B452" s="1330">
        <v>44650</v>
      </c>
      <c r="C452" s="1331">
        <v>192.52</v>
      </c>
    </row>
    <row r="453" spans="2:3" x14ac:dyDescent="0.35">
      <c r="B453" s="1330">
        <v>44651</v>
      </c>
      <c r="C453" s="1331">
        <v>190.56</v>
      </c>
    </row>
    <row r="454" spans="2:3" x14ac:dyDescent="0.35">
      <c r="B454" s="1330">
        <v>44652</v>
      </c>
      <c r="C454" s="1331">
        <v>189.75</v>
      </c>
    </row>
    <row r="455" spans="2:3" x14ac:dyDescent="0.35">
      <c r="B455" s="1330">
        <v>44655</v>
      </c>
      <c r="C455" s="1331">
        <v>190.88</v>
      </c>
    </row>
    <row r="456" spans="2:3" x14ac:dyDescent="0.35">
      <c r="B456" s="1330">
        <v>44656</v>
      </c>
      <c r="C456" s="1331">
        <v>190.17</v>
      </c>
    </row>
    <row r="457" spans="2:3" x14ac:dyDescent="0.35">
      <c r="B457" s="1330">
        <v>44657</v>
      </c>
      <c r="C457" s="1331">
        <v>190.21</v>
      </c>
    </row>
    <row r="458" spans="2:3" x14ac:dyDescent="0.35">
      <c r="B458" s="1330">
        <v>44658</v>
      </c>
      <c r="C458" s="1331">
        <v>192.32</v>
      </c>
    </row>
    <row r="459" spans="2:3" x14ac:dyDescent="0.35">
      <c r="B459" s="1330">
        <v>44659</v>
      </c>
      <c r="C459" s="1331">
        <v>191.15</v>
      </c>
    </row>
    <row r="460" spans="2:3" x14ac:dyDescent="0.35">
      <c r="B460" s="1330">
        <v>44662</v>
      </c>
      <c r="C460" s="1331">
        <v>191.31</v>
      </c>
    </row>
    <row r="461" spans="2:3" x14ac:dyDescent="0.35">
      <c r="B461" s="1330">
        <v>44663</v>
      </c>
      <c r="C461" s="1331">
        <v>191.67</v>
      </c>
    </row>
    <row r="462" spans="2:3" x14ac:dyDescent="0.35">
      <c r="B462" s="1330">
        <v>44664</v>
      </c>
      <c r="C462" s="1331">
        <v>191.33</v>
      </c>
    </row>
    <row r="463" spans="2:3" x14ac:dyDescent="0.35">
      <c r="B463" s="1330">
        <v>44665</v>
      </c>
      <c r="C463" s="1331">
        <v>191.33</v>
      </c>
    </row>
    <row r="464" spans="2:3" x14ac:dyDescent="0.35">
      <c r="B464" s="1330">
        <v>44666</v>
      </c>
      <c r="C464" s="1331">
        <v>191.33</v>
      </c>
    </row>
    <row r="465" spans="2:3" x14ac:dyDescent="0.35">
      <c r="B465" s="1330">
        <v>44669</v>
      </c>
      <c r="C465" s="1331">
        <v>189.3</v>
      </c>
    </row>
    <row r="466" spans="2:3" x14ac:dyDescent="0.35">
      <c r="B466" s="1330">
        <v>44670</v>
      </c>
      <c r="C466" s="1331">
        <v>191.69</v>
      </c>
    </row>
    <row r="467" spans="2:3" x14ac:dyDescent="0.35">
      <c r="B467" s="1330">
        <v>44671</v>
      </c>
      <c r="C467" s="1331">
        <v>195.24</v>
      </c>
    </row>
    <row r="468" spans="2:3" x14ac:dyDescent="0.35">
      <c r="B468" s="1330">
        <v>44672</v>
      </c>
      <c r="C468" s="1331">
        <v>203.97</v>
      </c>
    </row>
    <row r="469" spans="2:3" x14ac:dyDescent="0.35">
      <c r="B469" s="1330">
        <v>44673</v>
      </c>
      <c r="C469" s="1331">
        <v>208.27</v>
      </c>
    </row>
    <row r="470" spans="2:3" x14ac:dyDescent="0.35">
      <c r="B470" s="1330">
        <v>44676</v>
      </c>
      <c r="C470" s="1331">
        <v>207.96</v>
      </c>
    </row>
    <row r="471" spans="2:3" x14ac:dyDescent="0.35">
      <c r="B471" s="1330">
        <v>44677</v>
      </c>
      <c r="C471" s="1331">
        <v>212.07</v>
      </c>
    </row>
    <row r="472" spans="2:3" x14ac:dyDescent="0.35">
      <c r="B472" s="1330">
        <v>44678</v>
      </c>
      <c r="C472" s="1331">
        <v>208.33</v>
      </c>
    </row>
    <row r="473" spans="2:3" x14ac:dyDescent="0.35">
      <c r="B473" s="1330">
        <v>44679</v>
      </c>
      <c r="C473" s="1331">
        <v>203.99</v>
      </c>
    </row>
    <row r="474" spans="2:3" x14ac:dyDescent="0.35">
      <c r="B474" s="1330">
        <v>44680</v>
      </c>
      <c r="C474" s="1331">
        <v>205.99</v>
      </c>
    </row>
    <row r="475" spans="2:3" x14ac:dyDescent="0.35">
      <c r="B475" s="1330">
        <v>44683</v>
      </c>
      <c r="C475" s="1331">
        <v>209.38</v>
      </c>
    </row>
    <row r="476" spans="2:3" x14ac:dyDescent="0.35">
      <c r="B476" s="1330">
        <v>44684</v>
      </c>
      <c r="C476" s="1331">
        <v>207.49</v>
      </c>
    </row>
    <row r="477" spans="2:3" x14ac:dyDescent="0.35">
      <c r="B477" s="1330">
        <v>44685</v>
      </c>
      <c r="C477" s="1331">
        <v>203.57</v>
      </c>
    </row>
    <row r="478" spans="2:3" x14ac:dyDescent="0.35">
      <c r="B478" s="1330">
        <v>44686</v>
      </c>
      <c r="C478" s="1331">
        <v>205.39</v>
      </c>
    </row>
    <row r="479" spans="2:3" x14ac:dyDescent="0.35">
      <c r="B479" s="1330">
        <v>44687</v>
      </c>
      <c r="C479" s="1331">
        <v>208.49</v>
      </c>
    </row>
    <row r="480" spans="2:3" x14ac:dyDescent="0.35">
      <c r="B480" s="1330">
        <v>44690</v>
      </c>
      <c r="C480" s="1331">
        <v>206.52</v>
      </c>
    </row>
    <row r="481" spans="2:3" x14ac:dyDescent="0.35">
      <c r="B481" s="1330">
        <v>44691</v>
      </c>
      <c r="C481" s="1331">
        <v>207.79</v>
      </c>
    </row>
    <row r="482" spans="2:3" x14ac:dyDescent="0.35">
      <c r="B482" s="1330">
        <v>44692</v>
      </c>
      <c r="C482" s="1331">
        <v>207.08</v>
      </c>
    </row>
    <row r="483" spans="2:3" x14ac:dyDescent="0.35">
      <c r="B483" s="1330">
        <v>44693</v>
      </c>
      <c r="C483" s="1331">
        <v>206.38</v>
      </c>
    </row>
    <row r="484" spans="2:3" x14ac:dyDescent="0.35">
      <c r="B484" s="1330">
        <v>44694</v>
      </c>
      <c r="C484" s="1331">
        <v>210.85</v>
      </c>
    </row>
    <row r="485" spans="2:3" x14ac:dyDescent="0.35">
      <c r="B485" s="1330">
        <v>44697</v>
      </c>
      <c r="C485" s="1331">
        <v>210.79</v>
      </c>
    </row>
    <row r="486" spans="2:3" x14ac:dyDescent="0.35">
      <c r="B486" s="1330">
        <v>44698</v>
      </c>
      <c r="C486" s="1331">
        <v>209.31</v>
      </c>
    </row>
    <row r="487" spans="2:3" x14ac:dyDescent="0.35">
      <c r="B487" s="1330">
        <v>44699</v>
      </c>
      <c r="C487" s="1331">
        <v>209.31</v>
      </c>
    </row>
    <row r="488" spans="2:3" x14ac:dyDescent="0.35">
      <c r="B488" s="1330">
        <v>44700</v>
      </c>
      <c r="C488" s="1331">
        <v>207.88</v>
      </c>
    </row>
    <row r="489" spans="2:3" x14ac:dyDescent="0.35">
      <c r="B489" s="1330">
        <v>44701</v>
      </c>
      <c r="C489" s="1331">
        <v>209.56</v>
      </c>
    </row>
    <row r="490" spans="2:3" x14ac:dyDescent="0.35">
      <c r="B490" s="1330">
        <v>44704</v>
      </c>
      <c r="C490" s="1331">
        <v>210.61</v>
      </c>
    </row>
    <row r="491" spans="2:3" x14ac:dyDescent="0.35">
      <c r="B491" s="1330">
        <v>44705</v>
      </c>
      <c r="C491" s="1331">
        <v>211.33</v>
      </c>
    </row>
    <row r="492" spans="2:3" x14ac:dyDescent="0.35">
      <c r="B492" s="1330">
        <v>44706</v>
      </c>
      <c r="C492" s="1331">
        <v>211.33</v>
      </c>
    </row>
    <row r="493" spans="2:3" x14ac:dyDescent="0.35">
      <c r="B493" s="1330">
        <v>44707</v>
      </c>
      <c r="C493" s="1331">
        <v>211.41</v>
      </c>
    </row>
    <row r="494" spans="2:3" x14ac:dyDescent="0.35">
      <c r="B494" s="1330">
        <v>44708</v>
      </c>
      <c r="C494" s="1331">
        <v>210.35</v>
      </c>
    </row>
    <row r="495" spans="2:3" x14ac:dyDescent="0.35">
      <c r="B495" s="1330">
        <v>44711</v>
      </c>
      <c r="C495" s="1331">
        <v>209.15</v>
      </c>
    </row>
    <row r="496" spans="2:3" x14ac:dyDescent="0.35">
      <c r="B496" s="1330">
        <v>44712</v>
      </c>
      <c r="C496" s="1331">
        <v>207.35</v>
      </c>
    </row>
    <row r="497" spans="2:3" x14ac:dyDescent="0.35">
      <c r="B497" s="1330">
        <v>44713</v>
      </c>
      <c r="C497" s="1331">
        <v>208.62</v>
      </c>
    </row>
    <row r="498" spans="2:3" x14ac:dyDescent="0.35">
      <c r="B498" s="1330">
        <v>44714</v>
      </c>
      <c r="C498" s="1331">
        <v>207.04</v>
      </c>
    </row>
    <row r="499" spans="2:3" x14ac:dyDescent="0.35">
      <c r="B499" s="1330">
        <v>44715</v>
      </c>
      <c r="C499" s="1331">
        <v>207.75</v>
      </c>
    </row>
    <row r="500" spans="2:3" x14ac:dyDescent="0.35">
      <c r="B500" s="1330">
        <v>44718</v>
      </c>
      <c r="C500" s="1331">
        <v>208.84</v>
      </c>
    </row>
    <row r="501" spans="2:3" x14ac:dyDescent="0.35">
      <c r="B501" s="1330">
        <v>44719</v>
      </c>
      <c r="C501" s="1331">
        <v>208.68</v>
      </c>
    </row>
    <row r="502" spans="2:3" x14ac:dyDescent="0.35">
      <c r="B502" s="1330">
        <v>44720</v>
      </c>
      <c r="C502" s="1331">
        <v>209.15</v>
      </c>
    </row>
    <row r="503" spans="2:3" x14ac:dyDescent="0.35">
      <c r="B503" s="1330">
        <v>44721</v>
      </c>
      <c r="C503" s="1331">
        <v>217.5</v>
      </c>
    </row>
    <row r="504" spans="2:3" x14ac:dyDescent="0.35">
      <c r="B504" s="1330">
        <v>44722</v>
      </c>
      <c r="C504" s="1331">
        <v>223.2</v>
      </c>
    </row>
    <row r="505" spans="2:3" x14ac:dyDescent="0.35">
      <c r="B505" s="1330">
        <v>44725</v>
      </c>
      <c r="C505" s="1331">
        <v>227.37</v>
      </c>
    </row>
    <row r="506" spans="2:3" x14ac:dyDescent="0.35">
      <c r="B506" s="1330">
        <v>44726</v>
      </c>
      <c r="C506" s="1331">
        <v>231.96</v>
      </c>
    </row>
    <row r="507" spans="2:3" x14ac:dyDescent="0.35">
      <c r="B507" s="1330">
        <v>44727</v>
      </c>
      <c r="C507" s="1331">
        <v>229.83</v>
      </c>
    </row>
    <row r="508" spans="2:3" x14ac:dyDescent="0.35">
      <c r="B508" s="1330">
        <v>44728</v>
      </c>
      <c r="C508" s="1331">
        <v>235.09</v>
      </c>
    </row>
    <row r="509" spans="2:3" x14ac:dyDescent="0.35">
      <c r="B509" s="1330">
        <v>44729</v>
      </c>
      <c r="C509" s="1331">
        <v>235.09</v>
      </c>
    </row>
    <row r="510" spans="2:3" x14ac:dyDescent="0.35">
      <c r="B510" s="1330">
        <v>44732</v>
      </c>
      <c r="C510" s="1331">
        <v>235.09</v>
      </c>
    </row>
    <row r="511" spans="2:3" x14ac:dyDescent="0.35">
      <c r="B511" s="1330">
        <v>44733</v>
      </c>
      <c r="C511" s="1331">
        <v>233.27</v>
      </c>
    </row>
    <row r="512" spans="2:3" x14ac:dyDescent="0.35">
      <c r="B512" s="1330">
        <v>44734</v>
      </c>
      <c r="C512" s="1331">
        <v>227.94</v>
      </c>
    </row>
    <row r="513" spans="2:3" x14ac:dyDescent="0.35">
      <c r="B513" s="1330">
        <v>44735</v>
      </c>
      <c r="C513" s="1331">
        <v>232.23</v>
      </c>
    </row>
    <row r="514" spans="2:3" x14ac:dyDescent="0.35">
      <c r="B514" s="1330">
        <v>44736</v>
      </c>
      <c r="C514" s="1331">
        <v>232.72</v>
      </c>
    </row>
    <row r="515" spans="2:3" x14ac:dyDescent="0.35">
      <c r="B515" s="1330">
        <v>44739</v>
      </c>
      <c r="C515" s="1331">
        <v>240.09</v>
      </c>
    </row>
    <row r="516" spans="2:3" x14ac:dyDescent="0.35">
      <c r="B516" s="1330">
        <v>44740</v>
      </c>
      <c r="C516" s="1331">
        <v>243.07</v>
      </c>
    </row>
    <row r="517" spans="2:3" x14ac:dyDescent="0.35">
      <c r="B517" s="1330">
        <v>44741</v>
      </c>
      <c r="C517" s="1331">
        <v>245.67</v>
      </c>
    </row>
    <row r="518" spans="2:3" x14ac:dyDescent="0.35">
      <c r="B518" s="1330">
        <v>44742</v>
      </c>
      <c r="C518" s="1331">
        <v>249.59</v>
      </c>
    </row>
    <row r="519" spans="2:3" x14ac:dyDescent="0.35">
      <c r="B519" s="1330">
        <v>44743</v>
      </c>
      <c r="C519" s="1331">
        <v>247.9</v>
      </c>
    </row>
    <row r="520" spans="2:3" x14ac:dyDescent="0.35">
      <c r="B520" s="1330">
        <v>44746</v>
      </c>
      <c r="C520" s="1331">
        <v>272.39</v>
      </c>
    </row>
    <row r="521" spans="2:3" x14ac:dyDescent="0.35">
      <c r="B521" s="1330">
        <v>44747</v>
      </c>
      <c r="C521" s="1331">
        <v>265.27999999999997</v>
      </c>
    </row>
    <row r="522" spans="2:3" x14ac:dyDescent="0.35">
      <c r="B522" s="1330">
        <v>44748</v>
      </c>
      <c r="C522" s="1331">
        <v>270.17</v>
      </c>
    </row>
    <row r="523" spans="2:3" x14ac:dyDescent="0.35">
      <c r="B523" s="1330">
        <v>44749</v>
      </c>
      <c r="C523" s="1331">
        <v>284.32</v>
      </c>
    </row>
    <row r="524" spans="2:3" x14ac:dyDescent="0.35">
      <c r="B524" s="1330">
        <v>44750</v>
      </c>
      <c r="C524" s="1331">
        <v>289.29000000000002</v>
      </c>
    </row>
    <row r="525" spans="2:3" x14ac:dyDescent="0.35">
      <c r="B525" s="1330">
        <v>44753</v>
      </c>
      <c r="C525" s="1331">
        <v>285.69</v>
      </c>
    </row>
    <row r="526" spans="2:3" x14ac:dyDescent="0.35">
      <c r="B526" s="1330">
        <v>44754</v>
      </c>
      <c r="C526" s="1331">
        <v>279.39999999999998</v>
      </c>
    </row>
    <row r="527" spans="2:3" x14ac:dyDescent="0.35">
      <c r="B527" s="1330">
        <v>44755</v>
      </c>
      <c r="C527" s="1331">
        <v>280.06</v>
      </c>
    </row>
    <row r="528" spans="2:3" x14ac:dyDescent="0.35">
      <c r="B528" s="1330">
        <v>44756</v>
      </c>
      <c r="C528" s="1331">
        <v>284.27999999999997</v>
      </c>
    </row>
    <row r="529" spans="2:3" x14ac:dyDescent="0.35">
      <c r="B529" s="1330">
        <v>44757</v>
      </c>
      <c r="C529" s="1331">
        <v>292.5</v>
      </c>
    </row>
    <row r="530" spans="2:3" x14ac:dyDescent="0.35">
      <c r="B530" s="1330">
        <v>44760</v>
      </c>
      <c r="C530" s="1331">
        <v>295.24</v>
      </c>
    </row>
    <row r="531" spans="2:3" x14ac:dyDescent="0.35">
      <c r="B531" s="1330">
        <v>44761</v>
      </c>
      <c r="C531" s="1331">
        <v>297.83999999999997</v>
      </c>
    </row>
    <row r="532" spans="2:3" x14ac:dyDescent="0.35">
      <c r="B532" s="1330">
        <v>44762</v>
      </c>
      <c r="C532" s="1331">
        <v>303.44</v>
      </c>
    </row>
    <row r="533" spans="2:3" x14ac:dyDescent="0.35">
      <c r="B533" s="1330">
        <v>44763</v>
      </c>
      <c r="C533" s="1331">
        <v>326.08999999999997</v>
      </c>
    </row>
    <row r="534" spans="2:3" x14ac:dyDescent="0.35">
      <c r="B534" s="1330">
        <v>44764</v>
      </c>
      <c r="C534" s="1331">
        <v>315.5</v>
      </c>
    </row>
    <row r="535" spans="2:3" x14ac:dyDescent="0.35">
      <c r="B535" s="1330">
        <v>44765</v>
      </c>
      <c r="C535" s="1331">
        <v>315.5</v>
      </c>
    </row>
    <row r="536" spans="2:3" x14ac:dyDescent="0.35">
      <c r="B536" s="1330">
        <v>44766</v>
      </c>
      <c r="C536" s="1331">
        <v>315.5</v>
      </c>
    </row>
    <row r="537" spans="2:3" x14ac:dyDescent="0.35">
      <c r="B537" s="1330">
        <v>44767</v>
      </c>
      <c r="C537" s="1331">
        <v>319.72000000000003</v>
      </c>
    </row>
    <row r="538" spans="2:3" x14ac:dyDescent="0.35">
      <c r="B538" s="1330">
        <v>44768</v>
      </c>
      <c r="C538" s="1331">
        <v>324.88</v>
      </c>
    </row>
    <row r="539" spans="2:3" x14ac:dyDescent="0.35">
      <c r="B539" s="1330">
        <v>44769</v>
      </c>
      <c r="C539" s="1331">
        <v>323.77</v>
      </c>
    </row>
    <row r="540" spans="2:3" x14ac:dyDescent="0.35">
      <c r="B540" s="1330">
        <v>44770</v>
      </c>
      <c r="C540" s="1331">
        <v>298.16000000000003</v>
      </c>
    </row>
    <row r="541" spans="2:3" x14ac:dyDescent="0.35">
      <c r="B541" s="1330">
        <v>44771</v>
      </c>
      <c r="C541" s="1331">
        <v>276.70999999999998</v>
      </c>
    </row>
    <row r="542" spans="2:3" x14ac:dyDescent="0.35">
      <c r="B542" s="1330">
        <v>44772</v>
      </c>
      <c r="C542" s="1331">
        <v>276.70999999999998</v>
      </c>
    </row>
    <row r="543" spans="2:3" x14ac:dyDescent="0.35">
      <c r="B543" s="1330">
        <v>44773</v>
      </c>
      <c r="C543" s="1331">
        <v>276.70999999999998</v>
      </c>
    </row>
    <row r="544" spans="2:3" x14ac:dyDescent="0.35">
      <c r="B544" s="1330">
        <v>44774</v>
      </c>
      <c r="C544" s="1331">
        <v>272.48</v>
      </c>
    </row>
    <row r="545" spans="2:3" x14ac:dyDescent="0.35">
      <c r="B545" s="1330">
        <v>44775</v>
      </c>
      <c r="C545" s="1331">
        <v>276.66000000000003</v>
      </c>
    </row>
    <row r="546" spans="2:3" x14ac:dyDescent="0.35">
      <c r="B546" s="1330">
        <v>44776</v>
      </c>
      <c r="C546" s="1331">
        <v>281.02</v>
      </c>
    </row>
    <row r="547" spans="2:3" x14ac:dyDescent="0.35">
      <c r="B547" s="1330">
        <v>44777</v>
      </c>
      <c r="C547" s="1331">
        <v>284.47000000000003</v>
      </c>
    </row>
    <row r="548" spans="2:3" x14ac:dyDescent="0.35">
      <c r="B548" s="1330">
        <v>44778</v>
      </c>
      <c r="C548" s="1331">
        <v>278.77999999999997</v>
      </c>
    </row>
    <row r="549" spans="2:3" x14ac:dyDescent="0.35">
      <c r="B549" s="1330">
        <v>44779</v>
      </c>
      <c r="C549" s="1331">
        <v>278.77999999999997</v>
      </c>
    </row>
    <row r="550" spans="2:3" x14ac:dyDescent="0.35">
      <c r="B550" s="1330">
        <v>44780</v>
      </c>
      <c r="C550" s="1331">
        <v>278.77999999999997</v>
      </c>
    </row>
    <row r="551" spans="2:3" x14ac:dyDescent="0.35">
      <c r="B551" s="1330">
        <v>44781</v>
      </c>
      <c r="C551" s="1331">
        <v>278.94</v>
      </c>
    </row>
    <row r="552" spans="2:3" x14ac:dyDescent="0.35">
      <c r="B552" s="1330">
        <v>44782</v>
      </c>
      <c r="C552" s="1331">
        <v>279.2</v>
      </c>
    </row>
    <row r="553" spans="2:3" x14ac:dyDescent="0.35">
      <c r="B553" s="1330">
        <v>44783</v>
      </c>
      <c r="C553" s="1331">
        <v>284.58999999999997</v>
      </c>
    </row>
    <row r="554" spans="2:3" x14ac:dyDescent="0.35">
      <c r="B554" s="1330">
        <v>44784</v>
      </c>
      <c r="C554" s="1331">
        <v>279.36</v>
      </c>
    </row>
    <row r="555" spans="2:3" x14ac:dyDescent="0.35">
      <c r="B555" s="1330">
        <v>44785</v>
      </c>
      <c r="C555" s="1331">
        <v>279.12</v>
      </c>
    </row>
    <row r="556" spans="2:3" x14ac:dyDescent="0.35">
      <c r="B556" s="1330">
        <v>44786</v>
      </c>
      <c r="C556" s="1331">
        <v>279.12</v>
      </c>
    </row>
    <row r="557" spans="2:3" x14ac:dyDescent="0.35">
      <c r="B557" s="1330">
        <v>44787</v>
      </c>
      <c r="C557" s="1331">
        <v>279.12</v>
      </c>
    </row>
    <row r="558" spans="2:3" x14ac:dyDescent="0.35">
      <c r="B558" s="1330">
        <v>44788</v>
      </c>
      <c r="C558" s="1331">
        <v>279.12</v>
      </c>
    </row>
    <row r="559" spans="2:3" x14ac:dyDescent="0.35">
      <c r="B559" s="1330">
        <v>44789</v>
      </c>
      <c r="C559" s="1331">
        <v>275.77999999999997</v>
      </c>
    </row>
    <row r="560" spans="2:3" x14ac:dyDescent="0.35">
      <c r="B560" s="1330">
        <v>44790</v>
      </c>
      <c r="C560" s="1331">
        <v>281.37</v>
      </c>
    </row>
    <row r="561" spans="2:3" x14ac:dyDescent="0.35">
      <c r="B561" s="1330">
        <v>44791</v>
      </c>
      <c r="C561" s="1331">
        <v>288.13</v>
      </c>
    </row>
    <row r="562" spans="2:3" x14ac:dyDescent="0.35">
      <c r="B562" s="1330">
        <v>44792</v>
      </c>
      <c r="C562" s="1331">
        <v>292.02999999999997</v>
      </c>
    </row>
    <row r="563" spans="2:3" x14ac:dyDescent="0.35">
      <c r="B563" s="1330">
        <v>44793</v>
      </c>
      <c r="C563" s="1331">
        <v>292.02999999999997</v>
      </c>
    </row>
    <row r="564" spans="2:3" x14ac:dyDescent="0.35">
      <c r="B564" s="1330">
        <v>44794</v>
      </c>
      <c r="C564" s="1331">
        <v>292.02999999999997</v>
      </c>
    </row>
    <row r="565" spans="2:3" x14ac:dyDescent="0.35">
      <c r="B565" s="1330">
        <v>44795</v>
      </c>
      <c r="C565" s="1331">
        <v>287.88</v>
      </c>
    </row>
    <row r="566" spans="2:3" x14ac:dyDescent="0.35">
      <c r="B566" s="1330">
        <v>44796</v>
      </c>
      <c r="C566" s="1331">
        <v>288.14999999999998</v>
      </c>
    </row>
    <row r="567" spans="2:3" x14ac:dyDescent="0.35">
      <c r="B567" s="1330">
        <v>44797</v>
      </c>
      <c r="C567" s="1331">
        <v>286.60000000000002</v>
      </c>
    </row>
    <row r="568" spans="2:3" x14ac:dyDescent="0.35">
      <c r="B568" s="1330">
        <v>44798</v>
      </c>
      <c r="C568" s="1331">
        <v>286.60000000000002</v>
      </c>
    </row>
    <row r="569" spans="2:3" x14ac:dyDescent="0.35">
      <c r="B569" s="1330">
        <v>44799</v>
      </c>
      <c r="C569" s="1331">
        <v>282.57</v>
      </c>
    </row>
    <row r="570" spans="2:3" x14ac:dyDescent="0.35">
      <c r="B570" s="1330">
        <v>44800</v>
      </c>
      <c r="C570" s="1331">
        <v>282.57</v>
      </c>
    </row>
    <row r="571" spans="2:3" x14ac:dyDescent="0.35">
      <c r="B571" s="1330">
        <v>44801</v>
      </c>
      <c r="C571" s="1331">
        <v>282.57</v>
      </c>
    </row>
    <row r="572" spans="2:3" x14ac:dyDescent="0.35">
      <c r="B572" s="1330">
        <v>44802</v>
      </c>
      <c r="C572" s="1331">
        <v>281.77999999999997</v>
      </c>
    </row>
    <row r="573" spans="2:3" x14ac:dyDescent="0.35">
      <c r="B573" s="1330">
        <v>44803</v>
      </c>
      <c r="C573" s="1331">
        <v>283.83</v>
      </c>
    </row>
    <row r="574" spans="2:3" x14ac:dyDescent="0.35">
      <c r="B574" s="1330">
        <v>44804</v>
      </c>
      <c r="C574" s="1331">
        <v>283.08</v>
      </c>
    </row>
    <row r="575" spans="2:3" x14ac:dyDescent="0.35">
      <c r="B575" s="1330">
        <v>44805</v>
      </c>
      <c r="C575" s="1331">
        <v>278.73</v>
      </c>
    </row>
    <row r="576" spans="2:3" x14ac:dyDescent="0.35">
      <c r="B576" s="1330">
        <v>44806</v>
      </c>
      <c r="C576" s="1331">
        <v>278.73</v>
      </c>
    </row>
    <row r="577" spans="2:3" x14ac:dyDescent="0.35">
      <c r="B577" s="1330">
        <v>44809</v>
      </c>
      <c r="C577" s="1331">
        <v>271.19</v>
      </c>
    </row>
    <row r="578" spans="2:3" x14ac:dyDescent="0.35">
      <c r="B578" s="1330">
        <v>44810</v>
      </c>
      <c r="C578" s="1331">
        <v>270.33999999999997</v>
      </c>
    </row>
    <row r="579" spans="2:3" x14ac:dyDescent="0.35">
      <c r="B579" s="1330">
        <v>44811</v>
      </c>
      <c r="C579" s="1331">
        <v>271.02999999999997</v>
      </c>
    </row>
    <row r="580" spans="2:3" x14ac:dyDescent="0.35">
      <c r="B580" s="1330">
        <v>44812</v>
      </c>
      <c r="C580" s="1331">
        <v>273.02</v>
      </c>
    </row>
    <row r="581" spans="2:3" x14ac:dyDescent="0.35">
      <c r="B581" s="1330">
        <v>44813</v>
      </c>
      <c r="C581" s="1331">
        <v>269.56</v>
      </c>
    </row>
    <row r="582" spans="2:3" x14ac:dyDescent="0.35">
      <c r="B582" s="1330">
        <v>44816</v>
      </c>
      <c r="C582" s="1331">
        <v>269.39</v>
      </c>
    </row>
    <row r="583" spans="2:3" x14ac:dyDescent="0.35">
      <c r="B583" s="1330">
        <v>44817</v>
      </c>
      <c r="C583" s="1331">
        <v>269.89999999999998</v>
      </c>
    </row>
    <row r="584" spans="2:3" x14ac:dyDescent="0.35">
      <c r="B584" s="1330">
        <v>44818</v>
      </c>
      <c r="C584" s="1331">
        <v>275.45</v>
      </c>
    </row>
    <row r="585" spans="2:3" x14ac:dyDescent="0.35">
      <c r="B585" s="1330">
        <v>44819</v>
      </c>
      <c r="C585" s="1331">
        <v>289.66000000000003</v>
      </c>
    </row>
    <row r="586" spans="2:3" x14ac:dyDescent="0.35">
      <c r="B586" s="1330">
        <v>44820</v>
      </c>
      <c r="C586" s="1331">
        <v>294.19</v>
      </c>
    </row>
    <row r="587" spans="2:3" x14ac:dyDescent="0.35">
      <c r="B587" s="1330">
        <v>44823</v>
      </c>
      <c r="C587" s="1331">
        <v>297.11</v>
      </c>
    </row>
    <row r="588" spans="2:3" x14ac:dyDescent="0.35">
      <c r="B588" s="1330">
        <v>44824</v>
      </c>
      <c r="C588" s="1331">
        <v>295.10000000000002</v>
      </c>
    </row>
    <row r="589" spans="2:3" x14ac:dyDescent="0.35">
      <c r="B589" s="1330">
        <v>44825</v>
      </c>
      <c r="C589" s="1331">
        <v>297.91000000000003</v>
      </c>
    </row>
    <row r="590" spans="2:3" x14ac:dyDescent="0.35">
      <c r="B590" s="1330">
        <v>44826</v>
      </c>
      <c r="C590" s="1331">
        <v>302.19</v>
      </c>
    </row>
    <row r="591" spans="2:3" x14ac:dyDescent="0.35">
      <c r="B591" s="1330">
        <v>44827</v>
      </c>
      <c r="C591" s="1331">
        <v>301.82</v>
      </c>
    </row>
    <row r="592" spans="2:3" x14ac:dyDescent="0.35">
      <c r="B592" s="1330">
        <v>44830</v>
      </c>
      <c r="C592" s="1331">
        <v>298.25</v>
      </c>
    </row>
    <row r="593" spans="2:3" x14ac:dyDescent="0.35">
      <c r="B593" s="1330">
        <v>44831</v>
      </c>
      <c r="C593" s="1331">
        <v>296.77999999999997</v>
      </c>
    </row>
    <row r="594" spans="2:3" x14ac:dyDescent="0.35">
      <c r="B594" s="1330">
        <v>44832</v>
      </c>
      <c r="C594" s="1331">
        <v>297.99</v>
      </c>
    </row>
    <row r="595" spans="2:3" x14ac:dyDescent="0.35">
      <c r="B595" s="1330">
        <v>44833</v>
      </c>
      <c r="C595" s="1331">
        <v>295.83</v>
      </c>
    </row>
    <row r="596" spans="2:3" x14ac:dyDescent="0.35">
      <c r="B596" s="1330">
        <v>44834</v>
      </c>
      <c r="C596" s="1331">
        <v>302.48</v>
      </c>
    </row>
    <row r="597" spans="2:3" x14ac:dyDescent="0.35">
      <c r="B597" s="1330">
        <v>44837</v>
      </c>
      <c r="C597" s="1331">
        <v>297.97000000000003</v>
      </c>
    </row>
    <row r="598" spans="2:3" x14ac:dyDescent="0.35">
      <c r="B598" s="1330">
        <v>44838</v>
      </c>
      <c r="C598" s="1331">
        <v>299.77</v>
      </c>
    </row>
    <row r="599" spans="2:3" x14ac:dyDescent="0.35">
      <c r="B599" s="1330">
        <v>44839</v>
      </c>
      <c r="C599" s="1331">
        <v>297.5</v>
      </c>
    </row>
    <row r="600" spans="2:3" x14ac:dyDescent="0.35">
      <c r="B600" s="1330">
        <v>44840</v>
      </c>
      <c r="C600" s="1331">
        <v>293.25</v>
      </c>
    </row>
    <row r="601" spans="2:3" x14ac:dyDescent="0.35">
      <c r="B601" s="1330">
        <v>44841</v>
      </c>
      <c r="C601" s="1331">
        <v>293.25</v>
      </c>
    </row>
    <row r="602" spans="2:3" x14ac:dyDescent="0.35">
      <c r="B602" s="1330">
        <v>44844</v>
      </c>
      <c r="C602" s="1331">
        <v>293.25</v>
      </c>
    </row>
    <row r="603" spans="2:3" x14ac:dyDescent="0.35">
      <c r="B603" s="1330">
        <v>44845</v>
      </c>
      <c r="C603" s="1331">
        <v>288.14999999999998</v>
      </c>
    </row>
    <row r="604" spans="2:3" x14ac:dyDescent="0.35">
      <c r="B604" s="1330">
        <v>44846</v>
      </c>
      <c r="C604" s="1331">
        <v>293.69</v>
      </c>
    </row>
    <row r="605" spans="2:3" x14ac:dyDescent="0.35">
      <c r="B605" s="1330">
        <v>44847</v>
      </c>
      <c r="C605" s="1331">
        <v>299.42</v>
      </c>
    </row>
    <row r="606" spans="2:3" x14ac:dyDescent="0.35">
      <c r="B606" s="1330">
        <v>44848</v>
      </c>
      <c r="C606" s="1331">
        <v>299.04000000000002</v>
      </c>
    </row>
    <row r="607" spans="2:3" x14ac:dyDescent="0.35">
      <c r="B607" s="1330">
        <v>44851</v>
      </c>
      <c r="C607" s="1331">
        <v>295.58</v>
      </c>
    </row>
    <row r="608" spans="2:3" x14ac:dyDescent="0.35">
      <c r="B608" s="1330">
        <v>44852</v>
      </c>
      <c r="C608" s="1331">
        <v>293.33</v>
      </c>
    </row>
    <row r="609" spans="2:3" x14ac:dyDescent="0.35">
      <c r="B609" s="1330">
        <v>44853</v>
      </c>
      <c r="C609" s="1331">
        <v>292.41000000000003</v>
      </c>
    </row>
    <row r="610" spans="2:3" x14ac:dyDescent="0.35">
      <c r="B610" s="1330">
        <v>44854</v>
      </c>
      <c r="C610" s="1331">
        <v>290.87</v>
      </c>
    </row>
    <row r="611" spans="2:3" x14ac:dyDescent="0.35">
      <c r="B611" s="1330">
        <v>44855</v>
      </c>
      <c r="C611" s="1331">
        <v>290.63</v>
      </c>
    </row>
    <row r="612" spans="2:3" x14ac:dyDescent="0.35">
      <c r="B612" s="1330">
        <v>44858</v>
      </c>
      <c r="C612" s="1331">
        <v>291.89</v>
      </c>
    </row>
    <row r="613" spans="2:3" x14ac:dyDescent="0.35">
      <c r="B613" s="1330">
        <v>44859</v>
      </c>
      <c r="C613" s="1331">
        <v>293.63</v>
      </c>
    </row>
    <row r="614" spans="2:3" x14ac:dyDescent="0.35">
      <c r="B614" s="1330">
        <v>44860</v>
      </c>
      <c r="C614" s="1331">
        <v>292.27999999999997</v>
      </c>
    </row>
    <row r="615" spans="2:3" x14ac:dyDescent="0.35">
      <c r="B615" s="1330">
        <v>44861</v>
      </c>
      <c r="C615" s="1331">
        <v>294.64999999999998</v>
      </c>
    </row>
    <row r="616" spans="2:3" x14ac:dyDescent="0.35">
      <c r="B616" s="1330">
        <v>44862</v>
      </c>
      <c r="C616" s="1331">
        <v>295.07</v>
      </c>
    </row>
    <row r="617" spans="2:3" x14ac:dyDescent="0.35">
      <c r="B617" s="1330">
        <v>44865</v>
      </c>
      <c r="C617" s="1331">
        <v>293.92</v>
      </c>
    </row>
    <row r="618" spans="2:3" x14ac:dyDescent="0.35">
      <c r="B618" s="1330">
        <v>44866</v>
      </c>
      <c r="C618" s="1331">
        <v>292.83999999999997</v>
      </c>
    </row>
    <row r="619" spans="2:3" x14ac:dyDescent="0.35">
      <c r="B619" s="1330">
        <v>44867</v>
      </c>
      <c r="C619" s="1331">
        <v>291.17</v>
      </c>
    </row>
    <row r="620" spans="2:3" x14ac:dyDescent="0.35">
      <c r="B620" s="1330">
        <v>44868</v>
      </c>
      <c r="C620" s="1331">
        <v>292.92</v>
      </c>
    </row>
    <row r="621" spans="2:3" x14ac:dyDescent="0.35">
      <c r="B621" s="1330">
        <v>44869</v>
      </c>
      <c r="C621" s="1331">
        <v>290.97000000000003</v>
      </c>
    </row>
    <row r="622" spans="2:3" x14ac:dyDescent="0.35">
      <c r="B622" s="1330">
        <v>44872</v>
      </c>
      <c r="C622" s="1331">
        <v>289.76</v>
      </c>
    </row>
    <row r="623" spans="2:3" x14ac:dyDescent="0.35">
      <c r="B623" s="1330">
        <v>44873</v>
      </c>
      <c r="C623" s="1331">
        <v>292.37</v>
      </c>
    </row>
    <row r="624" spans="2:3" x14ac:dyDescent="0.35">
      <c r="B624" s="1330">
        <v>44874</v>
      </c>
      <c r="C624" s="1331">
        <v>292.93</v>
      </c>
    </row>
    <row r="625" spans="2:3" x14ac:dyDescent="0.35">
      <c r="B625" s="1330">
        <v>44875</v>
      </c>
      <c r="C625" s="1331">
        <v>296.82</v>
      </c>
    </row>
    <row r="626" spans="2:3" x14ac:dyDescent="0.35">
      <c r="B626" s="1330">
        <v>44876</v>
      </c>
      <c r="C626" s="1331">
        <v>297.70999999999998</v>
      </c>
    </row>
    <row r="627" spans="2:3" x14ac:dyDescent="0.35">
      <c r="B627" s="1330">
        <v>44879</v>
      </c>
      <c r="C627" s="1331">
        <v>299.83999999999997</v>
      </c>
    </row>
    <row r="628" spans="2:3" x14ac:dyDescent="0.35">
      <c r="B628" s="1330">
        <v>44880</v>
      </c>
      <c r="C628" s="1331">
        <v>302.06</v>
      </c>
    </row>
    <row r="629" spans="2:3" x14ac:dyDescent="0.35">
      <c r="B629" s="1330">
        <v>44881</v>
      </c>
      <c r="C629" s="1331">
        <v>308.98</v>
      </c>
    </row>
    <row r="630" spans="2:3" x14ac:dyDescent="0.35">
      <c r="B630" s="1330">
        <v>44882</v>
      </c>
      <c r="C630" s="1331">
        <v>313.87</v>
      </c>
    </row>
    <row r="631" spans="2:3" x14ac:dyDescent="0.35">
      <c r="B631" s="1330">
        <v>44883</v>
      </c>
      <c r="C631" s="1331">
        <v>313.58</v>
      </c>
    </row>
    <row r="632" spans="2:3" x14ac:dyDescent="0.35">
      <c r="B632" s="1330">
        <v>44886</v>
      </c>
      <c r="C632" s="1331">
        <v>313.58</v>
      </c>
    </row>
    <row r="633" spans="2:3" x14ac:dyDescent="0.35">
      <c r="B633" s="1330">
        <v>44887</v>
      </c>
      <c r="C633" s="1331">
        <v>312.8</v>
      </c>
    </row>
    <row r="634" spans="2:3" x14ac:dyDescent="0.35">
      <c r="B634" s="1330">
        <v>44888</v>
      </c>
      <c r="C634" s="1331">
        <v>311.81</v>
      </c>
    </row>
    <row r="635" spans="2:3" x14ac:dyDescent="0.35">
      <c r="B635" s="1330">
        <v>44889</v>
      </c>
      <c r="C635" s="1331">
        <v>319.3</v>
      </c>
    </row>
    <row r="636" spans="2:3" x14ac:dyDescent="0.35">
      <c r="B636" s="1330">
        <v>44890</v>
      </c>
      <c r="C636" s="1331">
        <v>316.07</v>
      </c>
    </row>
    <row r="637" spans="2:3" x14ac:dyDescent="0.35">
      <c r="B637" s="1330">
        <v>44893</v>
      </c>
      <c r="C637" s="1331">
        <v>314.02</v>
      </c>
    </row>
    <row r="638" spans="2:3" x14ac:dyDescent="0.35">
      <c r="B638" s="1330">
        <v>44894</v>
      </c>
      <c r="C638" s="1331">
        <v>313.45</v>
      </c>
    </row>
    <row r="639" spans="2:3" x14ac:dyDescent="0.35">
      <c r="B639" s="1330">
        <v>44895</v>
      </c>
      <c r="C639" s="1331">
        <v>312.51</v>
      </c>
    </row>
    <row r="640" spans="2:3" x14ac:dyDescent="0.35">
      <c r="B640" s="1330">
        <v>44896</v>
      </c>
      <c r="C640" s="1331">
        <v>318.57</v>
      </c>
    </row>
    <row r="641" spans="2:3" x14ac:dyDescent="0.35">
      <c r="B641" s="1330">
        <v>44897</v>
      </c>
      <c r="C641" s="1331">
        <v>318.67</v>
      </c>
    </row>
    <row r="642" spans="2:3" x14ac:dyDescent="0.35">
      <c r="B642" s="1330">
        <v>44900</v>
      </c>
      <c r="C642" s="1331">
        <v>319.11</v>
      </c>
    </row>
    <row r="643" spans="2:3" x14ac:dyDescent="0.35">
      <c r="B643" s="1330">
        <v>44901</v>
      </c>
      <c r="C643" s="1331">
        <v>328.88</v>
      </c>
    </row>
    <row r="644" spans="2:3" x14ac:dyDescent="0.35">
      <c r="B644" s="1330">
        <v>44902</v>
      </c>
      <c r="C644" s="1331">
        <v>328.98</v>
      </c>
    </row>
    <row r="645" spans="2:3" x14ac:dyDescent="0.35">
      <c r="B645" s="1330">
        <v>44903</v>
      </c>
      <c r="C645" s="1331">
        <v>328.98</v>
      </c>
    </row>
    <row r="646" spans="2:3" x14ac:dyDescent="0.35">
      <c r="B646" s="1330">
        <v>44904</v>
      </c>
      <c r="C646" s="1331">
        <v>328.98</v>
      </c>
    </row>
    <row r="647" spans="2:3" x14ac:dyDescent="0.35">
      <c r="B647" s="1330">
        <v>44907</v>
      </c>
      <c r="C647" s="1331">
        <v>322.35000000000002</v>
      </c>
    </row>
    <row r="648" spans="2:3" x14ac:dyDescent="0.35">
      <c r="B648" s="1330">
        <v>44908</v>
      </c>
      <c r="C648" s="1331">
        <v>323.36</v>
      </c>
    </row>
    <row r="649" spans="2:3" x14ac:dyDescent="0.35">
      <c r="B649" s="1330">
        <v>44909</v>
      </c>
      <c r="C649" s="1331">
        <v>322.7</v>
      </c>
    </row>
    <row r="650" spans="2:3" x14ac:dyDescent="0.35">
      <c r="B650" s="1330">
        <v>44910</v>
      </c>
      <c r="C650" s="1331">
        <v>320.10000000000002</v>
      </c>
    </row>
    <row r="651" spans="2:3" x14ac:dyDescent="0.35">
      <c r="B651" s="1330">
        <v>44911</v>
      </c>
      <c r="C651" s="1331">
        <v>320.10000000000002</v>
      </c>
    </row>
    <row r="652" spans="2:3" x14ac:dyDescent="0.35">
      <c r="B652" s="1330">
        <v>44914</v>
      </c>
      <c r="C652" s="1331">
        <v>320.89</v>
      </c>
    </row>
    <row r="653" spans="2:3" x14ac:dyDescent="0.35">
      <c r="B653" s="1330">
        <v>44915</v>
      </c>
      <c r="C653" s="1331">
        <v>325.01</v>
      </c>
    </row>
    <row r="654" spans="2:3" x14ac:dyDescent="0.35">
      <c r="B654" s="1330">
        <v>44916</v>
      </c>
      <c r="C654" s="1331">
        <v>322.87</v>
      </c>
    </row>
    <row r="655" spans="2:3" x14ac:dyDescent="0.35">
      <c r="B655" s="1330">
        <v>44917</v>
      </c>
      <c r="C655" s="1331">
        <v>324.25</v>
      </c>
    </row>
    <row r="656" spans="2:3" x14ac:dyDescent="0.35">
      <c r="B656" s="1330">
        <v>44918</v>
      </c>
      <c r="C656" s="1331">
        <v>325.70999999999998</v>
      </c>
    </row>
    <row r="657" spans="2:3" x14ac:dyDescent="0.35">
      <c r="B657" s="1330">
        <v>44921</v>
      </c>
      <c r="C657" s="1331">
        <v>327.62</v>
      </c>
    </row>
    <row r="658" spans="2:3" x14ac:dyDescent="0.35">
      <c r="B658" s="1330">
        <v>44922</v>
      </c>
      <c r="C658" s="1331">
        <v>335.39</v>
      </c>
    </row>
    <row r="659" spans="2:3" x14ac:dyDescent="0.35">
      <c r="B659" s="1330">
        <v>44923</v>
      </c>
      <c r="C659" s="1331">
        <v>331.63</v>
      </c>
    </row>
    <row r="660" spans="2:3" x14ac:dyDescent="0.35">
      <c r="B660" s="1330">
        <v>44924</v>
      </c>
      <c r="C660" s="1331">
        <v>334.36</v>
      </c>
    </row>
    <row r="661" spans="2:3" x14ac:dyDescent="0.35">
      <c r="B661" s="1330">
        <v>44925</v>
      </c>
      <c r="C661" s="1331">
        <v>327.94</v>
      </c>
    </row>
    <row r="662" spans="2:3" x14ac:dyDescent="0.35">
      <c r="B662" s="1330">
        <v>44928</v>
      </c>
      <c r="C662" s="1331">
        <v>329.21</v>
      </c>
    </row>
    <row r="663" spans="2:3" x14ac:dyDescent="0.35">
      <c r="B663" s="1330">
        <v>44929</v>
      </c>
      <c r="C663" s="1331">
        <v>330.7</v>
      </c>
    </row>
    <row r="664" spans="2:3" x14ac:dyDescent="0.35">
      <c r="B664" s="1330">
        <v>44930</v>
      </c>
      <c r="C664" s="1331">
        <v>334.93</v>
      </c>
    </row>
    <row r="665" spans="2:3" x14ac:dyDescent="0.35">
      <c r="B665" s="1330">
        <v>44931</v>
      </c>
      <c r="C665" s="1331">
        <v>332.67</v>
      </c>
    </row>
    <row r="666" spans="2:3" x14ac:dyDescent="0.35">
      <c r="B666" s="1330">
        <v>44932</v>
      </c>
      <c r="C666" s="1331">
        <v>329.91</v>
      </c>
    </row>
    <row r="667" spans="2:3" x14ac:dyDescent="0.35">
      <c r="B667" s="1330">
        <v>44935</v>
      </c>
      <c r="C667" s="1331">
        <v>327.17</v>
      </c>
    </row>
    <row r="668" spans="2:3" x14ac:dyDescent="0.35">
      <c r="B668" s="1330">
        <v>44936</v>
      </c>
      <c r="C668" s="1331">
        <v>325.87</v>
      </c>
    </row>
    <row r="669" spans="2:3" x14ac:dyDescent="0.35">
      <c r="B669" s="1330">
        <v>44937</v>
      </c>
      <c r="C669" s="1331">
        <v>327.7</v>
      </c>
    </row>
    <row r="670" spans="2:3" x14ac:dyDescent="0.35">
      <c r="B670" s="1330">
        <v>44938</v>
      </c>
      <c r="C670" s="1331">
        <v>342.38</v>
      </c>
    </row>
    <row r="671" spans="2:3" x14ac:dyDescent="0.35">
      <c r="B671" s="1330">
        <v>44939</v>
      </c>
      <c r="C671" s="1331">
        <v>340.23</v>
      </c>
    </row>
    <row r="672" spans="2:3" x14ac:dyDescent="0.35">
      <c r="B672" s="1330">
        <v>44942</v>
      </c>
      <c r="C672" s="1331">
        <v>344.03</v>
      </c>
    </row>
    <row r="673" spans="2:3" x14ac:dyDescent="0.35">
      <c r="B673" s="1330">
        <v>44943</v>
      </c>
      <c r="C673" s="1331">
        <v>341.89</v>
      </c>
    </row>
    <row r="674" spans="2:3" x14ac:dyDescent="0.35">
      <c r="B674" s="1330">
        <v>44944</v>
      </c>
      <c r="C674" s="1331">
        <v>340.3</v>
      </c>
    </row>
    <row r="675" spans="2:3" x14ac:dyDescent="0.35">
      <c r="B675" s="1330">
        <v>44945</v>
      </c>
      <c r="C675" s="1331">
        <v>332.83</v>
      </c>
    </row>
    <row r="676" spans="2:3" x14ac:dyDescent="0.35">
      <c r="B676" s="1330">
        <v>44946</v>
      </c>
      <c r="C676" s="1331">
        <v>352.52</v>
      </c>
    </row>
    <row r="677" spans="2:3" x14ac:dyDescent="0.35">
      <c r="B677" s="1330">
        <v>44949</v>
      </c>
      <c r="C677" s="1331">
        <v>352.21</v>
      </c>
    </row>
    <row r="678" spans="2:3" x14ac:dyDescent="0.35">
      <c r="B678" s="1330">
        <v>44950</v>
      </c>
      <c r="C678" s="1331">
        <v>353.85</v>
      </c>
    </row>
    <row r="679" spans="2:3" x14ac:dyDescent="0.35">
      <c r="B679" s="1330">
        <v>44951</v>
      </c>
      <c r="C679" s="1331">
        <v>351.98</v>
      </c>
    </row>
    <row r="680" spans="2:3" x14ac:dyDescent="0.35">
      <c r="B680" s="1330">
        <v>44952</v>
      </c>
      <c r="C680" s="1331">
        <v>352.22</v>
      </c>
    </row>
    <row r="681" spans="2:3" x14ac:dyDescent="0.35">
      <c r="B681" s="1330">
        <v>44953</v>
      </c>
      <c r="C681" s="1331">
        <v>352.78</v>
      </c>
    </row>
    <row r="682" spans="2:3" x14ac:dyDescent="0.35">
      <c r="B682" s="1330">
        <v>44956</v>
      </c>
      <c r="C682" s="1331">
        <v>353.93</v>
      </c>
    </row>
    <row r="683" spans="2:3" x14ac:dyDescent="0.35">
      <c r="B683" s="1330">
        <v>44957</v>
      </c>
      <c r="C683" s="1331">
        <v>354.81</v>
      </c>
    </row>
    <row r="684" spans="2:3" x14ac:dyDescent="0.35">
      <c r="B684" s="1330">
        <v>44958</v>
      </c>
      <c r="C684" s="1331">
        <v>353.7</v>
      </c>
    </row>
    <row r="685" spans="2:3" x14ac:dyDescent="0.35">
      <c r="B685" s="1330">
        <v>44959</v>
      </c>
      <c r="C685" s="1331">
        <v>354.75</v>
      </c>
    </row>
    <row r="686" spans="2:3" x14ac:dyDescent="0.35">
      <c r="B686" s="1330">
        <v>44960</v>
      </c>
      <c r="C686" s="1331">
        <v>357.36</v>
      </c>
    </row>
    <row r="687" spans="2:3" x14ac:dyDescent="0.35">
      <c r="B687" s="1330">
        <v>44963</v>
      </c>
      <c r="C687" s="1331">
        <v>353.94</v>
      </c>
    </row>
    <row r="688" spans="2:3" x14ac:dyDescent="0.35">
      <c r="B688" s="1330">
        <v>44964</v>
      </c>
      <c r="C688" s="1331">
        <v>353.2</v>
      </c>
    </row>
    <row r="689" spans="2:3" x14ac:dyDescent="0.35">
      <c r="B689" s="1330">
        <v>44965</v>
      </c>
      <c r="C689" s="1331">
        <v>354.95</v>
      </c>
    </row>
    <row r="690" spans="2:3" x14ac:dyDescent="0.35">
      <c r="B690" s="1330">
        <v>44966</v>
      </c>
      <c r="C690" s="1331">
        <v>354.36</v>
      </c>
    </row>
    <row r="691" spans="2:3" x14ac:dyDescent="0.35">
      <c r="B691" s="1330">
        <v>44967</v>
      </c>
      <c r="C691" s="1331">
        <v>354.15</v>
      </c>
    </row>
    <row r="692" spans="2:3" x14ac:dyDescent="0.35">
      <c r="B692" s="1330">
        <v>44970</v>
      </c>
      <c r="C692" s="1331">
        <v>355.27</v>
      </c>
    </row>
    <row r="693" spans="2:3" x14ac:dyDescent="0.35">
      <c r="B693" s="1330">
        <v>44971</v>
      </c>
      <c r="C693" s="1331">
        <v>355.28</v>
      </c>
    </row>
    <row r="694" spans="2:3" x14ac:dyDescent="0.35">
      <c r="B694" s="1330">
        <v>44972</v>
      </c>
      <c r="C694" s="1331">
        <v>356.23</v>
      </c>
    </row>
    <row r="695" spans="2:3" x14ac:dyDescent="0.35">
      <c r="B695" s="1330">
        <v>44973</v>
      </c>
      <c r="C695" s="1331">
        <v>357.61</v>
      </c>
    </row>
    <row r="696" spans="2:3" x14ac:dyDescent="0.35">
      <c r="B696" s="1330">
        <v>44974</v>
      </c>
      <c r="C696" s="1331">
        <v>355.59</v>
      </c>
    </row>
    <row r="697" spans="2:3" x14ac:dyDescent="0.35">
      <c r="B697" s="1330">
        <v>44977</v>
      </c>
      <c r="C697" s="1331">
        <v>355.59</v>
      </c>
    </row>
    <row r="698" spans="2:3" x14ac:dyDescent="0.35">
      <c r="B698" s="1330">
        <v>44978</v>
      </c>
      <c r="C698" s="1331">
        <v>355.59</v>
      </c>
    </row>
    <row r="699" spans="2:3" x14ac:dyDescent="0.35">
      <c r="B699" s="1330">
        <v>44979</v>
      </c>
      <c r="C699" s="1331">
        <v>356.45</v>
      </c>
    </row>
    <row r="700" spans="2:3" x14ac:dyDescent="0.35">
      <c r="B700" s="1330">
        <v>44980</v>
      </c>
      <c r="C700" s="1331">
        <v>357.26</v>
      </c>
    </row>
    <row r="701" spans="2:3" x14ac:dyDescent="0.35">
      <c r="B701" s="1330">
        <v>44981</v>
      </c>
      <c r="C701" s="1331">
        <v>356.78</v>
      </c>
    </row>
    <row r="702" spans="2:3" x14ac:dyDescent="0.35">
      <c r="B702" s="1330">
        <v>44984</v>
      </c>
      <c r="C702" s="1331">
        <v>356.07</v>
      </c>
    </row>
    <row r="703" spans="2:3" x14ac:dyDescent="0.35">
      <c r="B703" s="1330">
        <v>44985</v>
      </c>
      <c r="C703" s="1331">
        <v>357.47</v>
      </c>
    </row>
    <row r="704" spans="2:3" x14ac:dyDescent="0.35">
      <c r="B704" s="1330">
        <v>44986</v>
      </c>
      <c r="C704" s="1331">
        <v>359.78</v>
      </c>
    </row>
    <row r="705" spans="2:3" x14ac:dyDescent="0.35">
      <c r="B705" s="1330">
        <v>44987</v>
      </c>
      <c r="C705" s="1331">
        <v>364.81</v>
      </c>
    </row>
    <row r="706" spans="2:3" x14ac:dyDescent="0.35">
      <c r="B706" s="1330">
        <v>44988</v>
      </c>
      <c r="C706" s="1331">
        <v>366.5</v>
      </c>
    </row>
    <row r="707" spans="2:3" x14ac:dyDescent="0.35">
      <c r="B707" s="1330">
        <v>44991</v>
      </c>
      <c r="C707" s="1331">
        <v>362.42</v>
      </c>
    </row>
    <row r="708" spans="2:3" x14ac:dyDescent="0.35">
      <c r="B708" s="1330">
        <v>44992</v>
      </c>
      <c r="C708" s="1331">
        <v>366.97</v>
      </c>
    </row>
    <row r="709" spans="2:3" x14ac:dyDescent="0.35">
      <c r="B709" s="1330">
        <v>44993</v>
      </c>
      <c r="C709" s="1331">
        <v>372.86</v>
      </c>
    </row>
    <row r="710" spans="2:3" x14ac:dyDescent="0.35">
      <c r="B710" s="1330">
        <v>44994</v>
      </c>
      <c r="C710" s="1331">
        <v>375.43</v>
      </c>
    </row>
    <row r="711" spans="2:3" x14ac:dyDescent="0.35">
      <c r="B711" s="1330">
        <v>44995</v>
      </c>
      <c r="C711" s="1331">
        <v>380.64</v>
      </c>
    </row>
    <row r="712" spans="2:3" x14ac:dyDescent="0.35">
      <c r="B712" s="1330">
        <v>44998</v>
      </c>
      <c r="C712" s="1331">
        <v>379.51</v>
      </c>
    </row>
    <row r="713" spans="2:3" x14ac:dyDescent="0.35">
      <c r="B713" s="1330">
        <v>44999</v>
      </c>
      <c r="C713" s="1331">
        <v>377.76</v>
      </c>
    </row>
    <row r="714" spans="2:3" x14ac:dyDescent="0.35">
      <c r="B714" s="1330">
        <v>45000</v>
      </c>
      <c r="C714" s="1331">
        <v>383.31</v>
      </c>
    </row>
    <row r="715" spans="2:3" x14ac:dyDescent="0.35">
      <c r="B715" s="1330">
        <v>45001</v>
      </c>
      <c r="C715" s="1331">
        <v>388.76</v>
      </c>
    </row>
    <row r="716" spans="2:3" x14ac:dyDescent="0.35">
      <c r="B716" s="1330">
        <v>45002</v>
      </c>
      <c r="C716" s="1331">
        <v>388.84</v>
      </c>
    </row>
    <row r="717" spans="2:3" x14ac:dyDescent="0.35">
      <c r="B717" s="1330">
        <v>45005</v>
      </c>
      <c r="C717" s="1331">
        <v>387.63</v>
      </c>
    </row>
    <row r="718" spans="2:3" x14ac:dyDescent="0.35">
      <c r="B718" s="1330">
        <v>45006</v>
      </c>
      <c r="C718" s="1331">
        <v>385.98</v>
      </c>
    </row>
    <row r="719" spans="2:3" x14ac:dyDescent="0.35">
      <c r="B719" s="1330">
        <v>45007</v>
      </c>
      <c r="C719" s="1331">
        <v>387.1</v>
      </c>
    </row>
    <row r="720" spans="2:3" x14ac:dyDescent="0.35">
      <c r="B720" s="1330">
        <v>45008</v>
      </c>
      <c r="C720" s="1331">
        <v>375.72</v>
      </c>
    </row>
    <row r="721" spans="2:3" x14ac:dyDescent="0.35">
      <c r="B721" s="1330">
        <v>45009</v>
      </c>
      <c r="C721" s="1331">
        <v>375.72</v>
      </c>
    </row>
    <row r="722" spans="2:3" x14ac:dyDescent="0.35">
      <c r="B722" s="1330">
        <v>45012</v>
      </c>
      <c r="C722" s="1331">
        <v>376.4</v>
      </c>
    </row>
    <row r="723" spans="2:3" x14ac:dyDescent="0.35">
      <c r="B723" s="1330">
        <v>45013</v>
      </c>
      <c r="C723" s="1331">
        <v>383.55</v>
      </c>
    </row>
    <row r="724" spans="2:3" x14ac:dyDescent="0.35">
      <c r="B724" s="1330">
        <v>45014</v>
      </c>
      <c r="C724" s="1331">
        <v>386.81</v>
      </c>
    </row>
    <row r="725" spans="2:3" x14ac:dyDescent="0.35">
      <c r="B725" s="1330">
        <v>45015</v>
      </c>
      <c r="C725" s="1331">
        <v>391.82</v>
      </c>
    </row>
    <row r="726" spans="2:3" x14ac:dyDescent="0.35">
      <c r="B726" s="1330">
        <v>45016</v>
      </c>
      <c r="C726" s="1331">
        <v>397.37</v>
      </c>
    </row>
    <row r="727" spans="2:3" x14ac:dyDescent="0.35">
      <c r="B727" s="1330">
        <v>45019</v>
      </c>
      <c r="C727" s="1331">
        <v>396.94</v>
      </c>
    </row>
    <row r="728" spans="2:3" x14ac:dyDescent="0.35">
      <c r="B728" s="1330">
        <v>45020</v>
      </c>
      <c r="C728" s="1331">
        <v>402.41</v>
      </c>
    </row>
    <row r="729" spans="2:3" x14ac:dyDescent="0.35">
      <c r="B729" s="1330">
        <v>45021</v>
      </c>
      <c r="C729" s="1331">
        <v>396.6</v>
      </c>
    </row>
    <row r="730" spans="2:3" x14ac:dyDescent="0.35">
      <c r="B730" s="1330">
        <v>45022</v>
      </c>
      <c r="C730" s="1331">
        <v>396.6</v>
      </c>
    </row>
    <row r="731" spans="2:3" x14ac:dyDescent="0.35">
      <c r="B731" s="1330">
        <v>45023</v>
      </c>
      <c r="C731" s="1331">
        <v>396.6</v>
      </c>
    </row>
    <row r="732" spans="2:3" x14ac:dyDescent="0.35">
      <c r="B732" s="1330">
        <v>45026</v>
      </c>
      <c r="C732" s="1331">
        <v>390.71</v>
      </c>
    </row>
    <row r="733" spans="2:3" x14ac:dyDescent="0.35">
      <c r="B733" s="1330">
        <v>45027</v>
      </c>
      <c r="C733" s="1331">
        <v>387</v>
      </c>
    </row>
    <row r="734" spans="2:3" x14ac:dyDescent="0.35">
      <c r="B734" s="1330">
        <v>45028</v>
      </c>
      <c r="C734" s="1331">
        <v>386.34</v>
      </c>
    </row>
    <row r="735" spans="2:3" x14ac:dyDescent="0.35">
      <c r="B735" s="1330">
        <v>45029</v>
      </c>
      <c r="C735" s="1331">
        <v>388.14</v>
      </c>
    </row>
    <row r="736" spans="2:3" x14ac:dyDescent="0.35">
      <c r="B736" s="1330">
        <v>45030</v>
      </c>
      <c r="C736" s="1331">
        <v>398.62</v>
      </c>
    </row>
    <row r="737" spans="2:3" x14ac:dyDescent="0.35">
      <c r="B737" s="1330">
        <v>45033</v>
      </c>
      <c r="C737" s="1331">
        <v>395.45</v>
      </c>
    </row>
    <row r="738" spans="2:3" x14ac:dyDescent="0.35">
      <c r="B738" s="1330">
        <v>45034</v>
      </c>
      <c r="C738" s="1331">
        <v>408.86</v>
      </c>
    </row>
    <row r="739" spans="2:3" x14ac:dyDescent="0.35">
      <c r="B739" s="1330">
        <v>45035</v>
      </c>
      <c r="C739" s="1331">
        <v>409.77</v>
      </c>
    </row>
    <row r="740" spans="2:3" x14ac:dyDescent="0.35">
      <c r="B740" s="1330">
        <v>45036</v>
      </c>
      <c r="C740" s="1331">
        <v>421.9</v>
      </c>
    </row>
    <row r="741" spans="2:3" x14ac:dyDescent="0.35">
      <c r="B741" s="1330">
        <v>45037</v>
      </c>
      <c r="C741" s="1331">
        <v>437.75</v>
      </c>
    </row>
    <row r="742" spans="2:3" x14ac:dyDescent="0.35">
      <c r="B742" s="1330">
        <v>45040</v>
      </c>
      <c r="C742" s="1331">
        <v>449.02</v>
      </c>
    </row>
    <row r="743" spans="2:3" x14ac:dyDescent="0.35">
      <c r="B743" s="1330">
        <v>45041</v>
      </c>
      <c r="C743" s="1331">
        <v>447.5</v>
      </c>
    </row>
    <row r="744" spans="2:3" x14ac:dyDescent="0.35">
      <c r="B744" s="1330">
        <v>45042</v>
      </c>
      <c r="C744" s="1331">
        <v>446.43</v>
      </c>
    </row>
    <row r="745" spans="2:3" x14ac:dyDescent="0.35">
      <c r="B745" s="1330">
        <v>45043</v>
      </c>
      <c r="C745" s="1331">
        <v>442.23</v>
      </c>
    </row>
    <row r="746" spans="2:3" x14ac:dyDescent="0.35">
      <c r="B746" s="1330">
        <v>45044</v>
      </c>
      <c r="C746" s="1331">
        <v>436.05</v>
      </c>
    </row>
    <row r="747" spans="2:3" x14ac:dyDescent="0.35">
      <c r="B747" s="1330">
        <v>45047</v>
      </c>
      <c r="C747" s="1331">
        <v>436.05</v>
      </c>
    </row>
    <row r="748" spans="2:3" x14ac:dyDescent="0.35">
      <c r="B748" s="1330">
        <v>45048</v>
      </c>
      <c r="C748" s="1331">
        <v>428.84</v>
      </c>
    </row>
    <row r="749" spans="2:3" x14ac:dyDescent="0.35">
      <c r="B749" s="1330">
        <v>45049</v>
      </c>
      <c r="C749" s="1331">
        <v>431.03</v>
      </c>
    </row>
    <row r="750" spans="2:3" x14ac:dyDescent="0.35">
      <c r="B750" s="1330">
        <v>45050</v>
      </c>
      <c r="C750" s="1331">
        <v>430.19</v>
      </c>
    </row>
    <row r="751" spans="2:3" x14ac:dyDescent="0.35">
      <c r="B751" s="1330">
        <v>45051</v>
      </c>
      <c r="C751" s="1331">
        <v>432.35</v>
      </c>
    </row>
    <row r="752" spans="2:3" x14ac:dyDescent="0.35">
      <c r="B752" s="1330">
        <v>45054</v>
      </c>
      <c r="C752" s="1331">
        <v>432.08</v>
      </c>
    </row>
    <row r="753" spans="2:3" x14ac:dyDescent="0.35">
      <c r="B753" s="1330">
        <v>45055</v>
      </c>
      <c r="C753" s="1331">
        <v>432.08</v>
      </c>
    </row>
    <row r="754" spans="2:3" x14ac:dyDescent="0.35">
      <c r="B754" s="1330">
        <v>45056</v>
      </c>
      <c r="C754" s="1331">
        <v>436.09</v>
      </c>
    </row>
    <row r="755" spans="2:3" x14ac:dyDescent="0.35">
      <c r="B755" s="1330">
        <v>45057</v>
      </c>
      <c r="C755" s="1331">
        <v>440.07</v>
      </c>
    </row>
    <row r="756" spans="2:3" x14ac:dyDescent="0.35">
      <c r="B756" s="1330">
        <v>45058</v>
      </c>
      <c r="C756" s="1331">
        <v>434.31</v>
      </c>
    </row>
    <row r="757" spans="2:3" x14ac:dyDescent="0.35">
      <c r="B757" s="1330">
        <v>45061</v>
      </c>
      <c r="C757" s="1331">
        <v>437.66</v>
      </c>
    </row>
    <row r="758" spans="2:3" x14ac:dyDescent="0.35">
      <c r="B758" s="1330">
        <v>45062</v>
      </c>
      <c r="C758" s="1331">
        <v>442.43</v>
      </c>
    </row>
    <row r="759" spans="2:3" x14ac:dyDescent="0.35">
      <c r="B759" s="1330">
        <v>45063</v>
      </c>
      <c r="C759" s="1331">
        <v>444.08</v>
      </c>
    </row>
    <row r="760" spans="2:3" x14ac:dyDescent="0.35">
      <c r="B760" s="1330">
        <v>45064</v>
      </c>
      <c r="C760" s="1331">
        <v>473.5</v>
      </c>
    </row>
    <row r="761" spans="2:3" x14ac:dyDescent="0.35">
      <c r="B761" s="1330">
        <v>45065</v>
      </c>
      <c r="C761" s="1331">
        <v>465.42</v>
      </c>
    </row>
    <row r="762" spans="2:3" x14ac:dyDescent="0.35">
      <c r="B762" s="1330">
        <v>45068</v>
      </c>
      <c r="C762" s="1331">
        <v>464.27</v>
      </c>
    </row>
    <row r="763" spans="2:3" x14ac:dyDescent="0.35">
      <c r="B763" s="1330">
        <v>45069</v>
      </c>
      <c r="C763" s="1331">
        <v>466.09</v>
      </c>
    </row>
    <row r="764" spans="2:3" x14ac:dyDescent="0.35">
      <c r="B764" s="1330">
        <v>45070</v>
      </c>
      <c r="C764" s="1331">
        <v>462.35</v>
      </c>
    </row>
    <row r="765" spans="2:3" x14ac:dyDescent="0.35">
      <c r="B765" s="1330">
        <v>45071</v>
      </c>
      <c r="C765" s="1331">
        <v>459.55</v>
      </c>
    </row>
    <row r="766" spans="2:3" x14ac:dyDescent="0.35">
      <c r="B766" s="1330">
        <v>45072</v>
      </c>
      <c r="C766" s="1331">
        <v>459.55</v>
      </c>
    </row>
    <row r="767" spans="2:3" x14ac:dyDescent="0.35">
      <c r="B767" s="1330">
        <v>45075</v>
      </c>
      <c r="C767" s="1331">
        <v>459.51</v>
      </c>
    </row>
    <row r="768" spans="2:3" x14ac:dyDescent="0.35">
      <c r="B768" s="1330">
        <v>45076</v>
      </c>
      <c r="C768" s="1331">
        <v>462.32</v>
      </c>
    </row>
    <row r="769" spans="2:3" x14ac:dyDescent="0.35">
      <c r="B769" s="1330">
        <v>45077</v>
      </c>
      <c r="C769" s="1331">
        <v>466.98</v>
      </c>
    </row>
    <row r="770" spans="2:3" x14ac:dyDescent="0.35">
      <c r="B770" s="1330">
        <v>45078</v>
      </c>
      <c r="C770" s="1331">
        <v>467.03</v>
      </c>
    </row>
    <row r="771" spans="2:3" x14ac:dyDescent="0.35">
      <c r="B771" s="1330">
        <v>45079</v>
      </c>
      <c r="C771" s="1331">
        <v>469.09</v>
      </c>
    </row>
    <row r="772" spans="2:3" x14ac:dyDescent="0.35">
      <c r="B772" s="1330">
        <v>45082</v>
      </c>
      <c r="C772" s="1331">
        <v>472.29</v>
      </c>
    </row>
    <row r="773" spans="2:3" x14ac:dyDescent="0.35">
      <c r="B773" s="1330">
        <v>45083</v>
      </c>
      <c r="C773" s="1331">
        <v>473.87</v>
      </c>
    </row>
    <row r="774" spans="2:3" x14ac:dyDescent="0.35">
      <c r="B774" s="1330">
        <v>45084</v>
      </c>
      <c r="C774" s="1331">
        <v>472.76</v>
      </c>
    </row>
    <row r="775" spans="2:3" x14ac:dyDescent="0.35">
      <c r="B775" s="1330">
        <v>45085</v>
      </c>
      <c r="C775" s="1331">
        <v>473.92</v>
      </c>
    </row>
    <row r="776" spans="2:3" x14ac:dyDescent="0.35">
      <c r="B776" s="1330">
        <v>45086</v>
      </c>
      <c r="C776" s="1331">
        <v>473.5</v>
      </c>
    </row>
    <row r="777" spans="2:3" x14ac:dyDescent="0.35">
      <c r="B777" s="1330">
        <v>45089</v>
      </c>
      <c r="C777" s="1331">
        <v>474.49</v>
      </c>
    </row>
    <row r="778" spans="2:3" x14ac:dyDescent="0.35">
      <c r="B778" s="1330">
        <v>45090</v>
      </c>
      <c r="C778" s="1331">
        <v>473.19</v>
      </c>
    </row>
    <row r="779" spans="2:3" x14ac:dyDescent="0.35">
      <c r="B779" s="1330">
        <v>45091</v>
      </c>
      <c r="C779" s="1331">
        <v>474.98</v>
      </c>
    </row>
    <row r="780" spans="2:3" x14ac:dyDescent="0.35">
      <c r="B780" s="1330">
        <v>45092</v>
      </c>
      <c r="C780" s="1331">
        <v>474.59</v>
      </c>
    </row>
    <row r="781" spans="2:3" x14ac:dyDescent="0.35">
      <c r="B781" s="1330">
        <v>45093</v>
      </c>
      <c r="C781" s="1331">
        <v>479.35</v>
      </c>
    </row>
    <row r="782" spans="2:3" x14ac:dyDescent="0.35">
      <c r="B782" s="1330">
        <v>45096</v>
      </c>
      <c r="C782" s="1331">
        <v>479.35</v>
      </c>
    </row>
    <row r="783" spans="2:3" x14ac:dyDescent="0.35">
      <c r="B783" s="1330">
        <v>45097</v>
      </c>
      <c r="C783" s="1331">
        <v>479.35</v>
      </c>
    </row>
    <row r="784" spans="2:3" x14ac:dyDescent="0.35">
      <c r="B784" s="1330">
        <v>45098</v>
      </c>
      <c r="C784" s="1331">
        <v>476.46</v>
      </c>
    </row>
    <row r="785" spans="2:3" x14ac:dyDescent="0.35">
      <c r="B785" s="1330">
        <v>45099</v>
      </c>
      <c r="C785" s="1331">
        <v>482.51</v>
      </c>
    </row>
    <row r="786" spans="2:3" x14ac:dyDescent="0.35">
      <c r="B786" s="1330">
        <v>45100</v>
      </c>
      <c r="C786" s="1331">
        <v>486.66</v>
      </c>
    </row>
    <row r="787" spans="2:3" x14ac:dyDescent="0.35">
      <c r="B787" s="1330">
        <v>45103</v>
      </c>
      <c r="C787" s="1331">
        <v>479.79</v>
      </c>
    </row>
    <row r="788" spans="2:3" x14ac:dyDescent="0.35">
      <c r="B788" s="1330">
        <v>45104</v>
      </c>
      <c r="C788" s="1331">
        <v>483.43</v>
      </c>
    </row>
    <row r="789" spans="2:3" x14ac:dyDescent="0.35">
      <c r="B789" s="1330">
        <v>45105</v>
      </c>
      <c r="C789" s="1331">
        <v>484.01</v>
      </c>
    </row>
    <row r="790" spans="2:3" x14ac:dyDescent="0.35">
      <c r="B790" s="1330">
        <v>45106</v>
      </c>
      <c r="C790" s="1331">
        <v>482.23</v>
      </c>
    </row>
    <row r="791" spans="2:3" x14ac:dyDescent="0.35">
      <c r="B791" s="1330">
        <v>45107</v>
      </c>
      <c r="C791" s="1331">
        <v>484.69</v>
      </c>
    </row>
    <row r="792" spans="2:3" x14ac:dyDescent="0.35">
      <c r="B792" s="1330">
        <v>45110</v>
      </c>
      <c r="C792" s="1331">
        <v>483.45</v>
      </c>
    </row>
    <row r="793" spans="2:3" x14ac:dyDescent="0.35">
      <c r="B793" s="1330">
        <v>45111</v>
      </c>
      <c r="C793" s="1331">
        <v>482.9</v>
      </c>
    </row>
    <row r="794" spans="2:3" x14ac:dyDescent="0.35">
      <c r="B794" s="1330">
        <v>45112</v>
      </c>
      <c r="C794" s="1331">
        <v>480.37</v>
      </c>
    </row>
    <row r="795" spans="2:3" x14ac:dyDescent="0.35">
      <c r="B795" s="1330">
        <v>45113</v>
      </c>
      <c r="C795" s="1331">
        <v>484.68</v>
      </c>
    </row>
    <row r="796" spans="2:3" x14ac:dyDescent="0.35">
      <c r="B796" s="1330">
        <v>45114</v>
      </c>
      <c r="C796" s="1331">
        <v>484.78</v>
      </c>
    </row>
    <row r="797" spans="2:3" x14ac:dyDescent="0.35">
      <c r="B797" s="1330">
        <v>45117</v>
      </c>
      <c r="C797" s="1331">
        <v>490.4</v>
      </c>
    </row>
    <row r="798" spans="2:3" x14ac:dyDescent="0.35">
      <c r="B798" s="1330">
        <v>45118</v>
      </c>
      <c r="C798" s="1331">
        <v>488.64</v>
      </c>
    </row>
    <row r="799" spans="2:3" x14ac:dyDescent="0.35">
      <c r="B799" s="1330">
        <v>45119</v>
      </c>
      <c r="C799" s="1331">
        <v>488.65</v>
      </c>
    </row>
    <row r="800" spans="2:3" x14ac:dyDescent="0.35">
      <c r="B800" s="1330">
        <v>45120</v>
      </c>
      <c r="C800" s="1331">
        <v>498.73</v>
      </c>
    </row>
    <row r="801" spans="2:3" x14ac:dyDescent="0.35">
      <c r="B801" s="1330">
        <v>45121</v>
      </c>
      <c r="C801" s="1331">
        <v>499.71</v>
      </c>
    </row>
    <row r="802" spans="2:3" x14ac:dyDescent="0.35">
      <c r="B802" s="1330">
        <v>45124</v>
      </c>
      <c r="C802" s="1331">
        <v>499.86</v>
      </c>
    </row>
    <row r="803" spans="2:3" x14ac:dyDescent="0.35">
      <c r="B803" s="1330">
        <v>45125</v>
      </c>
      <c r="C803" s="1331">
        <v>494.9</v>
      </c>
    </row>
    <row r="804" spans="2:3" x14ac:dyDescent="0.35">
      <c r="B804" s="1330">
        <v>45126</v>
      </c>
      <c r="C804" s="1331">
        <v>494.65</v>
      </c>
    </row>
    <row r="805" spans="2:3" x14ac:dyDescent="0.35">
      <c r="B805" s="1330">
        <v>45127</v>
      </c>
      <c r="C805" s="1331">
        <v>495.84</v>
      </c>
    </row>
    <row r="806" spans="2:3" x14ac:dyDescent="0.35">
      <c r="B806" s="1330">
        <v>45128</v>
      </c>
      <c r="C806" s="1331">
        <v>498.08</v>
      </c>
    </row>
    <row r="807" spans="2:3" x14ac:dyDescent="0.35">
      <c r="B807" s="1330">
        <v>45131</v>
      </c>
      <c r="C807" s="1331">
        <v>497.09</v>
      </c>
    </row>
    <row r="808" spans="2:3" x14ac:dyDescent="0.35">
      <c r="B808" s="1330">
        <v>45132</v>
      </c>
      <c r="C808" s="1331">
        <v>507.12</v>
      </c>
    </row>
    <row r="809" spans="2:3" x14ac:dyDescent="0.35">
      <c r="B809" s="1330">
        <v>45133</v>
      </c>
      <c r="C809" s="1331">
        <v>503.9</v>
      </c>
    </row>
    <row r="810" spans="2:3" x14ac:dyDescent="0.35">
      <c r="B810" s="1330">
        <v>45134</v>
      </c>
      <c r="C810" s="1331">
        <v>510.62</v>
      </c>
    </row>
    <row r="811" spans="2:3" x14ac:dyDescent="0.35">
      <c r="B811" s="1330">
        <v>45135</v>
      </c>
      <c r="C811" s="1331">
        <v>508.01</v>
      </c>
    </row>
    <row r="812" spans="2:3" x14ac:dyDescent="0.35">
      <c r="B812" s="1330">
        <v>45138</v>
      </c>
      <c r="C812" s="1331">
        <v>509.1</v>
      </c>
    </row>
    <row r="813" spans="2:3" x14ac:dyDescent="0.35">
      <c r="B813" s="1330">
        <v>45139</v>
      </c>
      <c r="C813" s="1331">
        <v>509.45</v>
      </c>
    </row>
    <row r="814" spans="2:3" x14ac:dyDescent="0.35">
      <c r="B814" s="1330">
        <v>45140</v>
      </c>
      <c r="C814" s="1331">
        <v>512.54</v>
      </c>
    </row>
    <row r="815" spans="2:3" x14ac:dyDescent="0.35">
      <c r="B815" s="1330">
        <v>45141</v>
      </c>
      <c r="C815" s="1331">
        <v>513.99</v>
      </c>
    </row>
    <row r="816" spans="2:3" x14ac:dyDescent="0.35">
      <c r="B816" s="1330">
        <v>45142</v>
      </c>
      <c r="C816" s="1331">
        <v>514.71</v>
      </c>
    </row>
    <row r="817" spans="2:3" x14ac:dyDescent="0.35">
      <c r="B817" s="1330">
        <v>45145</v>
      </c>
      <c r="C817" s="1331">
        <v>516.70000000000005</v>
      </c>
    </row>
    <row r="818" spans="2:3" x14ac:dyDescent="0.35">
      <c r="B818" s="1330">
        <v>45146</v>
      </c>
      <c r="C818" s="1331">
        <v>521.91999999999996</v>
      </c>
    </row>
    <row r="819" spans="2:3" x14ac:dyDescent="0.35">
      <c r="B819" s="1330">
        <v>45147</v>
      </c>
      <c r="C819" s="1331">
        <v>527.91999999999996</v>
      </c>
    </row>
    <row r="820" spans="2:3" x14ac:dyDescent="0.35">
      <c r="B820" s="1330">
        <v>45148</v>
      </c>
      <c r="C820" s="1331">
        <v>529.82000000000005</v>
      </c>
    </row>
    <row r="821" spans="2:3" x14ac:dyDescent="0.35">
      <c r="B821" s="1330">
        <v>45149</v>
      </c>
      <c r="C821" s="1331">
        <v>539.89</v>
      </c>
    </row>
    <row r="822" spans="2:3" x14ac:dyDescent="0.35">
      <c r="B822" s="1330">
        <v>45150</v>
      </c>
      <c r="C822" s="1331">
        <v>621.14</v>
      </c>
    </row>
    <row r="823" spans="2:3" x14ac:dyDescent="0.35">
      <c r="B823" s="1330">
        <v>45151</v>
      </c>
      <c r="C823" s="1331">
        <v>667.17</v>
      </c>
    </row>
    <row r="824" spans="2:3" x14ac:dyDescent="0.35">
      <c r="B824" s="1330">
        <v>45152</v>
      </c>
      <c r="C824" s="1331">
        <v>651.41999999999996</v>
      </c>
    </row>
    <row r="825" spans="2:3" x14ac:dyDescent="0.35">
      <c r="B825" s="1330">
        <v>45153</v>
      </c>
      <c r="C825" s="1331">
        <v>659.49</v>
      </c>
    </row>
    <row r="826" spans="2:3" x14ac:dyDescent="0.35">
      <c r="B826" s="1330">
        <v>45154</v>
      </c>
      <c r="C826" s="1331">
        <v>657.48</v>
      </c>
    </row>
    <row r="827" spans="2:3" x14ac:dyDescent="0.35">
      <c r="B827" s="1330">
        <v>45155</v>
      </c>
      <c r="C827" s="1331">
        <v>657.48</v>
      </c>
    </row>
    <row r="828" spans="2:3" x14ac:dyDescent="0.35">
      <c r="B828" s="1330">
        <v>45156</v>
      </c>
      <c r="C828" s="1331">
        <v>657.48</v>
      </c>
    </row>
    <row r="829" spans="2:3" x14ac:dyDescent="0.35">
      <c r="B829" s="1330">
        <v>45157</v>
      </c>
      <c r="C829" s="1331">
        <v>657.48</v>
      </c>
    </row>
    <row r="830" spans="2:3" x14ac:dyDescent="0.35">
      <c r="B830" s="1330">
        <v>45158</v>
      </c>
      <c r="C830" s="1331">
        <v>657.48</v>
      </c>
    </row>
    <row r="831" spans="2:3" x14ac:dyDescent="0.35">
      <c r="B831" s="1330">
        <v>45159</v>
      </c>
      <c r="C831" s="1331">
        <v>657.48</v>
      </c>
    </row>
    <row r="832" spans="2:3" x14ac:dyDescent="0.35">
      <c r="B832" s="1330">
        <v>45160</v>
      </c>
      <c r="C832" s="1331">
        <v>658.88</v>
      </c>
    </row>
    <row r="833" spans="2:3" x14ac:dyDescent="0.35">
      <c r="B833" s="1330">
        <v>45161</v>
      </c>
      <c r="C833" s="1331">
        <v>661.32</v>
      </c>
    </row>
    <row r="834" spans="2:3" x14ac:dyDescent="0.35">
      <c r="B834" s="1330">
        <v>45162</v>
      </c>
      <c r="C834" s="1331">
        <v>665.4</v>
      </c>
    </row>
    <row r="835" spans="2:3" x14ac:dyDescent="0.35">
      <c r="B835" s="1330">
        <v>45163</v>
      </c>
      <c r="C835" s="1331">
        <v>664.97</v>
      </c>
    </row>
    <row r="836" spans="2:3" x14ac:dyDescent="0.35">
      <c r="B836" s="1330">
        <v>45164</v>
      </c>
      <c r="C836" s="1331">
        <v>664.97</v>
      </c>
    </row>
    <row r="837" spans="2:3" x14ac:dyDescent="0.35">
      <c r="B837" s="1330">
        <v>45165</v>
      </c>
      <c r="C837" s="1331">
        <v>664.97</v>
      </c>
    </row>
    <row r="838" spans="2:3" x14ac:dyDescent="0.35">
      <c r="B838" s="1330">
        <v>45166</v>
      </c>
      <c r="C838" s="1331">
        <v>680.83</v>
      </c>
    </row>
    <row r="839" spans="2:3" x14ac:dyDescent="0.35">
      <c r="B839" s="1330">
        <v>45167</v>
      </c>
      <c r="C839" s="1331">
        <v>671.02</v>
      </c>
    </row>
    <row r="840" spans="2:3" x14ac:dyDescent="0.35">
      <c r="B840" s="1330">
        <v>45168</v>
      </c>
      <c r="C840" s="1331">
        <v>670.99</v>
      </c>
    </row>
    <row r="841" spans="2:3" x14ac:dyDescent="0.35">
      <c r="B841" s="1330">
        <v>45169</v>
      </c>
      <c r="C841" s="1331">
        <v>670.83</v>
      </c>
    </row>
    <row r="842" spans="2:3" x14ac:dyDescent="0.35">
      <c r="B842" s="1330">
        <v>45170</v>
      </c>
      <c r="C842" s="1331">
        <v>670.37</v>
      </c>
    </row>
    <row r="843" spans="2:3" x14ac:dyDescent="0.35">
      <c r="B843" s="1330">
        <v>45173</v>
      </c>
      <c r="C843" s="1331">
        <v>672.62</v>
      </c>
    </row>
    <row r="844" spans="2:3" x14ac:dyDescent="0.35">
      <c r="B844" s="1330">
        <v>45174</v>
      </c>
      <c r="C844" s="1331">
        <v>672.34</v>
      </c>
    </row>
    <row r="845" spans="2:3" x14ac:dyDescent="0.35">
      <c r="B845" s="1330">
        <v>45175</v>
      </c>
      <c r="C845" s="1331">
        <v>673.47</v>
      </c>
    </row>
    <row r="846" spans="2:3" x14ac:dyDescent="0.35">
      <c r="B846" s="1330">
        <v>45176</v>
      </c>
      <c r="C846" s="1331">
        <v>674.84</v>
      </c>
    </row>
    <row r="847" spans="2:3" x14ac:dyDescent="0.35">
      <c r="B847" s="1330">
        <v>45177</v>
      </c>
      <c r="C847" s="1331">
        <v>673.36</v>
      </c>
    </row>
    <row r="848" spans="2:3" x14ac:dyDescent="0.35">
      <c r="B848" s="1330">
        <v>45180</v>
      </c>
      <c r="C848" s="1331">
        <v>675.54</v>
      </c>
    </row>
    <row r="849" spans="2:3" x14ac:dyDescent="0.35">
      <c r="B849" s="1330">
        <v>45181</v>
      </c>
      <c r="C849" s="1331">
        <v>676.46</v>
      </c>
    </row>
    <row r="850" spans="2:3" x14ac:dyDescent="0.35">
      <c r="B850" s="1330">
        <v>45182</v>
      </c>
      <c r="C850" s="1331">
        <v>676.32</v>
      </c>
    </row>
    <row r="851" spans="2:3" x14ac:dyDescent="0.35">
      <c r="B851" s="1330">
        <v>45183</v>
      </c>
      <c r="C851" s="1331">
        <v>687.74499999999989</v>
      </c>
    </row>
    <row r="852" spans="2:3" x14ac:dyDescent="0.35">
      <c r="B852" s="1330">
        <v>45184</v>
      </c>
      <c r="C852" s="1331">
        <v>689.3</v>
      </c>
    </row>
    <row r="853" spans="2:3" x14ac:dyDescent="0.35">
      <c r="B853" s="1330">
        <v>45185</v>
      </c>
      <c r="C853" s="1331">
        <v>689.3</v>
      </c>
    </row>
    <row r="854" spans="2:3" x14ac:dyDescent="0.35">
      <c r="B854" s="1330">
        <v>45186</v>
      </c>
      <c r="C854" s="1331">
        <v>689.3</v>
      </c>
    </row>
    <row r="855" spans="2:3" x14ac:dyDescent="0.35">
      <c r="B855" s="1330">
        <v>45187</v>
      </c>
      <c r="C855" s="1331">
        <v>679.36</v>
      </c>
    </row>
    <row r="856" spans="2:3" x14ac:dyDescent="0.35">
      <c r="B856" s="1330">
        <f t="shared" ref="B856:B919" si="0">+B855+1</f>
        <v>45188</v>
      </c>
      <c r="C856" s="1331">
        <v>680.08</v>
      </c>
    </row>
    <row r="857" spans="2:3" x14ac:dyDescent="0.35">
      <c r="B857" s="1330">
        <f t="shared" si="0"/>
        <v>45189</v>
      </c>
      <c r="C857" s="1331">
        <v>679.95</v>
      </c>
    </row>
    <row r="858" spans="2:3" x14ac:dyDescent="0.35">
      <c r="B858" s="1330">
        <f t="shared" si="0"/>
        <v>45190</v>
      </c>
      <c r="C858" s="1331">
        <v>680.85</v>
      </c>
    </row>
    <row r="859" spans="2:3" x14ac:dyDescent="0.35">
      <c r="B859" s="1330">
        <f t="shared" si="0"/>
        <v>45191</v>
      </c>
      <c r="C859" s="1331">
        <v>682.08</v>
      </c>
    </row>
    <row r="860" spans="2:3" x14ac:dyDescent="0.35">
      <c r="B860" s="1330">
        <f t="shared" si="0"/>
        <v>45192</v>
      </c>
      <c r="C860" s="1331">
        <v>682.08</v>
      </c>
    </row>
    <row r="861" spans="2:3" x14ac:dyDescent="0.35">
      <c r="B861" s="1330">
        <f t="shared" si="0"/>
        <v>45193</v>
      </c>
      <c r="C861" s="1331">
        <v>682.08</v>
      </c>
    </row>
    <row r="862" spans="2:3" x14ac:dyDescent="0.35">
      <c r="B862" s="1330">
        <f t="shared" si="0"/>
        <v>45194</v>
      </c>
      <c r="C862" s="1331">
        <v>683.01</v>
      </c>
    </row>
    <row r="863" spans="2:3" x14ac:dyDescent="0.35">
      <c r="B863" s="1330">
        <f t="shared" si="0"/>
        <v>45195</v>
      </c>
      <c r="C863" s="1331">
        <v>685.58</v>
      </c>
    </row>
    <row r="864" spans="2:3" x14ac:dyDescent="0.35">
      <c r="B864" s="1330">
        <f t="shared" si="0"/>
        <v>45196</v>
      </c>
      <c r="C864" s="1331">
        <v>689.85</v>
      </c>
    </row>
    <row r="865" spans="2:3" x14ac:dyDescent="0.35">
      <c r="B865" s="1330">
        <f t="shared" si="0"/>
        <v>45197</v>
      </c>
      <c r="C865" s="1331">
        <v>694.89</v>
      </c>
    </row>
    <row r="866" spans="2:3" x14ac:dyDescent="0.35">
      <c r="B866" s="1330">
        <f t="shared" si="0"/>
        <v>45198</v>
      </c>
      <c r="C866" s="1331">
        <v>701.01</v>
      </c>
    </row>
    <row r="867" spans="2:3" x14ac:dyDescent="0.35">
      <c r="B867" s="1330">
        <f t="shared" si="0"/>
        <v>45199</v>
      </c>
      <c r="C867" s="1331">
        <v>701.01</v>
      </c>
    </row>
    <row r="868" spans="2:3" x14ac:dyDescent="0.35">
      <c r="B868" s="1330">
        <f t="shared" si="0"/>
        <v>45200</v>
      </c>
      <c r="C868" s="1331">
        <v>701.01</v>
      </c>
    </row>
    <row r="869" spans="2:3" x14ac:dyDescent="0.35">
      <c r="B869" s="1330">
        <f t="shared" si="0"/>
        <v>45201</v>
      </c>
      <c r="C869" s="1331">
        <v>709.83</v>
      </c>
    </row>
    <row r="870" spans="2:3" x14ac:dyDescent="0.35">
      <c r="B870" s="1330">
        <f t="shared" si="0"/>
        <v>45202</v>
      </c>
      <c r="C870" s="1331">
        <v>720.62</v>
      </c>
    </row>
    <row r="871" spans="2:3" x14ac:dyDescent="0.35">
      <c r="B871" s="1330">
        <f t="shared" si="0"/>
        <v>45203</v>
      </c>
      <c r="C871" s="1331">
        <v>747.68</v>
      </c>
    </row>
    <row r="872" spans="2:3" x14ac:dyDescent="0.35">
      <c r="B872" s="1330">
        <f t="shared" si="0"/>
        <v>45204</v>
      </c>
      <c r="C872" s="1331">
        <v>784.83</v>
      </c>
    </row>
    <row r="873" spans="2:3" x14ac:dyDescent="0.35">
      <c r="B873" s="1330">
        <f t="shared" si="0"/>
        <v>45205</v>
      </c>
      <c r="C873" s="1331">
        <v>812.75</v>
      </c>
    </row>
    <row r="874" spans="2:3" x14ac:dyDescent="0.35">
      <c r="B874" s="1330">
        <f t="shared" si="0"/>
        <v>45206</v>
      </c>
      <c r="C874" s="1331">
        <v>844.81</v>
      </c>
    </row>
    <row r="875" spans="2:3" x14ac:dyDescent="0.35">
      <c r="B875" s="1330">
        <f t="shared" si="0"/>
        <v>45207</v>
      </c>
      <c r="C875" s="1331">
        <v>844.81</v>
      </c>
    </row>
    <row r="876" spans="2:3" x14ac:dyDescent="0.35">
      <c r="B876" s="1330">
        <f t="shared" si="0"/>
        <v>45208</v>
      </c>
      <c r="C876" s="1331">
        <v>844.81</v>
      </c>
    </row>
    <row r="877" spans="2:3" x14ac:dyDescent="0.35">
      <c r="B877" s="1330">
        <f t="shared" si="0"/>
        <v>45209</v>
      </c>
      <c r="C877" s="1331">
        <v>844.81</v>
      </c>
    </row>
    <row r="878" spans="2:3" x14ac:dyDescent="0.35">
      <c r="B878" s="1330">
        <f t="shared" si="0"/>
        <v>45210</v>
      </c>
      <c r="C878" s="1331">
        <v>854.74</v>
      </c>
    </row>
    <row r="879" spans="2:3" x14ac:dyDescent="0.35">
      <c r="B879" s="1330">
        <f t="shared" si="0"/>
        <v>45211</v>
      </c>
      <c r="C879" s="1331">
        <v>870.46</v>
      </c>
    </row>
    <row r="880" spans="2:3" x14ac:dyDescent="0.35">
      <c r="B880" s="1330">
        <f t="shared" si="0"/>
        <v>45212</v>
      </c>
      <c r="C880" s="1331">
        <v>870.46</v>
      </c>
    </row>
    <row r="881" spans="2:3" x14ac:dyDescent="0.35">
      <c r="B881" s="1330">
        <f t="shared" si="0"/>
        <v>45213</v>
      </c>
      <c r="C881" s="1331">
        <v>870.46</v>
      </c>
    </row>
    <row r="882" spans="2:3" x14ac:dyDescent="0.35">
      <c r="B882" s="1330">
        <f t="shared" si="0"/>
        <v>45214</v>
      </c>
      <c r="C882" s="1331">
        <v>870.46</v>
      </c>
    </row>
    <row r="883" spans="2:3" x14ac:dyDescent="0.35">
      <c r="B883" s="1330">
        <f t="shared" si="0"/>
        <v>45215</v>
      </c>
      <c r="C883" s="1331">
        <v>870.46</v>
      </c>
    </row>
    <row r="884" spans="2:3" x14ac:dyDescent="0.35">
      <c r="B884" s="1330">
        <f t="shared" si="0"/>
        <v>45216</v>
      </c>
      <c r="C884" s="1331">
        <v>884.82</v>
      </c>
    </row>
    <row r="885" spans="2:3" x14ac:dyDescent="0.35">
      <c r="B885" s="1330">
        <f t="shared" si="0"/>
        <v>45217</v>
      </c>
      <c r="C885" s="1331">
        <v>887.88</v>
      </c>
    </row>
    <row r="886" spans="2:3" x14ac:dyDescent="0.35">
      <c r="B886" s="1330">
        <f t="shared" si="0"/>
        <v>45218</v>
      </c>
      <c r="C886" s="1331">
        <v>884.74</v>
      </c>
    </row>
    <row r="887" spans="2:3" x14ac:dyDescent="0.35">
      <c r="B887" s="1330">
        <f t="shared" si="0"/>
        <v>45219</v>
      </c>
      <c r="C887" s="1331">
        <v>898.91</v>
      </c>
    </row>
    <row r="888" spans="2:3" x14ac:dyDescent="0.35">
      <c r="B888" s="1330">
        <f t="shared" si="0"/>
        <v>45220</v>
      </c>
      <c r="C888" s="1331">
        <v>898.91</v>
      </c>
    </row>
    <row r="889" spans="2:3" x14ac:dyDescent="0.35">
      <c r="B889" s="1330">
        <f t="shared" si="0"/>
        <v>45221</v>
      </c>
      <c r="C889" s="1331">
        <v>898.91</v>
      </c>
    </row>
    <row r="890" spans="2:3" x14ac:dyDescent="0.35">
      <c r="B890" s="1330">
        <f t="shared" si="0"/>
        <v>45222</v>
      </c>
      <c r="C890" s="1331">
        <v>899.33</v>
      </c>
    </row>
    <row r="891" spans="2:3" x14ac:dyDescent="0.35">
      <c r="B891" s="1330">
        <f t="shared" si="0"/>
        <v>45223</v>
      </c>
      <c r="C891" s="1331">
        <v>843.82</v>
      </c>
    </row>
    <row r="892" spans="2:3" x14ac:dyDescent="0.35">
      <c r="B892" s="1330">
        <f t="shared" si="0"/>
        <v>45224</v>
      </c>
      <c r="C892" s="1331">
        <v>872.31</v>
      </c>
    </row>
    <row r="893" spans="2:3" x14ac:dyDescent="0.35">
      <c r="B893" s="1330">
        <f t="shared" si="0"/>
        <v>45225</v>
      </c>
      <c r="C893" s="1331">
        <v>855.48</v>
      </c>
    </row>
    <row r="894" spans="2:3" x14ac:dyDescent="0.35">
      <c r="B894" s="1330">
        <f t="shared" si="0"/>
        <v>45226</v>
      </c>
      <c r="C894" s="1331">
        <v>806.84</v>
      </c>
    </row>
    <row r="895" spans="2:3" x14ac:dyDescent="0.35">
      <c r="B895" s="1330">
        <f t="shared" si="0"/>
        <v>45227</v>
      </c>
      <c r="C895" s="1331">
        <v>806.84</v>
      </c>
    </row>
    <row r="896" spans="2:3" x14ac:dyDescent="0.35">
      <c r="B896" s="1330">
        <f t="shared" si="0"/>
        <v>45228</v>
      </c>
      <c r="C896" s="1331">
        <v>806.84</v>
      </c>
    </row>
    <row r="897" spans="2:3" x14ac:dyDescent="0.35">
      <c r="B897" s="1330">
        <f t="shared" si="0"/>
        <v>45229</v>
      </c>
      <c r="C897" s="1331">
        <v>859.75</v>
      </c>
    </row>
    <row r="898" spans="2:3" x14ac:dyDescent="0.35">
      <c r="B898" s="1330">
        <f t="shared" si="0"/>
        <v>45230</v>
      </c>
      <c r="C898" s="1331">
        <v>852.85</v>
      </c>
    </row>
    <row r="899" spans="2:3" x14ac:dyDescent="0.35">
      <c r="B899" s="1330">
        <f t="shared" si="0"/>
        <v>45231</v>
      </c>
      <c r="C899" s="1331">
        <v>840.28</v>
      </c>
    </row>
    <row r="900" spans="2:3" x14ac:dyDescent="0.35">
      <c r="B900" s="1330">
        <f t="shared" si="0"/>
        <v>45232</v>
      </c>
      <c r="C900" s="1331">
        <v>863.64</v>
      </c>
    </row>
    <row r="901" spans="2:3" x14ac:dyDescent="0.35">
      <c r="B901" s="1330">
        <f t="shared" si="0"/>
        <v>45233</v>
      </c>
      <c r="C901" s="1331">
        <v>844.01</v>
      </c>
    </row>
    <row r="902" spans="2:3" x14ac:dyDescent="0.35">
      <c r="B902" s="1330">
        <f t="shared" si="0"/>
        <v>45234</v>
      </c>
      <c r="C902" s="1331">
        <v>844.01</v>
      </c>
    </row>
    <row r="903" spans="2:3" x14ac:dyDescent="0.35">
      <c r="B903" s="1330">
        <f t="shared" si="0"/>
        <v>45235</v>
      </c>
      <c r="C903" s="1331">
        <v>844.01</v>
      </c>
    </row>
    <row r="904" spans="2:3" x14ac:dyDescent="0.35">
      <c r="B904" s="1330">
        <f t="shared" si="0"/>
        <v>45236</v>
      </c>
      <c r="C904" s="1331">
        <v>844.01</v>
      </c>
    </row>
    <row r="905" spans="2:3" x14ac:dyDescent="0.35">
      <c r="B905" s="1330">
        <f t="shared" si="0"/>
        <v>45237</v>
      </c>
      <c r="C905" s="1331">
        <v>848.8</v>
      </c>
    </row>
    <row r="906" spans="2:3" x14ac:dyDescent="0.35">
      <c r="B906" s="1330">
        <f t="shared" si="0"/>
        <v>45238</v>
      </c>
      <c r="C906" s="1331">
        <v>840.97</v>
      </c>
    </row>
    <row r="907" spans="2:3" x14ac:dyDescent="0.35">
      <c r="B907" s="1330">
        <f t="shared" si="0"/>
        <v>45239</v>
      </c>
      <c r="C907" s="1331">
        <v>863.3</v>
      </c>
    </row>
    <row r="908" spans="2:3" x14ac:dyDescent="0.35">
      <c r="B908" s="1330">
        <f t="shared" si="0"/>
        <v>45240</v>
      </c>
      <c r="C908" s="1331">
        <v>881.71</v>
      </c>
    </row>
    <row r="909" spans="2:3" x14ac:dyDescent="0.35">
      <c r="B909" s="1330">
        <f t="shared" si="0"/>
        <v>45241</v>
      </c>
      <c r="C909" s="1331">
        <v>881.71</v>
      </c>
    </row>
    <row r="910" spans="2:3" x14ac:dyDescent="0.35">
      <c r="B910" s="1330">
        <f t="shared" si="0"/>
        <v>45242</v>
      </c>
      <c r="C910" s="1331">
        <v>881.71</v>
      </c>
    </row>
    <row r="911" spans="2:3" x14ac:dyDescent="0.35">
      <c r="B911" s="1330">
        <f t="shared" si="0"/>
        <v>45243</v>
      </c>
      <c r="C911" s="1331">
        <v>870.63</v>
      </c>
    </row>
    <row r="912" spans="2:3" x14ac:dyDescent="0.35">
      <c r="B912" s="1330">
        <f t="shared" si="0"/>
        <v>45244</v>
      </c>
      <c r="C912" s="1331">
        <v>868.42</v>
      </c>
    </row>
    <row r="913" spans="2:3" x14ac:dyDescent="0.35">
      <c r="B913" s="1330">
        <f t="shared" si="0"/>
        <v>45245</v>
      </c>
      <c r="C913" s="1331">
        <v>882.35</v>
      </c>
    </row>
    <row r="914" spans="2:3" x14ac:dyDescent="0.35">
      <c r="B914" s="1330">
        <f t="shared" si="0"/>
        <v>45246</v>
      </c>
      <c r="C914" s="1331">
        <v>857.14</v>
      </c>
    </row>
    <row r="915" spans="2:3" x14ac:dyDescent="0.35">
      <c r="B915" s="1330">
        <f t="shared" si="0"/>
        <v>45247</v>
      </c>
      <c r="C915" s="1331">
        <v>872.61</v>
      </c>
    </row>
    <row r="916" spans="2:3" x14ac:dyDescent="0.35">
      <c r="B916" s="1330">
        <f t="shared" si="0"/>
        <v>45248</v>
      </c>
      <c r="C916" s="1331">
        <v>872.61</v>
      </c>
    </row>
    <row r="917" spans="2:3" x14ac:dyDescent="0.35">
      <c r="B917" s="1330">
        <f t="shared" si="0"/>
        <v>45249</v>
      </c>
      <c r="C917" s="1331">
        <v>872.61</v>
      </c>
    </row>
    <row r="918" spans="2:3" x14ac:dyDescent="0.35">
      <c r="B918" s="1330">
        <f t="shared" si="0"/>
        <v>45250</v>
      </c>
      <c r="C918" s="1331">
        <v>872.61</v>
      </c>
    </row>
    <row r="919" spans="2:3" x14ac:dyDescent="0.35">
      <c r="B919" s="1330">
        <f t="shared" si="0"/>
        <v>45251</v>
      </c>
      <c r="C919" s="1331">
        <v>930.44</v>
      </c>
    </row>
    <row r="920" spans="2:3" x14ac:dyDescent="0.35">
      <c r="B920" s="1330">
        <f t="shared" ref="B920:B983" si="1">+B919+1</f>
        <v>45252</v>
      </c>
      <c r="C920" s="1331">
        <v>984.19</v>
      </c>
    </row>
    <row r="921" spans="2:3" x14ac:dyDescent="0.35">
      <c r="B921" s="1330">
        <f t="shared" si="1"/>
        <v>45253</v>
      </c>
      <c r="C921" s="1331">
        <v>1006.39</v>
      </c>
    </row>
    <row r="922" spans="2:3" x14ac:dyDescent="0.35">
      <c r="B922" s="1330">
        <f t="shared" si="1"/>
        <v>45254</v>
      </c>
      <c r="C922" s="1331">
        <v>972.75</v>
      </c>
    </row>
    <row r="923" spans="2:3" x14ac:dyDescent="0.35">
      <c r="B923" s="1330">
        <f t="shared" si="1"/>
        <v>45255</v>
      </c>
      <c r="C923" s="1331">
        <v>972.75</v>
      </c>
    </row>
    <row r="924" spans="2:3" x14ac:dyDescent="0.35">
      <c r="B924" s="1330">
        <f t="shared" si="1"/>
        <v>45256</v>
      </c>
      <c r="C924" s="1331">
        <v>972.75</v>
      </c>
    </row>
    <row r="925" spans="2:3" x14ac:dyDescent="0.35">
      <c r="B925" s="1330">
        <f t="shared" si="1"/>
        <v>45257</v>
      </c>
      <c r="C925" s="1331">
        <v>889.15</v>
      </c>
    </row>
    <row r="926" spans="2:3" x14ac:dyDescent="0.35">
      <c r="B926" s="1330">
        <f t="shared" si="1"/>
        <v>45258</v>
      </c>
      <c r="C926" s="1331">
        <v>867.12</v>
      </c>
    </row>
    <row r="927" spans="2:3" x14ac:dyDescent="0.35">
      <c r="B927" s="1330">
        <f t="shared" si="1"/>
        <v>45259</v>
      </c>
      <c r="C927" s="1331">
        <v>838.16</v>
      </c>
    </row>
    <row r="928" spans="2:3" x14ac:dyDescent="0.35">
      <c r="B928" s="1330">
        <f t="shared" si="1"/>
        <v>45260</v>
      </c>
      <c r="C928" s="1331">
        <v>858.82</v>
      </c>
    </row>
    <row r="929" spans="2:3" x14ac:dyDescent="0.35">
      <c r="B929" s="1330">
        <f t="shared" si="1"/>
        <v>45261</v>
      </c>
      <c r="C929" s="1331">
        <v>907.69</v>
      </c>
    </row>
    <row r="930" spans="2:3" x14ac:dyDescent="0.35">
      <c r="B930" s="1330">
        <f t="shared" si="1"/>
        <v>45262</v>
      </c>
      <c r="C930" s="1331">
        <v>907.69</v>
      </c>
    </row>
    <row r="931" spans="2:3" x14ac:dyDescent="0.35">
      <c r="B931" s="1330">
        <f t="shared" si="1"/>
        <v>45263</v>
      </c>
      <c r="C931" s="1331">
        <v>907.69</v>
      </c>
    </row>
    <row r="932" spans="2:3" x14ac:dyDescent="0.35">
      <c r="B932" s="1330">
        <f t="shared" si="1"/>
        <v>45264</v>
      </c>
      <c r="C932" s="1331">
        <v>913.05</v>
      </c>
    </row>
    <row r="933" spans="2:3" x14ac:dyDescent="0.35">
      <c r="B933" s="1330">
        <f t="shared" si="1"/>
        <v>45265</v>
      </c>
      <c r="C933" s="1331">
        <v>934.71</v>
      </c>
    </row>
    <row r="934" spans="2:3" x14ac:dyDescent="0.35">
      <c r="B934" s="1330">
        <f t="shared" si="1"/>
        <v>45266</v>
      </c>
      <c r="C934" s="1331">
        <v>936.93</v>
      </c>
    </row>
    <row r="935" spans="2:3" x14ac:dyDescent="0.35">
      <c r="B935" s="1330">
        <f t="shared" si="1"/>
        <v>45267</v>
      </c>
      <c r="C935" s="1331">
        <v>986.37</v>
      </c>
    </row>
    <row r="936" spans="2:3" x14ac:dyDescent="0.35">
      <c r="B936" s="1330">
        <f t="shared" si="1"/>
        <v>45268</v>
      </c>
      <c r="C936" s="1331">
        <v>986.37</v>
      </c>
    </row>
    <row r="937" spans="2:3" x14ac:dyDescent="0.35">
      <c r="B937" s="1330">
        <f t="shared" si="1"/>
        <v>45269</v>
      </c>
      <c r="C937" s="1331">
        <v>986.37</v>
      </c>
    </row>
    <row r="938" spans="2:3" x14ac:dyDescent="0.35">
      <c r="B938" s="1330">
        <f t="shared" si="1"/>
        <v>45270</v>
      </c>
      <c r="C938" s="1331">
        <v>986.37</v>
      </c>
    </row>
    <row r="939" spans="2:3" x14ac:dyDescent="0.35">
      <c r="B939" s="1330">
        <f t="shared" si="1"/>
        <v>45271</v>
      </c>
      <c r="C939" s="1331">
        <v>993.53</v>
      </c>
    </row>
    <row r="940" spans="2:3" x14ac:dyDescent="0.35">
      <c r="B940" s="1330">
        <f t="shared" si="1"/>
        <v>45272</v>
      </c>
      <c r="C940" s="1331">
        <v>1011.46</v>
      </c>
    </row>
    <row r="941" spans="2:3" x14ac:dyDescent="0.35">
      <c r="B941" s="1330">
        <f t="shared" si="1"/>
        <v>45273</v>
      </c>
      <c r="C941" s="1331">
        <v>1037.29</v>
      </c>
    </row>
    <row r="942" spans="2:3" x14ac:dyDescent="0.35">
      <c r="B942" s="1330">
        <f t="shared" si="1"/>
        <v>45274</v>
      </c>
      <c r="C942" s="1331">
        <v>1003.94</v>
      </c>
    </row>
    <row r="943" spans="2:3" x14ac:dyDescent="0.35">
      <c r="B943" s="1330">
        <f t="shared" si="1"/>
        <v>45275</v>
      </c>
      <c r="C943" s="1331">
        <v>993.73</v>
      </c>
    </row>
    <row r="944" spans="2:3" x14ac:dyDescent="0.35">
      <c r="B944" s="1330">
        <f t="shared" si="1"/>
        <v>45276</v>
      </c>
      <c r="C944" s="1331">
        <v>993.73</v>
      </c>
    </row>
    <row r="945" spans="2:3" x14ac:dyDescent="0.35">
      <c r="B945" s="1330">
        <f t="shared" si="1"/>
        <v>45277</v>
      </c>
      <c r="C945" s="1331">
        <v>993.73</v>
      </c>
    </row>
    <row r="946" spans="2:3" x14ac:dyDescent="0.35">
      <c r="B946" s="1330">
        <f t="shared" si="1"/>
        <v>45278</v>
      </c>
      <c r="C946" s="1331">
        <v>963.22</v>
      </c>
    </row>
    <row r="947" spans="2:3" x14ac:dyDescent="0.35">
      <c r="B947" s="1330">
        <f t="shared" si="1"/>
        <v>45279</v>
      </c>
      <c r="C947" s="1331">
        <v>964.39</v>
      </c>
    </row>
    <row r="948" spans="2:3" x14ac:dyDescent="0.35">
      <c r="B948" s="1330">
        <f t="shared" si="1"/>
        <v>45280</v>
      </c>
      <c r="C948" s="1331">
        <v>946.47</v>
      </c>
    </row>
    <row r="949" spans="2:3" x14ac:dyDescent="0.35">
      <c r="B949" s="1330">
        <f t="shared" si="1"/>
        <v>45281</v>
      </c>
      <c r="C949" s="1331">
        <v>971.88</v>
      </c>
    </row>
    <row r="950" spans="2:3" x14ac:dyDescent="0.35">
      <c r="B950" s="1330">
        <f t="shared" si="1"/>
        <v>45282</v>
      </c>
      <c r="C950" s="1331">
        <v>954.23</v>
      </c>
    </row>
    <row r="951" spans="2:3" x14ac:dyDescent="0.35">
      <c r="B951" s="1330">
        <f t="shared" si="1"/>
        <v>45283</v>
      </c>
      <c r="C951" s="1331">
        <v>954.23</v>
      </c>
    </row>
    <row r="952" spans="2:3" x14ac:dyDescent="0.35">
      <c r="B952" s="1330">
        <f t="shared" si="1"/>
        <v>45284</v>
      </c>
      <c r="C952" s="1331">
        <v>954.23</v>
      </c>
    </row>
    <row r="953" spans="2:3" x14ac:dyDescent="0.35">
      <c r="B953" s="1330">
        <f t="shared" si="1"/>
        <v>45285</v>
      </c>
      <c r="C953" s="1331">
        <v>954.23</v>
      </c>
    </row>
    <row r="954" spans="2:3" x14ac:dyDescent="0.35">
      <c r="B954" s="1330">
        <f t="shared" si="1"/>
        <v>45286</v>
      </c>
      <c r="C954" s="1331">
        <v>939.7</v>
      </c>
    </row>
    <row r="955" spans="2:3" x14ac:dyDescent="0.35">
      <c r="B955" s="1330">
        <f t="shared" si="1"/>
        <v>45287</v>
      </c>
      <c r="C955" s="1331">
        <v>932.59</v>
      </c>
    </row>
    <row r="956" spans="2:3" x14ac:dyDescent="0.35">
      <c r="B956" s="1330">
        <f t="shared" si="1"/>
        <v>45288</v>
      </c>
      <c r="C956" s="1331">
        <v>950.24</v>
      </c>
    </row>
    <row r="957" spans="2:3" x14ac:dyDescent="0.35">
      <c r="B957" s="1330">
        <f t="shared" si="1"/>
        <v>45289</v>
      </c>
      <c r="C957" s="1331">
        <v>995</v>
      </c>
    </row>
    <row r="958" spans="2:3" x14ac:dyDescent="0.35">
      <c r="B958" s="1330">
        <f t="shared" si="1"/>
        <v>45290</v>
      </c>
      <c r="C958" s="1331">
        <v>995</v>
      </c>
    </row>
    <row r="959" spans="2:3" x14ac:dyDescent="0.35">
      <c r="B959" s="1330">
        <f t="shared" si="1"/>
        <v>45291</v>
      </c>
      <c r="C959" s="1331">
        <v>995</v>
      </c>
    </row>
    <row r="960" spans="2:3" x14ac:dyDescent="0.35">
      <c r="B960" s="1330">
        <f t="shared" si="1"/>
        <v>45292</v>
      </c>
      <c r="C960" s="1331">
        <v>995</v>
      </c>
    </row>
    <row r="961" spans="2:3" x14ac:dyDescent="0.35">
      <c r="B961" s="1330">
        <f t="shared" si="1"/>
        <v>45293</v>
      </c>
      <c r="C961" s="1331">
        <v>991.3</v>
      </c>
    </row>
    <row r="962" spans="2:3" x14ac:dyDescent="0.35">
      <c r="B962" s="1330">
        <f t="shared" si="1"/>
        <v>45294</v>
      </c>
      <c r="C962" s="1331">
        <v>1033.56</v>
      </c>
    </row>
    <row r="963" spans="2:3" x14ac:dyDescent="0.35">
      <c r="B963" s="1330">
        <f t="shared" si="1"/>
        <v>45295</v>
      </c>
      <c r="C963" s="1331">
        <v>1050.43</v>
      </c>
    </row>
    <row r="964" spans="2:3" x14ac:dyDescent="0.35">
      <c r="B964" s="1330">
        <f t="shared" si="1"/>
        <v>45296</v>
      </c>
      <c r="C964" s="1331">
        <v>1104.93</v>
      </c>
    </row>
    <row r="965" spans="2:3" x14ac:dyDescent="0.35">
      <c r="B965" s="1330">
        <f t="shared" si="1"/>
        <v>45297</v>
      </c>
      <c r="C965" s="1331">
        <v>1104.93</v>
      </c>
    </row>
    <row r="966" spans="2:3" x14ac:dyDescent="0.35">
      <c r="B966" s="1330">
        <f t="shared" si="1"/>
        <v>45298</v>
      </c>
      <c r="C966" s="1331">
        <v>1104.93</v>
      </c>
    </row>
    <row r="967" spans="2:3" x14ac:dyDescent="0.35">
      <c r="B967" s="1330">
        <f t="shared" si="1"/>
        <v>45299</v>
      </c>
      <c r="C967" s="1331">
        <v>1141.6199999999999</v>
      </c>
    </row>
    <row r="968" spans="2:3" x14ac:dyDescent="0.35">
      <c r="B968" s="1330">
        <f t="shared" si="1"/>
        <v>45300</v>
      </c>
      <c r="C968" s="1331">
        <v>1160.3800000000001</v>
      </c>
    </row>
    <row r="969" spans="2:3" x14ac:dyDescent="0.35">
      <c r="B969" s="1330">
        <f t="shared" si="1"/>
        <v>45301</v>
      </c>
      <c r="C969" s="1331">
        <v>1142.45</v>
      </c>
    </row>
    <row r="970" spans="2:3" x14ac:dyDescent="0.35">
      <c r="B970" s="1330">
        <f t="shared" si="1"/>
        <v>45302</v>
      </c>
      <c r="C970" s="1331">
        <v>1119.17</v>
      </c>
    </row>
    <row r="971" spans="2:3" x14ac:dyDescent="0.35">
      <c r="B971" s="1330">
        <f t="shared" si="1"/>
        <v>45303</v>
      </c>
      <c r="C971" s="1331">
        <v>1096.3900000000001</v>
      </c>
    </row>
    <row r="972" spans="2:3" x14ac:dyDescent="0.35">
      <c r="B972" s="1330">
        <f t="shared" si="1"/>
        <v>45304</v>
      </c>
      <c r="C972" s="1331">
        <v>1096.3900000000001</v>
      </c>
    </row>
    <row r="973" spans="2:3" x14ac:dyDescent="0.35">
      <c r="B973" s="1330">
        <f t="shared" si="1"/>
        <v>45305</v>
      </c>
      <c r="C973" s="1331">
        <v>1096.3900000000001</v>
      </c>
    </row>
    <row r="974" spans="2:3" x14ac:dyDescent="0.35">
      <c r="B974" s="1330">
        <f t="shared" si="1"/>
        <v>45306</v>
      </c>
      <c r="C974" s="1331">
        <v>1125.3</v>
      </c>
    </row>
    <row r="975" spans="2:3" x14ac:dyDescent="0.35">
      <c r="B975" s="1330">
        <f t="shared" si="1"/>
        <v>45307</v>
      </c>
      <c r="C975" s="1331">
        <v>1163.48</v>
      </c>
    </row>
    <row r="976" spans="2:3" x14ac:dyDescent="0.35">
      <c r="B976" s="1330">
        <f t="shared" si="1"/>
        <v>45308</v>
      </c>
      <c r="C976" s="1331">
        <v>1221.49</v>
      </c>
    </row>
    <row r="977" spans="2:3" x14ac:dyDescent="0.35">
      <c r="B977" s="1330">
        <f t="shared" si="1"/>
        <v>45309</v>
      </c>
      <c r="C977" s="1331">
        <v>1227.54</v>
      </c>
    </row>
    <row r="978" spans="2:3" x14ac:dyDescent="0.35">
      <c r="B978" s="1330">
        <f t="shared" si="1"/>
        <v>45310</v>
      </c>
      <c r="C978" s="1331">
        <v>1251.67</v>
      </c>
    </row>
    <row r="979" spans="2:3" x14ac:dyDescent="0.35">
      <c r="B979" s="1330">
        <f t="shared" si="1"/>
        <v>45311</v>
      </c>
      <c r="C979" s="1331">
        <v>1251.67</v>
      </c>
    </row>
    <row r="980" spans="2:3" x14ac:dyDescent="0.35">
      <c r="B980" s="1330">
        <f t="shared" si="1"/>
        <v>45312</v>
      </c>
      <c r="C980" s="1331">
        <v>1251.67</v>
      </c>
    </row>
    <row r="981" spans="2:3" x14ac:dyDescent="0.35">
      <c r="B981" s="1330">
        <f t="shared" si="1"/>
        <v>45313</v>
      </c>
      <c r="C981" s="1331">
        <v>1241.4100000000001</v>
      </c>
    </row>
    <row r="982" spans="2:3" x14ac:dyDescent="0.35">
      <c r="B982" s="1330">
        <f t="shared" si="1"/>
        <v>45314</v>
      </c>
      <c r="C982" s="1331">
        <v>1233.22</v>
      </c>
    </row>
    <row r="983" spans="2:3" x14ac:dyDescent="0.35">
      <c r="B983" s="1330">
        <f t="shared" si="1"/>
        <v>45315</v>
      </c>
      <c r="C983" s="1331">
        <v>1232.72</v>
      </c>
    </row>
    <row r="984" spans="2:3" x14ac:dyDescent="0.35">
      <c r="B984" s="1330">
        <f t="shared" ref="B984:B1047" si="2">+B983+1</f>
        <v>45316</v>
      </c>
      <c r="C984" s="1331">
        <v>1229.32</v>
      </c>
    </row>
    <row r="985" spans="2:3" x14ac:dyDescent="0.35">
      <c r="B985" s="1330">
        <f t="shared" si="2"/>
        <v>45317</v>
      </c>
      <c r="C985" s="1331">
        <v>1188.48</v>
      </c>
    </row>
    <row r="986" spans="2:3" x14ac:dyDescent="0.35">
      <c r="B986" s="1330">
        <f t="shared" si="2"/>
        <v>45318</v>
      </c>
      <c r="C986" s="1331">
        <v>1188.48</v>
      </c>
    </row>
    <row r="987" spans="2:3" x14ac:dyDescent="0.35">
      <c r="B987" s="1330">
        <f t="shared" si="2"/>
        <v>45319</v>
      </c>
      <c r="C987" s="1331">
        <v>1188.48</v>
      </c>
    </row>
    <row r="988" spans="2:3" x14ac:dyDescent="0.35">
      <c r="B988" s="1330">
        <f t="shared" si="2"/>
        <v>45320</v>
      </c>
      <c r="C988" s="1331">
        <v>1219.8800000000001</v>
      </c>
    </row>
    <row r="989" spans="2:3" x14ac:dyDescent="0.35">
      <c r="B989" s="1330">
        <f t="shared" si="2"/>
        <v>45321</v>
      </c>
      <c r="C989" s="1331">
        <v>1208.21</v>
      </c>
    </row>
    <row r="990" spans="2:3" x14ac:dyDescent="0.35">
      <c r="B990" s="1330">
        <f t="shared" si="2"/>
        <v>45322</v>
      </c>
      <c r="C990" s="1331">
        <v>1175.67</v>
      </c>
    </row>
    <row r="991" spans="2:3" x14ac:dyDescent="0.35">
      <c r="B991" s="1330">
        <f t="shared" si="2"/>
        <v>45323</v>
      </c>
      <c r="C991" s="1331">
        <v>1235.43</v>
      </c>
    </row>
    <row r="992" spans="2:3" x14ac:dyDescent="0.35">
      <c r="B992" s="1330">
        <f t="shared" si="2"/>
        <v>45324</v>
      </c>
      <c r="C992" s="1331">
        <v>1237.43</v>
      </c>
    </row>
    <row r="993" spans="2:3" x14ac:dyDescent="0.35">
      <c r="B993" s="1330">
        <f t="shared" si="2"/>
        <v>45325</v>
      </c>
      <c r="C993" s="1331">
        <v>1237.43</v>
      </c>
    </row>
    <row r="994" spans="2:3" x14ac:dyDescent="0.35">
      <c r="B994" s="1330">
        <f t="shared" si="2"/>
        <v>45326</v>
      </c>
      <c r="C994" s="1331">
        <v>1237.43</v>
      </c>
    </row>
    <row r="995" spans="2:3" x14ac:dyDescent="0.35">
      <c r="B995" s="1330">
        <f t="shared" si="2"/>
        <v>45327</v>
      </c>
      <c r="C995" s="1331">
        <v>1209.52</v>
      </c>
    </row>
    <row r="996" spans="2:3" x14ac:dyDescent="0.35">
      <c r="B996" s="1330">
        <f t="shared" si="2"/>
        <v>45328</v>
      </c>
      <c r="C996" s="1331">
        <v>1194.74</v>
      </c>
    </row>
    <row r="997" spans="2:3" x14ac:dyDescent="0.35">
      <c r="B997" s="1330">
        <f t="shared" si="2"/>
        <v>45329</v>
      </c>
      <c r="C997" s="1331">
        <v>1199.4100000000001</v>
      </c>
    </row>
    <row r="998" spans="2:3" x14ac:dyDescent="0.35">
      <c r="B998" s="1330">
        <f t="shared" si="2"/>
        <v>45330</v>
      </c>
      <c r="C998" s="1331">
        <v>1183.55</v>
      </c>
    </row>
    <row r="999" spans="2:3" x14ac:dyDescent="0.35">
      <c r="B999" s="1330">
        <f t="shared" si="2"/>
        <v>45331</v>
      </c>
      <c r="C999" s="1331">
        <v>1173.3599999999999</v>
      </c>
    </row>
    <row r="1000" spans="2:3" x14ac:dyDescent="0.35">
      <c r="B1000" s="1330">
        <f t="shared" si="2"/>
        <v>45332</v>
      </c>
      <c r="C1000" s="1331">
        <v>1173.3599999999999</v>
      </c>
    </row>
    <row r="1001" spans="2:3" x14ac:dyDescent="0.35">
      <c r="B1001" s="1330">
        <f t="shared" si="2"/>
        <v>45333</v>
      </c>
      <c r="C1001" s="1331">
        <v>1173.3599999999999</v>
      </c>
    </row>
    <row r="1002" spans="2:3" x14ac:dyDescent="0.35">
      <c r="B1002" s="1330">
        <f t="shared" si="2"/>
        <v>45334</v>
      </c>
      <c r="C1002" s="1331">
        <v>1173.3599999999999</v>
      </c>
    </row>
    <row r="1003" spans="2:3" x14ac:dyDescent="0.35">
      <c r="B1003" s="1330">
        <f t="shared" si="2"/>
        <v>45335</v>
      </c>
      <c r="C1003" s="1331">
        <v>1173.3599999999999</v>
      </c>
    </row>
    <row r="1004" spans="2:3" x14ac:dyDescent="0.35">
      <c r="B1004" s="1330">
        <f t="shared" si="2"/>
        <v>45336</v>
      </c>
      <c r="C1004" s="1331">
        <v>1124.1400000000001</v>
      </c>
    </row>
    <row r="1005" spans="2:3" x14ac:dyDescent="0.35">
      <c r="B1005" s="1330">
        <f t="shared" si="2"/>
        <v>45337</v>
      </c>
      <c r="C1005" s="1331">
        <v>1086.8599999999999</v>
      </c>
    </row>
    <row r="1006" spans="2:3" x14ac:dyDescent="0.35">
      <c r="B1006" s="1330">
        <f t="shared" si="2"/>
        <v>45338</v>
      </c>
      <c r="C1006" s="1331">
        <v>1064.71</v>
      </c>
    </row>
    <row r="1007" spans="2:3" x14ac:dyDescent="0.35">
      <c r="B1007" s="1330">
        <f t="shared" si="2"/>
        <v>45339</v>
      </c>
      <c r="C1007" s="1331">
        <v>1064.71</v>
      </c>
    </row>
    <row r="1008" spans="2:3" x14ac:dyDescent="0.35">
      <c r="B1008" s="1330">
        <f t="shared" si="2"/>
        <v>45340</v>
      </c>
      <c r="C1008" s="1331">
        <v>1064.71</v>
      </c>
    </row>
    <row r="1009" spans="2:3" x14ac:dyDescent="0.35">
      <c r="B1009" s="1330">
        <f t="shared" si="2"/>
        <v>45341</v>
      </c>
      <c r="C1009" s="1331">
        <v>1108.6099999999999</v>
      </c>
    </row>
    <row r="1010" spans="2:3" x14ac:dyDescent="0.35">
      <c r="B1010" s="1330">
        <f t="shared" si="2"/>
        <v>45342</v>
      </c>
      <c r="C1010" s="1331">
        <v>1080.31</v>
      </c>
    </row>
    <row r="1011" spans="2:3" x14ac:dyDescent="0.35">
      <c r="B1011" s="1330">
        <f t="shared" si="2"/>
        <v>45343</v>
      </c>
      <c r="C1011" s="1331">
        <v>1072.51</v>
      </c>
    </row>
    <row r="1012" spans="2:3" x14ac:dyDescent="0.35">
      <c r="B1012" s="1330">
        <f t="shared" si="2"/>
        <v>45344</v>
      </c>
      <c r="C1012" s="1331">
        <v>1054.78</v>
      </c>
    </row>
    <row r="1013" spans="2:3" x14ac:dyDescent="0.35">
      <c r="B1013" s="1330">
        <f t="shared" si="2"/>
        <v>45345</v>
      </c>
      <c r="C1013" s="1331">
        <v>1076.5999999999999</v>
      </c>
    </row>
    <row r="1014" spans="2:3" x14ac:dyDescent="0.35">
      <c r="B1014" s="1330">
        <f t="shared" si="2"/>
        <v>45346</v>
      </c>
      <c r="C1014" s="1331">
        <v>1076.5999999999999</v>
      </c>
    </row>
    <row r="1015" spans="2:3" x14ac:dyDescent="0.35">
      <c r="B1015" s="1330">
        <f t="shared" si="2"/>
        <v>45347</v>
      </c>
      <c r="C1015" s="1331">
        <v>1076.5999999999999</v>
      </c>
    </row>
    <row r="1016" spans="2:3" x14ac:dyDescent="0.35">
      <c r="B1016" s="1330">
        <f t="shared" si="2"/>
        <v>45348</v>
      </c>
      <c r="C1016" s="1331">
        <v>1051.04</v>
      </c>
    </row>
    <row r="1017" spans="2:3" x14ac:dyDescent="0.35">
      <c r="B1017" s="1330">
        <f t="shared" si="2"/>
        <v>45349</v>
      </c>
      <c r="C1017" s="1331">
        <v>1044.95</v>
      </c>
    </row>
    <row r="1018" spans="2:3" x14ac:dyDescent="0.35">
      <c r="B1018" s="1330">
        <f t="shared" si="2"/>
        <v>45350</v>
      </c>
      <c r="C1018" s="1331">
        <v>1031.25</v>
      </c>
    </row>
    <row r="1019" spans="2:3" x14ac:dyDescent="0.35">
      <c r="B1019" s="1330">
        <f t="shared" si="2"/>
        <v>45351</v>
      </c>
      <c r="C1019" s="1331">
        <v>1032.24</v>
      </c>
    </row>
    <row r="1020" spans="2:3" x14ac:dyDescent="0.35">
      <c r="B1020" s="1330">
        <f t="shared" si="2"/>
        <v>45352</v>
      </c>
      <c r="C1020" s="1331">
        <v>1053.46</v>
      </c>
    </row>
    <row r="1021" spans="2:3" x14ac:dyDescent="0.35">
      <c r="B1021" s="1330">
        <f t="shared" si="2"/>
        <v>45353</v>
      </c>
      <c r="C1021" s="1331">
        <v>1053.46</v>
      </c>
    </row>
    <row r="1022" spans="2:3" x14ac:dyDescent="0.35">
      <c r="B1022" s="1330">
        <f t="shared" si="2"/>
        <v>45354</v>
      </c>
      <c r="C1022" s="1331">
        <v>1053.46</v>
      </c>
    </row>
    <row r="1023" spans="2:3" x14ac:dyDescent="0.35">
      <c r="B1023" s="1330">
        <f t="shared" si="2"/>
        <v>45355</v>
      </c>
      <c r="C1023" s="1331">
        <v>1029.54</v>
      </c>
    </row>
    <row r="1024" spans="2:3" x14ac:dyDescent="0.35">
      <c r="B1024" s="1330">
        <f t="shared" si="2"/>
        <v>45356</v>
      </c>
      <c r="C1024" s="1331">
        <v>1016.08</v>
      </c>
    </row>
    <row r="1025" spans="2:3" x14ac:dyDescent="0.35">
      <c r="B1025" s="1330">
        <f t="shared" si="2"/>
        <v>45357</v>
      </c>
      <c r="C1025" s="1331">
        <v>981.21</v>
      </c>
    </row>
    <row r="1026" spans="2:3" x14ac:dyDescent="0.35">
      <c r="B1026" s="1330">
        <f t="shared" si="2"/>
        <v>45358</v>
      </c>
      <c r="C1026" s="1331">
        <v>996.63</v>
      </c>
    </row>
    <row r="1027" spans="2:3" x14ac:dyDescent="0.35">
      <c r="B1027" s="1330">
        <f t="shared" si="2"/>
        <v>45359</v>
      </c>
      <c r="C1027" s="1331">
        <v>1004.7</v>
      </c>
    </row>
    <row r="1028" spans="2:3" x14ac:dyDescent="0.35">
      <c r="B1028" s="1330">
        <f t="shared" si="2"/>
        <v>45360</v>
      </c>
      <c r="C1028" s="1331">
        <v>1004.7</v>
      </c>
    </row>
    <row r="1029" spans="2:3" x14ac:dyDescent="0.35">
      <c r="B1029" s="1330">
        <f t="shared" si="2"/>
        <v>45361</v>
      </c>
      <c r="C1029" s="1331">
        <v>1004.7</v>
      </c>
    </row>
    <row r="1030" spans="2:3" x14ac:dyDescent="0.35">
      <c r="B1030" s="1330">
        <f t="shared" si="2"/>
        <v>45362</v>
      </c>
      <c r="C1030" s="1331">
        <v>980.98</v>
      </c>
    </row>
    <row r="1031" spans="2:3" x14ac:dyDescent="0.35">
      <c r="B1031" s="1330">
        <f t="shared" si="2"/>
        <v>45363</v>
      </c>
      <c r="C1031" s="1331">
        <v>1036.19</v>
      </c>
    </row>
    <row r="1032" spans="2:3" x14ac:dyDescent="0.35">
      <c r="B1032" s="1330">
        <f t="shared" si="2"/>
        <v>45364</v>
      </c>
      <c r="C1032" s="1331">
        <v>1012.01</v>
      </c>
    </row>
    <row r="1033" spans="2:3" x14ac:dyDescent="0.35">
      <c r="B1033" s="1330">
        <f t="shared" si="2"/>
        <v>45365</v>
      </c>
      <c r="C1033" s="1331">
        <v>1015.67</v>
      </c>
    </row>
    <row r="1034" spans="2:3" x14ac:dyDescent="0.35">
      <c r="B1034" s="1330">
        <f t="shared" si="2"/>
        <v>45366</v>
      </c>
      <c r="C1034" s="1331">
        <v>1027.6300000000001</v>
      </c>
    </row>
    <row r="1035" spans="2:3" x14ac:dyDescent="0.35">
      <c r="B1035" s="1330">
        <f t="shared" si="2"/>
        <v>45367</v>
      </c>
      <c r="C1035" s="1331">
        <v>1027.6300000000001</v>
      </c>
    </row>
    <row r="1036" spans="2:3" x14ac:dyDescent="0.35">
      <c r="B1036" s="1330">
        <f t="shared" si="2"/>
        <v>45368</v>
      </c>
      <c r="C1036" s="1331">
        <v>1027.6300000000001</v>
      </c>
    </row>
    <row r="1037" spans="2:3" x14ac:dyDescent="0.35">
      <c r="B1037" s="1330">
        <f t="shared" si="2"/>
        <v>45369</v>
      </c>
      <c r="C1037" s="1331">
        <v>1023.89</v>
      </c>
    </row>
    <row r="1038" spans="2:3" x14ac:dyDescent="0.35">
      <c r="B1038" s="1330">
        <f t="shared" si="2"/>
        <v>45370</v>
      </c>
      <c r="C1038" s="1331">
        <v>1032.3599999999999</v>
      </c>
    </row>
    <row r="1039" spans="2:3" x14ac:dyDescent="0.35">
      <c r="B1039" s="1330">
        <f t="shared" si="2"/>
        <v>45371</v>
      </c>
      <c r="C1039" s="1331">
        <v>1042.43</v>
      </c>
    </row>
    <row r="1040" spans="2:3" x14ac:dyDescent="0.35">
      <c r="B1040" s="1330">
        <f t="shared" si="2"/>
        <v>45372</v>
      </c>
      <c r="C1040" s="1331">
        <v>1036.25</v>
      </c>
    </row>
    <row r="1041" spans="2:3" x14ac:dyDescent="0.35">
      <c r="B1041" s="1330">
        <f t="shared" si="2"/>
        <v>45373</v>
      </c>
      <c r="C1041" s="1331">
        <v>1036.1600000000001</v>
      </c>
    </row>
    <row r="1042" spans="2:3" x14ac:dyDescent="0.35">
      <c r="B1042" s="1330">
        <f t="shared" si="2"/>
        <v>45374</v>
      </c>
      <c r="C1042" s="1331">
        <v>1036.1600000000001</v>
      </c>
    </row>
    <row r="1043" spans="2:3" x14ac:dyDescent="0.35">
      <c r="B1043" s="1330">
        <f t="shared" si="2"/>
        <v>45375</v>
      </c>
      <c r="C1043" s="1331">
        <v>1036.1600000000001</v>
      </c>
    </row>
    <row r="1044" spans="2:3" x14ac:dyDescent="0.35">
      <c r="B1044" s="1330">
        <f t="shared" si="2"/>
        <v>45376</v>
      </c>
      <c r="C1044" s="1331">
        <v>1012.94</v>
      </c>
    </row>
    <row r="1045" spans="2:3" x14ac:dyDescent="0.35">
      <c r="B1045" s="1330">
        <f t="shared" si="2"/>
        <v>45377</v>
      </c>
      <c r="C1045" s="1331">
        <v>1027.0899999999999</v>
      </c>
    </row>
    <row r="1046" spans="2:3" x14ac:dyDescent="0.35">
      <c r="B1046" s="1330">
        <f t="shared" si="2"/>
        <v>45378</v>
      </c>
      <c r="C1046" s="1331">
        <v>1016.09</v>
      </c>
    </row>
    <row r="1047" spans="2:3" x14ac:dyDescent="0.35">
      <c r="B1047" s="1330">
        <f t="shared" si="2"/>
        <v>45379</v>
      </c>
      <c r="C1047" s="1331">
        <v>1016.09</v>
      </c>
    </row>
    <row r="1048" spans="2:3" x14ac:dyDescent="0.35">
      <c r="B1048" s="1330">
        <f t="shared" ref="B1048:B1095" si="3">+B1047+1</f>
        <v>45380</v>
      </c>
      <c r="C1048" s="1331">
        <v>1016.09</v>
      </c>
    </row>
    <row r="1049" spans="2:3" x14ac:dyDescent="0.35">
      <c r="B1049" s="1330">
        <f t="shared" si="3"/>
        <v>45381</v>
      </c>
      <c r="C1049" s="1331">
        <v>1016.09</v>
      </c>
    </row>
    <row r="1050" spans="2:3" x14ac:dyDescent="0.35">
      <c r="B1050" s="1330">
        <f t="shared" si="3"/>
        <v>45382</v>
      </c>
      <c r="C1050" s="1331">
        <v>1016.09</v>
      </c>
    </row>
    <row r="1051" spans="2:3" x14ac:dyDescent="0.35">
      <c r="B1051" s="1330">
        <f t="shared" si="3"/>
        <v>45383</v>
      </c>
      <c r="C1051" s="1331">
        <v>1016.09</v>
      </c>
    </row>
    <row r="1052" spans="2:3" x14ac:dyDescent="0.35">
      <c r="B1052" s="1330">
        <f t="shared" si="3"/>
        <v>45384</v>
      </c>
      <c r="C1052" s="1331">
        <v>1016.09</v>
      </c>
    </row>
    <row r="1053" spans="2:3" x14ac:dyDescent="0.35">
      <c r="B1053" s="1330">
        <f t="shared" si="3"/>
        <v>45385</v>
      </c>
      <c r="C1053" s="1331">
        <v>991.25</v>
      </c>
    </row>
    <row r="1054" spans="2:3" x14ac:dyDescent="0.35">
      <c r="B1054" s="1330">
        <f t="shared" si="3"/>
        <v>45386</v>
      </c>
      <c r="C1054" s="1331">
        <v>996.25</v>
      </c>
    </row>
    <row r="1055" spans="2:3" x14ac:dyDescent="0.35">
      <c r="B1055" s="1330">
        <f t="shared" si="3"/>
        <v>45387</v>
      </c>
      <c r="C1055" s="1331">
        <v>1000.88</v>
      </c>
    </row>
    <row r="1056" spans="2:3" x14ac:dyDescent="0.35">
      <c r="B1056" s="1330">
        <f t="shared" si="3"/>
        <v>45388</v>
      </c>
      <c r="C1056" s="1331">
        <v>1000.88</v>
      </c>
    </row>
    <row r="1057" spans="2:3" x14ac:dyDescent="0.35">
      <c r="B1057" s="1330">
        <f t="shared" si="3"/>
        <v>45389</v>
      </c>
      <c r="C1057" s="1331">
        <v>1000.88</v>
      </c>
    </row>
    <row r="1058" spans="2:3" x14ac:dyDescent="0.35">
      <c r="B1058" s="1330">
        <f t="shared" si="3"/>
        <v>45390</v>
      </c>
      <c r="C1058" s="1331">
        <v>985.86</v>
      </c>
    </row>
    <row r="1059" spans="2:3" x14ac:dyDescent="0.35">
      <c r="B1059" s="1330">
        <f t="shared" si="3"/>
        <v>45391</v>
      </c>
      <c r="C1059" s="1331">
        <v>1000.69</v>
      </c>
    </row>
    <row r="1060" spans="2:3" x14ac:dyDescent="0.35">
      <c r="B1060" s="1330">
        <f t="shared" si="3"/>
        <v>45392</v>
      </c>
      <c r="C1060" s="1331">
        <v>998.1</v>
      </c>
    </row>
    <row r="1061" spans="2:3" x14ac:dyDescent="0.35">
      <c r="B1061" s="1330">
        <f t="shared" si="3"/>
        <v>45393</v>
      </c>
      <c r="C1061" s="1331">
        <v>994.86</v>
      </c>
    </row>
    <row r="1062" spans="2:3" x14ac:dyDescent="0.35">
      <c r="B1062" s="1330">
        <f t="shared" si="3"/>
        <v>45394</v>
      </c>
      <c r="C1062" s="1331">
        <v>1005.46</v>
      </c>
    </row>
    <row r="1063" spans="2:3" x14ac:dyDescent="0.35">
      <c r="B1063" s="1330">
        <f t="shared" si="3"/>
        <v>45395</v>
      </c>
      <c r="C1063" s="1331">
        <v>1005.46</v>
      </c>
    </row>
    <row r="1064" spans="2:3" x14ac:dyDescent="0.35">
      <c r="B1064" s="1330">
        <f t="shared" si="3"/>
        <v>45396</v>
      </c>
      <c r="C1064" s="1331">
        <v>1005.46</v>
      </c>
    </row>
    <row r="1065" spans="2:3" x14ac:dyDescent="0.35">
      <c r="B1065" s="1330">
        <f t="shared" si="3"/>
        <v>45397</v>
      </c>
      <c r="C1065" s="1331">
        <v>1021.55</v>
      </c>
    </row>
    <row r="1066" spans="2:3" x14ac:dyDescent="0.35">
      <c r="B1066" s="1330">
        <f t="shared" si="3"/>
        <v>45398</v>
      </c>
      <c r="C1066" s="1331">
        <v>1031.6300000000001</v>
      </c>
    </row>
    <row r="1067" spans="2:3" x14ac:dyDescent="0.35">
      <c r="B1067" s="1330">
        <f t="shared" si="3"/>
        <v>45399</v>
      </c>
      <c r="C1067" s="1331">
        <v>1021.16</v>
      </c>
    </row>
    <row r="1068" spans="2:3" x14ac:dyDescent="0.35">
      <c r="B1068" s="1330">
        <f t="shared" si="3"/>
        <v>45400</v>
      </c>
      <c r="C1068" s="1331">
        <v>1021.92</v>
      </c>
    </row>
    <row r="1069" spans="2:3" x14ac:dyDescent="0.35">
      <c r="B1069" s="1330">
        <f t="shared" si="3"/>
        <v>45401</v>
      </c>
      <c r="C1069" s="1331">
        <v>1026.6500000000001</v>
      </c>
    </row>
    <row r="1070" spans="2:3" x14ac:dyDescent="0.35">
      <c r="B1070" s="1330">
        <f t="shared" si="3"/>
        <v>45402</v>
      </c>
      <c r="C1070" s="1331">
        <v>1026.6500000000001</v>
      </c>
    </row>
    <row r="1071" spans="2:3" x14ac:dyDescent="0.35">
      <c r="B1071" s="1330">
        <f t="shared" si="3"/>
        <v>45403</v>
      </c>
      <c r="C1071" s="1331">
        <v>1026.6500000000001</v>
      </c>
    </row>
    <row r="1072" spans="2:3" x14ac:dyDescent="0.35">
      <c r="B1072" s="1330">
        <f t="shared" si="3"/>
        <v>45404</v>
      </c>
      <c r="C1072" s="1331">
        <v>1014.98</v>
      </c>
    </row>
    <row r="1073" spans="2:3" x14ac:dyDescent="0.35">
      <c r="B1073" s="1330">
        <f t="shared" si="3"/>
        <v>45405</v>
      </c>
      <c r="C1073" s="1331">
        <v>1006.71</v>
      </c>
    </row>
    <row r="1074" spans="2:3" x14ac:dyDescent="0.35">
      <c r="B1074" s="1330">
        <f t="shared" si="3"/>
        <v>45406</v>
      </c>
      <c r="C1074" s="1331">
        <v>1015.54</v>
      </c>
    </row>
    <row r="1075" spans="2:3" x14ac:dyDescent="0.35">
      <c r="B1075" s="1330">
        <f t="shared" si="3"/>
        <v>45407</v>
      </c>
      <c r="C1075" s="1331">
        <v>1034.06</v>
      </c>
    </row>
    <row r="1076" spans="2:3" x14ac:dyDescent="0.35">
      <c r="B1076" s="1330">
        <f t="shared" si="3"/>
        <v>45408</v>
      </c>
      <c r="C1076" s="1331">
        <v>1034.04</v>
      </c>
    </row>
    <row r="1077" spans="2:3" x14ac:dyDescent="0.35">
      <c r="B1077" s="1330">
        <f t="shared" si="3"/>
        <v>45409</v>
      </c>
      <c r="C1077" s="1331">
        <v>1034.04</v>
      </c>
    </row>
    <row r="1078" spans="2:3" x14ac:dyDescent="0.35">
      <c r="B1078" s="1330">
        <f t="shared" si="3"/>
        <v>45410</v>
      </c>
      <c r="C1078" s="1331">
        <v>1034.04</v>
      </c>
    </row>
    <row r="1079" spans="2:3" x14ac:dyDescent="0.35">
      <c r="B1079" s="1330">
        <f t="shared" si="3"/>
        <v>45411</v>
      </c>
      <c r="C1079" s="1331">
        <v>1037.77</v>
      </c>
    </row>
    <row r="1080" spans="2:3" x14ac:dyDescent="0.35">
      <c r="B1080" s="1330">
        <f t="shared" si="3"/>
        <v>45412</v>
      </c>
      <c r="C1080" s="1331">
        <v>1040.8900000000001</v>
      </c>
    </row>
    <row r="1081" spans="2:3" x14ac:dyDescent="0.35">
      <c r="B1081" s="1330">
        <f t="shared" si="3"/>
        <v>45413</v>
      </c>
      <c r="C1081" s="1331">
        <v>1040.8900000000001</v>
      </c>
    </row>
    <row r="1082" spans="2:3" x14ac:dyDescent="0.35">
      <c r="B1082" s="1330">
        <f t="shared" si="3"/>
        <v>45414</v>
      </c>
      <c r="C1082" s="1331">
        <v>1064.56</v>
      </c>
    </row>
    <row r="1083" spans="2:3" x14ac:dyDescent="0.35">
      <c r="B1083" s="1330">
        <f t="shared" si="3"/>
        <v>45415</v>
      </c>
      <c r="C1083" s="1331">
        <v>1072.6400000000001</v>
      </c>
    </row>
    <row r="1084" spans="2:3" x14ac:dyDescent="0.35">
      <c r="B1084" s="1330">
        <f t="shared" si="3"/>
        <v>45416</v>
      </c>
      <c r="C1084" s="1331">
        <v>1072.6400000000001</v>
      </c>
    </row>
    <row r="1085" spans="2:3" x14ac:dyDescent="0.35">
      <c r="B1085" s="1330">
        <f t="shared" si="3"/>
        <v>45417</v>
      </c>
      <c r="C1085" s="1331">
        <v>1072.6400000000001</v>
      </c>
    </row>
    <row r="1086" spans="2:3" x14ac:dyDescent="0.35">
      <c r="B1086" s="1330">
        <f t="shared" si="3"/>
        <v>45418</v>
      </c>
      <c r="C1086" s="1331">
        <v>1064.47</v>
      </c>
    </row>
    <row r="1087" spans="2:3" x14ac:dyDescent="0.35">
      <c r="B1087" s="1330">
        <f t="shared" si="3"/>
        <v>45419</v>
      </c>
      <c r="C1087" s="1331">
        <v>1048.49</v>
      </c>
    </row>
    <row r="1088" spans="2:3" x14ac:dyDescent="0.35">
      <c r="B1088" s="1330">
        <f t="shared" si="3"/>
        <v>45420</v>
      </c>
      <c r="C1088" s="1331">
        <v>1038.77</v>
      </c>
    </row>
    <row r="1089" spans="2:3" x14ac:dyDescent="0.35">
      <c r="B1089" s="1330">
        <f t="shared" si="3"/>
        <v>45421</v>
      </c>
      <c r="C1089" s="1331">
        <v>1046.02</v>
      </c>
    </row>
    <row r="1090" spans="2:3" x14ac:dyDescent="0.35">
      <c r="B1090" s="1330">
        <f t="shared" si="3"/>
        <v>45422</v>
      </c>
      <c r="C1090" s="1331">
        <v>1035.73</v>
      </c>
    </row>
    <row r="1091" spans="2:3" x14ac:dyDescent="0.35">
      <c r="B1091" s="1330">
        <f t="shared" si="3"/>
        <v>45423</v>
      </c>
      <c r="C1091" s="1331">
        <v>1035.73</v>
      </c>
    </row>
    <row r="1092" spans="2:3" x14ac:dyDescent="0.35">
      <c r="B1092" s="1330">
        <f t="shared" si="3"/>
        <v>45424</v>
      </c>
      <c r="C1092" s="1331">
        <v>1035.73</v>
      </c>
    </row>
    <row r="1093" spans="2:3" x14ac:dyDescent="0.35">
      <c r="B1093" s="1330">
        <f t="shared" si="3"/>
        <v>45425</v>
      </c>
      <c r="C1093" s="1331">
        <v>1034.8900000000001</v>
      </c>
    </row>
    <row r="1094" spans="2:3" x14ac:dyDescent="0.35">
      <c r="B1094" s="1330">
        <f t="shared" si="3"/>
        <v>45426</v>
      </c>
      <c r="C1094" s="1331">
        <v>1041.6500000000001</v>
      </c>
    </row>
    <row r="1095" spans="2:3" x14ac:dyDescent="0.35">
      <c r="B1095" s="1330">
        <f t="shared" si="3"/>
        <v>45427</v>
      </c>
      <c r="C1095" s="1331">
        <v>1050.33</v>
      </c>
    </row>
    <row r="1096" spans="2:3" x14ac:dyDescent="0.35">
      <c r="B1096" s="1330">
        <v>45428</v>
      </c>
      <c r="C1096" s="1331">
        <v>1062.25</v>
      </c>
    </row>
    <row r="1097" spans="2:3" x14ac:dyDescent="0.35">
      <c r="B1097" s="1330">
        <v>45429</v>
      </c>
      <c r="C1097" s="1331">
        <v>1071.1199999999999</v>
      </c>
    </row>
    <row r="1098" spans="2:3" x14ac:dyDescent="0.35">
      <c r="B1098" s="1330">
        <v>45430</v>
      </c>
      <c r="C1098" s="1331">
        <v>1071.1199999999999</v>
      </c>
    </row>
    <row r="1099" spans="2:3" x14ac:dyDescent="0.35">
      <c r="B1099" s="1330">
        <v>45431</v>
      </c>
      <c r="C1099" s="1331">
        <v>1071.1199999999999</v>
      </c>
    </row>
    <row r="1100" spans="2:3" x14ac:dyDescent="0.35">
      <c r="B1100" s="1330">
        <v>45432</v>
      </c>
      <c r="C1100" s="1331">
        <v>1106.22</v>
      </c>
    </row>
    <row r="1101" spans="2:3" x14ac:dyDescent="0.35">
      <c r="B1101" s="1330">
        <v>45433</v>
      </c>
      <c r="C1101" s="1331">
        <v>1170.28</v>
      </c>
    </row>
    <row r="1102" spans="2:3" x14ac:dyDescent="0.35">
      <c r="B1102" s="1330">
        <v>45434</v>
      </c>
      <c r="C1102" s="1331">
        <v>1230.5999999999999</v>
      </c>
    </row>
    <row r="1103" spans="2:3" x14ac:dyDescent="0.35">
      <c r="B1103" s="1330">
        <v>45435</v>
      </c>
      <c r="C1103" s="1331">
        <v>1234.4000000000001</v>
      </c>
    </row>
    <row r="1104" spans="2:3" x14ac:dyDescent="0.35">
      <c r="B1104" s="1330">
        <v>45436</v>
      </c>
      <c r="C1104" s="1331">
        <v>1205.73</v>
      </c>
    </row>
    <row r="1105" spans="2:3" x14ac:dyDescent="0.35">
      <c r="B1105" s="1330">
        <v>45437</v>
      </c>
      <c r="C1105" s="1331">
        <v>1205.73</v>
      </c>
    </row>
    <row r="1106" spans="2:3" x14ac:dyDescent="0.35">
      <c r="B1106" s="1330">
        <v>45438</v>
      </c>
      <c r="C1106" s="1331">
        <v>1205.73</v>
      </c>
    </row>
    <row r="1107" spans="2:3" x14ac:dyDescent="0.35">
      <c r="B1107" s="1330">
        <v>45439</v>
      </c>
      <c r="C1107" s="1331">
        <v>1228.18</v>
      </c>
    </row>
    <row r="1108" spans="2:3" x14ac:dyDescent="0.35">
      <c r="B1108" s="1330">
        <v>45440</v>
      </c>
      <c r="C1108" s="1331">
        <v>1200.9000000000001</v>
      </c>
    </row>
    <row r="1109" spans="2:3" x14ac:dyDescent="0.35">
      <c r="B1109" s="1330">
        <v>45441</v>
      </c>
      <c r="C1109" s="1331">
        <v>1177.1400000000001</v>
      </c>
    </row>
    <row r="1110" spans="2:3" x14ac:dyDescent="0.35">
      <c r="B1110" s="1330">
        <v>45442</v>
      </c>
      <c r="C1110" s="1331">
        <v>1182.71</v>
      </c>
    </row>
    <row r="1111" spans="2:3" x14ac:dyDescent="0.35">
      <c r="B1111" s="1330">
        <v>45443</v>
      </c>
      <c r="C1111" s="1331">
        <v>1215.93</v>
      </c>
    </row>
    <row r="1112" spans="2:3" x14ac:dyDescent="0.35">
      <c r="B1112" s="1330">
        <v>45446</v>
      </c>
      <c r="C1112" s="1331">
        <v>1269.9100000000001</v>
      </c>
    </row>
    <row r="1113" spans="2:3" x14ac:dyDescent="0.35">
      <c r="B1113" s="1330">
        <v>45447</v>
      </c>
      <c r="C1113" s="1331">
        <v>1280.8</v>
      </c>
    </row>
    <row r="1114" spans="2:3" x14ac:dyDescent="0.35">
      <c r="B1114" s="1330">
        <v>45448</v>
      </c>
      <c r="C1114" s="1331">
        <v>1283.0899999999999</v>
      </c>
    </row>
    <row r="1115" spans="2:3" x14ac:dyDescent="0.35">
      <c r="B1115" s="1330">
        <v>45449</v>
      </c>
      <c r="C1115" s="1331">
        <v>1272.01</v>
      </c>
    </row>
    <row r="1116" spans="2:3" x14ac:dyDescent="0.35">
      <c r="B1116" s="1330">
        <v>45450</v>
      </c>
      <c r="C1116" s="1331">
        <v>1282.33</v>
      </c>
    </row>
    <row r="1117" spans="2:3" x14ac:dyDescent="0.35">
      <c r="B1117" s="1330">
        <v>45451</v>
      </c>
      <c r="C1117" s="1331">
        <v>1282.33</v>
      </c>
    </row>
    <row r="1118" spans="2:3" x14ac:dyDescent="0.35">
      <c r="B1118" s="1330">
        <v>45452</v>
      </c>
      <c r="C1118" s="1331">
        <v>1282.33</v>
      </c>
    </row>
    <row r="1119" spans="2:3" x14ac:dyDescent="0.35">
      <c r="B1119" s="1330">
        <v>45453</v>
      </c>
      <c r="C1119" s="1331">
        <v>1272.6300000000001</v>
      </c>
    </row>
    <row r="1120" spans="2:3" x14ac:dyDescent="0.35">
      <c r="B1120" s="1330">
        <v>45454</v>
      </c>
      <c r="C1120" s="1331">
        <v>1273.9000000000001</v>
      </c>
    </row>
    <row r="1121" spans="2:3" x14ac:dyDescent="0.35">
      <c r="B1121" s="1330">
        <v>45455</v>
      </c>
      <c r="C1121" s="1331">
        <v>1278.94</v>
      </c>
    </row>
    <row r="1122" spans="2:3" x14ac:dyDescent="0.35">
      <c r="B1122" s="1330">
        <v>45456</v>
      </c>
      <c r="C1122" s="1331">
        <v>1241.0999999999999</v>
      </c>
    </row>
    <row r="1123" spans="2:3" x14ac:dyDescent="0.35">
      <c r="B1123" s="1330">
        <v>45457</v>
      </c>
      <c r="C1123" s="1331">
        <v>1244.6400000000001</v>
      </c>
    </row>
    <row r="1124" spans="2:3" x14ac:dyDescent="0.35">
      <c r="B1124" s="1330">
        <v>45458</v>
      </c>
      <c r="C1124" s="1331">
        <v>1244.6400000000001</v>
      </c>
    </row>
    <row r="1125" spans="2:3" x14ac:dyDescent="0.35">
      <c r="B1125" s="1330">
        <v>45459</v>
      </c>
      <c r="C1125" s="1331">
        <v>1244.6400000000001</v>
      </c>
    </row>
    <row r="1126" spans="2:3" x14ac:dyDescent="0.35">
      <c r="B1126" s="1330">
        <v>45460</v>
      </c>
      <c r="C1126" s="1331">
        <v>1244.6400000000001</v>
      </c>
    </row>
    <row r="1127" spans="2:3" x14ac:dyDescent="0.35">
      <c r="B1127" s="1330">
        <v>45461</v>
      </c>
      <c r="C1127" s="1331">
        <v>1245.49</v>
      </c>
    </row>
    <row r="1128" spans="2:3" x14ac:dyDescent="0.35">
      <c r="B1128" s="1330">
        <v>45462</v>
      </c>
      <c r="C1128" s="1331">
        <v>1273.81</v>
      </c>
    </row>
    <row r="1129" spans="2:3" x14ac:dyDescent="0.35">
      <c r="B1129" s="1330">
        <v>45463</v>
      </c>
      <c r="C1129" s="1331">
        <v>1273.81</v>
      </c>
    </row>
    <row r="1130" spans="2:3" x14ac:dyDescent="0.35">
      <c r="B1130" s="1330">
        <v>45464</v>
      </c>
      <c r="C1130" s="1331">
        <v>1273.81</v>
      </c>
    </row>
    <row r="1131" spans="2:3" x14ac:dyDescent="0.35">
      <c r="B1131" s="1330">
        <v>45465</v>
      </c>
      <c r="C1131" s="1331">
        <v>1273.81</v>
      </c>
    </row>
    <row r="1132" spans="2:3" x14ac:dyDescent="0.35">
      <c r="B1132" s="1330">
        <v>45466</v>
      </c>
      <c r="C1132" s="1331">
        <v>1273.81</v>
      </c>
    </row>
    <row r="1133" spans="2:3" x14ac:dyDescent="0.35">
      <c r="B1133" s="1330">
        <v>45467</v>
      </c>
      <c r="C1133" s="1331">
        <v>1295.22</v>
      </c>
    </row>
    <row r="1134" spans="2:3" x14ac:dyDescent="0.35">
      <c r="B1134" s="1330">
        <v>45468</v>
      </c>
      <c r="C1134" s="1331">
        <v>1308.99</v>
      </c>
    </row>
    <row r="1135" spans="2:3" x14ac:dyDescent="0.35">
      <c r="B1135" s="1330">
        <v>45469</v>
      </c>
      <c r="C1135" s="1331">
        <v>1332.13</v>
      </c>
    </row>
    <row r="1136" spans="2:3" x14ac:dyDescent="0.35">
      <c r="B1136" s="1330">
        <v>45470</v>
      </c>
      <c r="C1136" s="1331">
        <v>1331.96</v>
      </c>
    </row>
    <row r="1137" spans="2:3" x14ac:dyDescent="0.35">
      <c r="B1137" s="1330">
        <v>45471</v>
      </c>
      <c r="C1137" s="1331">
        <v>1347.96</v>
      </c>
    </row>
    <row r="1138" spans="2:3" x14ac:dyDescent="0.35">
      <c r="B1138" s="1330">
        <v>45472</v>
      </c>
      <c r="C1138" s="1331">
        <v>1347.96</v>
      </c>
    </row>
    <row r="1139" spans="2:3" x14ac:dyDescent="0.35">
      <c r="B1139" s="1330">
        <v>45473</v>
      </c>
      <c r="C1139" s="1331">
        <v>1347.96</v>
      </c>
    </row>
    <row r="1140" spans="2:3" x14ac:dyDescent="0.35">
      <c r="B1140" s="1330">
        <v>45474</v>
      </c>
      <c r="C1140" s="1331">
        <v>1413.01</v>
      </c>
    </row>
    <row r="1141" spans="2:3" x14ac:dyDescent="0.35">
      <c r="B1141" s="1330">
        <v>45475</v>
      </c>
      <c r="C1141" s="1331">
        <v>1428.46</v>
      </c>
    </row>
    <row r="1142" spans="2:3" x14ac:dyDescent="0.35">
      <c r="B1142" s="1330">
        <v>45476</v>
      </c>
      <c r="C1142" s="1331">
        <v>1382.5</v>
      </c>
    </row>
    <row r="1143" spans="2:3" x14ac:dyDescent="0.35">
      <c r="B1143" s="1330">
        <v>45477</v>
      </c>
      <c r="C1143" s="1331">
        <v>1395.68</v>
      </c>
    </row>
    <row r="1144" spans="2:3" x14ac:dyDescent="0.35">
      <c r="B1144" s="1330">
        <v>45478</v>
      </c>
      <c r="C1144" s="1331">
        <v>1396.24</v>
      </c>
    </row>
    <row r="1145" spans="2:3" x14ac:dyDescent="0.35">
      <c r="B1145" s="1330">
        <v>45479</v>
      </c>
      <c r="C1145" s="1331">
        <v>1396.24</v>
      </c>
    </row>
    <row r="1146" spans="2:3" x14ac:dyDescent="0.35">
      <c r="B1146" s="1330">
        <v>45480</v>
      </c>
      <c r="C1146" s="1331">
        <v>1396.24</v>
      </c>
    </row>
    <row r="1147" spans="2:3" x14ac:dyDescent="0.35">
      <c r="B1147" s="1330">
        <v>45481</v>
      </c>
      <c r="C1147" s="1331">
        <v>1386.86</v>
      </c>
    </row>
    <row r="1148" spans="2:3" x14ac:dyDescent="0.35">
      <c r="B1148" s="1330">
        <v>45482</v>
      </c>
      <c r="C1148" s="1331">
        <v>1386.86</v>
      </c>
    </row>
    <row r="1149" spans="2:3" x14ac:dyDescent="0.35">
      <c r="B1149" s="1330">
        <v>45483</v>
      </c>
      <c r="C1149" s="1331">
        <v>1377.39</v>
      </c>
    </row>
    <row r="1150" spans="2:3" x14ac:dyDescent="0.35">
      <c r="B1150" s="1330">
        <v>45484</v>
      </c>
      <c r="C1150" s="1331">
        <v>1403.33</v>
      </c>
    </row>
    <row r="1151" spans="2:3" x14ac:dyDescent="0.35">
      <c r="B1151" s="1330">
        <v>45485</v>
      </c>
      <c r="C1151" s="1331">
        <v>1416.22</v>
      </c>
    </row>
    <row r="1152" spans="2:3" x14ac:dyDescent="0.35">
      <c r="B1152" s="1330">
        <v>45486</v>
      </c>
      <c r="C1152" s="1331">
        <v>1416.22</v>
      </c>
    </row>
    <row r="1153" spans="2:3" x14ac:dyDescent="0.35">
      <c r="B1153" s="1330">
        <v>45487</v>
      </c>
      <c r="C1153" s="1331">
        <v>1416.22</v>
      </c>
    </row>
    <row r="1154" spans="2:3" x14ac:dyDescent="0.35">
      <c r="B1154" s="1330">
        <v>45488</v>
      </c>
      <c r="C1154" s="1331">
        <v>1307.54</v>
      </c>
    </row>
    <row r="1155" spans="2:3" x14ac:dyDescent="0.35">
      <c r="B1155" s="1330">
        <v>45489</v>
      </c>
      <c r="C1155" s="1331">
        <v>1278.94</v>
      </c>
    </row>
    <row r="1156" spans="2:3" x14ac:dyDescent="0.35">
      <c r="B1156" s="1330">
        <v>45490</v>
      </c>
      <c r="C1156" s="1331">
        <v>1300</v>
      </c>
    </row>
    <row r="1157" spans="2:3" x14ac:dyDescent="0.35">
      <c r="B1157" s="1330">
        <v>45491</v>
      </c>
      <c r="C1157" s="1331">
        <v>1315.29</v>
      </c>
    </row>
    <row r="1158" spans="2:3" x14ac:dyDescent="0.35">
      <c r="B1158" s="1330">
        <v>45492</v>
      </c>
      <c r="C1158" s="1331">
        <v>1331.7</v>
      </c>
    </row>
    <row r="1159" spans="2:3" x14ac:dyDescent="0.35">
      <c r="B1159" s="1330">
        <v>45493</v>
      </c>
      <c r="C1159" s="1331">
        <v>1331.7</v>
      </c>
    </row>
    <row r="1160" spans="2:3" x14ac:dyDescent="0.35">
      <c r="B1160" s="1330">
        <v>45494</v>
      </c>
      <c r="C1160" s="1331">
        <v>1331.7</v>
      </c>
    </row>
    <row r="1161" spans="2:3" x14ac:dyDescent="0.35">
      <c r="B1161" s="1330">
        <v>45495</v>
      </c>
      <c r="C1161" s="1331">
        <v>1333.37</v>
      </c>
    </row>
    <row r="1162" spans="2:3" x14ac:dyDescent="0.35">
      <c r="B1162" s="1330">
        <v>45496</v>
      </c>
      <c r="C1162" s="1331">
        <v>1324.96</v>
      </c>
    </row>
    <row r="1163" spans="2:3" x14ac:dyDescent="0.35">
      <c r="B1163" s="1330">
        <v>45497</v>
      </c>
      <c r="C1163" s="1331">
        <v>1337.51</v>
      </c>
    </row>
    <row r="1164" spans="2:3" x14ac:dyDescent="0.35">
      <c r="B1164" s="1330">
        <v>45498</v>
      </c>
      <c r="C1164" s="1331">
        <v>1332.77</v>
      </c>
    </row>
    <row r="1165" spans="2:3" x14ac:dyDescent="0.35">
      <c r="B1165" s="1330">
        <v>45499</v>
      </c>
      <c r="C1165" s="1331">
        <v>1323.15</v>
      </c>
    </row>
    <row r="1166" spans="2:3" x14ac:dyDescent="0.35">
      <c r="B1166" s="1330">
        <v>45500</v>
      </c>
      <c r="C1166" s="1331">
        <v>1323.15</v>
      </c>
    </row>
    <row r="1167" spans="2:3" x14ac:dyDescent="0.35">
      <c r="B1167" s="1330">
        <v>45501</v>
      </c>
      <c r="C1167" s="1331">
        <v>1323.15</v>
      </c>
    </row>
    <row r="1168" spans="2:3" x14ac:dyDescent="0.35">
      <c r="B1168" s="1330">
        <v>45502</v>
      </c>
      <c r="C1168" s="1331">
        <v>1296.57</v>
      </c>
    </row>
    <row r="1169" spans="2:3" x14ac:dyDescent="0.35">
      <c r="B1169" s="1330">
        <v>45503</v>
      </c>
      <c r="C1169" s="1331">
        <v>1267.95</v>
      </c>
    </row>
    <row r="1170" spans="2:3" x14ac:dyDescent="0.35">
      <c r="B1170" s="1330">
        <v>45504</v>
      </c>
      <c r="C1170" s="1331">
        <v>1293.33</v>
      </c>
    </row>
    <row r="1171" spans="2:3" x14ac:dyDescent="0.35">
      <c r="B1171" s="1330">
        <v>45505</v>
      </c>
      <c r="C1171" s="1331">
        <v>1300.1400000000001</v>
      </c>
    </row>
    <row r="1172" spans="2:3" x14ac:dyDescent="0.35">
      <c r="B1172" s="1330">
        <v>45506</v>
      </c>
      <c r="C1172" s="1331">
        <v>1334.04</v>
      </c>
    </row>
    <row r="1173" spans="2:3" x14ac:dyDescent="0.35">
      <c r="B1173" s="1330">
        <v>45507</v>
      </c>
      <c r="C1173" s="1331">
        <v>1334.04</v>
      </c>
    </row>
    <row r="1174" spans="2:3" x14ac:dyDescent="0.35">
      <c r="B1174" s="1330">
        <v>45508</v>
      </c>
      <c r="C1174" s="1331">
        <v>1334.04</v>
      </c>
    </row>
    <row r="1175" spans="2:3" x14ac:dyDescent="0.35">
      <c r="B1175" s="1330">
        <v>45509</v>
      </c>
      <c r="C1175" s="1331">
        <v>1346.09</v>
      </c>
    </row>
    <row r="1176" spans="2:3" x14ac:dyDescent="0.35">
      <c r="B1176" s="1330">
        <v>45510</v>
      </c>
      <c r="C1176" s="1331">
        <v>1336.4</v>
      </c>
    </row>
    <row r="1177" spans="2:3" x14ac:dyDescent="0.35">
      <c r="B1177" s="1330">
        <v>45511</v>
      </c>
      <c r="C1177" s="1331">
        <v>1331.95</v>
      </c>
    </row>
    <row r="1178" spans="2:3" x14ac:dyDescent="0.35">
      <c r="B1178" s="1330">
        <v>45512</v>
      </c>
      <c r="C1178" s="1331">
        <v>1310.45</v>
      </c>
    </row>
    <row r="1179" spans="2:3" x14ac:dyDescent="0.35">
      <c r="B1179" s="1330">
        <v>45513</v>
      </c>
      <c r="C1179" s="1331">
        <v>1298.27</v>
      </c>
    </row>
    <row r="1180" spans="2:3" x14ac:dyDescent="0.35">
      <c r="B1180" s="1330">
        <v>45514</v>
      </c>
      <c r="C1180" s="1331">
        <v>1298.28</v>
      </c>
    </row>
    <row r="1181" spans="2:3" x14ac:dyDescent="0.35">
      <c r="B1181" s="1330">
        <v>45515</v>
      </c>
      <c r="C1181" s="1331">
        <v>1298.29</v>
      </c>
    </row>
    <row r="1182" spans="2:3" x14ac:dyDescent="0.35">
      <c r="B1182" s="1330">
        <v>45516</v>
      </c>
      <c r="C1182" s="1331">
        <v>1284.3499999999999</v>
      </c>
    </row>
    <row r="1183" spans="2:3" x14ac:dyDescent="0.35">
      <c r="B1183" s="1330">
        <v>45517</v>
      </c>
      <c r="C1183" s="1331">
        <v>1272.49</v>
      </c>
    </row>
    <row r="1184" spans="2:3" x14ac:dyDescent="0.35">
      <c r="B1184" s="1330">
        <v>45518</v>
      </c>
      <c r="C1184" s="1331">
        <v>1268.81</v>
      </c>
    </row>
    <row r="1185" spans="2:3" x14ac:dyDescent="0.35">
      <c r="B1185" s="1330">
        <v>45519</v>
      </c>
      <c r="C1185" s="1331">
        <v>1276.21</v>
      </c>
    </row>
    <row r="1186" spans="2:3" x14ac:dyDescent="0.35">
      <c r="B1186" s="1330">
        <v>45520</v>
      </c>
      <c r="C1186" s="1331">
        <v>1295.3</v>
      </c>
    </row>
    <row r="1187" spans="2:3" x14ac:dyDescent="0.35">
      <c r="B1187" s="1330">
        <v>45521</v>
      </c>
      <c r="C1187" s="1331">
        <v>1295.3</v>
      </c>
    </row>
    <row r="1188" spans="2:3" x14ac:dyDescent="0.35">
      <c r="B1188" s="1330">
        <v>45522</v>
      </c>
      <c r="C1188" s="1331">
        <v>1295.3</v>
      </c>
    </row>
    <row r="1189" spans="2:3" x14ac:dyDescent="0.35">
      <c r="B1189" s="1330">
        <v>45523</v>
      </c>
      <c r="C1189" s="1331">
        <v>1290.0999999999999</v>
      </c>
    </row>
    <row r="1190" spans="2:3" x14ac:dyDescent="0.35">
      <c r="B1190" s="1330">
        <v>45524</v>
      </c>
      <c r="C1190" s="1331">
        <v>1287.82</v>
      </c>
    </row>
    <row r="1191" spans="2:3" x14ac:dyDescent="0.35">
      <c r="B1191" s="1330">
        <v>45525</v>
      </c>
      <c r="C1191" s="1331">
        <v>1291.75</v>
      </c>
    </row>
    <row r="1192" spans="2:3" x14ac:dyDescent="0.35">
      <c r="B1192" s="1330">
        <v>45526</v>
      </c>
      <c r="C1192" s="1331">
        <v>1283.23</v>
      </c>
    </row>
    <row r="1193" spans="2:3" x14ac:dyDescent="0.35">
      <c r="B1193" s="1330">
        <v>45527</v>
      </c>
      <c r="C1193" s="1331">
        <v>1282.7</v>
      </c>
    </row>
    <row r="1194" spans="2:3" x14ac:dyDescent="0.35">
      <c r="B1194" s="1330">
        <v>45528</v>
      </c>
      <c r="C1194" s="1331">
        <v>1282.7</v>
      </c>
    </row>
    <row r="1195" spans="2:3" x14ac:dyDescent="0.35">
      <c r="B1195" s="1330">
        <v>45529</v>
      </c>
      <c r="C1195" s="1331">
        <v>1282.7</v>
      </c>
    </row>
    <row r="1196" spans="2:3" x14ac:dyDescent="0.35">
      <c r="B1196" s="1330">
        <v>45530</v>
      </c>
      <c r="C1196" s="1331">
        <v>1288.25</v>
      </c>
    </row>
    <row r="1197" spans="2:3" x14ac:dyDescent="0.35">
      <c r="B1197" s="1330">
        <v>45531</v>
      </c>
      <c r="C1197" s="1331">
        <v>1286.19</v>
      </c>
    </row>
    <row r="1198" spans="2:3" x14ac:dyDescent="0.35">
      <c r="B1198" s="1330">
        <v>45532</v>
      </c>
      <c r="C1198" s="1331">
        <v>1282.19</v>
      </c>
    </row>
    <row r="1199" spans="2:3" x14ac:dyDescent="0.35">
      <c r="B1199" s="1330">
        <v>45533</v>
      </c>
      <c r="C1199" s="1331">
        <v>1271.33</v>
      </c>
    </row>
    <row r="1200" spans="2:3" x14ac:dyDescent="0.35">
      <c r="B1200" s="1330">
        <v>45534</v>
      </c>
      <c r="C1200" s="1331">
        <v>1279.96</v>
      </c>
    </row>
    <row r="1201" spans="2:3" x14ac:dyDescent="0.35">
      <c r="B1201" s="1330">
        <v>45535</v>
      </c>
      <c r="C1201" s="1331">
        <v>1279.96</v>
      </c>
    </row>
    <row r="1202" spans="2:3" x14ac:dyDescent="0.35">
      <c r="B1202" s="1330">
        <v>45536</v>
      </c>
      <c r="C1202" s="1331">
        <v>1279.96</v>
      </c>
    </row>
    <row r="1203" spans="2:3" x14ac:dyDescent="0.35">
      <c r="B1203" s="1330">
        <v>45537</v>
      </c>
      <c r="C1203" s="1331">
        <v>1285.01</v>
      </c>
    </row>
    <row r="1204" spans="2:3" x14ac:dyDescent="0.35">
      <c r="B1204" s="1330">
        <v>45538</v>
      </c>
      <c r="C1204" s="1331">
        <v>1294.46</v>
      </c>
    </row>
    <row r="1205" spans="2:3" x14ac:dyDescent="0.35">
      <c r="B1205" s="1330">
        <v>45539</v>
      </c>
      <c r="C1205" s="1331">
        <v>1279.8399999999999</v>
      </c>
    </row>
    <row r="1206" spans="2:3" x14ac:dyDescent="0.35">
      <c r="B1206" s="1330">
        <v>45540</v>
      </c>
      <c r="C1206" s="1331">
        <v>1258.82</v>
      </c>
    </row>
    <row r="1207" spans="2:3" x14ac:dyDescent="0.35">
      <c r="B1207" s="1330">
        <v>45541</v>
      </c>
      <c r="C1207" s="1331">
        <v>1243.8699999999999</v>
      </c>
    </row>
    <row r="1208" spans="2:3" x14ac:dyDescent="0.35">
      <c r="B1208" s="1330">
        <v>45542</v>
      </c>
      <c r="C1208" s="1331">
        <v>1243.8699999999999</v>
      </c>
    </row>
    <row r="1209" spans="2:3" x14ac:dyDescent="0.35">
      <c r="B1209" s="1330">
        <v>45543</v>
      </c>
      <c r="C1209" s="1331">
        <v>1243.8699999999999</v>
      </c>
    </row>
    <row r="1210" spans="2:3" x14ac:dyDescent="0.35">
      <c r="B1210" s="1330">
        <v>45544</v>
      </c>
      <c r="C1210" s="1331">
        <v>1226.42</v>
      </c>
    </row>
    <row r="1211" spans="2:3" x14ac:dyDescent="0.35">
      <c r="B1211" s="1330">
        <v>45545</v>
      </c>
      <c r="C1211" s="1331">
        <v>1230.44</v>
      </c>
    </row>
    <row r="1212" spans="2:3" x14ac:dyDescent="0.35">
      <c r="B1212" s="1330">
        <v>45546</v>
      </c>
      <c r="C1212" s="1331">
        <v>1230.1600000000001</v>
      </c>
    </row>
    <row r="1213" spans="2:3" x14ac:dyDescent="0.35">
      <c r="B1213" s="1330">
        <v>45547</v>
      </c>
      <c r="C1213" s="1331">
        <v>1239.48</v>
      </c>
    </row>
    <row r="1214" spans="2:3" x14ac:dyDescent="0.35">
      <c r="B1214" s="1330">
        <v>45548</v>
      </c>
      <c r="C1214" s="1331">
        <v>1226.53</v>
      </c>
    </row>
    <row r="1215" spans="2:3" x14ac:dyDescent="0.35">
      <c r="B1215" s="1330">
        <v>45549</v>
      </c>
      <c r="C1215" s="1331">
        <v>1226.54</v>
      </c>
    </row>
    <row r="1216" spans="2:3" x14ac:dyDescent="0.35">
      <c r="B1216" s="1330">
        <v>45550</v>
      </c>
      <c r="C1216" s="1331">
        <v>1226.55</v>
      </c>
    </row>
    <row r="1217" spans="2:3" x14ac:dyDescent="0.35">
      <c r="B1217" s="1330">
        <v>45551</v>
      </c>
      <c r="C1217" s="1331">
        <v>1215.72</v>
      </c>
    </row>
    <row r="1218" spans="2:3" x14ac:dyDescent="0.35">
      <c r="B1218" s="1330">
        <v>45552</v>
      </c>
      <c r="C1218" s="1331">
        <v>1214.04</v>
      </c>
    </row>
    <row r="1219" spans="2:3" x14ac:dyDescent="0.35">
      <c r="B1219" s="1330">
        <v>45553</v>
      </c>
      <c r="C1219" s="1331">
        <v>1206.72</v>
      </c>
    </row>
    <row r="1220" spans="2:3" x14ac:dyDescent="0.35">
      <c r="B1220" s="1330">
        <v>45554</v>
      </c>
      <c r="C1220" s="1331">
        <v>1197.74</v>
      </c>
    </row>
    <row r="1221" spans="2:3" x14ac:dyDescent="0.35">
      <c r="B1221" s="1330">
        <v>45555</v>
      </c>
      <c r="C1221" s="1331">
        <v>1200.0999999999999</v>
      </c>
    </row>
    <row r="1222" spans="2:3" x14ac:dyDescent="0.35">
      <c r="B1222" s="1330">
        <v>45556</v>
      </c>
      <c r="C1222" s="1331">
        <v>1200.0999999999999</v>
      </c>
    </row>
    <row r="1223" spans="2:3" x14ac:dyDescent="0.35">
      <c r="B1223" s="1330">
        <v>45557</v>
      </c>
      <c r="C1223" s="1331">
        <v>1200.0999999999999</v>
      </c>
    </row>
    <row r="1224" spans="2:3" x14ac:dyDescent="0.35">
      <c r="B1224" s="1330">
        <v>45558</v>
      </c>
      <c r="C1224" s="1331">
        <v>1204.57</v>
      </c>
    </row>
    <row r="1225" spans="2:3" x14ac:dyDescent="0.35">
      <c r="B1225" s="1330">
        <v>45559</v>
      </c>
      <c r="C1225" s="1331">
        <v>1202.1300000000001</v>
      </c>
    </row>
    <row r="1226" spans="2:3" x14ac:dyDescent="0.35">
      <c r="B1226" s="1330">
        <v>45560</v>
      </c>
      <c r="C1226" s="1331">
        <v>1209.79</v>
      </c>
    </row>
    <row r="1227" spans="2:3" x14ac:dyDescent="0.35">
      <c r="B1227" s="1330">
        <v>45561</v>
      </c>
      <c r="C1227" s="1331">
        <v>1210.95</v>
      </c>
    </row>
    <row r="1228" spans="2:3" x14ac:dyDescent="0.35">
      <c r="B1228" s="1330">
        <v>45562</v>
      </c>
      <c r="C1228" s="1331">
        <v>1207.75</v>
      </c>
    </row>
    <row r="1229" spans="2:3" x14ac:dyDescent="0.35">
      <c r="B1229" s="1330">
        <v>45563</v>
      </c>
      <c r="C1229" s="1331">
        <v>1207.75</v>
      </c>
    </row>
    <row r="1230" spans="2:3" x14ac:dyDescent="0.35">
      <c r="B1230" s="1330">
        <v>45564</v>
      </c>
      <c r="C1230" s="1331">
        <v>1207.75</v>
      </c>
    </row>
    <row r="1231" spans="2:3" x14ac:dyDescent="0.35">
      <c r="B1231" s="1330">
        <v>45565</v>
      </c>
      <c r="C1231" s="1331">
        <v>1215.03</v>
      </c>
    </row>
    <row r="1232" spans="2:3" x14ac:dyDescent="0.35">
      <c r="B1232" s="1330">
        <v>45566</v>
      </c>
      <c r="C1232" s="1331">
        <v>1220.07</v>
      </c>
    </row>
    <row r="1233" spans="2:3" x14ac:dyDescent="0.35">
      <c r="B1233" s="1330">
        <v>45567</v>
      </c>
      <c r="C1233" s="1331">
        <v>1207.51</v>
      </c>
    </row>
    <row r="1234" spans="2:3" x14ac:dyDescent="0.35">
      <c r="B1234" s="1330">
        <v>45568</v>
      </c>
      <c r="C1234" s="1331">
        <v>1191.74</v>
      </c>
    </row>
    <row r="1235" spans="2:3" x14ac:dyDescent="0.35">
      <c r="B1235" s="1330">
        <v>45569</v>
      </c>
      <c r="C1235" s="1331">
        <v>1187.52</v>
      </c>
    </row>
    <row r="1236" spans="2:3" x14ac:dyDescent="0.35">
      <c r="B1236" s="1330">
        <v>45570</v>
      </c>
      <c r="C1236" s="1331">
        <v>1184.07</v>
      </c>
    </row>
    <row r="1237" spans="2:3" x14ac:dyDescent="0.35">
      <c r="B1237" s="1330">
        <v>45571</v>
      </c>
      <c r="C1237" s="1331">
        <v>1184.07</v>
      </c>
    </row>
    <row r="1238" spans="2:3" x14ac:dyDescent="0.35">
      <c r="B1238" s="1330">
        <v>45572</v>
      </c>
      <c r="C1238" s="1331">
        <v>1184.07</v>
      </c>
    </row>
    <row r="1239" spans="2:3" x14ac:dyDescent="0.35">
      <c r="B1239" s="1330">
        <v>45573</v>
      </c>
      <c r="C1239" s="1331">
        <v>1169.54</v>
      </c>
    </row>
    <row r="1240" spans="2:3" x14ac:dyDescent="0.35">
      <c r="B1240" s="1330">
        <v>45574</v>
      </c>
      <c r="C1240" s="1331">
        <v>1147.4000000000001</v>
      </c>
    </row>
    <row r="1241" spans="2:3" x14ac:dyDescent="0.35">
      <c r="B1241" s="1330">
        <v>45575</v>
      </c>
      <c r="C1241" s="1331">
        <v>1134.8399999999999</v>
      </c>
    </row>
    <row r="1242" spans="2:3" x14ac:dyDescent="0.35">
      <c r="B1242" s="1330">
        <v>45576</v>
      </c>
      <c r="C1242" s="1331">
        <v>1134.8399999999999</v>
      </c>
    </row>
    <row r="1243" spans="2:3" x14ac:dyDescent="0.35">
      <c r="B1243" s="1330">
        <v>45577</v>
      </c>
      <c r="C1243" s="1331">
        <v>1134.8399999999999</v>
      </c>
    </row>
    <row r="1244" spans="2:3" x14ac:dyDescent="0.35">
      <c r="B1244" s="1330">
        <v>45578</v>
      </c>
      <c r="C1244" s="1331">
        <v>1134.8399999999999</v>
      </c>
    </row>
    <row r="1245" spans="2:3" x14ac:dyDescent="0.35">
      <c r="B1245" s="1330">
        <v>45579</v>
      </c>
      <c r="C1245" s="1331">
        <v>1143.8800000000001</v>
      </c>
    </row>
    <row r="1246" spans="2:3" x14ac:dyDescent="0.35">
      <c r="B1246" s="1330">
        <v>45580</v>
      </c>
      <c r="C1246" s="1331">
        <v>1139.31</v>
      </c>
    </row>
    <row r="1247" spans="2:3" x14ac:dyDescent="0.35">
      <c r="B1247" s="1330">
        <v>45581</v>
      </c>
      <c r="C1247" s="1331">
        <v>1159.8900000000001</v>
      </c>
    </row>
    <row r="1248" spans="2:3" x14ac:dyDescent="0.35">
      <c r="B1248" s="1330">
        <v>45582</v>
      </c>
      <c r="C1248" s="1331">
        <v>1159.5999999999999</v>
      </c>
    </row>
    <row r="1249" spans="2:3" x14ac:dyDescent="0.35">
      <c r="B1249" s="1330">
        <v>45583</v>
      </c>
      <c r="C1249" s="1331">
        <v>1159.05</v>
      </c>
    </row>
    <row r="1250" spans="2:3" x14ac:dyDescent="0.35">
      <c r="B1250" s="1330">
        <v>45584</v>
      </c>
      <c r="C1250" s="1331">
        <v>1159.05</v>
      </c>
    </row>
    <row r="1251" spans="2:3" x14ac:dyDescent="0.35">
      <c r="B1251" s="1330">
        <v>45585</v>
      </c>
      <c r="C1251" s="1331">
        <v>1159.05</v>
      </c>
    </row>
    <row r="1252" spans="2:3" x14ac:dyDescent="0.35">
      <c r="B1252" s="1330">
        <v>45586</v>
      </c>
      <c r="C1252" s="1331">
        <v>1167.9100000000001</v>
      </c>
    </row>
    <row r="1253" spans="2:3" x14ac:dyDescent="0.35">
      <c r="B1253" s="1330">
        <v>45587</v>
      </c>
      <c r="C1253" s="1331">
        <v>1161.97</v>
      </c>
    </row>
    <row r="1254" spans="2:3" x14ac:dyDescent="0.35">
      <c r="B1254" s="1330">
        <v>45588</v>
      </c>
      <c r="C1254" s="1331">
        <v>1161.99</v>
      </c>
    </row>
    <row r="1255" spans="2:3" x14ac:dyDescent="0.35">
      <c r="B1255" s="1330">
        <v>45589</v>
      </c>
      <c r="C1255" s="1331">
        <v>1160</v>
      </c>
    </row>
    <row r="1256" spans="2:3" x14ac:dyDescent="0.35">
      <c r="B1256" s="1330">
        <v>45590</v>
      </c>
      <c r="C1256" s="1331">
        <v>1141.81</v>
      </c>
    </row>
    <row r="1257" spans="2:3" x14ac:dyDescent="0.35">
      <c r="B1257" s="1330">
        <v>45591</v>
      </c>
      <c r="C1257" s="1331">
        <v>1141.81</v>
      </c>
    </row>
    <row r="1258" spans="2:3" x14ac:dyDescent="0.35">
      <c r="B1258" s="1330">
        <v>45592</v>
      </c>
      <c r="C1258" s="1331">
        <v>1141.81</v>
      </c>
    </row>
    <row r="1259" spans="2:3" x14ac:dyDescent="0.35">
      <c r="B1259" s="1330">
        <v>45593</v>
      </c>
      <c r="C1259" s="1331">
        <v>1134.18</v>
      </c>
    </row>
    <row r="1260" spans="2:3" x14ac:dyDescent="0.35">
      <c r="B1260" s="1330">
        <v>45594</v>
      </c>
      <c r="C1260" s="1331">
        <v>1138.18</v>
      </c>
    </row>
    <row r="1261" spans="2:3" x14ac:dyDescent="0.35">
      <c r="B1261" s="1330">
        <v>45595</v>
      </c>
      <c r="C1261" s="1331">
        <v>1138.32</v>
      </c>
    </row>
    <row r="1262" spans="2:3" x14ac:dyDescent="0.35">
      <c r="B1262" s="1330">
        <v>45596</v>
      </c>
      <c r="C1262" s="1331">
        <v>1131.46</v>
      </c>
    </row>
    <row r="1263" spans="2:3" x14ac:dyDescent="0.35">
      <c r="B1263" s="1330">
        <v>45597</v>
      </c>
      <c r="C1263" s="1331">
        <v>1146.17</v>
      </c>
    </row>
    <row r="1264" spans="2:3" x14ac:dyDescent="0.35">
      <c r="B1264" s="1330">
        <v>45598</v>
      </c>
      <c r="C1264" s="1331">
        <v>1151.54</v>
      </c>
    </row>
    <row r="1265" spans="2:3" x14ac:dyDescent="0.35">
      <c r="B1265" s="1330">
        <v>45599</v>
      </c>
      <c r="C1265" s="1331">
        <v>1153.5</v>
      </c>
    </row>
    <row r="1266" spans="2:3" x14ac:dyDescent="0.35">
      <c r="B1266" s="1330">
        <v>45600</v>
      </c>
      <c r="C1266" s="1331">
        <v>1153.5</v>
      </c>
    </row>
    <row r="1267" spans="2:3" x14ac:dyDescent="0.35">
      <c r="B1267" s="1330">
        <v>45601</v>
      </c>
      <c r="C1267" s="1331">
        <v>1153.5</v>
      </c>
    </row>
    <row r="1268" spans="2:3" x14ac:dyDescent="0.35">
      <c r="B1268" s="1330">
        <v>45602</v>
      </c>
      <c r="C1268" s="1331">
        <v>1145.69</v>
      </c>
    </row>
    <row r="1269" spans="2:3" x14ac:dyDescent="0.35">
      <c r="B1269" s="1330">
        <v>45603</v>
      </c>
      <c r="C1269" s="1331">
        <v>1135.99</v>
      </c>
    </row>
    <row r="1270" spans="2:3" x14ac:dyDescent="0.35">
      <c r="B1270" s="1330">
        <v>45604</v>
      </c>
      <c r="C1270" s="1331">
        <v>1130.2</v>
      </c>
    </row>
    <row r="1271" spans="2:3" x14ac:dyDescent="0.35">
      <c r="B1271" s="1330">
        <v>45605</v>
      </c>
      <c r="C1271" s="1331">
        <v>1130.2</v>
      </c>
    </row>
    <row r="1272" spans="2:3" x14ac:dyDescent="0.35">
      <c r="B1272" s="1330">
        <v>45606</v>
      </c>
      <c r="C1272" s="1331">
        <v>1130.2</v>
      </c>
    </row>
    <row r="1273" spans="2:3" x14ac:dyDescent="0.35">
      <c r="B1273" s="1330">
        <v>45607</v>
      </c>
      <c r="C1273" s="1331">
        <v>1131.23</v>
      </c>
    </row>
    <row r="1274" spans="2:3" x14ac:dyDescent="0.35">
      <c r="B1274" s="1330">
        <v>45608</v>
      </c>
      <c r="C1274" s="1331">
        <v>1124.4000000000001</v>
      </c>
    </row>
    <row r="1275" spans="2:3" x14ac:dyDescent="0.35">
      <c r="B1275" s="1330">
        <v>45609</v>
      </c>
      <c r="C1275" s="1331">
        <v>1121.1099999999999</v>
      </c>
    </row>
    <row r="1276" spans="2:3" x14ac:dyDescent="0.35">
      <c r="B1276" s="1330">
        <v>45610</v>
      </c>
      <c r="C1276" s="1331">
        <v>1105.75</v>
      </c>
    </row>
    <row r="1277" spans="2:3" x14ac:dyDescent="0.35">
      <c r="B1277" s="1330">
        <v>45611</v>
      </c>
      <c r="C1277" s="1331">
        <v>1096.02</v>
      </c>
    </row>
    <row r="1278" spans="2:3" x14ac:dyDescent="0.35">
      <c r="B1278" s="1330">
        <v>45612</v>
      </c>
      <c r="C1278" s="1331">
        <v>1096.02</v>
      </c>
    </row>
    <row r="1279" spans="2:3" x14ac:dyDescent="0.35">
      <c r="B1279" s="1330">
        <v>45613</v>
      </c>
      <c r="C1279" s="1331">
        <v>1096.02</v>
      </c>
    </row>
    <row r="1280" spans="2:3" x14ac:dyDescent="0.35">
      <c r="B1280" s="1330">
        <v>45614</v>
      </c>
      <c r="C1280" s="1331">
        <v>1096.02</v>
      </c>
    </row>
    <row r="1281" spans="2:3" x14ac:dyDescent="0.35">
      <c r="B1281" s="1330">
        <v>45615</v>
      </c>
      <c r="C1281" s="1331">
        <v>1075.1199999999999</v>
      </c>
    </row>
    <row r="1282" spans="2:3" x14ac:dyDescent="0.35">
      <c r="B1282" s="1330">
        <v>45616</v>
      </c>
      <c r="C1282" s="1331">
        <v>1074.8599999999999</v>
      </c>
    </row>
    <row r="1283" spans="2:3" x14ac:dyDescent="0.35">
      <c r="B1283" s="1330">
        <v>45617</v>
      </c>
      <c r="C1283" s="1331">
        <v>1078.95</v>
      </c>
    </row>
    <row r="1284" spans="2:3" x14ac:dyDescent="0.35">
      <c r="B1284" s="1330">
        <v>45618</v>
      </c>
      <c r="C1284" s="1331">
        <v>1080.4000000000001</v>
      </c>
    </row>
    <row r="1285" spans="2:3" x14ac:dyDescent="0.35">
      <c r="B1285" s="1330">
        <v>45619</v>
      </c>
      <c r="C1285" s="1331">
        <v>1080.4000000000001</v>
      </c>
    </row>
    <row r="1286" spans="2:3" x14ac:dyDescent="0.35">
      <c r="B1286" s="1330">
        <v>45620</v>
      </c>
      <c r="C1286" s="1331">
        <v>1080.4000000000001</v>
      </c>
    </row>
    <row r="1287" spans="2:3" x14ac:dyDescent="0.35">
      <c r="B1287" s="1330">
        <v>45621</v>
      </c>
      <c r="C1287" s="1331">
        <v>1077.58</v>
      </c>
    </row>
    <row r="1288" spans="2:3" x14ac:dyDescent="0.35">
      <c r="B1288" s="1330">
        <v>45622</v>
      </c>
      <c r="C1288" s="1331">
        <v>1076.1199999999999</v>
      </c>
    </row>
    <row r="1289" spans="2:3" x14ac:dyDescent="0.35">
      <c r="B1289" s="1330">
        <v>45623</v>
      </c>
      <c r="C1289" s="1331">
        <v>1074.6099999999999</v>
      </c>
    </row>
    <row r="1290" spans="2:3" x14ac:dyDescent="0.35">
      <c r="B1290" s="1330">
        <v>45624</v>
      </c>
      <c r="C1290" s="1331">
        <v>1075.1500000000001</v>
      </c>
    </row>
    <row r="1291" spans="2:3" x14ac:dyDescent="0.35">
      <c r="B1291" s="1330">
        <v>45625</v>
      </c>
      <c r="C1291" s="1331">
        <v>1075.76</v>
      </c>
    </row>
    <row r="1292" spans="2:3" x14ac:dyDescent="0.35">
      <c r="B1292" s="1330">
        <v>45626</v>
      </c>
      <c r="C1292" s="1331">
        <v>1075.76</v>
      </c>
    </row>
    <row r="1293" spans="2:3" x14ac:dyDescent="0.35">
      <c r="B1293" s="1330">
        <v>45627</v>
      </c>
      <c r="C1293" s="1331">
        <v>1075.76</v>
      </c>
    </row>
    <row r="1294" spans="2:3" x14ac:dyDescent="0.35">
      <c r="B1294" s="1330">
        <v>45628</v>
      </c>
      <c r="C1294" s="1331">
        <v>1068.8900000000001</v>
      </c>
    </row>
    <row r="1295" spans="2:3" x14ac:dyDescent="0.35">
      <c r="B1295" s="1330">
        <v>45629</v>
      </c>
      <c r="C1295" s="1331">
        <v>1075.6500000000001</v>
      </c>
    </row>
    <row r="1296" spans="2:3" x14ac:dyDescent="0.35">
      <c r="B1296" s="1330">
        <v>45630</v>
      </c>
      <c r="C1296" s="1331">
        <v>1076.3399999999999</v>
      </c>
    </row>
    <row r="1297" spans="2:3" x14ac:dyDescent="0.35">
      <c r="B1297" s="1330">
        <v>45631</v>
      </c>
      <c r="C1297" s="1331">
        <v>1062.1600000000001</v>
      </c>
    </row>
    <row r="1298" spans="2:3" x14ac:dyDescent="0.35">
      <c r="B1298" s="1330">
        <v>45632</v>
      </c>
      <c r="C1298" s="1331">
        <v>1049.33</v>
      </c>
    </row>
    <row r="1299" spans="2:3" x14ac:dyDescent="0.35">
      <c r="B1299" s="1330">
        <v>45633</v>
      </c>
      <c r="C1299" s="1331">
        <v>1049.33</v>
      </c>
    </row>
    <row r="1300" spans="2:3" x14ac:dyDescent="0.35">
      <c r="B1300" s="1330">
        <v>45634</v>
      </c>
      <c r="C1300" s="1331">
        <v>1049.33</v>
      </c>
    </row>
    <row r="1301" spans="2:3" x14ac:dyDescent="0.35">
      <c r="B1301" s="1330">
        <v>45635</v>
      </c>
      <c r="C1301" s="1331">
        <v>1049.31</v>
      </c>
    </row>
    <row r="1302" spans="2:3" x14ac:dyDescent="0.35">
      <c r="B1302" s="1330">
        <v>45636</v>
      </c>
      <c r="C1302" s="1331">
        <v>1060.52</v>
      </c>
    </row>
    <row r="1303" spans="2:3" x14ac:dyDescent="0.35">
      <c r="B1303" s="1330">
        <v>45637</v>
      </c>
      <c r="C1303" s="1331">
        <v>1057.72</v>
      </c>
    </row>
    <row r="1304" spans="2:3" x14ac:dyDescent="0.35">
      <c r="B1304" s="1330">
        <v>45638</v>
      </c>
      <c r="C1304" s="1331">
        <v>1058.21</v>
      </c>
    </row>
    <row r="1305" spans="2:3" x14ac:dyDescent="0.35">
      <c r="B1305" s="1330">
        <v>45639</v>
      </c>
      <c r="C1305" s="1331">
        <v>1073.08</v>
      </c>
    </row>
    <row r="1306" spans="2:3" x14ac:dyDescent="0.35">
      <c r="B1306" s="1330">
        <v>45640</v>
      </c>
      <c r="C1306" s="1331">
        <v>1073.08</v>
      </c>
    </row>
    <row r="1307" spans="2:3" x14ac:dyDescent="0.35">
      <c r="B1307" s="1330">
        <v>45641</v>
      </c>
      <c r="C1307" s="1331">
        <v>1073.08</v>
      </c>
    </row>
    <row r="1308" spans="2:3" x14ac:dyDescent="0.35">
      <c r="B1308" s="1330">
        <v>45642</v>
      </c>
      <c r="C1308" s="1331">
        <v>1100.27</v>
      </c>
    </row>
    <row r="1309" spans="2:3" x14ac:dyDescent="0.35">
      <c r="B1309" s="1330">
        <v>45643</v>
      </c>
      <c r="C1309" s="1331">
        <v>1145.26</v>
      </c>
    </row>
    <row r="1310" spans="2:3" x14ac:dyDescent="0.35">
      <c r="B1310" s="1330">
        <v>45644</v>
      </c>
      <c r="C1310" s="1331">
        <v>1131.22</v>
      </c>
    </row>
    <row r="1311" spans="2:3" x14ac:dyDescent="0.35">
      <c r="B1311" s="1330">
        <v>45645</v>
      </c>
      <c r="C1311" s="1331">
        <v>1131.19</v>
      </c>
    </row>
    <row r="1312" spans="2:3" x14ac:dyDescent="0.35">
      <c r="B1312" s="1330">
        <v>45646</v>
      </c>
      <c r="C1312" s="1331">
        <v>1142.2</v>
      </c>
    </row>
    <row r="1313" spans="2:3" x14ac:dyDescent="0.35">
      <c r="B1313" s="1330">
        <v>45647</v>
      </c>
      <c r="C1313" s="1331">
        <v>1142.2</v>
      </c>
    </row>
    <row r="1314" spans="2:3" x14ac:dyDescent="0.35">
      <c r="B1314" s="1330">
        <v>45648</v>
      </c>
      <c r="C1314" s="1331">
        <v>1142.2</v>
      </c>
    </row>
    <row r="1315" spans="2:3" x14ac:dyDescent="0.35">
      <c r="B1315" s="1330">
        <v>45649</v>
      </c>
      <c r="C1315" s="1331">
        <v>1162.3</v>
      </c>
    </row>
    <row r="1316" spans="2:3" x14ac:dyDescent="0.35">
      <c r="B1316" s="1330">
        <v>45650</v>
      </c>
      <c r="C1316" s="1331">
        <v>1160.97</v>
      </c>
    </row>
    <row r="1317" spans="2:3" x14ac:dyDescent="0.35">
      <c r="B1317" s="1330">
        <v>45651</v>
      </c>
      <c r="C1317" s="1331">
        <v>1160.97</v>
      </c>
    </row>
    <row r="1318" spans="2:3" x14ac:dyDescent="0.35">
      <c r="B1318" s="1330">
        <v>45652</v>
      </c>
      <c r="C1318" s="1331">
        <v>1170.8900000000001</v>
      </c>
    </row>
    <row r="1319" spans="2:3" x14ac:dyDescent="0.35">
      <c r="B1319" s="1330">
        <v>45653</v>
      </c>
      <c r="C1319" s="1331">
        <v>1170.56</v>
      </c>
    </row>
    <row r="1320" spans="2:3" x14ac:dyDescent="0.35">
      <c r="B1320" s="1330">
        <v>45654</v>
      </c>
      <c r="C1320" s="1331">
        <v>1170.56</v>
      </c>
    </row>
    <row r="1321" spans="2:3" x14ac:dyDescent="0.35">
      <c r="B1321" s="1330">
        <v>45655</v>
      </c>
      <c r="C1321" s="1331">
        <v>1170.56</v>
      </c>
    </row>
    <row r="1322" spans="2:3" x14ac:dyDescent="0.35">
      <c r="B1322" s="1330">
        <v>45656</v>
      </c>
      <c r="C1322" s="1331">
        <v>1170.4100000000001</v>
      </c>
    </row>
    <row r="1323" spans="2:3" x14ac:dyDescent="0.35">
      <c r="B1323" s="1330">
        <v>45657</v>
      </c>
      <c r="C1323" s="1331">
        <v>1170.4100000000001</v>
      </c>
    </row>
    <row r="1324" spans="2:3" x14ac:dyDescent="0.35">
      <c r="B1324" s="1330">
        <v>45658</v>
      </c>
      <c r="C1324" s="1331">
        <v>1170.4100000000001</v>
      </c>
    </row>
    <row r="1325" spans="2:3" x14ac:dyDescent="0.35">
      <c r="B1325" s="1330">
        <v>45659</v>
      </c>
      <c r="C1325" s="1331">
        <v>1162.1199999999999</v>
      </c>
    </row>
    <row r="1326" spans="2:3" x14ac:dyDescent="0.35">
      <c r="B1326" s="1330">
        <v>45660</v>
      </c>
      <c r="C1326" s="1331">
        <v>1165.8800000000001</v>
      </c>
    </row>
    <row r="1327" spans="2:3" x14ac:dyDescent="0.35">
      <c r="B1327" s="1330">
        <v>45661</v>
      </c>
      <c r="C1327" s="1331">
        <v>1165.8800000000001</v>
      </c>
    </row>
    <row r="1328" spans="2:3" x14ac:dyDescent="0.35">
      <c r="B1328" s="1330">
        <v>45662</v>
      </c>
      <c r="C1328" s="1331">
        <v>1165.8800000000001</v>
      </c>
    </row>
    <row r="1329" spans="2:3" x14ac:dyDescent="0.35">
      <c r="B1329" s="1330">
        <v>45663</v>
      </c>
      <c r="C1329" s="1331">
        <v>1165.0899999999999</v>
      </c>
    </row>
    <row r="1330" spans="2:3" x14ac:dyDescent="0.35">
      <c r="B1330" s="1330">
        <v>45664</v>
      </c>
      <c r="C1330" s="1331">
        <v>1164.3699999999999</v>
      </c>
    </row>
    <row r="1331" spans="2:3" x14ac:dyDescent="0.35">
      <c r="B1331" s="1330">
        <v>45665</v>
      </c>
      <c r="C1331" s="1331">
        <v>1164.72</v>
      </c>
    </row>
    <row r="1332" spans="2:3" x14ac:dyDescent="0.35">
      <c r="B1332" s="1330">
        <v>45666</v>
      </c>
      <c r="C1332" s="1331">
        <v>1164.19</v>
      </c>
    </row>
    <row r="1333" spans="2:3" x14ac:dyDescent="0.35">
      <c r="B1333" s="1330">
        <v>45667</v>
      </c>
      <c r="C1333" s="1331">
        <v>1164.01</v>
      </c>
    </row>
    <row r="1334" spans="2:3" x14ac:dyDescent="0.35">
      <c r="B1334" s="1330">
        <v>45668</v>
      </c>
      <c r="C1334" s="1331">
        <v>1164.01</v>
      </c>
    </row>
    <row r="1335" spans="2:3" x14ac:dyDescent="0.35">
      <c r="B1335" s="1330">
        <v>45669</v>
      </c>
      <c r="C1335" s="1331">
        <v>1164.01</v>
      </c>
    </row>
    <row r="1336" spans="2:3" x14ac:dyDescent="0.35">
      <c r="B1336" s="1330">
        <v>45670</v>
      </c>
      <c r="C1336" s="1331">
        <v>1163.21</v>
      </c>
    </row>
    <row r="1337" spans="2:3" x14ac:dyDescent="0.35">
      <c r="B1337" s="1330">
        <v>45671</v>
      </c>
      <c r="C1337" s="1331">
        <v>1162.93</v>
      </c>
    </row>
    <row r="1338" spans="2:3" x14ac:dyDescent="0.35">
      <c r="B1338" s="1330">
        <v>45672</v>
      </c>
      <c r="C1338" s="1331">
        <v>1164.05</v>
      </c>
    </row>
    <row r="1339" spans="2:3" x14ac:dyDescent="0.35">
      <c r="B1339" s="1330">
        <v>45673</v>
      </c>
      <c r="C1339" s="1331">
        <v>1166.03</v>
      </c>
    </row>
    <row r="1340" spans="2:3" x14ac:dyDescent="0.35">
      <c r="B1340" s="1330">
        <v>45674</v>
      </c>
      <c r="C1340" s="1331">
        <v>1165.8399999999999</v>
      </c>
    </row>
    <row r="1341" spans="2:3" x14ac:dyDescent="0.35">
      <c r="B1341" s="1330">
        <v>45675</v>
      </c>
      <c r="C1341" s="1331">
        <v>1165.8399999999999</v>
      </c>
    </row>
    <row r="1342" spans="2:3" x14ac:dyDescent="0.35">
      <c r="B1342" s="1330">
        <v>45676</v>
      </c>
      <c r="C1342" s="1331">
        <v>1165.8399999999999</v>
      </c>
    </row>
    <row r="1343" spans="2:3" x14ac:dyDescent="0.35">
      <c r="B1343" s="1330">
        <v>45677</v>
      </c>
      <c r="C1343" s="1331">
        <v>1165.9000000000001</v>
      </c>
    </row>
    <row r="1344" spans="2:3" x14ac:dyDescent="0.35">
      <c r="B1344" s="1330">
        <v>45678</v>
      </c>
      <c r="C1344" s="1331">
        <v>1167.6099999999999</v>
      </c>
    </row>
    <row r="1345" spans="2:3" x14ac:dyDescent="0.35">
      <c r="B1345" s="1330">
        <v>45679</v>
      </c>
      <c r="C1345" s="1331">
        <v>1172.67</v>
      </c>
    </row>
    <row r="1346" spans="2:3" x14ac:dyDescent="0.35">
      <c r="B1346" s="1330">
        <v>45680</v>
      </c>
      <c r="C1346" s="1331">
        <v>1167.3499999999999</v>
      </c>
    </row>
    <row r="1347" spans="2:3" x14ac:dyDescent="0.35">
      <c r="B1347" s="1330">
        <v>45681</v>
      </c>
      <c r="C1347" s="1331">
        <v>1155.75</v>
      </c>
    </row>
    <row r="1348" spans="2:3" x14ac:dyDescent="0.35">
      <c r="B1348" s="1330">
        <v>45682</v>
      </c>
      <c r="C1348" s="1331">
        <v>1155.75</v>
      </c>
    </row>
    <row r="1349" spans="2:3" x14ac:dyDescent="0.35">
      <c r="B1349" s="1330">
        <v>45683</v>
      </c>
      <c r="C1349" s="1331">
        <v>1155.75</v>
      </c>
    </row>
    <row r="1350" spans="2:3" x14ac:dyDescent="0.35">
      <c r="B1350" s="1330">
        <v>45684</v>
      </c>
      <c r="C1350" s="1331">
        <v>1162.22</v>
      </c>
    </row>
    <row r="1351" spans="2:3" x14ac:dyDescent="0.35">
      <c r="B1351" s="1330">
        <v>45685</v>
      </c>
      <c r="C1351" s="1331">
        <v>1161.3800000000001</v>
      </c>
    </row>
    <row r="1352" spans="2:3" x14ac:dyDescent="0.35">
      <c r="B1352" s="1330">
        <v>45686</v>
      </c>
      <c r="C1352" s="1331">
        <v>1163.3599999999999</v>
      </c>
    </row>
    <row r="1353" spans="2:3" x14ac:dyDescent="0.35">
      <c r="B1353" s="1330">
        <v>45687</v>
      </c>
      <c r="C1353" s="1331">
        <v>1164.8900000000001</v>
      </c>
    </row>
    <row r="1354" spans="2:3" x14ac:dyDescent="0.35">
      <c r="B1354" s="1330">
        <v>45688</v>
      </c>
      <c r="C1354" s="1331">
        <v>1164.79</v>
      </c>
    </row>
    <row r="1355" spans="2:3" x14ac:dyDescent="0.35">
      <c r="B1355" s="1330">
        <v>45689</v>
      </c>
      <c r="C1355" s="1331">
        <v>1164.79</v>
      </c>
    </row>
    <row r="1356" spans="2:3" x14ac:dyDescent="0.35">
      <c r="B1356" s="1330">
        <v>45690</v>
      </c>
      <c r="C1356" s="1331">
        <v>1164.79</v>
      </c>
    </row>
    <row r="1357" spans="2:3" x14ac:dyDescent="0.35">
      <c r="B1357" s="1330">
        <v>45691</v>
      </c>
      <c r="C1357" s="1331">
        <v>1178.82</v>
      </c>
    </row>
    <row r="1358" spans="2:3" x14ac:dyDescent="0.35">
      <c r="B1358" s="1330">
        <v>45692</v>
      </c>
      <c r="C1358" s="1331">
        <v>1188</v>
      </c>
    </row>
    <row r="1359" spans="2:3" x14ac:dyDescent="0.35">
      <c r="B1359" s="1330">
        <v>45693</v>
      </c>
      <c r="C1359" s="1331">
        <v>1191.94</v>
      </c>
    </row>
    <row r="1360" spans="2:3" x14ac:dyDescent="0.35">
      <c r="B1360" s="1330">
        <v>45694</v>
      </c>
      <c r="C1360" s="1331">
        <v>1189.03</v>
      </c>
    </row>
    <row r="1361" spans="2:3" x14ac:dyDescent="0.35">
      <c r="B1361" s="1330">
        <v>45695</v>
      </c>
      <c r="C1361" s="1331">
        <v>1194.47</v>
      </c>
    </row>
    <row r="1362" spans="2:3" x14ac:dyDescent="0.35">
      <c r="B1362" s="1330">
        <v>45696</v>
      </c>
      <c r="C1362" s="1331">
        <v>1194.47</v>
      </c>
    </row>
    <row r="1363" spans="2:3" x14ac:dyDescent="0.35">
      <c r="B1363" s="1330">
        <v>45697</v>
      </c>
      <c r="C1363" s="1331">
        <v>1194.47</v>
      </c>
    </row>
    <row r="1364" spans="2:3" x14ac:dyDescent="0.35">
      <c r="B1364" s="1330">
        <v>45698</v>
      </c>
      <c r="C1364" s="1331">
        <v>1184.07</v>
      </c>
    </row>
    <row r="1365" spans="2:3" x14ac:dyDescent="0.35">
      <c r="B1365" s="1330">
        <v>45699</v>
      </c>
      <c r="C1365" s="1331">
        <v>1180.8499999999999</v>
      </c>
    </row>
    <row r="1366" spans="2:3" x14ac:dyDescent="0.35">
      <c r="B1366" s="1330">
        <v>45700</v>
      </c>
      <c r="C1366" s="1331">
        <v>1186.3499999999999</v>
      </c>
    </row>
    <row r="1367" spans="2:3" x14ac:dyDescent="0.35">
      <c r="B1367" s="1330">
        <v>45701</v>
      </c>
      <c r="C1367" s="1331">
        <v>1187.8900000000001</v>
      </c>
    </row>
    <row r="1368" spans="2:3" x14ac:dyDescent="0.35">
      <c r="B1368" s="1330">
        <v>45702</v>
      </c>
      <c r="C1368" s="1331">
        <v>1183.8800000000001</v>
      </c>
    </row>
    <row r="1369" spans="2:3" x14ac:dyDescent="0.35">
      <c r="B1369" s="1330">
        <v>45703</v>
      </c>
      <c r="C1369" s="1331">
        <v>1183.8800000000001</v>
      </c>
    </row>
    <row r="1370" spans="2:3" x14ac:dyDescent="0.35">
      <c r="B1370" s="1330">
        <v>45704</v>
      </c>
      <c r="C1370" s="1331">
        <v>1183.8800000000001</v>
      </c>
    </row>
    <row r="1371" spans="2:3" x14ac:dyDescent="0.35">
      <c r="B1371" s="1330">
        <v>45705</v>
      </c>
      <c r="C1371" s="1331">
        <v>1210.0899999999999</v>
      </c>
    </row>
    <row r="1372" spans="2:3" x14ac:dyDescent="0.35">
      <c r="B1372" s="1330">
        <v>45706</v>
      </c>
      <c r="C1372" s="1331">
        <v>1203.1600000000001</v>
      </c>
    </row>
    <row r="1373" spans="2:3" x14ac:dyDescent="0.35">
      <c r="B1373" s="1330">
        <v>45707</v>
      </c>
      <c r="C1373" s="1331">
        <v>1201.8599999999999</v>
      </c>
    </row>
    <row r="1374" spans="2:3" x14ac:dyDescent="0.35">
      <c r="B1374" s="1330">
        <v>45708</v>
      </c>
      <c r="C1374" s="1331">
        <v>1206.06</v>
      </c>
    </row>
    <row r="1375" spans="2:3" x14ac:dyDescent="0.35">
      <c r="B1375" s="1330">
        <v>45709</v>
      </c>
      <c r="C1375" s="1331">
        <v>1205.8800000000001</v>
      </c>
    </row>
    <row r="1376" spans="2:3" x14ac:dyDescent="0.35">
      <c r="B1376" s="1330">
        <v>45710</v>
      </c>
      <c r="C1376" s="1331">
        <v>1205.8800000000001</v>
      </c>
    </row>
    <row r="1377" spans="2:3" x14ac:dyDescent="0.35">
      <c r="B1377" s="1330">
        <v>45711</v>
      </c>
      <c r="C1377" s="1331">
        <v>1205.8800000000001</v>
      </c>
    </row>
    <row r="1378" spans="2:3" x14ac:dyDescent="0.35">
      <c r="B1378" s="1330">
        <v>45712</v>
      </c>
      <c r="C1378" s="1331">
        <v>1207.48</v>
      </c>
    </row>
    <row r="1379" spans="2:3" x14ac:dyDescent="0.35">
      <c r="B1379" s="1330">
        <v>45713</v>
      </c>
      <c r="C1379" s="1331">
        <v>1211.96</v>
      </c>
    </row>
    <row r="1380" spans="2:3" x14ac:dyDescent="0.35">
      <c r="B1380" s="1330">
        <v>45714</v>
      </c>
      <c r="C1380" s="1331">
        <v>1211.04</v>
      </c>
    </row>
    <row r="1381" spans="2:3" x14ac:dyDescent="0.35">
      <c r="B1381" s="1330">
        <v>45715</v>
      </c>
      <c r="C1381" s="1331">
        <v>1215.29</v>
      </c>
    </row>
    <row r="1382" spans="2:3" x14ac:dyDescent="0.35">
      <c r="B1382" s="1330">
        <v>45716</v>
      </c>
      <c r="C1382" s="1331">
        <v>1228.48</v>
      </c>
    </row>
    <row r="1383" spans="2:3" x14ac:dyDescent="0.35">
      <c r="B1383" s="1330">
        <v>45717</v>
      </c>
      <c r="C1383" s="1331">
        <v>1228.48</v>
      </c>
    </row>
    <row r="1384" spans="2:3" x14ac:dyDescent="0.35">
      <c r="B1384" s="1330">
        <v>45718</v>
      </c>
      <c r="C1384" s="1331">
        <v>1228.48</v>
      </c>
    </row>
    <row r="1385" spans="2:3" x14ac:dyDescent="0.35">
      <c r="B1385" s="1330">
        <v>45719</v>
      </c>
      <c r="C1385" s="1331">
        <v>1228.48</v>
      </c>
    </row>
    <row r="1386" spans="2:3" x14ac:dyDescent="0.35">
      <c r="B1386" s="1330">
        <v>45720</v>
      </c>
      <c r="C1386" s="1331">
        <v>1228.48</v>
      </c>
    </row>
    <row r="1387" spans="2:3" x14ac:dyDescent="0.35">
      <c r="B1387" s="1330">
        <v>45721</v>
      </c>
      <c r="C1387" s="1331">
        <v>1235.31</v>
      </c>
    </row>
    <row r="1388" spans="2:3" x14ac:dyDescent="0.35">
      <c r="B1388" s="1330">
        <v>45722</v>
      </c>
      <c r="C1388" s="1331">
        <v>1237.8599999999999</v>
      </c>
    </row>
    <row r="1389" spans="2:3" x14ac:dyDescent="0.35">
      <c r="B1389" s="1330">
        <v>45723</v>
      </c>
      <c r="C1389" s="1331">
        <v>1221.93</v>
      </c>
    </row>
    <row r="1390" spans="2:3" x14ac:dyDescent="0.35">
      <c r="B1390" s="1330">
        <v>45724</v>
      </c>
      <c r="C1390" s="1331">
        <v>1221.93</v>
      </c>
    </row>
    <row r="1391" spans="2:3" x14ac:dyDescent="0.35">
      <c r="B1391" s="1330">
        <v>45725</v>
      </c>
      <c r="C1391" s="1331">
        <v>1221.93</v>
      </c>
    </row>
    <row r="1392" spans="2:3" x14ac:dyDescent="0.35">
      <c r="B1392" s="1330">
        <v>45726</v>
      </c>
      <c r="C1392" s="1331">
        <v>1228.92</v>
      </c>
    </row>
    <row r="1393" spans="2:3" x14ac:dyDescent="0.35">
      <c r="B1393" s="1330">
        <v>45727</v>
      </c>
      <c r="C1393" s="1331">
        <v>1230.3800000000001</v>
      </c>
    </row>
    <row r="1394" spans="2:3" x14ac:dyDescent="0.35">
      <c r="B1394" s="1330">
        <v>45728</v>
      </c>
      <c r="C1394" s="1331">
        <v>1229.3399999999999</v>
      </c>
    </row>
    <row r="1395" spans="2:3" x14ac:dyDescent="0.35">
      <c r="B1395" s="1330">
        <v>45729</v>
      </c>
      <c r="C1395" s="1331">
        <v>1233.55</v>
      </c>
    </row>
    <row r="1396" spans="2:3" x14ac:dyDescent="0.35">
      <c r="B1396" s="1330">
        <v>45730</v>
      </c>
      <c r="C1396" s="1331">
        <v>1237.78</v>
      </c>
    </row>
    <row r="1397" spans="2:3" x14ac:dyDescent="0.35">
      <c r="B1397" s="1330">
        <v>45731</v>
      </c>
      <c r="C1397" s="1331">
        <v>1237.78</v>
      </c>
    </row>
    <row r="1398" spans="2:3" x14ac:dyDescent="0.35">
      <c r="B1398" s="1330">
        <v>45732</v>
      </c>
      <c r="C1398" s="1331">
        <v>1237.78</v>
      </c>
    </row>
    <row r="1399" spans="2:3" x14ac:dyDescent="0.35">
      <c r="B1399" s="1330">
        <v>45733</v>
      </c>
      <c r="C1399" s="1331">
        <v>1250.5899999999999</v>
      </c>
    </row>
    <row r="1400" spans="2:3" x14ac:dyDescent="0.35">
      <c r="B1400" s="1330">
        <v>45734</v>
      </c>
      <c r="C1400" s="1331" t="s">
        <v>900</v>
      </c>
    </row>
    <row r="1401" spans="2:3" x14ac:dyDescent="0.35">
      <c r="B1401" s="1330">
        <v>45735</v>
      </c>
      <c r="C1401" s="1331" t="s">
        <v>901</v>
      </c>
    </row>
    <row r="1402" spans="2:3" x14ac:dyDescent="0.35">
      <c r="B1402" s="1330">
        <v>45736</v>
      </c>
      <c r="C1402" s="1331" t="s">
        <v>902</v>
      </c>
    </row>
    <row r="1403" spans="2:3" x14ac:dyDescent="0.35">
      <c r="B1403" s="1330">
        <v>45737</v>
      </c>
      <c r="C1403" s="1331">
        <v>1287.22</v>
      </c>
    </row>
    <row r="1404" spans="2:3" x14ac:dyDescent="0.35">
      <c r="B1404" s="1330">
        <v>45738</v>
      </c>
      <c r="C1404" s="1331">
        <v>1287.22</v>
      </c>
    </row>
    <row r="1405" spans="2:3" x14ac:dyDescent="0.35">
      <c r="B1405" s="1330">
        <v>45739</v>
      </c>
      <c r="C1405" s="1331">
        <v>1287.22</v>
      </c>
    </row>
    <row r="1406" spans="2:3" x14ac:dyDescent="0.35">
      <c r="B1406" s="1330">
        <v>45740</v>
      </c>
      <c r="C1406" s="1331">
        <v>1287.22</v>
      </c>
    </row>
    <row r="1407" spans="2:3" x14ac:dyDescent="0.35">
      <c r="B1407" s="1330">
        <v>45741</v>
      </c>
      <c r="C1407" s="1331">
        <v>1294.3</v>
      </c>
    </row>
    <row r="1408" spans="2:3" x14ac:dyDescent="0.35">
      <c r="B1408" s="1330">
        <v>45742</v>
      </c>
      <c r="C1408" s="1331">
        <v>1295.6300000000001</v>
      </c>
    </row>
    <row r="1409" spans="2:3" x14ac:dyDescent="0.35">
      <c r="B1409" s="1330">
        <v>45743</v>
      </c>
      <c r="C1409" s="1331">
        <v>1292.29</v>
      </c>
    </row>
    <row r="1410" spans="2:3" x14ac:dyDescent="0.35">
      <c r="B1410" s="1330">
        <v>45744</v>
      </c>
      <c r="C1410" s="1331">
        <v>1302.44</v>
      </c>
    </row>
    <row r="1411" spans="2:3" x14ac:dyDescent="0.35">
      <c r="B1411" s="1330">
        <v>45745</v>
      </c>
      <c r="C1411" s="1331">
        <v>1302.44</v>
      </c>
    </row>
    <row r="1412" spans="2:3" x14ac:dyDescent="0.35">
      <c r="B1412" s="1330">
        <v>45746</v>
      </c>
      <c r="C1412" s="1331">
        <v>1302.44</v>
      </c>
    </row>
    <row r="1413" spans="2:3" x14ac:dyDescent="0.35">
      <c r="B1413" s="1330">
        <v>45747</v>
      </c>
      <c r="C1413" s="1331">
        <v>1313.97</v>
      </c>
    </row>
    <row r="1414" spans="2:3" x14ac:dyDescent="0.35">
      <c r="B1414" s="1330">
        <v>45748</v>
      </c>
      <c r="C1414" s="1331">
        <v>1314.47</v>
      </c>
    </row>
    <row r="1415" spans="2:3" x14ac:dyDescent="0.35">
      <c r="B1415" s="1330">
        <v>45749</v>
      </c>
      <c r="C1415" s="1331">
        <v>1314.47</v>
      </c>
    </row>
    <row r="1416" spans="2:3" x14ac:dyDescent="0.35">
      <c r="B1416" s="1330">
        <v>45750</v>
      </c>
      <c r="C1416" s="1331">
        <v>1319.42</v>
      </c>
    </row>
    <row r="1417" spans="2:3" x14ac:dyDescent="0.35">
      <c r="B1417" s="1330">
        <v>45751</v>
      </c>
      <c r="C1417" s="1331">
        <v>1340.44</v>
      </c>
    </row>
    <row r="1418" spans="2:3" x14ac:dyDescent="0.35">
      <c r="B1418" s="1330">
        <v>45752</v>
      </c>
      <c r="C1418" s="1331">
        <v>1340.44</v>
      </c>
    </row>
    <row r="1419" spans="2:3" x14ac:dyDescent="0.35">
      <c r="B1419" s="1330">
        <v>45753</v>
      </c>
      <c r="C1419" s="1331">
        <v>1340.44</v>
      </c>
    </row>
    <row r="1420" spans="2:3" x14ac:dyDescent="0.35">
      <c r="B1420" s="1330">
        <v>45754</v>
      </c>
      <c r="C1420" s="1331">
        <v>1370.35</v>
      </c>
    </row>
    <row r="1421" spans="2:3" x14ac:dyDescent="0.35">
      <c r="B1421" s="1330">
        <v>45755</v>
      </c>
      <c r="C1421" s="1331">
        <v>1376.58</v>
      </c>
    </row>
    <row r="1422" spans="2:3" x14ac:dyDescent="0.35">
      <c r="B1422" s="1330">
        <v>45756</v>
      </c>
      <c r="C1422" s="1331">
        <v>1341.72</v>
      </c>
    </row>
    <row r="1423" spans="2:3" x14ac:dyDescent="0.35">
      <c r="B1423" s="1330">
        <v>45757</v>
      </c>
      <c r="C1423" s="1331">
        <v>1364.01</v>
      </c>
    </row>
    <row r="1424" spans="2:3" x14ac:dyDescent="0.35">
      <c r="B1424" s="1330">
        <v>45758</v>
      </c>
      <c r="C1424" s="1331">
        <v>1333.33</v>
      </c>
    </row>
    <row r="1425" spans="2:3" x14ac:dyDescent="0.35">
      <c r="B1425" s="1330">
        <v>45759</v>
      </c>
      <c r="C1425" s="1331">
        <v>1333.33</v>
      </c>
    </row>
    <row r="1426" spans="2:3" x14ac:dyDescent="0.35">
      <c r="B1426" s="1330">
        <v>45760</v>
      </c>
      <c r="C1426" s="1331">
        <v>1333.33</v>
      </c>
    </row>
    <row r="1427" spans="2:3" x14ac:dyDescent="0.35">
      <c r="B1427" s="1330">
        <v>45761</v>
      </c>
      <c r="C1427" s="1331">
        <v>1253.4000000000001</v>
      </c>
    </row>
    <row r="1428" spans="2:3" x14ac:dyDescent="0.35">
      <c r="B1428" s="1330">
        <v>45762</v>
      </c>
      <c r="C1428" s="1331">
        <v>1237.9000000000001</v>
      </c>
    </row>
    <row r="1429" spans="2:3" x14ac:dyDescent="0.35">
      <c r="B1429" s="1330">
        <v>45763</v>
      </c>
      <c r="C1429" s="1331">
        <v>1165.93</v>
      </c>
    </row>
    <row r="1430" spans="2:3" x14ac:dyDescent="0.35">
      <c r="B1430" s="1330">
        <v>45764</v>
      </c>
      <c r="C1430" s="1331">
        <v>1165.93</v>
      </c>
    </row>
    <row r="1431" spans="2:3" x14ac:dyDescent="0.35">
      <c r="B1431" s="1330">
        <v>45765</v>
      </c>
      <c r="C1431" s="1331">
        <v>1165.93</v>
      </c>
    </row>
    <row r="1432" spans="2:3" x14ac:dyDescent="0.35">
      <c r="B1432" s="1330">
        <v>45766</v>
      </c>
      <c r="C1432" s="1331">
        <v>1165.93</v>
      </c>
    </row>
    <row r="1433" spans="2:3" x14ac:dyDescent="0.35">
      <c r="B1433" s="1330">
        <v>45767</v>
      </c>
      <c r="C1433" s="1331">
        <v>1165.93</v>
      </c>
    </row>
    <row r="1434" spans="2:3" x14ac:dyDescent="0.35">
      <c r="B1434" s="1330">
        <v>45768</v>
      </c>
      <c r="C1434" s="1331">
        <v>1122.08</v>
      </c>
    </row>
    <row r="1435" spans="2:3" x14ac:dyDescent="0.35">
      <c r="B1435" s="1330">
        <v>45769</v>
      </c>
      <c r="C1435" s="1331">
        <v>1140.3800000000001</v>
      </c>
    </row>
    <row r="1436" spans="2:3" x14ac:dyDescent="0.35">
      <c r="B1436" s="1330">
        <v>45770</v>
      </c>
      <c r="C1436" s="1331">
        <v>1168</v>
      </c>
    </row>
    <row r="1437" spans="2:3" x14ac:dyDescent="0.35">
      <c r="B1437" s="1330">
        <v>45771</v>
      </c>
      <c r="C1437" s="1331">
        <v>1186.53</v>
      </c>
    </row>
    <row r="1438" spans="2:3" x14ac:dyDescent="0.35">
      <c r="B1438" s="1330">
        <v>45772</v>
      </c>
      <c r="C1438" s="1331">
        <v>1184.24</v>
      </c>
    </row>
    <row r="1439" spans="2:3" x14ac:dyDescent="0.35">
      <c r="B1439" s="1330">
        <v>45773</v>
      </c>
      <c r="C1439" s="1331">
        <v>1184.24</v>
      </c>
    </row>
    <row r="1440" spans="2:3" x14ac:dyDescent="0.35">
      <c r="B1440" s="1330">
        <v>45774</v>
      </c>
      <c r="C1440" s="1331">
        <v>1184.24</v>
      </c>
    </row>
    <row r="1441" spans="2:3" x14ac:dyDescent="0.35">
      <c r="B1441" s="1330">
        <v>45775</v>
      </c>
      <c r="C1441" s="1331">
        <v>1176.55</v>
      </c>
    </row>
    <row r="1442" spans="2:3" x14ac:dyDescent="0.35">
      <c r="B1442" s="1330">
        <v>45776</v>
      </c>
      <c r="C1442" s="1331">
        <v>1173.1500000000001</v>
      </c>
    </row>
    <row r="1443" spans="2:3" x14ac:dyDescent="0.35">
      <c r="B1443" s="1330">
        <v>45777</v>
      </c>
      <c r="C1443" s="1331">
        <v>1183.3699999999999</v>
      </c>
    </row>
    <row r="1444" spans="2:3" x14ac:dyDescent="0.35">
      <c r="B1444" s="1330">
        <v>45778</v>
      </c>
      <c r="C1444" s="1331">
        <v>1183.3699999999999</v>
      </c>
    </row>
    <row r="1445" spans="2:3" x14ac:dyDescent="0.35">
      <c r="B1445" s="1330">
        <v>45779</v>
      </c>
      <c r="C1445" s="1331">
        <v>1183.3699999999999</v>
      </c>
    </row>
    <row r="1446" spans="2:3" x14ac:dyDescent="0.35">
      <c r="B1446" s="1330">
        <v>45780</v>
      </c>
      <c r="C1446" s="1331">
        <v>1183.3699999999999</v>
      </c>
    </row>
    <row r="1447" spans="2:3" x14ac:dyDescent="0.35">
      <c r="B1447" s="1330">
        <v>45781</v>
      </c>
      <c r="C1447" s="1331">
        <v>1183.3699999999999</v>
      </c>
    </row>
    <row r="1448" spans="2:3" x14ac:dyDescent="0.35">
      <c r="B1448" s="1330">
        <v>45782</v>
      </c>
      <c r="C1448" s="1331">
        <v>1202.92</v>
      </c>
    </row>
    <row r="1449" spans="2:3" x14ac:dyDescent="0.35">
      <c r="B1449" s="1330">
        <v>45783</v>
      </c>
      <c r="C1449" s="1331">
        <v>1199.6099999999999</v>
      </c>
    </row>
    <row r="1450" spans="2:3" x14ac:dyDescent="0.35">
      <c r="B1450" s="1330">
        <v>45784</v>
      </c>
      <c r="C1450" s="1331">
        <v>1156.07</v>
      </c>
    </row>
    <row r="1451" spans="2:3" x14ac:dyDescent="0.35">
      <c r="B1451" s="1330">
        <v>45785</v>
      </c>
      <c r="C1451" s="1331">
        <v>1143.32</v>
      </c>
    </row>
    <row r="1452" spans="2:3" x14ac:dyDescent="0.35">
      <c r="B1452" s="1330">
        <v>45786</v>
      </c>
      <c r="C1452" s="1331">
        <v>1144.1099999999999</v>
      </c>
    </row>
    <row r="1453" spans="2:3" x14ac:dyDescent="0.35">
      <c r="B1453" s="1330">
        <v>45787</v>
      </c>
      <c r="C1453" s="1331">
        <v>1144.1099999999999</v>
      </c>
    </row>
    <row r="1454" spans="2:3" x14ac:dyDescent="0.35">
      <c r="B1454" s="1330">
        <v>45788</v>
      </c>
      <c r="C1454" s="1331">
        <v>1144.1099999999999</v>
      </c>
    </row>
    <row r="1455" spans="2:3" x14ac:dyDescent="0.35">
      <c r="B1455" s="1330">
        <v>45789</v>
      </c>
      <c r="C1455" s="1331">
        <v>1141.2</v>
      </c>
    </row>
    <row r="1456" spans="2:3" x14ac:dyDescent="0.35">
      <c r="B1456" s="1330">
        <v>45790</v>
      </c>
      <c r="C1456" s="1331">
        <v>1140.92</v>
      </c>
    </row>
    <row r="1457" spans="2:3" x14ac:dyDescent="0.35">
      <c r="B1457" s="1330">
        <v>45791</v>
      </c>
      <c r="C1457" s="1331">
        <v>1140.92</v>
      </c>
    </row>
    <row r="1458" spans="2:3" x14ac:dyDescent="0.35">
      <c r="B1458" s="1330">
        <v>45792</v>
      </c>
      <c r="C1458" s="1331">
        <v>1140.92</v>
      </c>
    </row>
    <row r="1459" spans="2:3" x14ac:dyDescent="0.35">
      <c r="B1459" s="1330">
        <v>45793</v>
      </c>
      <c r="C1459" s="1331">
        <v>1155.1199999999999</v>
      </c>
    </row>
    <row r="1460" spans="2:3" x14ac:dyDescent="0.35">
      <c r="B1460" s="1330">
        <v>45794</v>
      </c>
      <c r="C1460" s="1331">
        <v>1155.1199999999999</v>
      </c>
    </row>
    <row r="1461" spans="2:3" x14ac:dyDescent="0.35">
      <c r="B1461" s="1330">
        <v>45795</v>
      </c>
      <c r="C1461" s="1331">
        <v>1155.1199999999999</v>
      </c>
    </row>
    <row r="1462" spans="2:3" x14ac:dyDescent="0.35">
      <c r="B1462" s="1330">
        <v>45796</v>
      </c>
      <c r="C1462" s="1331">
        <v>1148.77</v>
      </c>
    </row>
    <row r="1463" spans="2:3" x14ac:dyDescent="0.35">
      <c r="B1463" s="1330">
        <v>45797</v>
      </c>
      <c r="C1463" s="1331">
        <v>1153.33</v>
      </c>
    </row>
    <row r="1464" spans="2:3" x14ac:dyDescent="0.35">
      <c r="B1464" s="1330">
        <v>45798</v>
      </c>
      <c r="C1464" s="1331">
        <v>1148.8</v>
      </c>
    </row>
    <row r="1465" spans="2:3" x14ac:dyDescent="0.35">
      <c r="B1465" s="1330">
        <v>45799</v>
      </c>
      <c r="C1465" s="1331">
        <v>1143.49</v>
      </c>
    </row>
    <row r="1466" spans="2:3" x14ac:dyDescent="0.35">
      <c r="B1466" s="1330">
        <v>45800</v>
      </c>
      <c r="C1466" s="1331">
        <v>1143.32</v>
      </c>
    </row>
    <row r="1467" spans="2:3" x14ac:dyDescent="0.35">
      <c r="B1467" s="1330">
        <v>45801</v>
      </c>
      <c r="C1467" s="1331">
        <v>1143.32</v>
      </c>
    </row>
    <row r="1468" spans="2:3" x14ac:dyDescent="0.35">
      <c r="B1468" s="1330">
        <v>45802</v>
      </c>
      <c r="C1468" s="1331">
        <v>1143.32</v>
      </c>
    </row>
    <row r="1469" spans="2:3" x14ac:dyDescent="0.35">
      <c r="B1469" s="1330">
        <v>45803</v>
      </c>
      <c r="C1469" s="1331">
        <v>1145.42</v>
      </c>
    </row>
    <row r="1470" spans="2:3" x14ac:dyDescent="0.35">
      <c r="B1470" s="1330">
        <v>45804</v>
      </c>
      <c r="C1470" s="1331">
        <v>1161.3</v>
      </c>
    </row>
    <row r="1471" spans="2:3" x14ac:dyDescent="0.35">
      <c r="B1471" s="1330">
        <v>45805</v>
      </c>
      <c r="C1471" s="1331">
        <v>1164.8</v>
      </c>
    </row>
    <row r="1472" spans="2:3" x14ac:dyDescent="0.35">
      <c r="B1472" s="1330">
        <v>45806</v>
      </c>
      <c r="C1472" s="1331">
        <v>1181.9000000000001</v>
      </c>
    </row>
    <row r="1473" spans="2:3" x14ac:dyDescent="0.35">
      <c r="B1473" s="1330">
        <v>45807</v>
      </c>
      <c r="C1473" s="1331">
        <v>1191.72</v>
      </c>
    </row>
    <row r="1474" spans="2:3" x14ac:dyDescent="0.35">
      <c r="B1474" s="1330">
        <v>45808</v>
      </c>
      <c r="C1474" s="1331">
        <v>1191.72</v>
      </c>
    </row>
    <row r="1475" spans="2:3" x14ac:dyDescent="0.35">
      <c r="B1475" s="1330">
        <v>45809</v>
      </c>
      <c r="C1475" s="1331">
        <v>1191.72</v>
      </c>
    </row>
    <row r="1476" spans="2:3" x14ac:dyDescent="0.35">
      <c r="B1476" s="1330">
        <v>45810</v>
      </c>
      <c r="C1476" s="1331">
        <v>1183.78</v>
      </c>
    </row>
    <row r="1477" spans="2:3" x14ac:dyDescent="0.35">
      <c r="B1477" s="1330">
        <v>45811</v>
      </c>
      <c r="C1477" s="1331">
        <v>1189.67</v>
      </c>
    </row>
    <row r="1478" spans="2:3" x14ac:dyDescent="0.35">
      <c r="B1478" s="1330">
        <v>45812</v>
      </c>
      <c r="C1478" s="1331">
        <v>1193.22</v>
      </c>
    </row>
    <row r="1479" spans="2:3" x14ac:dyDescent="0.35">
      <c r="B1479" s="1330">
        <v>45813</v>
      </c>
      <c r="C1479" s="1331">
        <v>1192.3800000000001</v>
      </c>
    </row>
    <row r="1480" spans="2:3" x14ac:dyDescent="0.35">
      <c r="B1480" s="1330">
        <v>45814</v>
      </c>
      <c r="C1480" s="1331">
        <v>1192.4000000000001</v>
      </c>
    </row>
    <row r="1481" spans="2:3" x14ac:dyDescent="0.35">
      <c r="B1481" s="1330">
        <v>45815</v>
      </c>
      <c r="C1481" s="1331">
        <v>1192.4000000000001</v>
      </c>
    </row>
    <row r="1482" spans="2:3" x14ac:dyDescent="0.35">
      <c r="B1482" s="1330">
        <v>45816</v>
      </c>
      <c r="C1482" s="1331">
        <v>1192.4000000000001</v>
      </c>
    </row>
    <row r="1483" spans="2:3" x14ac:dyDescent="0.35">
      <c r="B1483" s="1330">
        <v>45817</v>
      </c>
      <c r="C1483" s="1331">
        <v>1192.1600000000001</v>
      </c>
    </row>
    <row r="1484" spans="2:3" x14ac:dyDescent="0.35">
      <c r="B1484" s="1330">
        <v>45818</v>
      </c>
      <c r="C1484" s="1331">
        <v>1189.44</v>
      </c>
    </row>
    <row r="1485" spans="2:3" x14ac:dyDescent="0.35">
      <c r="B1485" s="1330">
        <v>45819</v>
      </c>
      <c r="C1485" s="1331">
        <v>1186.93</v>
      </c>
    </row>
    <row r="1486" spans="2:3" x14ac:dyDescent="0.35">
      <c r="B1486" s="1330">
        <v>45820</v>
      </c>
      <c r="C1486" s="1331">
        <v>1186.51</v>
      </c>
    </row>
    <row r="1487" spans="2:3" x14ac:dyDescent="0.35">
      <c r="B1487" s="1330">
        <v>45821</v>
      </c>
      <c r="C1487" s="1331">
        <v>1191.74</v>
      </c>
    </row>
    <row r="1488" spans="2:3" x14ac:dyDescent="0.35">
      <c r="B1488" s="1330">
        <v>45822</v>
      </c>
      <c r="C1488" s="1331">
        <v>1191.74</v>
      </c>
    </row>
    <row r="1489" spans="2:3" x14ac:dyDescent="0.35">
      <c r="B1489" s="1330">
        <v>45823</v>
      </c>
      <c r="C1489" s="1331">
        <v>1191.74</v>
      </c>
    </row>
    <row r="1490" spans="2:3" x14ac:dyDescent="0.35">
      <c r="B1490" s="1330">
        <v>45824</v>
      </c>
      <c r="C1490" s="1331">
        <v>1191.06</v>
      </c>
    </row>
    <row r="1491" spans="2:3" x14ac:dyDescent="0.35">
      <c r="B1491" s="1330">
        <v>45825</v>
      </c>
      <c r="C1491" s="1331">
        <v>1190.22</v>
      </c>
    </row>
    <row r="1492" spans="2:3" x14ac:dyDescent="0.35">
      <c r="B1492" s="1330">
        <v>45826</v>
      </c>
      <c r="C1492" s="1331">
        <v>1167.07</v>
      </c>
    </row>
    <row r="1493" spans="2:3" x14ac:dyDescent="0.35">
      <c r="B1493" s="1330">
        <v>45827</v>
      </c>
      <c r="C1493" s="1331">
        <v>1174.03</v>
      </c>
    </row>
    <row r="1494" spans="2:3" x14ac:dyDescent="0.35">
      <c r="B1494" s="1330">
        <v>45828</v>
      </c>
      <c r="C1494" s="1331">
        <v>1174.03</v>
      </c>
    </row>
    <row r="1495" spans="2:3" x14ac:dyDescent="0.35">
      <c r="B1495" s="1330">
        <v>45829</v>
      </c>
      <c r="C1495" s="1331">
        <v>1174.03</v>
      </c>
    </row>
    <row r="1496" spans="2:3" x14ac:dyDescent="0.35">
      <c r="B1496" s="1330">
        <v>45830</v>
      </c>
      <c r="C1496" s="1331">
        <v>1174.03</v>
      </c>
    </row>
    <row r="1497" spans="2:3" x14ac:dyDescent="0.35">
      <c r="B1497" s="1330">
        <v>45831</v>
      </c>
      <c r="C1497" s="1331">
        <v>1185.1500000000001</v>
      </c>
    </row>
    <row r="1498" spans="2:3" x14ac:dyDescent="0.35">
      <c r="B1498" s="1330">
        <v>45832</v>
      </c>
      <c r="C1498" s="1331">
        <v>1184.49</v>
      </c>
    </row>
    <row r="1499" spans="2:3" x14ac:dyDescent="0.35">
      <c r="B1499" s="1330">
        <v>45833</v>
      </c>
      <c r="C1499" s="1331">
        <v>1196.43</v>
      </c>
    </row>
    <row r="1500" spans="2:3" x14ac:dyDescent="0.35">
      <c r="B1500" s="1330">
        <v>45834</v>
      </c>
      <c r="C1500" s="1331">
        <v>1199.28</v>
      </c>
    </row>
    <row r="1501" spans="2:3" x14ac:dyDescent="0.35">
      <c r="B1501" s="1330">
        <v>45835</v>
      </c>
      <c r="C1501" s="1331">
        <v>1197.54</v>
      </c>
    </row>
    <row r="1502" spans="2:3" x14ac:dyDescent="0.35">
      <c r="B1502" s="1330">
        <v>45836</v>
      </c>
      <c r="C1502" s="1331">
        <v>1197.54</v>
      </c>
    </row>
    <row r="1503" spans="2:3" x14ac:dyDescent="0.35">
      <c r="B1503" s="1330">
        <v>45837</v>
      </c>
      <c r="C1503" s="1331">
        <v>1197.54</v>
      </c>
    </row>
    <row r="1504" spans="2:3" x14ac:dyDescent="0.35">
      <c r="B1504" s="1330">
        <v>45838</v>
      </c>
      <c r="C1504" s="1331">
        <v>1211.0999999999999</v>
      </c>
    </row>
    <row r="1505" spans="2:3" x14ac:dyDescent="0.35">
      <c r="B1505" s="1330">
        <v>45839</v>
      </c>
      <c r="C1505" s="1331">
        <v>1232.83</v>
      </c>
    </row>
    <row r="1506" spans="2:3" x14ac:dyDescent="0.35">
      <c r="B1506" s="1330">
        <v>45840</v>
      </c>
      <c r="C1506" s="1331">
        <v>1238.5999999999999</v>
      </c>
    </row>
    <row r="1507" spans="2:3" x14ac:dyDescent="0.35">
      <c r="B1507" s="1330">
        <v>45841</v>
      </c>
      <c r="C1507" s="1331">
        <v>1238.3699999999999</v>
      </c>
    </row>
    <row r="1508" spans="2:3" x14ac:dyDescent="0.35">
      <c r="B1508" s="1330">
        <v>45842</v>
      </c>
      <c r="C1508" s="1331">
        <v>1246.92</v>
      </c>
    </row>
    <row r="1509" spans="2:3" x14ac:dyDescent="0.35">
      <c r="B1509" s="1330">
        <v>45843</v>
      </c>
      <c r="C1509" s="1331">
        <v>1246.92</v>
      </c>
    </row>
    <row r="1510" spans="2:3" x14ac:dyDescent="0.35">
      <c r="B1510" s="1330">
        <v>45844</v>
      </c>
      <c r="C1510" s="1331">
        <v>1246.92</v>
      </c>
    </row>
    <row r="1511" spans="2:3" x14ac:dyDescent="0.35">
      <c r="B1511" s="1330">
        <v>45845</v>
      </c>
      <c r="C1511" s="1331">
        <v>1276.44</v>
      </c>
    </row>
    <row r="1512" spans="2:3" x14ac:dyDescent="0.35">
      <c r="B1512" s="1330">
        <v>45846</v>
      </c>
      <c r="C1512" s="1331">
        <v>1259.0899999999999</v>
      </c>
    </row>
    <row r="1513" spans="2:3" x14ac:dyDescent="0.35">
      <c r="B1513" s="1330">
        <v>45847</v>
      </c>
      <c r="C1513" s="1331">
        <v>1259.0899999999999</v>
      </c>
    </row>
    <row r="1514" spans="2:3" x14ac:dyDescent="0.35">
      <c r="B1514" s="1330">
        <v>45848</v>
      </c>
      <c r="C1514" s="1331">
        <v>1267.8699999999999</v>
      </c>
    </row>
    <row r="1515" spans="2:3" x14ac:dyDescent="0.35">
      <c r="B1515" s="1330">
        <v>45849</v>
      </c>
      <c r="C1515" s="1331">
        <v>1269.0999999999999</v>
      </c>
    </row>
    <row r="1516" spans="2:3" x14ac:dyDescent="0.35">
      <c r="B1516" s="1330">
        <v>45850</v>
      </c>
      <c r="C1516" s="1331">
        <v>1269.0999999999999</v>
      </c>
    </row>
    <row r="1517" spans="2:3" x14ac:dyDescent="0.35">
      <c r="B1517" s="1330">
        <v>45851</v>
      </c>
      <c r="C1517" s="1331">
        <v>1269.0999999999999</v>
      </c>
    </row>
    <row r="1518" spans="2:3" x14ac:dyDescent="0.35">
      <c r="B1518" s="1330">
        <v>45852</v>
      </c>
      <c r="C1518" s="1331">
        <v>1295.8399999999999</v>
      </c>
    </row>
    <row r="1519" spans="2:3" x14ac:dyDescent="0.35">
      <c r="B1519" s="1330">
        <v>45853</v>
      </c>
      <c r="C1519" s="1331">
        <v>1276.07</v>
      </c>
    </row>
    <row r="1520" spans="2:3" x14ac:dyDescent="0.35">
      <c r="B1520" s="1330">
        <v>45854</v>
      </c>
      <c r="C1520" s="1331">
        <v>1269.99</v>
      </c>
    </row>
    <row r="1521" spans="2:3" x14ac:dyDescent="0.35">
      <c r="B1521" s="1330">
        <v>45855</v>
      </c>
      <c r="C1521" s="1331">
        <v>1280.96</v>
      </c>
    </row>
    <row r="1522" spans="2:3" x14ac:dyDescent="0.35">
      <c r="B1522" s="1330">
        <v>45856</v>
      </c>
      <c r="C1522" s="1331">
        <v>1292.8699999999999</v>
      </c>
    </row>
    <row r="1523" spans="2:3" x14ac:dyDescent="0.35">
      <c r="B1523" s="1330">
        <v>45857</v>
      </c>
      <c r="C1523" s="1331">
        <v>1292.8699999999999</v>
      </c>
    </row>
    <row r="1524" spans="2:3" x14ac:dyDescent="0.35">
      <c r="B1524" s="1330">
        <v>45858</v>
      </c>
      <c r="C1524" s="1331">
        <v>1292.8699999999999</v>
      </c>
    </row>
    <row r="1525" spans="2:3" x14ac:dyDescent="0.35">
      <c r="B1525" s="1330">
        <v>45859</v>
      </c>
      <c r="C1525" s="1331">
        <v>1281.33</v>
      </c>
    </row>
    <row r="1526" spans="2:3" x14ac:dyDescent="0.35">
      <c r="B1526" s="1330">
        <v>45860</v>
      </c>
      <c r="C1526" s="1331">
        <v>1260.71</v>
      </c>
    </row>
    <row r="1527" spans="2:3" x14ac:dyDescent="0.35">
      <c r="B1527" s="1330">
        <v>45861</v>
      </c>
      <c r="C1527" s="1331">
        <v>1264.6500000000001</v>
      </c>
    </row>
    <row r="1528" spans="2:3" x14ac:dyDescent="0.35">
      <c r="B1528" s="1330">
        <v>45862</v>
      </c>
      <c r="C1528" s="1331">
        <v>1272.9100000000001</v>
      </c>
    </row>
    <row r="1529" spans="2:3" x14ac:dyDescent="0.35">
      <c r="B1529" s="1330">
        <v>45863</v>
      </c>
      <c r="C1529" s="1331">
        <v>1285.98</v>
      </c>
    </row>
    <row r="1530" spans="2:3" x14ac:dyDescent="0.35">
      <c r="B1530" s="1330">
        <v>45864</v>
      </c>
      <c r="C1530" s="1331">
        <v>1285.98</v>
      </c>
    </row>
    <row r="1531" spans="2:3" x14ac:dyDescent="0.35">
      <c r="B1531" s="1330">
        <v>45865</v>
      </c>
      <c r="C1531" s="1331">
        <v>1285.98</v>
      </c>
    </row>
    <row r="1532" spans="2:3" x14ac:dyDescent="0.35">
      <c r="B1532" s="1330">
        <v>45866</v>
      </c>
      <c r="C1532" s="1331">
        <v>1296.25</v>
      </c>
    </row>
    <row r="1533" spans="2:3" x14ac:dyDescent="0.35">
      <c r="B1533" s="1330">
        <v>45867</v>
      </c>
      <c r="C1533" s="1331">
        <v>1294.45</v>
      </c>
    </row>
    <row r="1534" spans="2:3" x14ac:dyDescent="0.35">
      <c r="B1534" s="1330">
        <v>45868</v>
      </c>
      <c r="C1534" s="1331">
        <v>1322.36</v>
      </c>
    </row>
    <row r="1535" spans="2:3" x14ac:dyDescent="0.35">
      <c r="B1535" s="1330">
        <v>45869</v>
      </c>
      <c r="C1535" s="1331">
        <v>1359.76</v>
      </c>
    </row>
    <row r="1536" spans="2:3" x14ac:dyDescent="0.35">
      <c r="B1536" s="1330">
        <v>45870</v>
      </c>
      <c r="C1536" s="1331">
        <v>1357.56</v>
      </c>
    </row>
    <row r="1537" spans="2:3" x14ac:dyDescent="0.35">
      <c r="B1537" s="1330">
        <v>45871</v>
      </c>
      <c r="C1537" s="1331">
        <v>1357.56</v>
      </c>
    </row>
    <row r="1538" spans="2:3" x14ac:dyDescent="0.35">
      <c r="B1538" s="1330">
        <v>45872</v>
      </c>
      <c r="C1538" s="1331">
        <v>1357.56</v>
      </c>
    </row>
    <row r="1539" spans="2:3" x14ac:dyDescent="0.35">
      <c r="B1539" s="1330">
        <v>45873</v>
      </c>
      <c r="C1539" s="1331">
        <v>1356.15</v>
      </c>
    </row>
    <row r="1540" spans="2:3" x14ac:dyDescent="0.35">
      <c r="B1540" s="1330">
        <v>45874</v>
      </c>
      <c r="C1540" s="1331">
        <v>1344.27</v>
      </c>
    </row>
    <row r="1541" spans="2:3" x14ac:dyDescent="0.35">
      <c r="B1541" s="1330">
        <v>45875</v>
      </c>
      <c r="C1541" s="1331">
        <v>1334.88</v>
      </c>
    </row>
    <row r="1542" spans="2:3" x14ac:dyDescent="0.35">
      <c r="B1542" s="1330">
        <v>45876</v>
      </c>
      <c r="C1542" s="1331">
        <v>1327.8</v>
      </c>
    </row>
    <row r="1543" spans="2:3" x14ac:dyDescent="0.35">
      <c r="B1543" s="1330">
        <v>45877</v>
      </c>
      <c r="C1543" s="1331">
        <v>1332.23</v>
      </c>
    </row>
    <row r="1544" spans="2:3" x14ac:dyDescent="0.35">
      <c r="B1544" s="1330">
        <v>45878</v>
      </c>
      <c r="C1544" s="1331">
        <v>1332.23</v>
      </c>
    </row>
    <row r="1545" spans="2:3" x14ac:dyDescent="0.35">
      <c r="B1545" s="1330">
        <v>45879</v>
      </c>
      <c r="C1545" s="1331">
        <v>1332.23</v>
      </c>
    </row>
    <row r="1546" spans="2:3" x14ac:dyDescent="0.35">
      <c r="B1546" s="1330">
        <v>45880</v>
      </c>
      <c r="C1546" s="1331">
        <v>1324.65</v>
      </c>
    </row>
    <row r="1547" spans="2:3" x14ac:dyDescent="0.35">
      <c r="B1547" s="1330">
        <v>45881</v>
      </c>
      <c r="C1547" s="1331">
        <v>1323.46</v>
      </c>
    </row>
    <row r="1548" spans="2:3" x14ac:dyDescent="0.35">
      <c r="B1548" s="1330">
        <v>45882</v>
      </c>
      <c r="C1548" s="1331">
        <v>1325.5</v>
      </c>
    </row>
    <row r="1549" spans="2:3" x14ac:dyDescent="0.35">
      <c r="B1549" s="1330">
        <v>45883</v>
      </c>
      <c r="C1549" s="1331">
        <v>1308.1300000000001</v>
      </c>
    </row>
    <row r="1550" spans="2:3" x14ac:dyDescent="0.35">
      <c r="B1550" s="1330">
        <v>45884</v>
      </c>
      <c r="C1550" s="1331">
        <v>1308.1300000000001</v>
      </c>
    </row>
    <row r="1551" spans="2:3" x14ac:dyDescent="0.35">
      <c r="B1551" s="1330">
        <v>45885</v>
      </c>
      <c r="C1551" s="1331">
        <v>1308.1300000000001</v>
      </c>
    </row>
    <row r="1552" spans="2:3" x14ac:dyDescent="0.35">
      <c r="B1552" s="1330">
        <v>45886</v>
      </c>
      <c r="C1552" s="1331">
        <v>1308.1300000000001</v>
      </c>
    </row>
    <row r="1553" spans="2:3" x14ac:dyDescent="0.35">
      <c r="B1553" s="1330">
        <v>45887</v>
      </c>
      <c r="C1553" s="1331">
        <v>1301.06</v>
      </c>
    </row>
    <row r="1554" spans="2:3" x14ac:dyDescent="0.35">
      <c r="B1554" s="1330">
        <v>45888</v>
      </c>
      <c r="C1554" s="1331">
        <v>1297.02</v>
      </c>
    </row>
    <row r="1555" spans="2:3" x14ac:dyDescent="0.35">
      <c r="B1555" s="1330">
        <v>45889</v>
      </c>
      <c r="C1555" s="1331">
        <v>1309.5999999999999</v>
      </c>
    </row>
    <row r="1556" spans="2:3" x14ac:dyDescent="0.35">
      <c r="B1556" s="1330">
        <v>45890</v>
      </c>
      <c r="C1556" s="1331">
        <v>1321.87</v>
      </c>
    </row>
    <row r="1557" spans="2:3" x14ac:dyDescent="0.35">
      <c r="B1557" s="1330">
        <v>45891</v>
      </c>
      <c r="C1557" s="1331">
        <v>1329.08</v>
      </c>
    </row>
    <row r="1558" spans="2:3" x14ac:dyDescent="0.35">
      <c r="B1558" s="1330">
        <v>45892</v>
      </c>
      <c r="C1558" s="1331">
        <v>1329.08</v>
      </c>
    </row>
    <row r="1559" spans="2:3" x14ac:dyDescent="0.35">
      <c r="B1559" s="1330">
        <v>45893</v>
      </c>
      <c r="C1559" s="1331">
        <v>1329.08</v>
      </c>
    </row>
    <row r="1560" spans="2:3" x14ac:dyDescent="0.35">
      <c r="B1560" s="1330">
        <v>45894</v>
      </c>
      <c r="C1560" s="1331">
        <v>1362.22</v>
      </c>
    </row>
    <row r="1561" spans="2:3" x14ac:dyDescent="0.35">
      <c r="B1561" s="1330">
        <v>45895</v>
      </c>
      <c r="C1561" s="1331">
        <v>1352.46</v>
      </c>
    </row>
    <row r="1562" spans="2:3" x14ac:dyDescent="0.35">
      <c r="B1562" s="1330">
        <v>45896</v>
      </c>
      <c r="C1562" s="1331">
        <v>1357.27</v>
      </c>
    </row>
    <row r="1563" spans="2:3" x14ac:dyDescent="0.35">
      <c r="B1563" s="1330">
        <v>45897</v>
      </c>
      <c r="C1563" s="1331">
        <v>1344.05</v>
      </c>
    </row>
    <row r="1564" spans="2:3" x14ac:dyDescent="0.35">
      <c r="B1564" s="1330">
        <v>45898</v>
      </c>
      <c r="C1564" s="1331">
        <v>1357.34</v>
      </c>
    </row>
    <row r="1565" spans="2:3" x14ac:dyDescent="0.35">
      <c r="B1565" s="1330">
        <v>45899</v>
      </c>
      <c r="C1565" s="1331">
        <v>1357.34</v>
      </c>
    </row>
    <row r="1566" spans="2:3" x14ac:dyDescent="0.35">
      <c r="B1566" s="1330">
        <v>45900</v>
      </c>
      <c r="C1566" s="1331">
        <v>1357.34</v>
      </c>
    </row>
    <row r="1567" spans="2:3" x14ac:dyDescent="0.35">
      <c r="B1567" s="1330">
        <v>45901</v>
      </c>
      <c r="C1567" s="1331">
        <v>1376.49</v>
      </c>
    </row>
    <row r="1568" spans="2:3" x14ac:dyDescent="0.35">
      <c r="B1568" s="1330">
        <v>45902</v>
      </c>
      <c r="C1568" s="1331">
        <v>1365.62</v>
      </c>
    </row>
    <row r="1569" spans="2:3" x14ac:dyDescent="0.35">
      <c r="B1569" s="1330">
        <v>45903</v>
      </c>
      <c r="C1569" s="1331">
        <v>1370.14</v>
      </c>
    </row>
    <row r="1570" spans="2:3" x14ac:dyDescent="0.35">
      <c r="B1570" s="1330">
        <v>45904</v>
      </c>
      <c r="C1570" s="1331">
        <v>1378.31</v>
      </c>
    </row>
    <row r="1571" spans="2:3" x14ac:dyDescent="0.35">
      <c r="B1571" s="1330">
        <v>45905</v>
      </c>
      <c r="C1571" s="1331">
        <v>1383.33</v>
      </c>
    </row>
    <row r="1572" spans="2:3" x14ac:dyDescent="0.35">
      <c r="B1572" s="1330">
        <v>45906</v>
      </c>
      <c r="C1572" s="1331">
        <v>1383.33</v>
      </c>
    </row>
    <row r="1573" spans="2:3" x14ac:dyDescent="0.35">
      <c r="B1573" s="1330">
        <v>45907</v>
      </c>
      <c r="C1573" s="1331">
        <v>1383.33</v>
      </c>
    </row>
    <row r="1574" spans="2:3" x14ac:dyDescent="0.35">
      <c r="B1574" s="1330">
        <v>45908</v>
      </c>
      <c r="C1574" s="1331">
        <v>1434.92</v>
      </c>
    </row>
    <row r="1575" spans="2:3" x14ac:dyDescent="0.35">
      <c r="B1575" s="1330">
        <v>45909</v>
      </c>
      <c r="C1575" s="1331">
        <v>1430.74</v>
      </c>
    </row>
    <row r="1576" spans="2:3" x14ac:dyDescent="0.35">
      <c r="B1576" s="1330">
        <v>45910</v>
      </c>
      <c r="C1576" s="1331">
        <v>1428.49</v>
      </c>
    </row>
    <row r="1577" spans="2:3" x14ac:dyDescent="0.35">
      <c r="B1577" s="1330">
        <v>45911</v>
      </c>
      <c r="C1577" s="1331">
        <v>1451.12</v>
      </c>
    </row>
    <row r="1578" spans="2:3" x14ac:dyDescent="0.35">
      <c r="B1578" s="1330">
        <v>45912</v>
      </c>
      <c r="C1578" s="1331">
        <v>1468.46</v>
      </c>
    </row>
    <row r="1579" spans="2:3" x14ac:dyDescent="0.35">
      <c r="B1579" s="1330">
        <v>45913</v>
      </c>
      <c r="C1579" s="1331">
        <v>1468.46</v>
      </c>
    </row>
    <row r="1580" spans="2:3" x14ac:dyDescent="0.35">
      <c r="B1580" s="1330">
        <v>45914</v>
      </c>
      <c r="C1580" s="1331">
        <v>1468.46</v>
      </c>
    </row>
    <row r="1581" spans="2:3" x14ac:dyDescent="0.35">
      <c r="B1581" s="1330">
        <v>45915</v>
      </c>
      <c r="C1581" s="1331">
        <v>1488.06</v>
      </c>
    </row>
    <row r="1582" spans="2:3" x14ac:dyDescent="0.35">
      <c r="B1582" s="1330">
        <v>45916</v>
      </c>
      <c r="C1582" s="1331">
        <v>1469.91</v>
      </c>
    </row>
    <row r="1583" spans="2:3" x14ac:dyDescent="0.35">
      <c r="B1583" s="1330">
        <v>45917</v>
      </c>
      <c r="C1583" s="1331">
        <v>1486.47</v>
      </c>
    </row>
    <row r="1584" spans="2:3" x14ac:dyDescent="0.35">
      <c r="B1584" s="1330">
        <v>45918</v>
      </c>
      <c r="C1584" s="1331">
        <v>1535.4</v>
      </c>
    </row>
    <row r="1585" spans="2:3" x14ac:dyDescent="0.35">
      <c r="B1585" s="1330">
        <v>45919</v>
      </c>
      <c r="C1585" s="1331">
        <v>1551.03</v>
      </c>
    </row>
    <row r="1586" spans="2:3" x14ac:dyDescent="0.35">
      <c r="B1586" s="1330">
        <v>45920</v>
      </c>
      <c r="C1586" s="1331">
        <v>1551.03</v>
      </c>
    </row>
    <row r="1587" spans="2:3" x14ac:dyDescent="0.35">
      <c r="B1587" s="1330">
        <v>45921</v>
      </c>
      <c r="C1587" s="1331">
        <v>1551.03</v>
      </c>
    </row>
    <row r="1588" spans="2:3" x14ac:dyDescent="0.35">
      <c r="B1588" s="1330">
        <v>45922</v>
      </c>
      <c r="C1588" s="1331">
        <v>1427.51</v>
      </c>
    </row>
    <row r="1589" spans="2:3" x14ac:dyDescent="0.35">
      <c r="B1589" s="1330">
        <v>45923</v>
      </c>
      <c r="C1589" s="1331">
        <v>1405.02</v>
      </c>
    </row>
    <row r="1590" spans="2:3" x14ac:dyDescent="0.35">
      <c r="B1590" s="1330">
        <v>45924</v>
      </c>
      <c r="C1590" s="1331">
        <v>1369.47</v>
      </c>
    </row>
    <row r="1591" spans="2:3" x14ac:dyDescent="0.35">
      <c r="B1591" s="1330">
        <v>45925</v>
      </c>
      <c r="C1591" s="1331">
        <v>1380.13</v>
      </c>
    </row>
    <row r="1592" spans="2:3" x14ac:dyDescent="0.35">
      <c r="B1592" s="1330">
        <v>45926</v>
      </c>
      <c r="C1592" s="1331">
        <v>1431.44</v>
      </c>
    </row>
    <row r="1593" spans="2:3" x14ac:dyDescent="0.35">
      <c r="B1593" s="1330">
        <v>45927</v>
      </c>
      <c r="C1593" s="1331">
        <v>1431.44</v>
      </c>
    </row>
    <row r="1594" spans="2:3" x14ac:dyDescent="0.35">
      <c r="B1594" s="1330">
        <v>45928</v>
      </c>
      <c r="C1594" s="1331">
        <v>1431.44</v>
      </c>
    </row>
    <row r="1595" spans="2:3" x14ac:dyDescent="0.35">
      <c r="B1595" s="1330">
        <v>45929</v>
      </c>
      <c r="C1595" s="1331">
        <v>1454.91</v>
      </c>
    </row>
    <row r="1596" spans="2:3" x14ac:dyDescent="0.35">
      <c r="B1596" s="1330">
        <v>45930</v>
      </c>
      <c r="C1596" s="1331">
        <v>1494.02</v>
      </c>
    </row>
    <row r="1597" spans="2:3" x14ac:dyDescent="0.35">
      <c r="B1597" s="1330">
        <v>45931</v>
      </c>
      <c r="C1597" s="1331">
        <v>1523</v>
      </c>
    </row>
    <row r="1598" spans="2:3" x14ac:dyDescent="0.35">
      <c r="B1598" s="1330">
        <v>45932</v>
      </c>
      <c r="C1598" s="1331">
        <v>1500</v>
      </c>
    </row>
    <row r="1599" spans="2:3" x14ac:dyDescent="0.35">
      <c r="B1599" s="1330">
        <v>45933</v>
      </c>
      <c r="C1599" s="1331">
        <v>1498.81</v>
      </c>
    </row>
    <row r="1600" spans="2:3" x14ac:dyDescent="0.35">
      <c r="B1600" s="1330">
        <v>45934</v>
      </c>
      <c r="C1600" s="1331">
        <v>1498.81</v>
      </c>
    </row>
    <row r="1601" spans="2:3" x14ac:dyDescent="0.35">
      <c r="B1601" s="1330">
        <v>45935</v>
      </c>
      <c r="C1601" s="1331">
        <v>1498.81</v>
      </c>
    </row>
    <row r="1602" spans="2:3" x14ac:dyDescent="0.35">
      <c r="B1602" s="1330">
        <v>45936</v>
      </c>
      <c r="C1602" s="1331">
        <v>1499.11</v>
      </c>
    </row>
    <row r="1603" spans="2:3" x14ac:dyDescent="0.35">
      <c r="B1603" s="1330">
        <v>45937</v>
      </c>
      <c r="C1603" s="1331">
        <v>1533.95</v>
      </c>
    </row>
    <row r="1604" spans="2:3" x14ac:dyDescent="0.35">
      <c r="B1604" s="1330">
        <v>45938</v>
      </c>
      <c r="C1604" s="1331">
        <v>1527.95</v>
      </c>
    </row>
    <row r="1605" spans="2:3" x14ac:dyDescent="0.35">
      <c r="B1605" s="1330">
        <v>45939</v>
      </c>
      <c r="C1605" s="1331">
        <v>1440.81</v>
      </c>
    </row>
    <row r="1606" spans="2:3" x14ac:dyDescent="0.35">
      <c r="B1606" s="1330">
        <v>45940</v>
      </c>
      <c r="C1606" s="1331">
        <v>1440.81</v>
      </c>
    </row>
    <row r="1607" spans="2:3" x14ac:dyDescent="0.35">
      <c r="B1607" s="1330">
        <v>45941</v>
      </c>
      <c r="C1607" s="1331">
        <v>1440.81</v>
      </c>
    </row>
    <row r="1608" spans="2:3" x14ac:dyDescent="0.35">
      <c r="B1608" s="1330">
        <v>45942</v>
      </c>
      <c r="C1608" s="1331">
        <v>1440.81</v>
      </c>
    </row>
    <row r="1609" spans="2:3" x14ac:dyDescent="0.35">
      <c r="B1609" s="1330">
        <v>45943</v>
      </c>
      <c r="C1609" s="1331">
        <v>1409.92</v>
      </c>
    </row>
    <row r="1610" spans="2:3" x14ac:dyDescent="0.35">
      <c r="B1610" s="1330">
        <v>45944</v>
      </c>
      <c r="C1610" s="1331">
        <v>1454.99</v>
      </c>
    </row>
    <row r="1611" spans="2:3" x14ac:dyDescent="0.35">
      <c r="B1611" s="1330">
        <v>45945</v>
      </c>
      <c r="C1611" s="1331">
        <v>1441.77</v>
      </c>
    </row>
    <row r="1612" spans="2:3" x14ac:dyDescent="0.35">
      <c r="B1612" s="1330">
        <v>45946</v>
      </c>
      <c r="C1612" s="1331">
        <v>1473.52</v>
      </c>
    </row>
    <row r="1613" spans="2:3" x14ac:dyDescent="0.35">
      <c r="B1613" s="1330">
        <v>45947</v>
      </c>
      <c r="C1613" s="1331">
        <v>1541.49</v>
      </c>
    </row>
    <row r="1614" spans="2:3" x14ac:dyDescent="0.35">
      <c r="B1614" s="1330">
        <v>45948</v>
      </c>
      <c r="C1614" s="1331">
        <v>1541.49</v>
      </c>
    </row>
    <row r="1615" spans="2:3" x14ac:dyDescent="0.35">
      <c r="B1615" s="1330">
        <v>45949</v>
      </c>
      <c r="C1615" s="1331">
        <v>1541.49</v>
      </c>
    </row>
    <row r="1616" spans="2:3" x14ac:dyDescent="0.35">
      <c r="B1616" s="1330">
        <v>45950</v>
      </c>
      <c r="C1616" s="1331">
        <v>1552.82</v>
      </c>
    </row>
    <row r="1617" spans="2:3" x14ac:dyDescent="0.35">
      <c r="B1617" s="1330">
        <v>45951</v>
      </c>
      <c r="C1617" s="1331">
        <v>1591.57</v>
      </c>
    </row>
    <row r="1618" spans="2:3" x14ac:dyDescent="0.35">
      <c r="B1618" s="1330">
        <v>45952</v>
      </c>
      <c r="C1618" s="1331">
        <v>1592.99</v>
      </c>
    </row>
    <row r="1619" spans="2:3" x14ac:dyDescent="0.35">
      <c r="B1619" s="1330">
        <v>45953</v>
      </c>
      <c r="C1619" s="1331">
        <v>1533.7</v>
      </c>
    </row>
    <row r="1620" spans="2:3" x14ac:dyDescent="0.35">
      <c r="B1620" s="1330">
        <v>45954</v>
      </c>
      <c r="C1620" s="1331">
        <v>1549.44</v>
      </c>
    </row>
    <row r="1621" spans="2:3" x14ac:dyDescent="0.35">
      <c r="B1621" s="1330">
        <v>45955</v>
      </c>
      <c r="C1621" s="1331">
        <v>1549.44</v>
      </c>
    </row>
    <row r="1622" spans="2:3" x14ac:dyDescent="0.35">
      <c r="B1622" s="1330">
        <v>45956</v>
      </c>
      <c r="C1622" s="1331">
        <v>1549.44</v>
      </c>
    </row>
    <row r="1623" spans="2:3" x14ac:dyDescent="0.35">
      <c r="B1623" s="1330">
        <v>45957</v>
      </c>
      <c r="C1623" s="1331">
        <v>1440.79</v>
      </c>
    </row>
    <row r="1624" spans="2:3" x14ac:dyDescent="0.35">
      <c r="B1624" s="1330">
        <v>45958</v>
      </c>
      <c r="C1624" s="1331">
        <v>1477.87</v>
      </c>
    </row>
    <row r="1625" spans="2:3" x14ac:dyDescent="0.35">
      <c r="B1625" s="1330">
        <v>45959</v>
      </c>
      <c r="C1625" s="1331">
        <v>1475.21</v>
      </c>
    </row>
    <row r="1626" spans="2:3" x14ac:dyDescent="0.35">
      <c r="B1626" s="1330">
        <v>45960</v>
      </c>
      <c r="C1626" s="1331">
        <v>1470.6</v>
      </c>
    </row>
    <row r="1627" spans="2:3" x14ac:dyDescent="0.35">
      <c r="B1627" s="1330">
        <v>45961</v>
      </c>
      <c r="C1627" s="1331">
        <v>1477.46</v>
      </c>
    </row>
    <row r="1628" spans="2:3" x14ac:dyDescent="0.35">
      <c r="B1628" s="1330">
        <v>45962</v>
      </c>
      <c r="C1628" s="1331">
        <v>1477.46</v>
      </c>
    </row>
    <row r="1629" spans="2:3" x14ac:dyDescent="0.35">
      <c r="B1629" s="1330">
        <v>45963</v>
      </c>
      <c r="C1629" s="1331">
        <v>1477.46</v>
      </c>
    </row>
    <row r="1630" spans="2:3" x14ac:dyDescent="0.35">
      <c r="B1630" s="1330">
        <v>45964</v>
      </c>
      <c r="C1630" s="1331">
        <v>1500.47</v>
      </c>
    </row>
    <row r="1631" spans="2:3" x14ac:dyDescent="0.35">
      <c r="B1631" s="1330">
        <v>45965</v>
      </c>
      <c r="C1631" s="1331">
        <v>1495.58</v>
      </c>
    </row>
    <row r="1632" spans="2:3" x14ac:dyDescent="0.35">
      <c r="B1632" s="1330">
        <v>45966</v>
      </c>
      <c r="C1632" s="1331">
        <v>1478.74</v>
      </c>
    </row>
    <row r="1633" spans="2:3" x14ac:dyDescent="0.35">
      <c r="B1633" s="1330">
        <v>45967</v>
      </c>
      <c r="C1633" s="1331">
        <v>1480.23</v>
      </c>
    </row>
    <row r="1634" spans="2:3" x14ac:dyDescent="0.35">
      <c r="B1634" s="1330">
        <v>45968</v>
      </c>
      <c r="C1634" s="1331">
        <v>1454.69</v>
      </c>
    </row>
    <row r="1635" spans="2:3" x14ac:dyDescent="0.35">
      <c r="B1635" s="1330">
        <v>45969</v>
      </c>
      <c r="C1635" s="1331">
        <v>1454.69</v>
      </c>
    </row>
    <row r="1636" spans="2:3" x14ac:dyDescent="0.35">
      <c r="B1636" s="1330">
        <v>45970</v>
      </c>
      <c r="C1636" s="1331">
        <v>1454.69</v>
      </c>
    </row>
    <row r="1637" spans="2:3" x14ac:dyDescent="0.35">
      <c r="B1637" s="1330">
        <v>45971</v>
      </c>
      <c r="C1637" s="1331">
        <v>1458.18</v>
      </c>
    </row>
    <row r="1638" spans="2:3" x14ac:dyDescent="0.35">
      <c r="B1638" s="1330">
        <v>45972</v>
      </c>
      <c r="C1638" s="1331">
        <v>1455.43</v>
      </c>
    </row>
    <row r="1639" spans="2:3" x14ac:dyDescent="0.35">
      <c r="B1639" s="1330">
        <v>45973</v>
      </c>
      <c r="C1639" s="1331">
        <v>1451.89</v>
      </c>
    </row>
    <row r="1640" spans="2:3" x14ac:dyDescent="0.35">
      <c r="B1640" s="1330">
        <v>45974</v>
      </c>
      <c r="C1640" s="1331">
        <v>1462.04</v>
      </c>
    </row>
    <row r="1641" spans="2:3" x14ac:dyDescent="0.35">
      <c r="B1641" s="1330">
        <v>45975</v>
      </c>
      <c r="C1641" s="1331">
        <v>1451.17</v>
      </c>
    </row>
    <row r="1642" spans="2:3" x14ac:dyDescent="0.35">
      <c r="B1642" s="1330">
        <v>45976</v>
      </c>
      <c r="C1642" s="1331">
        <v>1451.17</v>
      </c>
    </row>
    <row r="1643" spans="2:3" x14ac:dyDescent="0.35">
      <c r="B1643" s="1330">
        <v>45977</v>
      </c>
      <c r="C1643" s="1331">
        <v>1451.17</v>
      </c>
    </row>
    <row r="1644" spans="2:3" x14ac:dyDescent="0.35">
      <c r="B1644" s="1330">
        <v>45978</v>
      </c>
      <c r="C1644" s="1331">
        <v>1448.93</v>
      </c>
    </row>
    <row r="1645" spans="2:3" x14ac:dyDescent="0.35">
      <c r="B1645" s="1330">
        <v>45979</v>
      </c>
      <c r="C1645" s="1331">
        <v>1440.51</v>
      </c>
    </row>
    <row r="1646" spans="2:3" x14ac:dyDescent="0.35">
      <c r="B1646" s="1330">
        <v>45980</v>
      </c>
      <c r="C1646" s="1331">
        <v>1441.13</v>
      </c>
    </row>
    <row r="1647" spans="2:3" x14ac:dyDescent="0.35">
      <c r="B1647" s="1330">
        <v>45981</v>
      </c>
      <c r="C1647" s="1331">
        <v>1452.76</v>
      </c>
    </row>
    <row r="1648" spans="2:3" x14ac:dyDescent="0.35">
      <c r="B1648" s="1330">
        <v>45982</v>
      </c>
      <c r="C1648" s="1331">
        <v>1460.35</v>
      </c>
    </row>
    <row r="1649" spans="2:3" x14ac:dyDescent="0.35">
      <c r="B1649" s="1330">
        <v>45983</v>
      </c>
      <c r="C1649" s="1331">
        <v>1460.35</v>
      </c>
    </row>
    <row r="1650" spans="2:3" x14ac:dyDescent="0.35">
      <c r="B1650" s="1330">
        <v>45984</v>
      </c>
      <c r="C1650" s="1331">
        <v>1460.35</v>
      </c>
    </row>
    <row r="1651" spans="2:3" x14ac:dyDescent="0.35">
      <c r="B1651" s="1330">
        <v>45985</v>
      </c>
      <c r="C1651" s="1331">
        <v>1460.35</v>
      </c>
    </row>
    <row r="1652" spans="2:3" x14ac:dyDescent="0.35">
      <c r="B1652" s="1330">
        <v>45986</v>
      </c>
      <c r="C1652" s="1331">
        <v>1480.68</v>
      </c>
    </row>
    <row r="1653" spans="2:3" x14ac:dyDescent="0.35">
      <c r="B1653" s="1330">
        <v>45987</v>
      </c>
      <c r="C1653" s="1331">
        <v>1487.55</v>
      </c>
    </row>
    <row r="1654" spans="2:3" x14ac:dyDescent="0.35">
      <c r="B1654" s="1330">
        <v>45988</v>
      </c>
      <c r="C1654" s="1331">
        <v>1481.82</v>
      </c>
    </row>
    <row r="1655" spans="2:3" x14ac:dyDescent="0.35">
      <c r="B1655" s="1330">
        <v>45989</v>
      </c>
      <c r="C1655" s="1331">
        <v>1476.42</v>
      </c>
    </row>
    <row r="1656" spans="2:3" x14ac:dyDescent="0.35">
      <c r="B1656" s="1330">
        <v>45990</v>
      </c>
      <c r="C1656" s="1331">
        <v>1476.42</v>
      </c>
    </row>
    <row r="1657" spans="2:3" x14ac:dyDescent="0.35">
      <c r="B1657" s="1330">
        <v>45991</v>
      </c>
      <c r="C1657" s="1331">
        <v>1476.42</v>
      </c>
    </row>
    <row r="1658" spans="2:3" x14ac:dyDescent="0.35">
      <c r="B1658" s="1330">
        <v>45992</v>
      </c>
      <c r="C1658" s="1331">
        <v>1475.23</v>
      </c>
    </row>
    <row r="1659" spans="2:3" x14ac:dyDescent="0.35">
      <c r="B1659" s="1330">
        <v>45993</v>
      </c>
      <c r="C1659" s="1331">
        <v>1477.35</v>
      </c>
    </row>
    <row r="1660" spans="2:3" x14ac:dyDescent="0.35">
      <c r="B1660" s="1330">
        <v>45994</v>
      </c>
      <c r="C1660" s="1331">
        <v>1470.3</v>
      </c>
    </row>
    <row r="1661" spans="2:3" x14ac:dyDescent="0.35">
      <c r="B1661" s="1330">
        <v>45995</v>
      </c>
      <c r="C1661" s="1331">
        <v>1470</v>
      </c>
    </row>
    <row r="1662" spans="2:3" x14ac:dyDescent="0.35">
      <c r="B1662" s="1330">
        <v>45996</v>
      </c>
      <c r="C1662" s="1331">
        <v>1474.54</v>
      </c>
    </row>
    <row r="1663" spans="2:3" x14ac:dyDescent="0.35">
      <c r="B1663" s="1330">
        <v>45997</v>
      </c>
      <c r="C1663" s="1331">
        <v>1474.54</v>
      </c>
    </row>
    <row r="1664" spans="2:3" x14ac:dyDescent="0.35">
      <c r="B1664" s="1330">
        <v>45998</v>
      </c>
      <c r="C1664" s="1331">
        <v>1474.54</v>
      </c>
    </row>
    <row r="1665" spans="2:3" x14ac:dyDescent="0.35">
      <c r="B1665" s="1330">
        <v>45999</v>
      </c>
      <c r="C1665" s="1331">
        <v>1474.54</v>
      </c>
    </row>
    <row r="1666" spans="2:3" x14ac:dyDescent="0.35">
      <c r="B1666" s="1330">
        <v>46000</v>
      </c>
      <c r="C1666" s="1331">
        <v>1468.72</v>
      </c>
    </row>
    <row r="1667" spans="2:3" x14ac:dyDescent="0.35">
      <c r="B1667" s="1330">
        <v>46001</v>
      </c>
      <c r="C1667" s="1331">
        <v>1471.35</v>
      </c>
    </row>
    <row r="1668" spans="2:3" x14ac:dyDescent="0.35">
      <c r="B1668" s="1330">
        <v>46002</v>
      </c>
      <c r="C1668" s="1331">
        <v>1476.11</v>
      </c>
    </row>
    <row r="1669" spans="2:3" x14ac:dyDescent="0.35">
      <c r="B1669" s="1330">
        <v>46003</v>
      </c>
      <c r="C1669" s="1331">
        <v>1478.73</v>
      </c>
    </row>
    <row r="1670" spans="2:3" x14ac:dyDescent="0.35">
      <c r="B1670" s="1330">
        <v>46004</v>
      </c>
      <c r="C1670" s="1331">
        <v>1492.01</v>
      </c>
    </row>
    <row r="1671" spans="2:3" x14ac:dyDescent="0.35">
      <c r="B1671" s="1330">
        <v>46005</v>
      </c>
      <c r="C1671" s="1331">
        <v>1504.3</v>
      </c>
    </row>
    <row r="1672" spans="2:3" x14ac:dyDescent="0.35">
      <c r="B1672" s="1330">
        <v>46006</v>
      </c>
      <c r="C1672" s="1331">
        <v>1514.14</v>
      </c>
    </row>
    <row r="1673" spans="2:3" x14ac:dyDescent="0.35">
      <c r="B1673" s="1330">
        <v>46007</v>
      </c>
      <c r="C1673" s="1331">
        <v>1498.58</v>
      </c>
    </row>
    <row r="1674" spans="2:3" x14ac:dyDescent="0.35">
      <c r="B1674" s="1330">
        <v>46008</v>
      </c>
      <c r="C1674" s="1331">
        <v>1494.62</v>
      </c>
    </row>
    <row r="1675" spans="2:3" x14ac:dyDescent="0.35">
      <c r="B1675" s="1330">
        <v>46009</v>
      </c>
      <c r="C1675" s="1331">
        <v>1498.58</v>
      </c>
    </row>
    <row r="1676" spans="2:3" x14ac:dyDescent="0.35">
      <c r="B1676" s="1330">
        <v>46010</v>
      </c>
      <c r="C1676" s="1331">
        <v>1494.62</v>
      </c>
    </row>
    <row r="1677" spans="2:3" x14ac:dyDescent="0.35">
      <c r="B1677" s="1330">
        <v>46011</v>
      </c>
      <c r="C1677" s="1331">
        <v>1494.62</v>
      </c>
    </row>
    <row r="1678" spans="2:3" x14ac:dyDescent="0.35">
      <c r="B1678" s="1330">
        <v>46012</v>
      </c>
      <c r="C1678" s="1331">
        <v>1494.62</v>
      </c>
    </row>
    <row r="1679" spans="2:3" x14ac:dyDescent="0.35">
      <c r="B1679" s="1330">
        <v>46013</v>
      </c>
      <c r="C1679" s="1331">
        <v>1493.06</v>
      </c>
    </row>
    <row r="1680" spans="2:3" x14ac:dyDescent="0.35">
      <c r="B1680" s="1330">
        <v>46014</v>
      </c>
      <c r="C1680" s="1331">
        <v>1479.44</v>
      </c>
    </row>
    <row r="1681" spans="2:3" x14ac:dyDescent="0.35">
      <c r="B1681" s="1330">
        <v>46015</v>
      </c>
      <c r="C1681" s="1331">
        <v>1481.63</v>
      </c>
    </row>
    <row r="1682" spans="2:3" x14ac:dyDescent="0.35">
      <c r="B1682" s="1330">
        <v>46016</v>
      </c>
      <c r="C1682" s="1331">
        <v>1481.63</v>
      </c>
    </row>
    <row r="1683" spans="2:3" x14ac:dyDescent="0.35">
      <c r="B1683" s="1330">
        <v>46017</v>
      </c>
      <c r="C1683" s="1331">
        <v>1486.11</v>
      </c>
    </row>
    <row r="1684" spans="2:3" x14ac:dyDescent="0.35">
      <c r="B1684" s="1330">
        <v>46018</v>
      </c>
      <c r="C1684" s="1331">
        <v>1486.11</v>
      </c>
    </row>
    <row r="1685" spans="2:3" x14ac:dyDescent="0.35">
      <c r="B1685" s="1330">
        <v>46019</v>
      </c>
      <c r="C1685" s="1331">
        <v>1486.11</v>
      </c>
    </row>
    <row r="1686" spans="2:3" x14ac:dyDescent="0.35">
      <c r="B1686" s="1330">
        <v>46020</v>
      </c>
      <c r="C1686" s="1331">
        <v>1484.35</v>
      </c>
    </row>
    <row r="1687" spans="2:3" x14ac:dyDescent="0.35">
      <c r="B1687" s="1330">
        <v>46021</v>
      </c>
      <c r="C1687" s="1331">
        <v>1480.74</v>
      </c>
    </row>
    <row r="1688" spans="2:3" x14ac:dyDescent="0.35">
      <c r="B1688" s="1330">
        <v>46022</v>
      </c>
      <c r="C1688" s="1331">
        <v>1480.74</v>
      </c>
    </row>
    <row r="1689" spans="2:3" x14ac:dyDescent="0.35">
      <c r="B1689" s="1330">
        <v>46023</v>
      </c>
      <c r="C1689" s="1331">
        <v>1480.74</v>
      </c>
    </row>
    <row r="1690" spans="2:3" x14ac:dyDescent="0.35">
      <c r="B1690" s="1330">
        <v>46024</v>
      </c>
      <c r="C1690" s="1331">
        <v>1506.21</v>
      </c>
    </row>
    <row r="1691" spans="2:3" x14ac:dyDescent="0.35">
      <c r="B1691" s="1330">
        <v>46025</v>
      </c>
      <c r="C1691" s="1331">
        <v>1506.21</v>
      </c>
    </row>
    <row r="1692" spans="2:3" x14ac:dyDescent="0.35">
      <c r="B1692" s="1330">
        <v>46026</v>
      </c>
      <c r="C1692" s="1331">
        <v>1506.21</v>
      </c>
    </row>
    <row r="1693" spans="2:3" x14ac:dyDescent="0.35">
      <c r="B1693" s="1330">
        <v>46027</v>
      </c>
      <c r="C1693" s="1331">
        <v>1501.49</v>
      </c>
    </row>
    <row r="1694" spans="2:3" x14ac:dyDescent="0.35">
      <c r="B1694" s="1330">
        <v>46028</v>
      </c>
      <c r="C1694" s="1331">
        <v>1498.06</v>
      </c>
    </row>
    <row r="1695" spans="2:3" x14ac:dyDescent="0.35">
      <c r="B1695" s="1330">
        <v>46029</v>
      </c>
      <c r="C1695" s="1331">
        <v>1494.56</v>
      </c>
    </row>
    <row r="1696" spans="2:3" x14ac:dyDescent="0.35">
      <c r="B1696" s="1330">
        <v>46030</v>
      </c>
      <c r="C1696" s="1331">
        <v>1494.11</v>
      </c>
    </row>
    <row r="1697" spans="2:3" x14ac:dyDescent="0.35">
      <c r="B1697" s="1330">
        <v>46031</v>
      </c>
      <c r="C1697" s="1331">
        <v>1489.42</v>
      </c>
    </row>
    <row r="1698" spans="2:3" x14ac:dyDescent="0.35">
      <c r="B1698" s="1330">
        <v>46032</v>
      </c>
      <c r="C1698" s="1331">
        <v>1489.42</v>
      </c>
    </row>
    <row r="1699" spans="2:3" x14ac:dyDescent="0.35">
      <c r="B1699" s="1330">
        <v>46033</v>
      </c>
      <c r="C1699" s="1331">
        <v>1489.42</v>
      </c>
    </row>
    <row r="1700" spans="2:3" x14ac:dyDescent="0.35">
      <c r="B1700" s="1330">
        <v>46034</v>
      </c>
      <c r="C1700" s="1331">
        <v>1487.89</v>
      </c>
    </row>
    <row r="1701" spans="2:3" x14ac:dyDescent="0.35">
      <c r="B1701" s="1330">
        <v>46035</v>
      </c>
      <c r="C1701" s="1331">
        <v>1487.11</v>
      </c>
    </row>
    <row r="1702" spans="2:3" x14ac:dyDescent="0.35">
      <c r="B1702" s="1330">
        <v>46036</v>
      </c>
      <c r="C1702" s="1331">
        <v>1481.74</v>
      </c>
    </row>
    <row r="1703" spans="2:3" x14ac:dyDescent="0.35">
      <c r="B1703" s="1330">
        <v>46037</v>
      </c>
      <c r="C1703" s="1331">
        <v>1473.83</v>
      </c>
    </row>
    <row r="1704" spans="2:3" x14ac:dyDescent="0.35">
      <c r="B1704" s="1330">
        <v>46038</v>
      </c>
      <c r="C1704" s="1331">
        <v>1472.15</v>
      </c>
    </row>
    <row r="1705" spans="2:3" x14ac:dyDescent="0.35">
      <c r="B1705" s="1330">
        <v>46039</v>
      </c>
      <c r="C1705" s="1331">
        <v>1472.15</v>
      </c>
    </row>
    <row r="1706" spans="2:3" x14ac:dyDescent="0.35">
      <c r="B1706" s="1330">
        <v>46040</v>
      </c>
      <c r="C1706" s="1331">
        <v>1472.15</v>
      </c>
    </row>
    <row r="1707" spans="2:3" x14ac:dyDescent="0.35">
      <c r="B1707" s="1330">
        <v>46041</v>
      </c>
      <c r="C1707" s="1331">
        <v>1466.7</v>
      </c>
    </row>
    <row r="1708" spans="2:3" x14ac:dyDescent="0.35">
      <c r="B1708" s="1330">
        <v>46042</v>
      </c>
      <c r="C1708" s="1331">
        <v>1471.72</v>
      </c>
    </row>
    <row r="1709" spans="2:3" x14ac:dyDescent="0.35">
      <c r="B1709" s="1330">
        <v>46043</v>
      </c>
      <c r="C1709" s="1331">
        <v>1463.7</v>
      </c>
    </row>
    <row r="1710" spans="2:3" x14ac:dyDescent="0.35">
      <c r="B1710" s="1330">
        <v>46044</v>
      </c>
      <c r="C1710" s="1331">
        <v>1458.81</v>
      </c>
    </row>
    <row r="1711" spans="2:3" x14ac:dyDescent="0.35">
      <c r="B1711" s="1330">
        <v>46045</v>
      </c>
      <c r="C1711" s="1331">
        <v>1469.38</v>
      </c>
    </row>
    <row r="1712" spans="2:3" x14ac:dyDescent="0.35">
      <c r="B1712" s="1330">
        <v>46046</v>
      </c>
      <c r="C1712" s="1331">
        <v>1469.38</v>
      </c>
    </row>
    <row r="1713" spans="2:3" x14ac:dyDescent="0.35">
      <c r="B1713" s="1330">
        <v>46047</v>
      </c>
      <c r="C1713" s="1331">
        <v>1469.38</v>
      </c>
    </row>
    <row r="1714" spans="2:3" x14ac:dyDescent="0.35">
      <c r="B1714" s="1330">
        <v>46048</v>
      </c>
      <c r="C1714" s="1331">
        <v>1468.93</v>
      </c>
    </row>
    <row r="1715" spans="2:3" x14ac:dyDescent="0.35">
      <c r="B1715" s="1330">
        <v>46049</v>
      </c>
      <c r="C1715" s="1331">
        <v>1464.66</v>
      </c>
    </row>
    <row r="1716" spans="2:3" x14ac:dyDescent="0.35">
      <c r="B1716" s="1330">
        <v>46050</v>
      </c>
      <c r="C1716" s="1331">
        <v>1462.35</v>
      </c>
    </row>
    <row r="1717" spans="2:3" x14ac:dyDescent="0.35">
      <c r="B1717" s="1330">
        <v>46051</v>
      </c>
      <c r="C1717" s="1331">
        <v>1458.88</v>
      </c>
    </row>
    <row r="1718" spans="2:3" x14ac:dyDescent="0.35">
      <c r="B1718" s="1330">
        <v>46052</v>
      </c>
      <c r="C1718" s="1331">
        <v>1460.32</v>
      </c>
    </row>
    <row r="1719" spans="2:3" x14ac:dyDescent="0.35">
      <c r="B1719" s="1330">
        <v>46053</v>
      </c>
      <c r="C1719" s="1331">
        <v>1460.32</v>
      </c>
    </row>
    <row r="1720" spans="2:3" x14ac:dyDescent="0.35">
      <c r="B1720" s="1330">
        <v>46054</v>
      </c>
      <c r="C1720" s="1331">
        <v>1460.32</v>
      </c>
    </row>
    <row r="1721" spans="2:3" x14ac:dyDescent="0.35">
      <c r="B1721" s="1330">
        <v>46055</v>
      </c>
      <c r="C1721" s="1331">
        <v>1450.23</v>
      </c>
    </row>
    <row r="1722" spans="2:3" x14ac:dyDescent="0.35">
      <c r="B1722" s="1330">
        <v>46056</v>
      </c>
      <c r="C1722" s="1331">
        <v>1460.38</v>
      </c>
    </row>
    <row r="1723" spans="2:3" x14ac:dyDescent="0.35">
      <c r="B1723" s="1330">
        <v>46057</v>
      </c>
      <c r="C1723" s="1331">
        <v>1457.29</v>
      </c>
    </row>
    <row r="1724" spans="2:3" x14ac:dyDescent="0.35">
      <c r="B1724" s="1330">
        <v>46058</v>
      </c>
      <c r="C1724" s="1331">
        <v>1460.8</v>
      </c>
    </row>
    <row r="1725" spans="2:3" x14ac:dyDescent="0.35">
      <c r="B1725" s="1330">
        <v>46059</v>
      </c>
      <c r="C1725" s="1331">
        <v>1447.99</v>
      </c>
    </row>
    <row r="1726" spans="2:3" x14ac:dyDescent="0.35">
      <c r="B1726" s="1330">
        <v>46060</v>
      </c>
      <c r="C1726" s="1331">
        <v>1447.99</v>
      </c>
    </row>
    <row r="1727" spans="2:3" x14ac:dyDescent="0.35">
      <c r="B1727" s="1330">
        <v>46061</v>
      </c>
      <c r="C1727" s="1331">
        <v>1447.99</v>
      </c>
    </row>
    <row r="1728" spans="2:3" x14ac:dyDescent="0.35">
      <c r="B1728" s="1330">
        <v>46062</v>
      </c>
      <c r="C1728" s="1331">
        <v>1447.99</v>
      </c>
    </row>
    <row r="1729" spans="2:3" x14ac:dyDescent="0.35">
      <c r="B1729" s="1330">
        <v>46063</v>
      </c>
      <c r="C1729" s="1331">
        <v>1432.85</v>
      </c>
    </row>
    <row r="1730" spans="2:3" x14ac:dyDescent="0.35">
      <c r="B1730" s="1330">
        <v>46064</v>
      </c>
      <c r="C1730" s="1331">
        <v>1431.68</v>
      </c>
    </row>
    <row r="1731" spans="2:3" x14ac:dyDescent="0.35">
      <c r="B1731" s="1330">
        <v>46065</v>
      </c>
      <c r="C1731" s="1331">
        <v>1417.81</v>
      </c>
    </row>
    <row r="1732" spans="2:3" x14ac:dyDescent="0.35">
      <c r="B1732" s="1330">
        <v>46066</v>
      </c>
      <c r="C1732" s="1331">
        <v>1423.6</v>
      </c>
    </row>
    <row r="1733" spans="2:3" x14ac:dyDescent="0.35">
      <c r="B1733" s="1330">
        <v>46067</v>
      </c>
      <c r="C1733" s="1331">
        <v>1423.6</v>
      </c>
    </row>
    <row r="1734" spans="2:3" x14ac:dyDescent="0.35">
      <c r="B1734" s="1330">
        <v>46068</v>
      </c>
      <c r="C1734" s="1331">
        <v>1423.6</v>
      </c>
    </row>
    <row r="1735" spans="2:3" x14ac:dyDescent="0.35">
      <c r="B1735" s="1330">
        <v>46069</v>
      </c>
      <c r="C1735" s="1331">
        <v>1423.6</v>
      </c>
    </row>
    <row r="1736" spans="2:3" x14ac:dyDescent="0.35">
      <c r="B1736" s="1330">
        <v>46070</v>
      </c>
      <c r="C1736" s="1331">
        <v>1423.6</v>
      </c>
    </row>
    <row r="1737" spans="2:3" x14ac:dyDescent="0.35">
      <c r="B1737" s="1330">
        <v>46071</v>
      </c>
      <c r="C1737" s="1331">
        <v>1415.69</v>
      </c>
    </row>
    <row r="1738" spans="2:3" x14ac:dyDescent="0.35">
      <c r="B1738" s="1330">
        <v>46072</v>
      </c>
      <c r="C1738" s="1331">
        <v>1409.07</v>
      </c>
    </row>
    <row r="1739" spans="2:3" x14ac:dyDescent="0.35">
      <c r="B1739" s="1330">
        <v>46073</v>
      </c>
      <c r="C1739" s="1331">
        <v>1402.08</v>
      </c>
    </row>
    <row r="1740" spans="2:3" x14ac:dyDescent="0.35">
      <c r="B1740" s="1330">
        <v>46074</v>
      </c>
      <c r="C1740" s="1331">
        <v>1402.08</v>
      </c>
    </row>
    <row r="1741" spans="2:3" x14ac:dyDescent="0.35">
      <c r="B1741" s="1330">
        <v>46075</v>
      </c>
      <c r="C1741" s="1331">
        <v>1402.08</v>
      </c>
    </row>
    <row r="1742" spans="2:3" x14ac:dyDescent="0.35">
      <c r="B1742" s="1330">
        <v>46076</v>
      </c>
      <c r="C1742" s="1331">
        <v>1394.84</v>
      </c>
    </row>
    <row r="1743" spans="2:3" x14ac:dyDescent="0.35">
      <c r="B1743" s="1330">
        <v>46077</v>
      </c>
      <c r="C1743" s="1331">
        <v>1405.08</v>
      </c>
    </row>
    <row r="1744" spans="2:3" x14ac:dyDescent="0.35">
      <c r="B1744" s="1330">
        <v>46078</v>
      </c>
      <c r="C1744" s="1331">
        <v>1425.86</v>
      </c>
    </row>
    <row r="1745" spans="2:3" x14ac:dyDescent="0.35">
      <c r="B1745" s="1330">
        <v>46079</v>
      </c>
      <c r="C1745" s="1331">
        <v>1437.58</v>
      </c>
    </row>
    <row r="1746" spans="2:3" x14ac:dyDescent="0.35">
      <c r="B1746" s="1330">
        <v>46080</v>
      </c>
      <c r="C1746" s="1331">
        <v>1419.54</v>
      </c>
    </row>
    <row r="1747" spans="2:3" x14ac:dyDescent="0.35">
      <c r="B1747" s="1330">
        <v>46081</v>
      </c>
      <c r="C1747" s="1331">
        <v>1419.54</v>
      </c>
    </row>
    <row r="1748" spans="2:3" x14ac:dyDescent="0.35">
      <c r="B1748" s="1330">
        <v>46082</v>
      </c>
      <c r="C1748" s="1331">
        <v>1419.54</v>
      </c>
    </row>
    <row r="1749" spans="2:3" x14ac:dyDescent="0.35">
      <c r="B1749" s="1330">
        <v>46083</v>
      </c>
      <c r="C1749" s="1331">
        <v>1413.54</v>
      </c>
    </row>
    <row r="1750" spans="2:3" x14ac:dyDescent="0.35">
      <c r="B1750" s="1330">
        <v>46084</v>
      </c>
      <c r="C1750" s="1331">
        <v>1434.11</v>
      </c>
    </row>
    <row r="1751" spans="2:3" x14ac:dyDescent="0.35">
      <c r="B1751" s="1330">
        <v>46085</v>
      </c>
      <c r="C1751" s="1331">
        <v>1427.7</v>
      </c>
    </row>
    <row r="1752" spans="2:3" x14ac:dyDescent="0.35">
      <c r="B1752" s="1330">
        <v>46086</v>
      </c>
      <c r="C1752" s="1331">
        <v>1433.21</v>
      </c>
    </row>
    <row r="1753" spans="2:3" x14ac:dyDescent="0.35">
      <c r="B1753" s="1330">
        <v>46087</v>
      </c>
      <c r="C1753" s="1331">
        <v>1437.53</v>
      </c>
    </row>
    <row r="1754" spans="2:3" x14ac:dyDescent="0.35">
      <c r="B1754" s="1330">
        <v>46088</v>
      </c>
      <c r="C1754" s="1331">
        <v>1437.53</v>
      </c>
    </row>
    <row r="1755" spans="2:3" x14ac:dyDescent="0.35">
      <c r="B1755" s="1330">
        <v>46089</v>
      </c>
      <c r="C1755" s="1331">
        <v>1437.53</v>
      </c>
    </row>
    <row r="1756" spans="2:3" x14ac:dyDescent="0.35">
      <c r="B1756" s="1330">
        <v>46090</v>
      </c>
      <c r="C1756" s="1331">
        <v>1430.17</v>
      </c>
    </row>
    <row r="1757" spans="2:3" x14ac:dyDescent="0.35">
      <c r="B1757" s="1330">
        <v>46091</v>
      </c>
      <c r="C1757" s="1331">
        <v>1422.12</v>
      </c>
    </row>
    <row r="1758" spans="2:3" x14ac:dyDescent="0.35">
      <c r="B1758" s="1330">
        <v>46092</v>
      </c>
      <c r="C1758" s="1331">
        <v>1413.8</v>
      </c>
    </row>
    <row r="1759" spans="2:3" x14ac:dyDescent="0.35">
      <c r="B1759" s="1330">
        <v>46093</v>
      </c>
      <c r="C1759" s="1331">
        <v>1415.52</v>
      </c>
    </row>
    <row r="1760" spans="2:3" x14ac:dyDescent="0.35">
      <c r="B1760" s="1330">
        <v>46094</v>
      </c>
      <c r="C1760" s="1331">
        <v>1424.34</v>
      </c>
    </row>
    <row r="1761" spans="2:3" x14ac:dyDescent="0.35">
      <c r="B1761" s="1330">
        <v>46095</v>
      </c>
      <c r="C1761" s="1331">
        <v>1424.34</v>
      </c>
    </row>
    <row r="1762" spans="2:3" x14ac:dyDescent="0.35">
      <c r="B1762" s="1330">
        <v>46096</v>
      </c>
      <c r="C1762" s="1331">
        <v>1424.34</v>
      </c>
    </row>
    <row r="1763" spans="2:3" x14ac:dyDescent="0.35">
      <c r="B1763" s="1330">
        <v>46097</v>
      </c>
      <c r="C1763" s="1331">
        <v>1424.92</v>
      </c>
    </row>
    <row r="1764" spans="2:3" x14ac:dyDescent="0.35">
      <c r="B1764" s="1330">
        <v>46098</v>
      </c>
      <c r="C1764" s="1331">
        <v>1417.3</v>
      </c>
    </row>
    <row r="1765" spans="2:3" x14ac:dyDescent="0.35">
      <c r="B1765" s="1330">
        <v>46099</v>
      </c>
      <c r="C1765" s="1331">
        <v>1420.38</v>
      </c>
    </row>
    <row r="1766" spans="2:3" x14ac:dyDescent="0.35">
      <c r="B1766" s="1330">
        <v>46100</v>
      </c>
      <c r="C1766" s="1331">
        <v>1421.08</v>
      </c>
    </row>
    <row r="1767" spans="2:3" x14ac:dyDescent="0.35">
      <c r="B1767" s="1330">
        <v>46101</v>
      </c>
      <c r="C1767" s="1331">
        <v>1422.13</v>
      </c>
    </row>
    <row r="1768" spans="2:3" x14ac:dyDescent="0.35">
      <c r="B1768" s="1330">
        <v>46102</v>
      </c>
      <c r="C1768" s="1331">
        <v>1422.13</v>
      </c>
    </row>
    <row r="1769" spans="2:3" x14ac:dyDescent="0.35">
      <c r="B1769" s="1330">
        <v>46103</v>
      </c>
      <c r="C1769" s="1331">
        <v>1422.13</v>
      </c>
    </row>
    <row r="1770" spans="2:3" x14ac:dyDescent="0.35">
      <c r="B1770" s="1330">
        <v>46104</v>
      </c>
      <c r="C1770" s="1331">
        <v>1415.68</v>
      </c>
    </row>
    <row r="1771" spans="2:3" x14ac:dyDescent="0.35">
      <c r="B1771" s="1330">
        <v>46105</v>
      </c>
      <c r="C1771" s="1331">
        <v>1415.68</v>
      </c>
    </row>
    <row r="1772" spans="2:3" x14ac:dyDescent="0.35">
      <c r="B1772" s="1330">
        <v>46106</v>
      </c>
      <c r="C1772" s="1331">
        <v>1404.55</v>
      </c>
    </row>
    <row r="1773" spans="2:3" x14ac:dyDescent="0.35">
      <c r="B1773" s="1330">
        <v>46107</v>
      </c>
      <c r="C1773" s="1331">
        <v>1401.28</v>
      </c>
    </row>
    <row r="1774" spans="2:3" x14ac:dyDescent="0.35">
      <c r="B1774" s="1330">
        <v>46108</v>
      </c>
      <c r="C1774" s="1331">
        <v>1429.73</v>
      </c>
    </row>
    <row r="1775" spans="2:3" x14ac:dyDescent="0.35">
      <c r="B1775" s="1330">
        <v>46109</v>
      </c>
      <c r="C1775" s="1331">
        <v>1429.73</v>
      </c>
    </row>
    <row r="1776" spans="2:3" x14ac:dyDescent="0.35">
      <c r="B1776" s="1330">
        <v>46110</v>
      </c>
      <c r="C1776" s="1331">
        <v>1429.73</v>
      </c>
    </row>
    <row r="1777" spans="2:3" x14ac:dyDescent="0.35">
      <c r="B1777" s="1330">
        <v>46111</v>
      </c>
      <c r="C1777" s="1331">
        <v>1432.51</v>
      </c>
    </row>
    <row r="1778" spans="2:3" x14ac:dyDescent="0.35">
      <c r="B1778" s="1330">
        <v>46112</v>
      </c>
      <c r="C1778" s="1331">
        <v>1422.84</v>
      </c>
    </row>
    <row r="1779" spans="2:3" x14ac:dyDescent="0.35">
      <c r="B1779" s="1330">
        <v>46113</v>
      </c>
      <c r="C1779" s="1331">
        <v>1434.04</v>
      </c>
    </row>
    <row r="1780" spans="2:3" x14ac:dyDescent="0.35">
      <c r="B1780" s="1330">
        <v>46114</v>
      </c>
      <c r="C1780" s="1331">
        <v>1434.04</v>
      </c>
    </row>
    <row r="1781" spans="2:3" x14ac:dyDescent="0.35">
      <c r="B1781" s="1330">
        <v>46115</v>
      </c>
      <c r="C1781" s="1331">
        <v>1434.04</v>
      </c>
    </row>
    <row r="1782" spans="2:3" x14ac:dyDescent="0.35">
      <c r="B1782" s="1330">
        <v>46116</v>
      </c>
      <c r="C1782" s="1331">
        <v>1434.04</v>
      </c>
    </row>
    <row r="1783" spans="2:3" x14ac:dyDescent="0.35">
      <c r="B1783" s="1330">
        <v>46117</v>
      </c>
      <c r="C1783" s="1331">
        <v>1434.04</v>
      </c>
    </row>
    <row r="1784" spans="2:3" x14ac:dyDescent="0.35">
      <c r="B1784" s="1330">
        <v>46118</v>
      </c>
      <c r="C1784" s="1331">
        <v>1429.57</v>
      </c>
    </row>
    <row r="1785" spans="2:3" x14ac:dyDescent="0.35">
      <c r="B1785" s="1330">
        <v>46119</v>
      </c>
      <c r="C1785" s="1331">
        <v>1430.16</v>
      </c>
    </row>
    <row r="1786" spans="2:3" x14ac:dyDescent="0.35">
      <c r="B1786" s="1330">
        <v>46120</v>
      </c>
      <c r="C1786" s="1331">
        <v>1424.45</v>
      </c>
    </row>
    <row r="1787" spans="2:3" x14ac:dyDescent="0.35">
      <c r="B1787" s="1330">
        <v>46121</v>
      </c>
      <c r="C1787" s="1331">
        <v>1420.86</v>
      </c>
    </row>
    <row r="1788" spans="2:3" x14ac:dyDescent="0.35">
      <c r="B1788" s="1330">
        <v>46122</v>
      </c>
      <c r="C1788" s="1331">
        <v>1412.5</v>
      </c>
    </row>
    <row r="1789" spans="2:3" x14ac:dyDescent="0.35">
      <c r="B1789" s="1330">
        <v>46123</v>
      </c>
      <c r="C1789" s="1331">
        <v>1412.5</v>
      </c>
    </row>
    <row r="1790" spans="2:3" x14ac:dyDescent="0.35">
      <c r="B1790" s="1330">
        <v>46124</v>
      </c>
      <c r="C1790" s="1331">
        <v>1412.5</v>
      </c>
    </row>
    <row r="1791" spans="2:3" x14ac:dyDescent="0.35">
      <c r="B1791" s="1330">
        <v>46125</v>
      </c>
      <c r="C1791" s="1331">
        <v>1404.47</v>
      </c>
    </row>
    <row r="1792" spans="2:3" x14ac:dyDescent="0.35">
      <c r="B1792" s="1330">
        <v>46126</v>
      </c>
      <c r="C1792" s="1331">
        <v>1412.09</v>
      </c>
    </row>
    <row r="1793" spans="2:3" x14ac:dyDescent="0.35">
      <c r="B1793" s="1330">
        <v>46127</v>
      </c>
      <c r="C1793" s="1331">
        <v>1398.53</v>
      </c>
    </row>
    <row r="1794" spans="2:3" x14ac:dyDescent="0.35">
      <c r="B1794" s="1330">
        <v>46128</v>
      </c>
      <c r="C1794" s="1331">
        <v>1406.23</v>
      </c>
    </row>
    <row r="1795" spans="2:3" x14ac:dyDescent="0.35">
      <c r="B1795" s="1330">
        <v>46129</v>
      </c>
      <c r="C1795" s="1331">
        <v>1412.53</v>
      </c>
    </row>
    <row r="1796" spans="2:3" x14ac:dyDescent="0.35">
      <c r="B1796" s="1330">
        <v>46130</v>
      </c>
      <c r="C1796" s="1331">
        <v>1412.53</v>
      </c>
    </row>
    <row r="1797" spans="2:3" x14ac:dyDescent="0.35">
      <c r="B1797" s="1330">
        <v>46131</v>
      </c>
      <c r="C1797" s="1331">
        <v>1412.53</v>
      </c>
    </row>
    <row r="1798" spans="2:3" x14ac:dyDescent="0.35">
      <c r="B1798" s="1330">
        <v>46132</v>
      </c>
      <c r="C1798" s="1331">
        <v>1414.73</v>
      </c>
    </row>
    <row r="1799" spans="2:3" x14ac:dyDescent="0.35">
      <c r="B1799" s="1330">
        <v>46133</v>
      </c>
      <c r="C1799" s="1331">
        <v>1414.42</v>
      </c>
    </row>
    <row r="1800" spans="2:3" x14ac:dyDescent="0.35">
      <c r="B1800" s="1330">
        <v>46134</v>
      </c>
      <c r="C1800" s="1331">
        <v>1419.84</v>
      </c>
    </row>
    <row r="1801" spans="2:3" x14ac:dyDescent="0.35">
      <c r="B1801" s="1330">
        <v>46135</v>
      </c>
      <c r="C1801" s="1331">
        <v>1424.4</v>
      </c>
    </row>
    <row r="1802" spans="2:3" x14ac:dyDescent="0.35">
      <c r="B1802" s="1330">
        <v>46136</v>
      </c>
      <c r="C1802" s="1331">
        <v>1438.34</v>
      </c>
    </row>
    <row r="1803" spans="2:3" x14ac:dyDescent="0.35">
      <c r="B1803" s="1330">
        <v>46137</v>
      </c>
      <c r="C1803" s="1331">
        <v>1438.34</v>
      </c>
    </row>
    <row r="1804" spans="2:3" x14ac:dyDescent="0.35">
      <c r="B1804" s="1330">
        <v>46138</v>
      </c>
      <c r="C1804" s="1331">
        <v>1438.34</v>
      </c>
    </row>
    <row r="1805" spans="2:3" x14ac:dyDescent="0.35">
      <c r="B1805" s="1330">
        <v>46139</v>
      </c>
      <c r="C1805" s="1331">
        <v>1461.73</v>
      </c>
    </row>
    <row r="1806" spans="2:3" x14ac:dyDescent="0.35">
      <c r="B1806" s="1330">
        <v>46140</v>
      </c>
      <c r="C1806" s="1331">
        <v>1447.18</v>
      </c>
    </row>
    <row r="1807" spans="2:3" x14ac:dyDescent="0.35">
      <c r="B1807" s="1330">
        <v>46141</v>
      </c>
      <c r="C1807" s="1331">
        <v>1435.6</v>
      </c>
    </row>
    <row r="1808" spans="2:3" x14ac:dyDescent="0.35">
      <c r="B1808" s="1330">
        <v>46142</v>
      </c>
      <c r="C1808" s="1331">
        <v>1442.43</v>
      </c>
    </row>
    <row r="1809" spans="2:3" x14ac:dyDescent="0.35">
      <c r="B1809" s="1330"/>
      <c r="C1809" s="1331"/>
    </row>
    <row r="1810" spans="2:3" x14ac:dyDescent="0.35">
      <c r="B1810" s="1330"/>
      <c r="C1810" s="1331"/>
    </row>
    <row r="1811" spans="2:3" x14ac:dyDescent="0.35">
      <c r="B1811" s="1330"/>
      <c r="C1811" s="1331"/>
    </row>
  </sheetData>
  <mergeCells count="1">
    <mergeCell ref="B2:C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9645-7FF2-484F-B164-118C2F0F6B14}">
  <sheetPr codeName="Hoja9"/>
  <dimension ref="A1:C28"/>
  <sheetViews>
    <sheetView workbookViewId="0"/>
  </sheetViews>
  <sheetFormatPr defaultColWidth="11.453125" defaultRowHeight="14.5" x14ac:dyDescent="0.35"/>
  <cols>
    <col min="1" max="1" width="21" bestFit="1" customWidth="1"/>
  </cols>
  <sheetData>
    <row r="1" spans="1:3" x14ac:dyDescent="0.35">
      <c r="A1" s="65" t="s">
        <v>193</v>
      </c>
      <c r="C1" s="67" t="s">
        <v>38</v>
      </c>
    </row>
    <row r="2" spans="1:3" x14ac:dyDescent="0.35">
      <c r="A2" s="67" t="s">
        <v>221</v>
      </c>
      <c r="C2" s="67" t="s">
        <v>39</v>
      </c>
    </row>
    <row r="3" spans="1:3" x14ac:dyDescent="0.35">
      <c r="A3" s="67" t="s">
        <v>216</v>
      </c>
      <c r="C3" s="67"/>
    </row>
    <row r="4" spans="1:3" x14ac:dyDescent="0.35">
      <c r="A4" s="67" t="s">
        <v>100</v>
      </c>
      <c r="C4" s="67"/>
    </row>
    <row r="5" spans="1:3" x14ac:dyDescent="0.35">
      <c r="A5" s="67" t="s">
        <v>218</v>
      </c>
      <c r="C5" s="67"/>
    </row>
    <row r="6" spans="1:3" x14ac:dyDescent="0.35">
      <c r="A6" s="67" t="s">
        <v>106</v>
      </c>
    </row>
    <row r="7" spans="1:3" x14ac:dyDescent="0.35">
      <c r="A7" s="67" t="s">
        <v>161</v>
      </c>
    </row>
    <row r="8" spans="1:3" x14ac:dyDescent="0.35">
      <c r="A8" s="67" t="s">
        <v>110</v>
      </c>
    </row>
    <row r="9" spans="1:3" x14ac:dyDescent="0.35">
      <c r="A9" s="67" t="s">
        <v>113</v>
      </c>
    </row>
    <row r="10" spans="1:3" x14ac:dyDescent="0.35">
      <c r="A10" s="67" t="s">
        <v>127</v>
      </c>
    </row>
    <row r="11" spans="1:3" x14ac:dyDescent="0.35">
      <c r="A11" s="67" t="s">
        <v>168</v>
      </c>
    </row>
    <row r="12" spans="1:3" x14ac:dyDescent="0.35">
      <c r="A12" s="67" t="s">
        <v>128</v>
      </c>
    </row>
    <row r="13" spans="1:3" x14ac:dyDescent="0.35">
      <c r="A13" s="67" t="s">
        <v>134</v>
      </c>
    </row>
    <row r="14" spans="1:3" x14ac:dyDescent="0.35">
      <c r="A14" s="67" t="s">
        <v>130</v>
      </c>
    </row>
    <row r="15" spans="1:3" x14ac:dyDescent="0.35">
      <c r="A15" s="67" t="s">
        <v>131</v>
      </c>
    </row>
    <row r="16" spans="1:3" x14ac:dyDescent="0.35">
      <c r="A16" s="67" t="s">
        <v>132</v>
      </c>
    </row>
    <row r="17" spans="1:1" x14ac:dyDescent="0.35">
      <c r="A17" s="67" t="s">
        <v>103</v>
      </c>
    </row>
    <row r="18" spans="1:1" x14ac:dyDescent="0.35">
      <c r="A18" s="67" t="s">
        <v>217</v>
      </c>
    </row>
    <row r="19" spans="1:1" x14ac:dyDescent="0.35">
      <c r="A19" s="67" t="s">
        <v>177</v>
      </c>
    </row>
    <row r="20" spans="1:1" x14ac:dyDescent="0.35">
      <c r="A20" s="67" t="s">
        <v>178</v>
      </c>
    </row>
    <row r="21" spans="1:1" x14ac:dyDescent="0.35">
      <c r="A21" s="67" t="s">
        <v>136</v>
      </c>
    </row>
    <row r="22" spans="1:1" x14ac:dyDescent="0.35">
      <c r="A22" s="67" t="s">
        <v>219</v>
      </c>
    </row>
    <row r="23" spans="1:1" x14ac:dyDescent="0.35">
      <c r="A23" s="67" t="s">
        <v>220</v>
      </c>
    </row>
    <row r="24" spans="1:1" x14ac:dyDescent="0.35">
      <c r="A24" s="67"/>
    </row>
    <row r="25" spans="1:1" x14ac:dyDescent="0.35">
      <c r="A25" s="67"/>
    </row>
    <row r="26" spans="1:1" x14ac:dyDescent="0.35">
      <c r="A26" s="67"/>
    </row>
    <row r="27" spans="1:1" x14ac:dyDescent="0.35">
      <c r="A27" s="67"/>
    </row>
    <row r="28" spans="1:1" x14ac:dyDescent="0.35">
      <c r="A28" s="6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1" ma:contentTypeDescription="Crear nuevo documento." ma:contentTypeScope="" ma:versionID="b15eebc804a8fbf045000ac25683a7b0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c0cb28085f369e9ff2995073d0cd571e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e3bcdee-b468-46d9-b6dd-c6303f0feb33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F92DC-E68D-42A3-9629-D7178EDED4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867ba-afc9-41d7-832d-70b193b46750"/>
    <ds:schemaRef ds:uri="861eec1e-dfcf-41d4-8b29-b5dd7f9f5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214EA4-F8BE-4B84-BC0B-B0A9655372CA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  <ds:schemaRef ds:uri="ec0867ba-afc9-41d7-832d-70b193b46750"/>
    <ds:schemaRef ds:uri="861eec1e-dfcf-41d4-8b29-b5dd7f9f56d3"/>
  </ds:schemaRefs>
</ds:datastoreItem>
</file>

<file path=customXml/itemProps3.xml><?xml version="1.0" encoding="utf-8"?>
<ds:datastoreItem xmlns:ds="http://schemas.openxmlformats.org/officeDocument/2006/customXml" ds:itemID="{5D842FF8-88A4-4F38-B0D1-D9603871B9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32</vt:i4>
      </vt:variant>
    </vt:vector>
  </HeadingPairs>
  <TitlesOfParts>
    <vt:vector size="57" baseType="lpstr">
      <vt:lpstr>HOJA DE OBRA</vt:lpstr>
      <vt:lpstr>Resumen General</vt:lpstr>
      <vt:lpstr>Resumen Pto #1</vt:lpstr>
      <vt:lpstr>Resumen Pto #2</vt:lpstr>
      <vt:lpstr>Facturacion</vt:lpstr>
      <vt:lpstr>Cash Flow</vt:lpstr>
      <vt:lpstr>M.O. HORM</vt:lpstr>
      <vt:lpstr>M.O. ALBA</vt:lpstr>
      <vt:lpstr>M.O. ELE</vt:lpstr>
      <vt:lpstr>M.O. PLO</vt:lpstr>
      <vt:lpstr>Contratistas</vt:lpstr>
      <vt:lpstr>Pto. Vta.</vt:lpstr>
      <vt:lpstr>Pto. Costos</vt:lpstr>
      <vt:lpstr>01</vt:lpstr>
      <vt:lpstr>GGBB</vt:lpstr>
      <vt:lpstr>C. Gestión Pto #1</vt:lpstr>
      <vt:lpstr>C. Gestión Pto #2</vt:lpstr>
      <vt:lpstr>Indice CAC</vt:lpstr>
      <vt:lpstr>Varios</vt:lpstr>
      <vt:lpstr>Pto. 01 Cert.</vt:lpstr>
      <vt:lpstr>Pto. 02 Cert.</vt:lpstr>
      <vt:lpstr>01 (2)</vt:lpstr>
      <vt:lpstr>ADICIONALES</vt:lpstr>
      <vt:lpstr>TC USD MEP</vt:lpstr>
      <vt:lpstr>Listas</vt:lpstr>
      <vt:lpstr>abr.25</vt:lpstr>
      <vt:lpstr>dic.24</vt:lpstr>
      <vt:lpstr>ene.25</vt:lpstr>
      <vt:lpstr>feb.25</vt:lpstr>
      <vt:lpstr>jun.25</vt:lpstr>
      <vt:lpstr>mar.25</vt:lpstr>
      <vt:lpstr>may.25</vt:lpstr>
      <vt:lpstr>nov.24</vt:lpstr>
      <vt:lpstr>novi24</vt:lpstr>
      <vt:lpstr>oct.24</vt:lpstr>
      <vt:lpstr>octu24</vt:lpstr>
      <vt:lpstr>'01'!Print_Area</vt:lpstr>
      <vt:lpstr>'01 (2)'!Print_Area</vt:lpstr>
      <vt:lpstr>ADICIONALES!Print_Area</vt:lpstr>
      <vt:lpstr>Facturacion!Print_Area</vt:lpstr>
      <vt:lpstr>'M.O. ALBA'!Print_Area</vt:lpstr>
      <vt:lpstr>'M.O. ELE'!Print_Area</vt:lpstr>
      <vt:lpstr>'M.O. HORM'!Print_Area</vt:lpstr>
      <vt:lpstr>'M.O. PLO'!Print_Area</vt:lpstr>
      <vt:lpstr>'Pto. 01 Cert.'!Print_Area</vt:lpstr>
      <vt:lpstr>'Pto. 02 Cert.'!Print_Area</vt:lpstr>
      <vt:lpstr>'Pto. Costos'!Print_Area</vt:lpstr>
      <vt:lpstr>'Pto. Vta.'!Print_Area</vt:lpstr>
      <vt:lpstr>'01'!Print_Titles</vt:lpstr>
      <vt:lpstr>'01 (2)'!Print_Titles</vt:lpstr>
      <vt:lpstr>ADICIONALES!Print_Titles</vt:lpstr>
      <vt:lpstr>'Pto. 01 Cert.'!Print_Titles</vt:lpstr>
      <vt:lpstr>'Pto. 02 Cert.'!Print_Titles</vt:lpstr>
      <vt:lpstr>'Pto. Costos'!Print_Titles</vt:lpstr>
      <vt:lpstr>'Pto. Vta.'!Print_Titles</vt:lpstr>
      <vt:lpstr>sep.24</vt:lpstr>
      <vt:lpstr>sept24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Rebeca</dc:creator>
  <cp:keywords/>
  <dc:description/>
  <cp:lastModifiedBy>Pedro Pagliaricci</cp:lastModifiedBy>
  <cp:revision/>
  <cp:lastPrinted>2026-02-03T20:16:21Z</cp:lastPrinted>
  <dcterms:created xsi:type="dcterms:W3CDTF">2022-09-08T13:59:40Z</dcterms:created>
  <dcterms:modified xsi:type="dcterms:W3CDTF">2026-06-26T14:54:55Z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  <property fmtid="{D5CDD505-2E9C-101B-9397-08002B2CF9AE}" pid="3" name="MediaServiceImageTags">
    <vt:lpwstr/>
  </property>
</Properties>
</file>