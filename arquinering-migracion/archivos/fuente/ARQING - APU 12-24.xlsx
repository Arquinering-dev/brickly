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Pedro Pagliaricci\Desktop\Arq\"/>
    </mc:Choice>
  </mc:AlternateContent>
  <xr:revisionPtr revIDLastSave="0" documentId="13_ncr:1_{086722EB-3D23-4F52-B967-754FA39B3D94}" xr6:coauthVersionLast="47" xr6:coauthVersionMax="47" xr10:uidLastSave="{00000000-0000-0000-0000-000000000000}"/>
  <bookViews>
    <workbookView xWindow="-30" yWindow="-16320" windowWidth="29040" windowHeight="15720" firstSheet="75" activeTab="86" xr2:uid="{6749439B-FA23-4DA1-B531-F03C029A179C}"/>
  </bookViews>
  <sheets>
    <sheet name="RESUMEN" sheetId="37" r:id="rId1"/>
    <sheet name="Rend. Equipos" sheetId="36" r:id="rId2"/>
    <sheet name="Precio Equipos" sheetId="102" r:id="rId3"/>
    <sheet name="Mano de Obra" sheetId="35" r:id="rId4"/>
    <sheet name="Sub CONTRATOS" sheetId="56" r:id="rId5"/>
    <sheet name="Materiales" sheetId="34" r:id="rId6"/>
    <sheet name="P-32" sheetId="73" r:id="rId7"/>
    <sheet name="P-33" sheetId="33" r:id="rId8"/>
    <sheet name="P-34" sheetId="32" r:id="rId9"/>
    <sheet name="P-35" sheetId="31" r:id="rId10"/>
    <sheet name="P-36" sheetId="30" r:id="rId11"/>
    <sheet name="P-37" sheetId="29" r:id="rId12"/>
    <sheet name="P-38" sheetId="28" r:id="rId13"/>
    <sheet name="P-39" sheetId="27" r:id="rId14"/>
    <sheet name="P-40" sheetId="26" r:id="rId15"/>
    <sheet name="P-41" sheetId="25" r:id="rId16"/>
    <sheet name="P-42" sheetId="24" r:id="rId17"/>
    <sheet name="P-43" sheetId="23" r:id="rId18"/>
    <sheet name="P-44" sheetId="22" r:id="rId19"/>
    <sheet name="P-45" sheetId="21" r:id="rId20"/>
    <sheet name="P-46" sheetId="55" r:id="rId21"/>
    <sheet name="P-47" sheetId="19" r:id="rId22"/>
    <sheet name="P-48" sheetId="18" r:id="rId23"/>
    <sheet name="P-49" sheetId="17" r:id="rId24"/>
    <sheet name="P-50" sheetId="16" r:id="rId25"/>
    <sheet name="P-51" sheetId="15" r:id="rId26"/>
    <sheet name="P-52" sheetId="14" r:id="rId27"/>
    <sheet name="P-53" sheetId="13" r:id="rId28"/>
    <sheet name="P-53 bis" sheetId="104" r:id="rId29"/>
    <sheet name="P-54" sheetId="12" r:id="rId30"/>
    <sheet name="P-55" sheetId="40" r:id="rId31"/>
    <sheet name="P-56" sheetId="10" r:id="rId32"/>
    <sheet name="P-57" sheetId="9" r:id="rId33"/>
    <sheet name="P-58" sheetId="8" r:id="rId34"/>
    <sheet name="P-59" sheetId="38" r:id="rId35"/>
    <sheet name="P-60" sheetId="41" r:id="rId36"/>
    <sheet name="P-61" sheetId="42" r:id="rId37"/>
    <sheet name="P-62" sheetId="43" r:id="rId38"/>
    <sheet name="P-63" sheetId="45" r:id="rId39"/>
    <sheet name="P-63 bis" sheetId="69" r:id="rId40"/>
    <sheet name="P-64" sheetId="44" r:id="rId41"/>
    <sheet name="P-65" sheetId="46" r:id="rId42"/>
    <sheet name="P-66" sheetId="49" r:id="rId43"/>
    <sheet name="P-67" sheetId="50" r:id="rId44"/>
    <sheet name="P-68" sheetId="51" r:id="rId45"/>
    <sheet name="P-70" sheetId="52" r:id="rId46"/>
    <sheet name="P-71" sheetId="53" r:id="rId47"/>
    <sheet name="P-72" sheetId="54" r:id="rId48"/>
    <sheet name="P-73" sheetId="70" r:id="rId49"/>
    <sheet name="P-74" sheetId="71" r:id="rId50"/>
    <sheet name="P-75" sheetId="72" r:id="rId51"/>
    <sheet name="P-80" sheetId="57" r:id="rId52"/>
    <sheet name="P-81" sheetId="58" r:id="rId53"/>
    <sheet name="P-82" sheetId="59" r:id="rId54"/>
    <sheet name="P-83" sheetId="60" r:id="rId55"/>
    <sheet name="P-84" sheetId="63" r:id="rId56"/>
    <sheet name="P-85" sheetId="61" r:id="rId57"/>
    <sheet name="P-86" sheetId="62" r:id="rId58"/>
    <sheet name="P-87" sheetId="64" r:id="rId59"/>
    <sheet name="P-88" sheetId="65" r:id="rId60"/>
    <sheet name="P-89" sheetId="66" r:id="rId61"/>
    <sheet name="P-90" sheetId="67" r:id="rId62"/>
    <sheet name="P-91" sheetId="68" r:id="rId63"/>
    <sheet name="P-102" sheetId="74" r:id="rId64"/>
    <sheet name="P-106" sheetId="75" r:id="rId65"/>
    <sheet name="P-110" sheetId="76" r:id="rId66"/>
    <sheet name="P-113" sheetId="77" r:id="rId67"/>
    <sheet name="P-114" sheetId="82" r:id="rId68"/>
    <sheet name="P-115" sheetId="83" r:id="rId69"/>
    <sheet name="P-116" sheetId="84" r:id="rId70"/>
    <sheet name="P-117" sheetId="85" r:id="rId71"/>
    <sheet name="P-118" sheetId="90" r:id="rId72"/>
    <sheet name="P-119" sheetId="88" r:id="rId73"/>
    <sheet name="P-120" sheetId="91" r:id="rId74"/>
    <sheet name="P-121" sheetId="94" r:id="rId75"/>
    <sheet name="P-122" sheetId="92" r:id="rId76"/>
    <sheet name="P-123" sheetId="95" r:id="rId77"/>
    <sheet name="P-124" sheetId="96" r:id="rId78"/>
    <sheet name="P-134" sheetId="97" r:id="rId79"/>
    <sheet name="P-135" sheetId="98" r:id="rId80"/>
    <sheet name="P-136" sheetId="99" r:id="rId81"/>
    <sheet name="P-137" sheetId="100" r:id="rId82"/>
    <sheet name="P-138" sheetId="101" r:id="rId83"/>
    <sheet name="P-146" sheetId="105" r:id="rId84"/>
    <sheet name="P-147" sheetId="107" r:id="rId85"/>
    <sheet name="P-148" sheetId="108" r:id="rId86"/>
    <sheet name="P-149" sheetId="109" r:id="rId87"/>
    <sheet name="Informe de compatibilidad" sheetId="87" r:id="rId88"/>
    <sheet name="Hoja2" sheetId="89" r:id="rId89"/>
  </sheets>
  <definedNames>
    <definedName name="_xlnm._FilterDatabase" localSheetId="5" hidden="1">Materiales!$A$7:$E$8</definedName>
    <definedName name="_xlnm._FilterDatabase" localSheetId="2" hidden="1">'Precio Equipos'!$A$4:$E$102</definedName>
    <definedName name="_xlnm._FilterDatabase" localSheetId="0" hidden="1">RESUMEN!$D$20:$D$27</definedName>
    <definedName name="CONTRATISTA" localSheetId="3">'Mano de Obra'!$A$2:$D$2</definedName>
    <definedName name="CONTRATISTA" localSheetId="5">Materiales!$A$2</definedName>
    <definedName name="CONTRATISTA" localSheetId="2">'Precio Equipos'!#REF!</definedName>
    <definedName name="CONTRATISTA" localSheetId="1">'Rend. Equipos'!#REF!</definedName>
    <definedName name="CONTRATISTA" localSheetId="4">'Sub CONTRATOS'!$A$2:$E$2</definedName>
    <definedName name="FECHA" localSheetId="5">Materiales!$D$4</definedName>
    <definedName name="FECHA" localSheetId="2">'Precio Equipos'!#REF!</definedName>
    <definedName name="FECHA" localSheetId="1">'Rend. Equipos'!$E$3</definedName>
    <definedName name="FECHA" localSheetId="4">'Sub CONTRATOS'!$E$4</definedName>
    <definedName name="FECHA">'Mano de Obra'!$D$4</definedName>
    <definedName name="INICIO" localSheetId="5">Materiales!$A$1</definedName>
    <definedName name="INICIO" localSheetId="2">'Precio Equipos'!$A$1</definedName>
    <definedName name="INICIO" localSheetId="1">'Rend. Equipos'!$A$1</definedName>
    <definedName name="INICIO" localSheetId="4">'Sub CONTRATOS'!$A$1</definedName>
    <definedName name="INICIO">'Mano de Obra'!$A$1</definedName>
    <definedName name="OBRA" localSheetId="3">'Mano de Obra'!$A$3:$D$3</definedName>
    <definedName name="OBRA" localSheetId="5">Materiales!$A$3</definedName>
    <definedName name="OBRA" localSheetId="2">'Precio Equipos'!#REF!</definedName>
    <definedName name="OBRA" localSheetId="1">'Rend. Equipos'!#REF!</definedName>
    <definedName name="OBRA" localSheetId="4">'Sub CONTRATOS'!$A$3:$E$3</definedName>
    <definedName name="PARTIDABASE" localSheetId="5">Materiales!$A$107:$D$107</definedName>
    <definedName name="PARTIDABASE" localSheetId="2">'Precio Equipos'!#REF!</definedName>
    <definedName name="PARTIDABASE" localSheetId="1">'Rend. Equipos'!$A$7:$E$7</definedName>
    <definedName name="PARTIDABASE" localSheetId="4">'Sub CONTRATOS'!$A$8:$E$8</definedName>
    <definedName name="PARTIDABASE">'Mano de Obra'!$A$8:$D$8</definedName>
    <definedName name="_xlnm.Print_Area" localSheetId="8">'P-34'!$A$1:$G$38</definedName>
    <definedName name="TITULO" localSheetId="3">'Mano de Obra'!#REF!</definedName>
    <definedName name="TITULO" localSheetId="5">Materiales!#REF!</definedName>
    <definedName name="TITULO" localSheetId="2">'Precio Equipos'!$A$4</definedName>
    <definedName name="TITULO" localSheetId="1">'Rend. Equipos'!$A$2</definedName>
    <definedName name="TITULO" localSheetId="4">'Sub CONTRATOS'!#REF!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33" l="1"/>
  <c r="I16" i="33"/>
  <c r="I15" i="33"/>
  <c r="I14" i="33"/>
  <c r="I13" i="33"/>
  <c r="I12" i="33"/>
  <c r="H12" i="30"/>
  <c r="O90" i="37"/>
  <c r="O89" i="37"/>
  <c r="O88" i="37"/>
  <c r="O87" i="37"/>
  <c r="O62" i="37"/>
  <c r="O63" i="37"/>
  <c r="D90" i="37"/>
  <c r="L90" i="37"/>
  <c r="L89" i="37"/>
  <c r="L88" i="37"/>
  <c r="I90" i="37"/>
  <c r="F37" i="109"/>
  <c r="G37" i="109" s="1"/>
  <c r="F36" i="109"/>
  <c r="G36" i="109" s="1"/>
  <c r="E30" i="109"/>
  <c r="G30" i="109" s="1"/>
  <c r="E29" i="109"/>
  <c r="G29" i="109" s="1"/>
  <c r="G31" i="109" s="1"/>
  <c r="G33" i="109" s="1"/>
  <c r="G34" i="109" s="1"/>
  <c r="F24" i="109"/>
  <c r="E24" i="109"/>
  <c r="G24" i="109" s="1"/>
  <c r="F23" i="109"/>
  <c r="E23" i="109"/>
  <c r="F22" i="109"/>
  <c r="E22" i="109"/>
  <c r="G22" i="109" s="1"/>
  <c r="I17" i="109"/>
  <c r="H17" i="109"/>
  <c r="I16" i="109"/>
  <c r="H16" i="109"/>
  <c r="E16" i="109"/>
  <c r="G16" i="109" s="1"/>
  <c r="I15" i="109"/>
  <c r="H15" i="109"/>
  <c r="E15" i="109"/>
  <c r="G15" i="109" s="1"/>
  <c r="I14" i="109"/>
  <c r="H14" i="109"/>
  <c r="E14" i="109"/>
  <c r="G14" i="109" s="1"/>
  <c r="I13" i="109"/>
  <c r="H13" i="109"/>
  <c r="E13" i="109"/>
  <c r="G13" i="109" s="1"/>
  <c r="I12" i="109"/>
  <c r="H12" i="109"/>
  <c r="E12" i="109"/>
  <c r="G12" i="109" s="1"/>
  <c r="I89" i="37"/>
  <c r="D89" i="37"/>
  <c r="I16" i="108"/>
  <c r="D14" i="108"/>
  <c r="I14" i="108" s="1"/>
  <c r="F38" i="108"/>
  <c r="G38" i="108" s="1"/>
  <c r="F37" i="108"/>
  <c r="G37" i="108" s="1"/>
  <c r="E31" i="108"/>
  <c r="G31" i="108" s="1"/>
  <c r="E30" i="108"/>
  <c r="G30" i="108" s="1"/>
  <c r="G32" i="108" s="1"/>
  <c r="G34" i="108" s="1"/>
  <c r="G35" i="108" s="1"/>
  <c r="F25" i="108"/>
  <c r="E25" i="108"/>
  <c r="F24" i="108"/>
  <c r="E24" i="108"/>
  <c r="F23" i="108"/>
  <c r="E23" i="108"/>
  <c r="I18" i="108"/>
  <c r="H18" i="108"/>
  <c r="I17" i="108"/>
  <c r="H17" i="108"/>
  <c r="E17" i="108"/>
  <c r="G17" i="108" s="1"/>
  <c r="E16" i="108"/>
  <c r="G16" i="108" s="1"/>
  <c r="I15" i="108"/>
  <c r="H15" i="108"/>
  <c r="E15" i="108"/>
  <c r="G15" i="108" s="1"/>
  <c r="E14" i="108"/>
  <c r="I13" i="108"/>
  <c r="H13" i="108"/>
  <c r="E13" i="108"/>
  <c r="G13" i="108" s="1"/>
  <c r="I12" i="108"/>
  <c r="H12" i="108"/>
  <c r="E12" i="108"/>
  <c r="G12" i="108" s="1"/>
  <c r="I88" i="37"/>
  <c r="D88" i="37"/>
  <c r="F40" i="107"/>
  <c r="G40" i="107" s="1"/>
  <c r="F39" i="107"/>
  <c r="G39" i="107" s="1"/>
  <c r="E33" i="107"/>
  <c r="G33" i="107" s="1"/>
  <c r="E32" i="107"/>
  <c r="G32" i="107" s="1"/>
  <c r="G34" i="107" s="1"/>
  <c r="G36" i="107" s="1"/>
  <c r="G37" i="107" s="1"/>
  <c r="G27" i="107"/>
  <c r="F27" i="107"/>
  <c r="E27" i="107"/>
  <c r="F26" i="107"/>
  <c r="E26" i="107"/>
  <c r="G26" i="107" s="1"/>
  <c r="F25" i="107"/>
  <c r="E25" i="107"/>
  <c r="G25" i="107" s="1"/>
  <c r="G28" i="107" s="1"/>
  <c r="G29" i="107" s="1"/>
  <c r="I20" i="107"/>
  <c r="H20" i="107"/>
  <c r="I19" i="107"/>
  <c r="H19" i="107"/>
  <c r="E19" i="107"/>
  <c r="G19" i="107" s="1"/>
  <c r="I18" i="107"/>
  <c r="H18" i="107"/>
  <c r="E18" i="107"/>
  <c r="G18" i="107" s="1"/>
  <c r="I17" i="107"/>
  <c r="H17" i="107"/>
  <c r="E17" i="107"/>
  <c r="G17" i="107" s="1"/>
  <c r="I16" i="107"/>
  <c r="H16" i="107"/>
  <c r="E16" i="107"/>
  <c r="G16" i="107" s="1"/>
  <c r="I15" i="107"/>
  <c r="H15" i="107"/>
  <c r="E15" i="107"/>
  <c r="G15" i="107" s="1"/>
  <c r="I14" i="107"/>
  <c r="H14" i="107"/>
  <c r="E14" i="107"/>
  <c r="G14" i="107" s="1"/>
  <c r="I13" i="107"/>
  <c r="H13" i="107"/>
  <c r="E13" i="107"/>
  <c r="G13" i="107" s="1"/>
  <c r="I12" i="107"/>
  <c r="H12" i="107"/>
  <c r="E12" i="107"/>
  <c r="G12" i="107" s="1"/>
  <c r="D134" i="34"/>
  <c r="D145" i="34"/>
  <c r="D144" i="34"/>
  <c r="D139" i="34"/>
  <c r="D138" i="34"/>
  <c r="D136" i="34"/>
  <c r="D135" i="34"/>
  <c r="D133" i="34"/>
  <c r="D132" i="34"/>
  <c r="D130" i="34"/>
  <c r="D131" i="34" s="1"/>
  <c r="D124" i="34"/>
  <c r="D123" i="34" s="1"/>
  <c r="D125" i="34"/>
  <c r="H124" i="34" s="1"/>
  <c r="D127" i="34"/>
  <c r="D126" i="34" s="1"/>
  <c r="D128" i="34"/>
  <c r="D129" i="34"/>
  <c r="D103" i="34"/>
  <c r="D102" i="34" s="1"/>
  <c r="D97" i="34"/>
  <c r="D92" i="34"/>
  <c r="D85" i="34"/>
  <c r="D71" i="34"/>
  <c r="D89" i="34"/>
  <c r="J7" i="56"/>
  <c r="J4" i="56"/>
  <c r="J3" i="56"/>
  <c r="O3" i="56"/>
  <c r="C14" i="102"/>
  <c r="C87" i="102"/>
  <c r="C89" i="102"/>
  <c r="D148" i="34"/>
  <c r="D147" i="34"/>
  <c r="D99" i="34"/>
  <c r="L66" i="34"/>
  <c r="M66" i="34" s="1"/>
  <c r="D66" i="34" s="1"/>
  <c r="K66" i="34"/>
  <c r="D67" i="34"/>
  <c r="D64" i="34"/>
  <c r="D63" i="34"/>
  <c r="D62" i="34"/>
  <c r="D61" i="34"/>
  <c r="D51" i="34"/>
  <c r="D48" i="34"/>
  <c r="D50" i="34"/>
  <c r="D49" i="34"/>
  <c r="D42" i="34"/>
  <c r="D36" i="34"/>
  <c r="D34" i="34"/>
  <c r="D143" i="34"/>
  <c r="D77" i="34"/>
  <c r="D149" i="34"/>
  <c r="H64" i="34"/>
  <c r="H65" i="34"/>
  <c r="J65" i="34" s="1"/>
  <c r="G23" i="109" l="1"/>
  <c r="G25" i="109"/>
  <c r="G26" i="109" s="1"/>
  <c r="E17" i="109"/>
  <c r="G17" i="109" s="1"/>
  <c r="G18" i="109" s="1"/>
  <c r="G19" i="109" s="1"/>
  <c r="F90" i="37" s="1"/>
  <c r="M90" i="37" s="1"/>
  <c r="G25" i="108"/>
  <c r="G23" i="108"/>
  <c r="H14" i="108"/>
  <c r="G14" i="108"/>
  <c r="E18" i="108" s="1"/>
  <c r="G18" i="108" s="1"/>
  <c r="G19" i="108" s="1"/>
  <c r="G20" i="108" s="1"/>
  <c r="F89" i="37" s="1"/>
  <c r="M89" i="37" s="1"/>
  <c r="G24" i="108"/>
  <c r="H16" i="108"/>
  <c r="E20" i="107"/>
  <c r="G20" i="107" s="1"/>
  <c r="G21" i="107" s="1"/>
  <c r="G22" i="107" s="1"/>
  <c r="H127" i="34"/>
  <c r="I64" i="34"/>
  <c r="D65" i="34" s="1"/>
  <c r="L4" i="12"/>
  <c r="G38" i="107" l="1"/>
  <c r="G41" i="107" s="1"/>
  <c r="F88" i="37"/>
  <c r="M88" i="37" s="1"/>
  <c r="G35" i="109"/>
  <c r="G38" i="109" s="1"/>
  <c r="G26" i="108"/>
  <c r="G27" i="108" s="1"/>
  <c r="G36" i="108" s="1"/>
  <c r="G39" i="108" s="1"/>
  <c r="K32" i="34"/>
  <c r="D32" i="34" s="1"/>
  <c r="K33" i="34"/>
  <c r="D33" i="34" s="1"/>
  <c r="D141" i="34"/>
  <c r="D122" i="34"/>
  <c r="D120" i="34"/>
  <c r="D121" i="34"/>
  <c r="D94" i="34"/>
  <c r="D86" i="34"/>
  <c r="D80" i="34"/>
  <c r="D81" i="34"/>
  <c r="C8" i="35"/>
  <c r="J13" i="46"/>
  <c r="J14" i="46"/>
  <c r="J15" i="46"/>
  <c r="J16" i="46"/>
  <c r="J17" i="46"/>
  <c r="J18" i="46"/>
  <c r="J19" i="46"/>
  <c r="J12" i="46"/>
  <c r="D150" i="34"/>
  <c r="H18" i="94" l="1"/>
  <c r="I18" i="94"/>
  <c r="H20" i="91"/>
  <c r="I20" i="91"/>
  <c r="O61" i="37"/>
  <c r="H17" i="94"/>
  <c r="H16" i="94"/>
  <c r="H15" i="94"/>
  <c r="H14" i="94"/>
  <c r="H13" i="94"/>
  <c r="H12" i="94"/>
  <c r="H13" i="91"/>
  <c r="H14" i="91"/>
  <c r="H15" i="91"/>
  <c r="H16" i="91"/>
  <c r="H17" i="91"/>
  <c r="H18" i="91"/>
  <c r="H19" i="91"/>
  <c r="H12" i="91"/>
  <c r="H5" i="102"/>
  <c r="C102" i="102"/>
  <c r="H99" i="102"/>
  <c r="D83" i="37"/>
  <c r="D87" i="37"/>
  <c r="F38" i="105"/>
  <c r="G38" i="105" s="1"/>
  <c r="F37" i="105"/>
  <c r="G37" i="105" s="1"/>
  <c r="H19" i="105"/>
  <c r="E19" i="105"/>
  <c r="G19" i="105" s="1"/>
  <c r="H18" i="105"/>
  <c r="E18" i="105"/>
  <c r="G18" i="105" s="1"/>
  <c r="H17" i="105"/>
  <c r="E17" i="105"/>
  <c r="G17" i="105" s="1"/>
  <c r="H16" i="105"/>
  <c r="E16" i="105"/>
  <c r="G16" i="105" s="1"/>
  <c r="H15" i="105"/>
  <c r="E15" i="105"/>
  <c r="G15" i="105" s="1"/>
  <c r="H14" i="105"/>
  <c r="E14" i="105"/>
  <c r="G14" i="105" s="1"/>
  <c r="H13" i="105"/>
  <c r="E13" i="105"/>
  <c r="G13" i="105" s="1"/>
  <c r="H12" i="105"/>
  <c r="E12" i="105"/>
  <c r="G12" i="105" s="1"/>
  <c r="C90" i="102"/>
  <c r="C86" i="102"/>
  <c r="C91" i="102"/>
  <c r="C92" i="102"/>
  <c r="C93" i="102"/>
  <c r="C94" i="102"/>
  <c r="C95" i="102"/>
  <c r="C96" i="102"/>
  <c r="C97" i="102"/>
  <c r="C98" i="102"/>
  <c r="C99" i="102"/>
  <c r="C100" i="102"/>
  <c r="C101" i="102"/>
  <c r="H98" i="102"/>
  <c r="H97" i="102"/>
  <c r="H96" i="102"/>
  <c r="H95" i="102"/>
  <c r="H94" i="102"/>
  <c r="H93" i="102"/>
  <c r="H92" i="102"/>
  <c r="H91" i="102"/>
  <c r="H90" i="102"/>
  <c r="H84" i="102"/>
  <c r="H83" i="102"/>
  <c r="H82" i="102"/>
  <c r="H81" i="102"/>
  <c r="H80" i="102"/>
  <c r="H79" i="102"/>
  <c r="H78" i="102"/>
  <c r="H77" i="102"/>
  <c r="H76" i="102"/>
  <c r="H75" i="102"/>
  <c r="H74" i="102"/>
  <c r="H73" i="102"/>
  <c r="H72" i="102"/>
  <c r="H71" i="102"/>
  <c r="H70" i="102"/>
  <c r="H69" i="102"/>
  <c r="H68" i="102"/>
  <c r="H67" i="102"/>
  <c r="H66" i="102"/>
  <c r="H65" i="102"/>
  <c r="H64" i="102"/>
  <c r="H63" i="102"/>
  <c r="H62" i="102"/>
  <c r="H61" i="102"/>
  <c r="H60" i="102"/>
  <c r="H59" i="102"/>
  <c r="H58" i="102"/>
  <c r="H57" i="102"/>
  <c r="H56" i="102"/>
  <c r="H55" i="102"/>
  <c r="H54" i="102"/>
  <c r="H50" i="102"/>
  <c r="H49" i="102"/>
  <c r="H48" i="102"/>
  <c r="H47" i="102"/>
  <c r="H46" i="102"/>
  <c r="H45" i="102"/>
  <c r="H44" i="102"/>
  <c r="H43" i="102"/>
  <c r="H42" i="102"/>
  <c r="H41" i="102"/>
  <c r="H40" i="102"/>
  <c r="H39" i="102"/>
  <c r="H38" i="102"/>
  <c r="H37" i="102"/>
  <c r="H36" i="102"/>
  <c r="H33" i="102"/>
  <c r="H32" i="102"/>
  <c r="H31" i="102"/>
  <c r="H30" i="102"/>
  <c r="H29" i="102"/>
  <c r="H28" i="102"/>
  <c r="H27" i="102"/>
  <c r="H26" i="102"/>
  <c r="H25" i="102"/>
  <c r="H23" i="102"/>
  <c r="H22" i="102"/>
  <c r="H21" i="102"/>
  <c r="H20" i="102"/>
  <c r="H19" i="102"/>
  <c r="H18" i="102"/>
  <c r="H17" i="102"/>
  <c r="H16" i="102"/>
  <c r="H13" i="102"/>
  <c r="H12" i="102"/>
  <c r="H11" i="102"/>
  <c r="H10" i="102"/>
  <c r="H9" i="102"/>
  <c r="H8" i="102"/>
  <c r="H7" i="102"/>
  <c r="H6" i="102"/>
  <c r="C8" i="102" l="1"/>
  <c r="C19" i="102"/>
  <c r="C38" i="102"/>
  <c r="C26" i="102"/>
  <c r="C21" i="102"/>
  <c r="C7" i="102"/>
  <c r="C39" i="102"/>
  <c r="C58" i="102"/>
  <c r="C74" i="102"/>
  <c r="C40" i="102"/>
  <c r="C63" i="102"/>
  <c r="C41" i="102"/>
  <c r="C60" i="102"/>
  <c r="C76" i="102"/>
  <c r="C50" i="102"/>
  <c r="C44" i="102"/>
  <c r="C20" i="102"/>
  <c r="C22" i="102"/>
  <c r="C23" i="102"/>
  <c r="C42" i="102"/>
  <c r="C61" i="102"/>
  <c r="C77" i="102"/>
  <c r="C49" i="102"/>
  <c r="C25" i="102"/>
  <c r="C43" i="102"/>
  <c r="C62" i="102"/>
  <c r="C78" i="102"/>
  <c r="C34" i="102"/>
  <c r="H100" i="102"/>
  <c r="H101" i="102"/>
  <c r="C79" i="102"/>
  <c r="C27" i="102"/>
  <c r="C80" i="102"/>
  <c r="C82" i="102"/>
  <c r="C47" i="102"/>
  <c r="C30" i="102"/>
  <c r="C12" i="102"/>
  <c r="C31" i="102"/>
  <c r="C68" i="102"/>
  <c r="C66" i="102"/>
  <c r="C84" i="102"/>
  <c r="C64" i="102"/>
  <c r="C9" i="102"/>
  <c r="C81" i="102"/>
  <c r="C10" i="102"/>
  <c r="C69" i="102"/>
  <c r="C48" i="102"/>
  <c r="C13" i="102"/>
  <c r="C54" i="102"/>
  <c r="C33" i="102"/>
  <c r="C70" i="102"/>
  <c r="C53" i="102"/>
  <c r="C45" i="102"/>
  <c r="C83" i="102"/>
  <c r="C28" i="102"/>
  <c r="C46" i="102"/>
  <c r="C65" i="102"/>
  <c r="C29" i="102"/>
  <c r="C11" i="102"/>
  <c r="C67" i="102"/>
  <c r="C17" i="102"/>
  <c r="C36" i="102"/>
  <c r="C55" i="102"/>
  <c r="C71" i="102"/>
  <c r="C52" i="102"/>
  <c r="C18" i="102"/>
  <c r="C37" i="102"/>
  <c r="C56" i="102"/>
  <c r="C72" i="102"/>
  <c r="C51" i="102"/>
  <c r="C6" i="102"/>
  <c r="C32" i="102"/>
  <c r="C16" i="102"/>
  <c r="C75" i="102"/>
  <c r="C59" i="102"/>
  <c r="C73" i="102"/>
  <c r="C57" i="102"/>
  <c r="C24" i="102"/>
  <c r="G20" i="105"/>
  <c r="G21" i="105" s="1"/>
  <c r="F87" i="37" s="1"/>
  <c r="I15" i="91"/>
  <c r="I13" i="91"/>
  <c r="I14" i="91"/>
  <c r="I16" i="91"/>
  <c r="I17" i="91"/>
  <c r="I18" i="91"/>
  <c r="I19" i="91"/>
  <c r="I12" i="91"/>
  <c r="I16" i="94"/>
  <c r="I17" i="94"/>
  <c r="I15" i="94"/>
  <c r="I13" i="94"/>
  <c r="I14" i="94"/>
  <c r="I12" i="94"/>
  <c r="O58" i="37" l="1"/>
  <c r="M29" i="90"/>
  <c r="M29" i="88"/>
  <c r="K30" i="88"/>
  <c r="K29" i="88"/>
  <c r="K29" i="90"/>
  <c r="K15" i="88"/>
  <c r="K16" i="88"/>
  <c r="K14" i="88"/>
  <c r="H17" i="88"/>
  <c r="H16" i="88"/>
  <c r="H15" i="88"/>
  <c r="H14" i="88"/>
  <c r="H13" i="88"/>
  <c r="H12" i="88"/>
  <c r="L14" i="90"/>
  <c r="L16" i="90"/>
  <c r="L15" i="90"/>
  <c r="H17" i="90"/>
  <c r="H14" i="90"/>
  <c r="H13" i="90"/>
  <c r="H12" i="90"/>
  <c r="J12" i="85"/>
  <c r="E13" i="85"/>
  <c r="G13" i="85" s="1"/>
  <c r="H13" i="85"/>
  <c r="H12" i="85"/>
  <c r="D18" i="84"/>
  <c r="H18" i="84" s="1"/>
  <c r="H16" i="69"/>
  <c r="E16" i="69"/>
  <c r="G16" i="69" s="1"/>
  <c r="E17" i="69"/>
  <c r="H16" i="84"/>
  <c r="H17" i="84"/>
  <c r="H15" i="84"/>
  <c r="H14" i="84"/>
  <c r="H13" i="84"/>
  <c r="H12" i="84"/>
  <c r="E16" i="84"/>
  <c r="G16" i="84" s="1"/>
  <c r="E17" i="84"/>
  <c r="G17" i="84" s="1"/>
  <c r="I14" i="84"/>
  <c r="I13" i="84"/>
  <c r="I12" i="84"/>
  <c r="E13" i="82"/>
  <c r="G13" i="82" s="1"/>
  <c r="E14" i="82"/>
  <c r="G14" i="82" s="1"/>
  <c r="E15" i="82"/>
  <c r="G15" i="82" s="1"/>
  <c r="E16" i="82"/>
  <c r="G16" i="82" s="1"/>
  <c r="E17" i="82"/>
  <c r="G17" i="82" s="1"/>
  <c r="E12" i="82"/>
  <c r="G12" i="82" s="1"/>
  <c r="H19" i="82"/>
  <c r="H18" i="82"/>
  <c r="H17" i="82"/>
  <c r="H16" i="82"/>
  <c r="H15" i="82"/>
  <c r="H14" i="82"/>
  <c r="H13" i="82"/>
  <c r="H12" i="82"/>
  <c r="K12" i="82"/>
  <c r="M12" i="82" s="1"/>
  <c r="E13" i="77"/>
  <c r="G13" i="77" s="1"/>
  <c r="E14" i="77"/>
  <c r="G14" i="77" s="1"/>
  <c r="E15" i="77"/>
  <c r="G15" i="77" s="1"/>
  <c r="E16" i="77"/>
  <c r="G16" i="77" s="1"/>
  <c r="H16" i="77"/>
  <c r="H15" i="77"/>
  <c r="H14" i="77"/>
  <c r="H13" i="77"/>
  <c r="H12" i="77"/>
  <c r="D31" i="37"/>
  <c r="K16" i="71"/>
  <c r="M16" i="71" s="1"/>
  <c r="H14" i="71"/>
  <c r="E14" i="71"/>
  <c r="G14" i="71" s="1"/>
  <c r="H13" i="71"/>
  <c r="H12" i="71"/>
  <c r="H14" i="70"/>
  <c r="H15" i="70"/>
  <c r="H16" i="70"/>
  <c r="H17" i="70"/>
  <c r="H18" i="70"/>
  <c r="E15" i="70"/>
  <c r="G15" i="70" s="1"/>
  <c r="E16" i="70"/>
  <c r="G16" i="70" s="1"/>
  <c r="E17" i="70"/>
  <c r="G17" i="70" s="1"/>
  <c r="E18" i="70"/>
  <c r="G18" i="70" s="1"/>
  <c r="H12" i="70"/>
  <c r="H13" i="70"/>
  <c r="D51" i="37"/>
  <c r="E13" i="54"/>
  <c r="G13" i="54" s="1"/>
  <c r="H154" i="36"/>
  <c r="C154" i="36"/>
  <c r="E154" i="36" s="1"/>
  <c r="E20" i="54" s="1"/>
  <c r="H13" i="54"/>
  <c r="H12" i="54"/>
  <c r="J16" i="53"/>
  <c r="K16" i="53" s="1"/>
  <c r="K14" i="53"/>
  <c r="L14" i="53" s="1"/>
  <c r="E16" i="53"/>
  <c r="G16" i="53" s="1"/>
  <c r="H16" i="53"/>
  <c r="H17" i="53"/>
  <c r="H13" i="53"/>
  <c r="H14" i="53"/>
  <c r="H15" i="53"/>
  <c r="E15" i="53"/>
  <c r="G15" i="53" s="1"/>
  <c r="E14" i="53"/>
  <c r="G14" i="53" s="1"/>
  <c r="H12" i="53"/>
  <c r="I154" i="36" l="1"/>
  <c r="J154" i="36" s="1"/>
  <c r="F20" i="54" s="1"/>
  <c r="G20" i="54" s="1"/>
  <c r="E13" i="52"/>
  <c r="E14" i="52"/>
  <c r="G14" i="52" s="1"/>
  <c r="E15" i="52"/>
  <c r="G15" i="52" s="1"/>
  <c r="E16" i="52"/>
  <c r="G16" i="52" s="1"/>
  <c r="E17" i="52"/>
  <c r="G17" i="52" s="1"/>
  <c r="E18" i="52"/>
  <c r="G18" i="52" s="1"/>
  <c r="E12" i="52"/>
  <c r="E18" i="82"/>
  <c r="G18" i="82" s="1"/>
  <c r="H17" i="52"/>
  <c r="H18" i="52"/>
  <c r="H19" i="52"/>
  <c r="K13" i="52"/>
  <c r="M13" i="52" s="1"/>
  <c r="H14" i="52"/>
  <c r="H15" i="52"/>
  <c r="H16" i="52"/>
  <c r="H13" i="52"/>
  <c r="H16" i="51"/>
  <c r="H15" i="51"/>
  <c r="H14" i="51"/>
  <c r="H13" i="51"/>
  <c r="H12" i="51"/>
  <c r="M15" i="51"/>
  <c r="M16" i="51"/>
  <c r="M14" i="51"/>
  <c r="E20" i="50"/>
  <c r="G20" i="50" s="1"/>
  <c r="H20" i="50"/>
  <c r="H19" i="50"/>
  <c r="H18" i="50"/>
  <c r="H17" i="50"/>
  <c r="H16" i="50"/>
  <c r="H15" i="50"/>
  <c r="H14" i="50"/>
  <c r="H13" i="50"/>
  <c r="H12" i="50"/>
  <c r="E13" i="50"/>
  <c r="G13" i="50" s="1"/>
  <c r="E14" i="50"/>
  <c r="G14" i="50" s="1"/>
  <c r="E15" i="50"/>
  <c r="G15" i="50" s="1"/>
  <c r="E16" i="50"/>
  <c r="G16" i="50" s="1"/>
  <c r="E17" i="50"/>
  <c r="G17" i="50" s="1"/>
  <c r="E18" i="50"/>
  <c r="G18" i="50" s="1"/>
  <c r="E19" i="50"/>
  <c r="G19" i="50" s="1"/>
  <c r="H14" i="49"/>
  <c r="H16" i="49"/>
  <c r="H17" i="49"/>
  <c r="H19" i="49"/>
  <c r="D13" i="49"/>
  <c r="H13" i="49" s="1"/>
  <c r="D12" i="49"/>
  <c r="H12" i="49" s="1"/>
  <c r="E16" i="46"/>
  <c r="G16" i="46" s="1"/>
  <c r="H16" i="46"/>
  <c r="H19" i="46"/>
  <c r="H18" i="46"/>
  <c r="H17" i="46"/>
  <c r="H15" i="46"/>
  <c r="H14" i="46"/>
  <c r="H13" i="46"/>
  <c r="H12" i="46"/>
  <c r="D20" i="46"/>
  <c r="J20" i="46" s="1"/>
  <c r="D21" i="46"/>
  <c r="L18" i="44"/>
  <c r="L19" i="44" s="1"/>
  <c r="D13" i="44"/>
  <c r="H13" i="44" s="1"/>
  <c r="D12" i="44"/>
  <c r="H12" i="44" s="1"/>
  <c r="H14" i="44"/>
  <c r="H15" i="44"/>
  <c r="H16" i="44"/>
  <c r="H17" i="44"/>
  <c r="H18" i="44"/>
  <c r="H19" i="44"/>
  <c r="H20" i="44"/>
  <c r="H17" i="69"/>
  <c r="H15" i="69"/>
  <c r="H14" i="69"/>
  <c r="H13" i="69"/>
  <c r="H12" i="69"/>
  <c r="H21" i="46" l="1"/>
  <c r="J21" i="46"/>
  <c r="E19" i="52"/>
  <c r="G19" i="52" s="1"/>
  <c r="E19" i="82"/>
  <c r="G19" i="82" s="1"/>
  <c r="H20" i="46"/>
  <c r="H16" i="45" l="1"/>
  <c r="E16" i="45"/>
  <c r="G16" i="45" s="1"/>
  <c r="H14" i="45"/>
  <c r="H15" i="45"/>
  <c r="H17" i="45"/>
  <c r="H13" i="45"/>
  <c r="H12" i="45"/>
  <c r="F39" i="43"/>
  <c r="F38" i="43"/>
  <c r="H19" i="43"/>
  <c r="H18" i="43"/>
  <c r="H17" i="43"/>
  <c r="H16" i="43"/>
  <c r="H15" i="43"/>
  <c r="H14" i="43"/>
  <c r="H13" i="43"/>
  <c r="H12" i="43"/>
  <c r="H19" i="42"/>
  <c r="H18" i="42"/>
  <c r="H17" i="42"/>
  <c r="H16" i="42"/>
  <c r="H15" i="42"/>
  <c r="H14" i="42"/>
  <c r="D13" i="42"/>
  <c r="H13" i="42" s="1"/>
  <c r="D12" i="42"/>
  <c r="H12" i="42" s="1"/>
  <c r="D12" i="41"/>
  <c r="H12" i="41" s="1"/>
  <c r="D13" i="41"/>
  <c r="H13" i="41" s="1"/>
  <c r="K13" i="41"/>
  <c r="H19" i="41"/>
  <c r="H17" i="41"/>
  <c r="H16" i="41"/>
  <c r="H15" i="41"/>
  <c r="H14" i="41"/>
  <c r="M14" i="38"/>
  <c r="H14" i="38"/>
  <c r="H15" i="38"/>
  <c r="H16" i="38"/>
  <c r="H17" i="38"/>
  <c r="H18" i="38"/>
  <c r="H19" i="38"/>
  <c r="H20" i="38"/>
  <c r="H21" i="38"/>
  <c r="H12" i="38"/>
  <c r="E14" i="38"/>
  <c r="G14" i="38" s="1"/>
  <c r="E15" i="38"/>
  <c r="G15" i="38" s="1"/>
  <c r="E16" i="38"/>
  <c r="G16" i="38" s="1"/>
  <c r="E17" i="38"/>
  <c r="G17" i="38" s="1"/>
  <c r="E18" i="38"/>
  <c r="G18" i="38" s="1"/>
  <c r="E19" i="38"/>
  <c r="G19" i="38" s="1"/>
  <c r="E20" i="38"/>
  <c r="G20" i="38" s="1"/>
  <c r="E21" i="38"/>
  <c r="G21" i="38" s="1"/>
  <c r="E12" i="38"/>
  <c r="G12" i="38" s="1"/>
  <c r="H13" i="38"/>
  <c r="D90" i="36"/>
  <c r="C90" i="36"/>
  <c r="C89" i="36"/>
  <c r="E89" i="36" s="1"/>
  <c r="H84" i="36"/>
  <c r="C151" i="36"/>
  <c r="E151" i="36" s="1"/>
  <c r="C166" i="36"/>
  <c r="E166" i="36" s="1"/>
  <c r="C165" i="36"/>
  <c r="E165" i="36" s="1"/>
  <c r="C164" i="36"/>
  <c r="E164" i="36" s="1"/>
  <c r="C163" i="36"/>
  <c r="E163" i="36" s="1"/>
  <c r="C162" i="36"/>
  <c r="E162" i="36" s="1"/>
  <c r="C161" i="36"/>
  <c r="E161" i="36" s="1"/>
  <c r="C160" i="36"/>
  <c r="E160" i="36" s="1"/>
  <c r="C159" i="36"/>
  <c r="E159" i="36" s="1"/>
  <c r="C155" i="36"/>
  <c r="E155" i="36" s="1"/>
  <c r="C156" i="36"/>
  <c r="E156" i="36" s="1"/>
  <c r="C157" i="36"/>
  <c r="E157" i="36" s="1"/>
  <c r="C158" i="36"/>
  <c r="E158" i="36" s="1"/>
  <c r="C150" i="36"/>
  <c r="E150" i="36" s="1"/>
  <c r="C152" i="36"/>
  <c r="E152" i="36" s="1"/>
  <c r="C153" i="36"/>
  <c r="E153" i="36" s="1"/>
  <c r="C34" i="36"/>
  <c r="C36" i="36"/>
  <c r="C37" i="36"/>
  <c r="C38" i="36"/>
  <c r="C116" i="36"/>
  <c r="C107" i="36"/>
  <c r="C141" i="36"/>
  <c r="H135" i="36"/>
  <c r="C119" i="36"/>
  <c r="C120" i="36"/>
  <c r="C139" i="36"/>
  <c r="E139" i="36" s="1"/>
  <c r="C134" i="36"/>
  <c r="C129" i="36"/>
  <c r="C124" i="36"/>
  <c r="H122" i="36"/>
  <c r="H117" i="36"/>
  <c r="C99" i="36"/>
  <c r="C100" i="36"/>
  <c r="C102" i="36"/>
  <c r="C101" i="36"/>
  <c r="C103" i="36"/>
  <c r="C128" i="36"/>
  <c r="C105" i="36"/>
  <c r="C63" i="36"/>
  <c r="C65" i="36"/>
  <c r="C70" i="36"/>
  <c r="C61" i="36"/>
  <c r="C60" i="36"/>
  <c r="H47" i="36"/>
  <c r="C58" i="36"/>
  <c r="C56" i="36"/>
  <c r="C55" i="36"/>
  <c r="C54" i="36"/>
  <c r="C53" i="36"/>
  <c r="C125" i="36"/>
  <c r="C149" i="36"/>
  <c r="C130" i="36"/>
  <c r="E130" i="36" s="1"/>
  <c r="C46" i="36"/>
  <c r="C66" i="36"/>
  <c r="C148" i="36"/>
  <c r="C147" i="36"/>
  <c r="C115" i="36"/>
  <c r="C114" i="36"/>
  <c r="C93" i="36"/>
  <c r="C72" i="36"/>
  <c r="C95" i="36"/>
  <c r="C44" i="36"/>
  <c r="C108" i="36"/>
  <c r="C106" i="36"/>
  <c r="D26" i="37"/>
  <c r="E90" i="36" l="1"/>
  <c r="C16" i="36"/>
  <c r="E16" i="36" s="1"/>
  <c r="C35" i="36"/>
  <c r="E35" i="36" s="1"/>
  <c r="C51" i="36"/>
  <c r="E51" i="36" s="1"/>
  <c r="C75" i="36"/>
  <c r="E75" i="36" s="1"/>
  <c r="C138" i="36"/>
  <c r="E138" i="36" s="1"/>
  <c r="C96" i="36"/>
  <c r="E96" i="36" s="1"/>
  <c r="C133" i="36"/>
  <c r="E133" i="36" s="1"/>
  <c r="C131" i="36"/>
  <c r="E131" i="36" s="1"/>
  <c r="C136" i="36"/>
  <c r="E136" i="36" s="1"/>
  <c r="C50" i="36"/>
  <c r="E50" i="36" s="1"/>
  <c r="C109" i="36"/>
  <c r="C15" i="36"/>
  <c r="E15" i="36" s="1"/>
  <c r="C144" i="36"/>
  <c r="E144" i="36" s="1"/>
  <c r="C142" i="36"/>
  <c r="E142" i="36" s="1"/>
  <c r="C104" i="36"/>
  <c r="E104" i="36" s="1"/>
  <c r="E61" i="36"/>
  <c r="E134" i="36"/>
  <c r="E103" i="36"/>
  <c r="C31" i="36"/>
  <c r="E31" i="36" s="1"/>
  <c r="C64" i="36"/>
  <c r="E64" i="36" s="1"/>
  <c r="C127" i="36"/>
  <c r="E127" i="36" s="1"/>
  <c r="E65" i="36"/>
  <c r="C118" i="36"/>
  <c r="E118" i="36" s="1"/>
  <c r="E66" i="36"/>
  <c r="E100" i="36"/>
  <c r="E105" i="36"/>
  <c r="E101" i="36"/>
  <c r="E56" i="36"/>
  <c r="E55" i="36"/>
  <c r="E54" i="36"/>
  <c r="E99" i="36"/>
  <c r="E124" i="36"/>
  <c r="E102" i="36"/>
  <c r="E60" i="36"/>
  <c r="E58" i="36"/>
  <c r="E147" i="36"/>
  <c r="E63" i="36"/>
  <c r="E120" i="36"/>
  <c r="E46" i="36"/>
  <c r="E119" i="36"/>
  <c r="E129" i="36"/>
  <c r="E70" i="36"/>
  <c r="E148" i="36"/>
  <c r="E149" i="36"/>
  <c r="E141" i="36"/>
  <c r="E53" i="36"/>
  <c r="E128" i="36"/>
  <c r="E125" i="36"/>
  <c r="E44" i="36"/>
  <c r="E27" i="91" l="1"/>
  <c r="E25" i="94"/>
  <c r="E23" i="70"/>
  <c r="E24" i="105"/>
  <c r="E20" i="71"/>
  <c r="E18" i="85"/>
  <c r="E23" i="84"/>
  <c r="E22" i="53"/>
  <c r="E25" i="44"/>
  <c r="E23" i="69"/>
  <c r="E26" i="46"/>
  <c r="E24" i="49"/>
  <c r="E24" i="43"/>
  <c r="E22" i="45"/>
  <c r="E24" i="41"/>
  <c r="E24" i="42"/>
  <c r="E25" i="50"/>
  <c r="E26" i="38"/>
  <c r="M6" i="8"/>
  <c r="J12" i="10"/>
  <c r="J17" i="10" s="1"/>
  <c r="J19" i="10" s="1"/>
  <c r="D13" i="8"/>
  <c r="H13" i="8" s="1"/>
  <c r="D14" i="8"/>
  <c r="H14" i="8" s="1"/>
  <c r="O13" i="8"/>
  <c r="L13" i="8"/>
  <c r="H12" i="8"/>
  <c r="M8" i="8"/>
  <c r="M7" i="8"/>
  <c r="M5" i="8"/>
  <c r="M4" i="8"/>
  <c r="M3" i="8"/>
  <c r="K17" i="8"/>
  <c r="L17" i="8" s="1"/>
  <c r="E16" i="8"/>
  <c r="G16" i="8" s="1"/>
  <c r="E13" i="8"/>
  <c r="E12" i="8"/>
  <c r="E16" i="9"/>
  <c r="G16" i="9" s="1"/>
  <c r="E13" i="9"/>
  <c r="E12" i="9"/>
  <c r="H16" i="8"/>
  <c r="H15" i="8"/>
  <c r="D14" i="9"/>
  <c r="P10" i="9"/>
  <c r="H16" i="9"/>
  <c r="H16" i="10"/>
  <c r="E16" i="10"/>
  <c r="G16" i="10" s="1"/>
  <c r="C13" i="35"/>
  <c r="C25" i="35"/>
  <c r="C22" i="35"/>
  <c r="E30" i="94" s="1"/>
  <c r="C19" i="35"/>
  <c r="C20" i="35"/>
  <c r="C21" i="35"/>
  <c r="C26" i="35"/>
  <c r="C18" i="35"/>
  <c r="E28" i="8" s="1"/>
  <c r="H146" i="36"/>
  <c r="K13" i="16"/>
  <c r="M13" i="16" s="1"/>
  <c r="K12" i="16"/>
  <c r="M12" i="16" s="1"/>
  <c r="P16" i="16"/>
  <c r="R16" i="16" s="1"/>
  <c r="P15" i="16"/>
  <c r="R15" i="16" s="1"/>
  <c r="K14" i="17"/>
  <c r="M14" i="17" s="1"/>
  <c r="K13" i="17"/>
  <c r="M13" i="17" s="1"/>
  <c r="J12" i="17"/>
  <c r="K12" i="17" s="1"/>
  <c r="M12" i="17" s="1"/>
  <c r="P16" i="17"/>
  <c r="R16" i="17" s="1"/>
  <c r="P15" i="17"/>
  <c r="R15" i="17" s="1"/>
  <c r="K13" i="19"/>
  <c r="M13" i="19" s="1"/>
  <c r="K12" i="19"/>
  <c r="M12" i="19" s="1"/>
  <c r="O31" i="37"/>
  <c r="F42" i="104"/>
  <c r="G42" i="104" s="1"/>
  <c r="F41" i="104"/>
  <c r="G41" i="104" s="1"/>
  <c r="M32" i="104"/>
  <c r="H19" i="104"/>
  <c r="E19" i="104"/>
  <c r="G19" i="104" s="1"/>
  <c r="H18" i="104"/>
  <c r="E18" i="104"/>
  <c r="G18" i="104" s="1"/>
  <c r="H17" i="104"/>
  <c r="E17" i="104"/>
  <c r="G17" i="104" s="1"/>
  <c r="H16" i="104"/>
  <c r="E16" i="104"/>
  <c r="G16" i="104" s="1"/>
  <c r="H15" i="104"/>
  <c r="E15" i="104"/>
  <c r="G15" i="104" s="1"/>
  <c r="H14" i="104"/>
  <c r="E14" i="104"/>
  <c r="G14" i="104" s="1"/>
  <c r="H13" i="104"/>
  <c r="E13" i="104"/>
  <c r="G13" i="104" s="1"/>
  <c r="H12" i="104"/>
  <c r="E12" i="104"/>
  <c r="G12" i="104" s="1"/>
  <c r="E31" i="37"/>
  <c r="H149" i="36"/>
  <c r="E22" i="40"/>
  <c r="E17" i="40"/>
  <c r="G17" i="40" s="1"/>
  <c r="E16" i="40"/>
  <c r="G16" i="40" s="1"/>
  <c r="H14" i="40"/>
  <c r="E14" i="40"/>
  <c r="G14" i="40" s="1"/>
  <c r="E15" i="40"/>
  <c r="G15" i="40" s="1"/>
  <c r="H15" i="40"/>
  <c r="H16" i="40"/>
  <c r="H17" i="40"/>
  <c r="H12" i="40"/>
  <c r="H12" i="12"/>
  <c r="H9" i="12"/>
  <c r="N23" i="12"/>
  <c r="H19" i="12"/>
  <c r="H18" i="12"/>
  <c r="H17" i="12"/>
  <c r="H16" i="12"/>
  <c r="H15" i="12"/>
  <c r="H14" i="12"/>
  <c r="H13" i="12"/>
  <c r="E19" i="12"/>
  <c r="G19" i="12" s="1"/>
  <c r="E18" i="12"/>
  <c r="G18" i="12" s="1"/>
  <c r="E17" i="12"/>
  <c r="G17" i="12" s="1"/>
  <c r="C69" i="36"/>
  <c r="C68" i="36"/>
  <c r="C41" i="36"/>
  <c r="F33" i="16"/>
  <c r="G33" i="16" s="1"/>
  <c r="F34" i="16"/>
  <c r="G34" i="16" s="1"/>
  <c r="E20" i="16"/>
  <c r="H13" i="16"/>
  <c r="H12" i="16"/>
  <c r="L25" i="17"/>
  <c r="M26" i="17"/>
  <c r="L26" i="17"/>
  <c r="M9" i="18"/>
  <c r="L13" i="18" s="1"/>
  <c r="C43" i="36" l="1"/>
  <c r="C57" i="36"/>
  <c r="E57" i="36" s="1"/>
  <c r="C143" i="36"/>
  <c r="E143" i="36" s="1"/>
  <c r="C110" i="36"/>
  <c r="C132" i="36"/>
  <c r="E132" i="36" s="1"/>
  <c r="C81" i="36"/>
  <c r="E81" i="36" s="1"/>
  <c r="C67" i="36"/>
  <c r="C22" i="36"/>
  <c r="E22" i="36" s="1"/>
  <c r="C145" i="36"/>
  <c r="E145" i="36" s="1"/>
  <c r="L12" i="18"/>
  <c r="L15" i="18"/>
  <c r="L14" i="18"/>
  <c r="M9" i="8"/>
  <c r="M11" i="8" s="1"/>
  <c r="G13" i="8"/>
  <c r="G12" i="8"/>
  <c r="E24" i="104"/>
  <c r="I149" i="36"/>
  <c r="J149" i="36" s="1"/>
  <c r="M13" i="104"/>
  <c r="G20" i="104"/>
  <c r="G21" i="104" s="1"/>
  <c r="F31" i="37" s="1"/>
  <c r="M12" i="104"/>
  <c r="F20" i="16"/>
  <c r="G20" i="16" s="1"/>
  <c r="S5" i="17"/>
  <c r="H13" i="17"/>
  <c r="H14" i="17"/>
  <c r="H12" i="17"/>
  <c r="E15" i="18"/>
  <c r="D13" i="18"/>
  <c r="H13" i="18" s="1"/>
  <c r="F22" i="40" l="1"/>
  <c r="G22" i="40" s="1"/>
  <c r="F24" i="104"/>
  <c r="M14" i="104"/>
  <c r="D15" i="18"/>
  <c r="D12" i="18"/>
  <c r="H12" i="18" s="1"/>
  <c r="D14" i="18"/>
  <c r="G24" i="104" l="1"/>
  <c r="H14" i="18"/>
  <c r="H15" i="18"/>
  <c r="G15" i="18"/>
  <c r="C146" i="36"/>
  <c r="C24" i="36"/>
  <c r="C21" i="36"/>
  <c r="C12" i="36"/>
  <c r="C10" i="36"/>
  <c r="C9" i="36"/>
  <c r="C8" i="36"/>
  <c r="L15" i="55"/>
  <c r="L14" i="55"/>
  <c r="L13" i="55"/>
  <c r="L12" i="55"/>
  <c r="M27" i="55"/>
  <c r="M26" i="55"/>
  <c r="O9" i="55"/>
  <c r="N10" i="55" s="1"/>
  <c r="D23" i="37"/>
  <c r="H150" i="36"/>
  <c r="I150" i="36" s="1"/>
  <c r="J150" i="36" s="1"/>
  <c r="F24" i="21" s="1"/>
  <c r="L33" i="21"/>
  <c r="L32" i="21"/>
  <c r="N32" i="21" s="1"/>
  <c r="P32" i="21" s="1"/>
  <c r="E24" i="21"/>
  <c r="H14" i="21"/>
  <c r="H15" i="21"/>
  <c r="H17" i="21"/>
  <c r="H18" i="21"/>
  <c r="H19" i="21"/>
  <c r="H13" i="21"/>
  <c r="E19" i="21"/>
  <c r="G19" i="21" s="1"/>
  <c r="E18" i="21"/>
  <c r="G18" i="21" s="1"/>
  <c r="E17" i="21"/>
  <c r="G17" i="21" s="1"/>
  <c r="E15" i="21"/>
  <c r="G15" i="21" s="1"/>
  <c r="E14" i="21"/>
  <c r="G14" i="21" s="1"/>
  <c r="E13" i="21"/>
  <c r="G13" i="21" s="1"/>
  <c r="H15" i="22"/>
  <c r="H14" i="22"/>
  <c r="H13" i="22"/>
  <c r="E14" i="22"/>
  <c r="G14" i="22" s="1"/>
  <c r="E15" i="22"/>
  <c r="G15" i="22" s="1"/>
  <c r="E13" i="22"/>
  <c r="G13" i="22" s="1"/>
  <c r="H18" i="22"/>
  <c r="H19" i="22"/>
  <c r="H17" i="22"/>
  <c r="E14" i="96"/>
  <c r="G14" i="96" s="1"/>
  <c r="E13" i="96"/>
  <c r="G13" i="96" s="1"/>
  <c r="L24" i="19"/>
  <c r="K25" i="19"/>
  <c r="K24" i="19"/>
  <c r="H13" i="19"/>
  <c r="H12" i="19"/>
  <c r="L26" i="99"/>
  <c r="L25" i="99"/>
  <c r="H14" i="99"/>
  <c r="H13" i="99"/>
  <c r="H12" i="99"/>
  <c r="H14" i="98"/>
  <c r="H13" i="98"/>
  <c r="H12" i="98"/>
  <c r="O78" i="37"/>
  <c r="O77" i="37"/>
  <c r="O76" i="37"/>
  <c r="O75" i="37"/>
  <c r="H12" i="97"/>
  <c r="H14" i="97"/>
  <c r="H13" i="97"/>
  <c r="L32" i="23"/>
  <c r="N32" i="23" s="1"/>
  <c r="L31" i="23"/>
  <c r="N31" i="23" s="1"/>
  <c r="E18" i="23"/>
  <c r="E19" i="23"/>
  <c r="G19" i="23" s="1"/>
  <c r="E13" i="23"/>
  <c r="G13" i="23" s="1"/>
  <c r="E14" i="23"/>
  <c r="H13" i="23"/>
  <c r="H14" i="23"/>
  <c r="H15" i="23"/>
  <c r="H17" i="23"/>
  <c r="H18" i="23"/>
  <c r="H19" i="23"/>
  <c r="M19" i="25"/>
  <c r="M18" i="25"/>
  <c r="M13" i="25"/>
  <c r="N13" i="25" s="1"/>
  <c r="N17" i="25" s="1"/>
  <c r="E16" i="37"/>
  <c r="E17" i="37"/>
  <c r="E18" i="37"/>
  <c r="T17" i="26"/>
  <c r="T16" i="26"/>
  <c r="R11" i="26"/>
  <c r="R10" i="26"/>
  <c r="R9" i="26"/>
  <c r="R8" i="26"/>
  <c r="P10" i="26"/>
  <c r="P11" i="26"/>
  <c r="P9" i="26"/>
  <c r="P8" i="26"/>
  <c r="M11" i="26"/>
  <c r="M10" i="26"/>
  <c r="M9" i="26"/>
  <c r="M8" i="26"/>
  <c r="K9" i="27"/>
  <c r="M9" i="27" s="1"/>
  <c r="N27" i="55" l="1"/>
  <c r="C20" i="36"/>
  <c r="C86" i="36"/>
  <c r="E86" i="36" s="1"/>
  <c r="C87" i="36"/>
  <c r="E87" i="36" s="1"/>
  <c r="C17" i="36"/>
  <c r="E17" i="36" s="1"/>
  <c r="C18" i="36"/>
  <c r="E18" i="36" s="1"/>
  <c r="C88" i="36"/>
  <c r="E88" i="36" s="1"/>
  <c r="C19" i="36"/>
  <c r="E19" i="36" s="1"/>
  <c r="C85" i="36"/>
  <c r="E85" i="36" s="1"/>
  <c r="C140" i="36"/>
  <c r="E140" i="36" s="1"/>
  <c r="C111" i="36"/>
  <c r="C25" i="36"/>
  <c r="C42" i="36"/>
  <c r="C48" i="36"/>
  <c r="C33" i="36"/>
  <c r="C92" i="36"/>
  <c r="C73" i="36"/>
  <c r="C123" i="36"/>
  <c r="E123" i="36" s="1"/>
  <c r="C13" i="36"/>
  <c r="C98" i="36"/>
  <c r="E98" i="36" s="1"/>
  <c r="C79" i="36"/>
  <c r="E79" i="36" s="1"/>
  <c r="C27" i="36"/>
  <c r="C112" i="36"/>
  <c r="C82" i="36"/>
  <c r="E82" i="36" s="1"/>
  <c r="C59" i="36"/>
  <c r="E59" i="36" s="1"/>
  <c r="C45" i="36"/>
  <c r="E45" i="36" s="1"/>
  <c r="C30" i="36"/>
  <c r="C74" i="36"/>
  <c r="C137" i="36"/>
  <c r="E137" i="36" s="1"/>
  <c r="C49" i="36"/>
  <c r="E49" i="36" s="1"/>
  <c r="C126" i="36"/>
  <c r="E126" i="36" s="1"/>
  <c r="C14" i="36"/>
  <c r="C94" i="36"/>
  <c r="C52" i="36"/>
  <c r="E52" i="36" s="1"/>
  <c r="C83" i="36"/>
  <c r="E83" i="36" s="1"/>
  <c r="C29" i="36"/>
  <c r="C76" i="36"/>
  <c r="E76" i="36" s="1"/>
  <c r="C39" i="36"/>
  <c r="C23" i="36"/>
  <c r="C121" i="36"/>
  <c r="E121" i="36" s="1"/>
  <c r="E117" i="36" s="1"/>
  <c r="C80" i="36"/>
  <c r="E80" i="36" s="1"/>
  <c r="C28" i="36"/>
  <c r="C40" i="36"/>
  <c r="C77" i="36"/>
  <c r="E77" i="36" s="1"/>
  <c r="C97" i="36"/>
  <c r="E97" i="36" s="1"/>
  <c r="C78" i="36"/>
  <c r="E78" i="36" s="1"/>
  <c r="C26" i="36"/>
  <c r="R12" i="26"/>
  <c r="Q33" i="21"/>
  <c r="P24" i="55"/>
  <c r="P26" i="55" s="1"/>
  <c r="N13" i="55"/>
  <c r="P13" i="55" s="1"/>
  <c r="N15" i="55"/>
  <c r="P15" i="55" s="1"/>
  <c r="N14" i="55"/>
  <c r="P14" i="55" s="1"/>
  <c r="N12" i="55"/>
  <c r="P12" i="55" s="1"/>
  <c r="N33" i="21"/>
  <c r="P33" i="21" s="1"/>
  <c r="G20" i="21"/>
  <c r="M26" i="99"/>
  <c r="O32" i="23"/>
  <c r="N18" i="25"/>
  <c r="D13" i="25" s="1"/>
  <c r="N19" i="25"/>
  <c r="D12" i="25" s="1"/>
  <c r="M12" i="26"/>
  <c r="P12" i="26"/>
  <c r="U15" i="26" s="1"/>
  <c r="U17" i="26" s="1"/>
  <c r="D12" i="26" s="1"/>
  <c r="O16" i="27"/>
  <c r="O15" i="27"/>
  <c r="P14" i="27"/>
  <c r="E24" i="82" l="1"/>
  <c r="E21" i="77"/>
  <c r="E135" i="36"/>
  <c r="I135" i="36" s="1"/>
  <c r="J135" i="36" s="1"/>
  <c r="E84" i="36"/>
  <c r="I84" i="36" s="1"/>
  <c r="J84" i="36" s="1"/>
  <c r="I117" i="36"/>
  <c r="J117" i="36" s="1"/>
  <c r="E24" i="52"/>
  <c r="E122" i="36"/>
  <c r="I122" i="36" s="1"/>
  <c r="J122" i="36" s="1"/>
  <c r="H12" i="26"/>
  <c r="U16" i="26"/>
  <c r="D13" i="26" s="1"/>
  <c r="P16" i="27"/>
  <c r="D12" i="27" s="1"/>
  <c r="H12" i="27" s="1"/>
  <c r="P15" i="27"/>
  <c r="D13" i="27" s="1"/>
  <c r="H13" i="27" s="1"/>
  <c r="F19" i="85" l="1"/>
  <c r="F24" i="84"/>
  <c r="F24" i="52"/>
  <c r="F24" i="82"/>
  <c r="F21" i="77"/>
  <c r="E19" i="85"/>
  <c r="E24" i="84"/>
  <c r="F27" i="46"/>
  <c r="F25" i="49"/>
  <c r="F24" i="69"/>
  <c r="F26" i="44"/>
  <c r="F23" i="45"/>
  <c r="F25" i="43"/>
  <c r="F25" i="41"/>
  <c r="F25" i="42"/>
  <c r="E26" i="44"/>
  <c r="E24" i="69"/>
  <c r="E25" i="49"/>
  <c r="E27" i="46"/>
  <c r="E25" i="43"/>
  <c r="E23" i="45"/>
  <c r="E25" i="41"/>
  <c r="E25" i="42"/>
  <c r="H13" i="26"/>
  <c r="O14" i="73"/>
  <c r="O13" i="73"/>
  <c r="N10" i="73"/>
  <c r="N9" i="73"/>
  <c r="J9" i="73"/>
  <c r="H12" i="73"/>
  <c r="H14" i="72"/>
  <c r="H15" i="72"/>
  <c r="H16" i="72"/>
  <c r="H17" i="72"/>
  <c r="H13" i="72"/>
  <c r="H12" i="72"/>
  <c r="H17" i="28"/>
  <c r="H16" i="28"/>
  <c r="H15" i="28"/>
  <c r="H14" i="28"/>
  <c r="H13" i="28"/>
  <c r="H12" i="28"/>
  <c r="N44" i="29"/>
  <c r="P44" i="29" s="1"/>
  <c r="N43" i="29"/>
  <c r="P43" i="29" s="1"/>
  <c r="Q44" i="29" s="1"/>
  <c r="H24" i="29"/>
  <c r="E24" i="29"/>
  <c r="G24" i="29" s="1"/>
  <c r="H23" i="29"/>
  <c r="D22" i="29"/>
  <c r="H22" i="29" s="1"/>
  <c r="E22" i="29"/>
  <c r="H28" i="29"/>
  <c r="H29" i="29"/>
  <c r="H30" i="29"/>
  <c r="H27" i="29"/>
  <c r="H26" i="29"/>
  <c r="E27" i="29"/>
  <c r="G27" i="29" s="1"/>
  <c r="E28" i="29"/>
  <c r="G28" i="29" s="1"/>
  <c r="E29" i="29"/>
  <c r="G29" i="29" s="1"/>
  <c r="E30" i="29"/>
  <c r="G30" i="29" s="1"/>
  <c r="E26" i="29"/>
  <c r="G26" i="29" s="1"/>
  <c r="H21" i="29"/>
  <c r="H20" i="29"/>
  <c r="H19" i="29"/>
  <c r="E21" i="29"/>
  <c r="G21" i="29" s="1"/>
  <c r="E19" i="29"/>
  <c r="G19" i="29" s="1"/>
  <c r="H14" i="24"/>
  <c r="H13" i="24"/>
  <c r="H12" i="24"/>
  <c r="H32" i="29"/>
  <c r="H17" i="29"/>
  <c r="H16" i="29"/>
  <c r="H15" i="29"/>
  <c r="H14" i="29"/>
  <c r="H13" i="29"/>
  <c r="E115" i="36"/>
  <c r="E116" i="36"/>
  <c r="E114" i="36"/>
  <c r="J26" i="31"/>
  <c r="J27" i="31" s="1"/>
  <c r="E12" i="36"/>
  <c r="N15" i="30"/>
  <c r="N14" i="30"/>
  <c r="N16" i="30"/>
  <c r="H17" i="30"/>
  <c r="H16" i="30"/>
  <c r="H15" i="30"/>
  <c r="H14" i="30"/>
  <c r="H13" i="30"/>
  <c r="N15" i="31"/>
  <c r="N16" i="31"/>
  <c r="N14" i="31"/>
  <c r="H17" i="31"/>
  <c r="H16" i="31"/>
  <c r="H15" i="31"/>
  <c r="H14" i="31"/>
  <c r="H13" i="31"/>
  <c r="H12" i="31"/>
  <c r="H13" i="32"/>
  <c r="H14" i="32"/>
  <c r="H15" i="32"/>
  <c r="H16" i="32"/>
  <c r="H17" i="32"/>
  <c r="L16" i="32"/>
  <c r="L15" i="32"/>
  <c r="H12" i="32"/>
  <c r="N15" i="33"/>
  <c r="N16" i="33"/>
  <c r="H113" i="36"/>
  <c r="N12" i="33"/>
  <c r="N13" i="33"/>
  <c r="H13" i="33"/>
  <c r="H14" i="33"/>
  <c r="H15" i="33"/>
  <c r="H16" i="33"/>
  <c r="H17" i="33"/>
  <c r="H12" i="33"/>
  <c r="E14" i="36"/>
  <c r="E13" i="36"/>
  <c r="E24" i="36"/>
  <c r="E20" i="36"/>
  <c r="E21" i="36"/>
  <c r="E40" i="36"/>
  <c r="E28" i="36"/>
  <c r="E23" i="36"/>
  <c r="E26" i="36"/>
  <c r="H11" i="36"/>
  <c r="E27" i="36"/>
  <c r="E30" i="36"/>
  <c r="E25" i="36"/>
  <c r="E29" i="36"/>
  <c r="N9" i="9"/>
  <c r="P9" i="9" s="1"/>
  <c r="P11" i="9" s="1"/>
  <c r="P13" i="9" s="1"/>
  <c r="D15" i="9"/>
  <c r="H15" i="9" s="1"/>
  <c r="H14" i="9"/>
  <c r="H13" i="9"/>
  <c r="H12" i="9"/>
  <c r="G12" i="9"/>
  <c r="D14" i="10"/>
  <c r="H14" i="10" s="1"/>
  <c r="D15" i="10"/>
  <c r="H13" i="10"/>
  <c r="E42" i="36"/>
  <c r="E43" i="36"/>
  <c r="E41" i="36"/>
  <c r="E38" i="36"/>
  <c r="E39" i="36"/>
  <c r="D95" i="36"/>
  <c r="E48" i="36"/>
  <c r="E47" i="36" s="1"/>
  <c r="H148" i="36"/>
  <c r="H147" i="36"/>
  <c r="H91" i="36"/>
  <c r="H71" i="36"/>
  <c r="H62" i="36"/>
  <c r="H32" i="36"/>
  <c r="H7" i="36"/>
  <c r="E34" i="36"/>
  <c r="E37" i="36"/>
  <c r="E36" i="36"/>
  <c r="E146" i="36"/>
  <c r="E33" i="36"/>
  <c r="E110" i="36"/>
  <c r="E112" i="36"/>
  <c r="E111" i="36"/>
  <c r="E109" i="36"/>
  <c r="E108" i="36"/>
  <c r="E93" i="36"/>
  <c r="E107" i="36"/>
  <c r="E106" i="36"/>
  <c r="E94" i="36"/>
  <c r="E74" i="36"/>
  <c r="E73" i="36"/>
  <c r="E72" i="36"/>
  <c r="E69" i="36"/>
  <c r="E68" i="36"/>
  <c r="E67" i="36"/>
  <c r="H17" i="13"/>
  <c r="H18" i="13"/>
  <c r="H19" i="13"/>
  <c r="F40" i="15"/>
  <c r="F41" i="15"/>
  <c r="H13" i="13"/>
  <c r="H14" i="13"/>
  <c r="H15" i="13"/>
  <c r="H16" i="13"/>
  <c r="H12" i="13"/>
  <c r="M30" i="13"/>
  <c r="N34" i="15"/>
  <c r="L35" i="14"/>
  <c r="E10" i="36"/>
  <c r="E9" i="36"/>
  <c r="E8" i="36"/>
  <c r="H21" i="14"/>
  <c r="H20" i="14"/>
  <c r="H19" i="14"/>
  <c r="K12" i="15"/>
  <c r="K13" i="15"/>
  <c r="K14" i="15"/>
  <c r="K15" i="15"/>
  <c r="K16" i="15"/>
  <c r="K17" i="15"/>
  <c r="K18" i="15"/>
  <c r="K19" i="15"/>
  <c r="K20" i="15"/>
  <c r="H14" i="14"/>
  <c r="H13" i="14"/>
  <c r="H18" i="14"/>
  <c r="H17" i="14"/>
  <c r="H16" i="14"/>
  <c r="H12" i="14"/>
  <c r="H15" i="14"/>
  <c r="H21" i="100"/>
  <c r="H20" i="100"/>
  <c r="H19" i="100"/>
  <c r="H18" i="100"/>
  <c r="H17" i="100"/>
  <c r="H16" i="100"/>
  <c r="H15" i="100"/>
  <c r="H14" i="100"/>
  <c r="H13" i="100"/>
  <c r="H12" i="100"/>
  <c r="I47" i="36" l="1"/>
  <c r="J47" i="36" s="1"/>
  <c r="E25" i="91"/>
  <c r="E23" i="94"/>
  <c r="G25" i="41"/>
  <c r="E62" i="36"/>
  <c r="E25" i="105" s="1"/>
  <c r="E71" i="36"/>
  <c r="I71" i="36" s="1"/>
  <c r="J71" i="36" s="1"/>
  <c r="E32" i="36"/>
  <c r="E21" i="8" s="1"/>
  <c r="E11" i="36"/>
  <c r="E113" i="36"/>
  <c r="E14" i="8"/>
  <c r="G14" i="8" s="1"/>
  <c r="E14" i="9"/>
  <c r="G14" i="9" s="1"/>
  <c r="E14" i="10"/>
  <c r="G14" i="10" s="1"/>
  <c r="E15" i="8"/>
  <c r="G15" i="8" s="1"/>
  <c r="E15" i="9"/>
  <c r="G15" i="9" s="1"/>
  <c r="E15" i="10"/>
  <c r="G15" i="10" s="1"/>
  <c r="E22" i="9"/>
  <c r="E22" i="8"/>
  <c r="E22" i="10"/>
  <c r="I146" i="36"/>
  <c r="J146" i="36" s="1"/>
  <c r="G22" i="29"/>
  <c r="H15" i="10"/>
  <c r="I147" i="36"/>
  <c r="J147" i="36" s="1"/>
  <c r="E92" i="36"/>
  <c r="E95" i="36"/>
  <c r="E7" i="36"/>
  <c r="E26" i="91" l="1"/>
  <c r="E24" i="94"/>
  <c r="F27" i="91"/>
  <c r="G27" i="91" s="1"/>
  <c r="F25" i="94"/>
  <c r="G25" i="94" s="1"/>
  <c r="F25" i="91"/>
  <c r="F23" i="94"/>
  <c r="E23" i="88"/>
  <c r="E23" i="90"/>
  <c r="E24" i="88"/>
  <c r="E24" i="90"/>
  <c r="E22" i="88"/>
  <c r="E22" i="90"/>
  <c r="F18" i="85"/>
  <c r="F23" i="84"/>
  <c r="F20" i="71"/>
  <c r="E21" i="71"/>
  <c r="E24" i="70"/>
  <c r="E18" i="54"/>
  <c r="E22" i="51"/>
  <c r="E26" i="22"/>
  <c r="E23" i="51"/>
  <c r="E19" i="54"/>
  <c r="E21" i="51"/>
  <c r="F22" i="53"/>
  <c r="G22" i="53" s="1"/>
  <c r="F26" i="46"/>
  <c r="F23" i="69"/>
  <c r="F24" i="49"/>
  <c r="F25" i="44"/>
  <c r="F24" i="41"/>
  <c r="F22" i="45"/>
  <c r="F24" i="43"/>
  <c r="F24" i="42"/>
  <c r="E23" i="53"/>
  <c r="E26" i="50"/>
  <c r="E27" i="38"/>
  <c r="E19" i="17"/>
  <c r="E24" i="31"/>
  <c r="E24" i="28"/>
  <c r="E39" i="29"/>
  <c r="E24" i="72"/>
  <c r="E91" i="36"/>
  <c r="I91" i="36" s="1"/>
  <c r="J91" i="36" s="1"/>
  <c r="E19" i="27"/>
  <c r="E21" i="24"/>
  <c r="E21" i="97"/>
  <c r="E19" i="26"/>
  <c r="E26" i="23"/>
  <c r="E20" i="25"/>
  <c r="E21" i="98"/>
  <c r="I113" i="36"/>
  <c r="J113" i="36" s="1"/>
  <c r="E18" i="19"/>
  <c r="E19" i="99"/>
  <c r="E24" i="33"/>
  <c r="E27" i="21"/>
  <c r="E24" i="30"/>
  <c r="E20" i="18"/>
  <c r="E24" i="32"/>
  <c r="E18" i="16"/>
  <c r="E20" i="55"/>
  <c r="F22" i="10"/>
  <c r="G22" i="10" s="1"/>
  <c r="F22" i="9"/>
  <c r="G22" i="9" s="1"/>
  <c r="F22" i="8"/>
  <c r="G22" i="8" s="1"/>
  <c r="G17" i="8"/>
  <c r="E25" i="21"/>
  <c r="E25" i="104"/>
  <c r="E23" i="40"/>
  <c r="E20" i="17"/>
  <c r="E19" i="16"/>
  <c r="E21" i="18"/>
  <c r="E26" i="21"/>
  <c r="E21" i="55"/>
  <c r="E24" i="22"/>
  <c r="E24" i="23"/>
  <c r="E19" i="97"/>
  <c r="E19" i="98"/>
  <c r="E19" i="19"/>
  <c r="E25" i="23"/>
  <c r="E18" i="26"/>
  <c r="E25" i="22"/>
  <c r="E19" i="25"/>
  <c r="E20" i="99"/>
  <c r="E20" i="98"/>
  <c r="E20" i="97"/>
  <c r="E18" i="27"/>
  <c r="E22" i="30"/>
  <c r="E37" i="29"/>
  <c r="E22" i="72"/>
  <c r="E20" i="24"/>
  <c r="E22" i="28"/>
  <c r="E19" i="24"/>
  <c r="E38" i="29"/>
  <c r="E23" i="28"/>
  <c r="E23" i="72"/>
  <c r="E26" i="14"/>
  <c r="E23" i="33"/>
  <c r="E23" i="32"/>
  <c r="E23" i="30"/>
  <c r="E23" i="31"/>
  <c r="E22" i="31"/>
  <c r="E22" i="32"/>
  <c r="I11" i="36"/>
  <c r="J11" i="36" s="1"/>
  <c r="E22" i="33"/>
  <c r="E21" i="10"/>
  <c r="E21" i="9"/>
  <c r="K21" i="15"/>
  <c r="F22" i="90" l="1"/>
  <c r="F22" i="88"/>
  <c r="F24" i="88"/>
  <c r="G24" i="88" s="1"/>
  <c r="F24" i="90"/>
  <c r="G24" i="90" s="1"/>
  <c r="F19" i="54"/>
  <c r="F21" i="51"/>
  <c r="F20" i="55"/>
  <c r="F23" i="51"/>
  <c r="G23" i="51" s="1"/>
  <c r="F19" i="17"/>
  <c r="F24" i="31"/>
  <c r="G24" i="31" s="1"/>
  <c r="F18" i="16"/>
  <c r="F24" i="72"/>
  <c r="G24" i="72" s="1"/>
  <c r="F19" i="99"/>
  <c r="F21" i="98"/>
  <c r="G21" i="98" s="1"/>
  <c r="F18" i="19"/>
  <c r="F24" i="28"/>
  <c r="G24" i="28" s="1"/>
  <c r="F19" i="27"/>
  <c r="G19" i="27" s="1"/>
  <c r="F39" i="29"/>
  <c r="G39" i="29" s="1"/>
  <c r="F21" i="97"/>
  <c r="G21" i="97" s="1"/>
  <c r="F20" i="18"/>
  <c r="F20" i="25"/>
  <c r="G20" i="25" s="1"/>
  <c r="F26" i="22"/>
  <c r="G26" i="22" s="1"/>
  <c r="F19" i="26"/>
  <c r="G19" i="26" s="1"/>
  <c r="F24" i="32"/>
  <c r="F24" i="33"/>
  <c r="G24" i="33" s="1"/>
  <c r="F24" i="30"/>
  <c r="G24" i="30" s="1"/>
  <c r="F27" i="21"/>
  <c r="G27" i="21" s="1"/>
  <c r="F21" i="24"/>
  <c r="G21" i="24" s="1"/>
  <c r="F26" i="23"/>
  <c r="G26" i="23" s="1"/>
  <c r="F22" i="32"/>
  <c r="F19" i="16"/>
  <c r="F21" i="18"/>
  <c r="F20" i="17"/>
  <c r="G20" i="17" s="1"/>
  <c r="F26" i="21"/>
  <c r="F21" i="55"/>
  <c r="F19" i="19"/>
  <c r="F25" i="23"/>
  <c r="G25" i="23" s="1"/>
  <c r="F25" i="22"/>
  <c r="G25" i="22" s="1"/>
  <c r="F18" i="26"/>
  <c r="F19" i="25"/>
  <c r="F20" i="98"/>
  <c r="F20" i="99"/>
  <c r="F20" i="97"/>
  <c r="G20" i="97" s="1"/>
  <c r="F18" i="27"/>
  <c r="F22" i="30"/>
  <c r="F22" i="28"/>
  <c r="F22" i="72"/>
  <c r="F20" i="24"/>
  <c r="F37" i="29"/>
  <c r="F22" i="33"/>
  <c r="F22" i="31"/>
  <c r="H12" i="15"/>
  <c r="H16" i="15"/>
  <c r="H17" i="15"/>
  <c r="H18" i="15"/>
  <c r="H19" i="15"/>
  <c r="H20" i="15"/>
  <c r="H21" i="15"/>
  <c r="H13" i="15"/>
  <c r="H14" i="15"/>
  <c r="H15" i="15"/>
  <c r="E26" i="104" l="1"/>
  <c r="E24" i="40"/>
  <c r="E26" i="100"/>
  <c r="E24" i="12"/>
  <c r="I148" i="36"/>
  <c r="J148" i="36" s="1"/>
  <c r="E27" i="14"/>
  <c r="E24" i="13"/>
  <c r="E26" i="15"/>
  <c r="E21" i="15"/>
  <c r="G21" i="15" s="1"/>
  <c r="E19" i="15"/>
  <c r="G19" i="15" s="1"/>
  <c r="P12" i="12"/>
  <c r="Q12" i="12" s="1"/>
  <c r="P10" i="12"/>
  <c r="Q10" i="12" s="1"/>
  <c r="F23" i="70" l="1"/>
  <c r="F24" i="105"/>
  <c r="F26" i="15"/>
  <c r="H26" i="15" s="1"/>
  <c r="F25" i="50"/>
  <c r="F26" i="38"/>
  <c r="F26" i="100"/>
  <c r="E27" i="104"/>
  <c r="E25" i="40"/>
  <c r="F24" i="12"/>
  <c r="F26" i="104"/>
  <c r="G26" i="104" s="1"/>
  <c r="F24" i="40"/>
  <c r="G24" i="40" s="1"/>
  <c r="E27" i="100"/>
  <c r="E25" i="12"/>
  <c r="F27" i="14"/>
  <c r="H27" i="14" s="1"/>
  <c r="F24" i="13"/>
  <c r="E19" i="14"/>
  <c r="G19" i="14" s="1"/>
  <c r="E17" i="13"/>
  <c r="G17" i="13" s="1"/>
  <c r="E17" i="100"/>
  <c r="G17" i="100" s="1"/>
  <c r="E21" i="14"/>
  <c r="G21" i="14" s="1"/>
  <c r="E19" i="13"/>
  <c r="G19" i="13" s="1"/>
  <c r="E19" i="100"/>
  <c r="G19" i="100" s="1"/>
  <c r="E20" i="15"/>
  <c r="G20" i="15" s="1"/>
  <c r="E18" i="13"/>
  <c r="G18" i="13" s="1"/>
  <c r="E20" i="14"/>
  <c r="G20" i="14" s="1"/>
  <c r="E18" i="100"/>
  <c r="G18" i="100" s="1"/>
  <c r="I62" i="36"/>
  <c r="J62" i="36" s="1"/>
  <c r="F25" i="105" s="1"/>
  <c r="G25" i="105" s="1"/>
  <c r="E28" i="14"/>
  <c r="E25" i="13"/>
  <c r="E27" i="15"/>
  <c r="N24" i="12"/>
  <c r="O24" i="12" s="1"/>
  <c r="P11" i="12"/>
  <c r="Q11" i="12" s="1"/>
  <c r="R12" i="12" s="1"/>
  <c r="R14" i="12" s="1"/>
  <c r="L29" i="12"/>
  <c r="F37" i="101"/>
  <c r="G37" i="101" s="1"/>
  <c r="F36" i="101"/>
  <c r="G36" i="101" s="1"/>
  <c r="I18" i="101"/>
  <c r="I17" i="101"/>
  <c r="I16" i="101"/>
  <c r="I15" i="101"/>
  <c r="I14" i="101"/>
  <c r="I13" i="101"/>
  <c r="I12" i="101"/>
  <c r="E12" i="101"/>
  <c r="G12" i="101" s="1"/>
  <c r="G24" i="105" l="1"/>
  <c r="G26" i="105" s="1"/>
  <c r="G27" i="105" s="1"/>
  <c r="L87" i="37" s="1"/>
  <c r="F21" i="71"/>
  <c r="F24" i="70"/>
  <c r="K26" i="15"/>
  <c r="F23" i="53"/>
  <c r="F26" i="50"/>
  <c r="F27" i="38"/>
  <c r="H24" i="13"/>
  <c r="F25" i="40"/>
  <c r="F27" i="104"/>
  <c r="G27" i="104" s="1"/>
  <c r="F27" i="15"/>
  <c r="H27" i="15" s="1"/>
  <c r="F25" i="12"/>
  <c r="G25" i="12" s="1"/>
  <c r="F27" i="100"/>
  <c r="G27" i="14"/>
  <c r="F25" i="13"/>
  <c r="H25" i="13" s="1"/>
  <c r="F28" i="14"/>
  <c r="H28" i="14" s="1"/>
  <c r="E17" i="101"/>
  <c r="G17" i="101" s="1"/>
  <c r="E18" i="101"/>
  <c r="G18" i="101" s="1"/>
  <c r="E16" i="101"/>
  <c r="G16" i="101" s="1"/>
  <c r="E14" i="101"/>
  <c r="G14" i="101" s="1"/>
  <c r="E15" i="101"/>
  <c r="G15" i="101" s="1"/>
  <c r="D78" i="37"/>
  <c r="F40" i="100"/>
  <c r="G40" i="100" s="1"/>
  <c r="F39" i="100"/>
  <c r="G39" i="100" s="1"/>
  <c r="E12" i="100"/>
  <c r="G12" i="100" s="1"/>
  <c r="K26" i="16"/>
  <c r="K25" i="16"/>
  <c r="E13" i="16"/>
  <c r="G13" i="16" s="1"/>
  <c r="K27" i="15" l="1"/>
  <c r="E13" i="101"/>
  <c r="G13" i="101" s="1"/>
  <c r="G19" i="101" s="1"/>
  <c r="G20" i="101" s="1"/>
  <c r="E12" i="13"/>
  <c r="G12" i="13" s="1"/>
  <c r="D77" i="37" l="1"/>
  <c r="F34" i="99"/>
  <c r="G34" i="99" s="1"/>
  <c r="F33" i="99"/>
  <c r="G33" i="99" s="1"/>
  <c r="E14" i="99"/>
  <c r="E13" i="99"/>
  <c r="G13" i="99" s="1"/>
  <c r="E12" i="99"/>
  <c r="F35" i="98"/>
  <c r="G35" i="98" s="1"/>
  <c r="F34" i="98"/>
  <c r="G34" i="98" s="1"/>
  <c r="O27" i="98"/>
  <c r="O26" i="98"/>
  <c r="M14" i="98"/>
  <c r="E14" i="98"/>
  <c r="G14" i="98" s="1"/>
  <c r="M13" i="98"/>
  <c r="E13" i="98"/>
  <c r="G13" i="98" s="1"/>
  <c r="M12" i="98"/>
  <c r="E12" i="98"/>
  <c r="G12" i="98" s="1"/>
  <c r="D75" i="37"/>
  <c r="O27" i="97"/>
  <c r="O26" i="97"/>
  <c r="M14" i="97"/>
  <c r="M13" i="97"/>
  <c r="F35" i="97"/>
  <c r="G35" i="97" s="1"/>
  <c r="F34" i="97"/>
  <c r="G34" i="97" s="1"/>
  <c r="E14" i="97"/>
  <c r="G14" i="97" s="1"/>
  <c r="E13" i="97"/>
  <c r="G13" i="97" s="1"/>
  <c r="E12" i="97"/>
  <c r="G12" i="97" s="1"/>
  <c r="M66" i="37"/>
  <c r="M67" i="37"/>
  <c r="M68" i="37"/>
  <c r="M69" i="37"/>
  <c r="M70" i="37"/>
  <c r="M71" i="37"/>
  <c r="M72" i="37"/>
  <c r="M73" i="37"/>
  <c r="M74" i="37"/>
  <c r="D65" i="37"/>
  <c r="D64" i="37"/>
  <c r="D63" i="37"/>
  <c r="D62" i="37"/>
  <c r="D61" i="37"/>
  <c r="D60" i="37"/>
  <c r="D59" i="37"/>
  <c r="D58" i="37"/>
  <c r="M27" i="24"/>
  <c r="L27" i="24"/>
  <c r="L26" i="24"/>
  <c r="M14" i="24"/>
  <c r="M13" i="24"/>
  <c r="M12" i="24"/>
  <c r="E13" i="95"/>
  <c r="E15" i="96"/>
  <c r="G15" i="96" s="1"/>
  <c r="F38" i="96"/>
  <c r="G38" i="96" s="1"/>
  <c r="F37" i="96"/>
  <c r="G37" i="96" s="1"/>
  <c r="E19" i="96"/>
  <c r="G19" i="96" s="1"/>
  <c r="E18" i="96"/>
  <c r="G18" i="96" s="1"/>
  <c r="E17" i="96"/>
  <c r="G17" i="96" s="1"/>
  <c r="E16" i="96"/>
  <c r="G16" i="96" s="1"/>
  <c r="E12" i="96"/>
  <c r="G12" i="96" s="1"/>
  <c r="P27" i="98" l="1"/>
  <c r="P27" i="97"/>
  <c r="G14" i="99"/>
  <c r="G12" i="99"/>
  <c r="G15" i="98"/>
  <c r="G16" i="98" s="1"/>
  <c r="F76" i="37" s="1"/>
  <c r="G15" i="97"/>
  <c r="G16" i="97" s="1"/>
  <c r="F75" i="37" s="1"/>
  <c r="G20" i="96"/>
  <c r="G21" i="96" s="1"/>
  <c r="G13" i="95"/>
  <c r="E14" i="95"/>
  <c r="G14" i="95" s="1"/>
  <c r="E17" i="95"/>
  <c r="G17" i="95" s="1"/>
  <c r="F36" i="95"/>
  <c r="G36" i="95" s="1"/>
  <c r="F35" i="95"/>
  <c r="G35" i="95" s="1"/>
  <c r="E16" i="95"/>
  <c r="G16" i="95" s="1"/>
  <c r="E15" i="95"/>
  <c r="G15" i="95" s="1"/>
  <c r="E12" i="95"/>
  <c r="G12" i="95" s="1"/>
  <c r="G15" i="99" l="1"/>
  <c r="G16" i="99" s="1"/>
  <c r="G18" i="95"/>
  <c r="G19" i="95" s="1"/>
  <c r="F77" i="37" l="1"/>
  <c r="E17" i="92"/>
  <c r="G17" i="92" s="1"/>
  <c r="E18" i="92"/>
  <c r="G18" i="92" s="1"/>
  <c r="E19" i="92"/>
  <c r="G19" i="92" s="1"/>
  <c r="E20" i="92"/>
  <c r="F38" i="94" l="1"/>
  <c r="G38" i="94" s="1"/>
  <c r="F37" i="94"/>
  <c r="G37" i="94" s="1"/>
  <c r="E17" i="94"/>
  <c r="G17" i="94" s="1"/>
  <c r="E16" i="94"/>
  <c r="G16" i="94" s="1"/>
  <c r="E15" i="94"/>
  <c r="G15" i="94" s="1"/>
  <c r="E14" i="94"/>
  <c r="G14" i="94" s="1"/>
  <c r="E13" i="94"/>
  <c r="G13" i="94" s="1"/>
  <c r="E12" i="94"/>
  <c r="G12" i="94" s="1"/>
  <c r="E15" i="92"/>
  <c r="E16" i="92"/>
  <c r="G16" i="92" s="1"/>
  <c r="G20" i="92"/>
  <c r="E14" i="92"/>
  <c r="E13" i="92"/>
  <c r="E12" i="92"/>
  <c r="Q63" i="56"/>
  <c r="Q64" i="56"/>
  <c r="Q65" i="56"/>
  <c r="M63" i="56"/>
  <c r="E18" i="94" l="1"/>
  <c r="G18" i="94" s="1"/>
  <c r="G19" i="94" s="1"/>
  <c r="G20" i="94" s="1"/>
  <c r="F62" i="37" s="1"/>
  <c r="E18" i="91"/>
  <c r="G18" i="91" s="1"/>
  <c r="E19" i="91" l="1"/>
  <c r="G19" i="91" s="1"/>
  <c r="E17" i="91"/>
  <c r="G17" i="91" s="1"/>
  <c r="E16" i="91"/>
  <c r="G16" i="91" s="1"/>
  <c r="E15" i="91"/>
  <c r="G15" i="91" s="1"/>
  <c r="E14" i="91"/>
  <c r="G14" i="91" s="1"/>
  <c r="E13" i="91"/>
  <c r="G13" i="91" s="1"/>
  <c r="E12" i="91"/>
  <c r="G12" i="91" s="1"/>
  <c r="F39" i="92"/>
  <c r="G39" i="92" s="1"/>
  <c r="F38" i="92"/>
  <c r="G38" i="92" s="1"/>
  <c r="G15" i="92"/>
  <c r="G14" i="92"/>
  <c r="G13" i="92"/>
  <c r="G12" i="92"/>
  <c r="F40" i="91"/>
  <c r="G40" i="91" s="1"/>
  <c r="F39" i="91"/>
  <c r="G39" i="91" s="1"/>
  <c r="E12" i="88"/>
  <c r="G12" i="88" s="1"/>
  <c r="E20" i="91" l="1"/>
  <c r="G20" i="91" s="1"/>
  <c r="G21" i="91" s="1"/>
  <c r="G22" i="91" s="1"/>
  <c r="F61" i="37" s="1"/>
  <c r="G21" i="92"/>
  <c r="G22" i="92" s="1"/>
  <c r="F63" i="37" s="1"/>
  <c r="K7" i="40"/>
  <c r="K11" i="40"/>
  <c r="K13" i="40"/>
  <c r="J31" i="56"/>
  <c r="K22" i="56"/>
  <c r="K20" i="56"/>
  <c r="G13" i="9"/>
  <c r="G17" i="9" s="1"/>
  <c r="E14" i="100"/>
  <c r="G14" i="100" s="1"/>
  <c r="E16" i="100"/>
  <c r="G16" i="100" s="1"/>
  <c r="E13" i="100"/>
  <c r="G13" i="100" s="1"/>
  <c r="E20" i="100"/>
  <c r="G20" i="100" s="1"/>
  <c r="E21" i="100"/>
  <c r="G21" i="100" s="1"/>
  <c r="E23" i="29" l="1"/>
  <c r="G23" i="29" s="1"/>
  <c r="E20" i="29"/>
  <c r="G20" i="29" s="1"/>
  <c r="E15" i="100"/>
  <c r="G15" i="100" s="1"/>
  <c r="G22" i="100" s="1"/>
  <c r="G23" i="100" s="1"/>
  <c r="E12" i="40"/>
  <c r="G12" i="40" s="1"/>
  <c r="D16" i="37"/>
  <c r="N9" i="40"/>
  <c r="N11" i="40" s="1"/>
  <c r="D18" i="49"/>
  <c r="H18" i="49" s="1"/>
  <c r="M18" i="41"/>
  <c r="J19" i="41"/>
  <c r="I20" i="41" s="1"/>
  <c r="D18" i="41" s="1"/>
  <c r="H18" i="41" s="1"/>
  <c r="H15" i="71" l="1"/>
  <c r="K9" i="40"/>
  <c r="H13" i="40" s="1"/>
  <c r="H14" i="55"/>
  <c r="H15" i="55"/>
  <c r="H12" i="55"/>
  <c r="H13" i="55"/>
  <c r="H12" i="10"/>
  <c r="F78" i="37"/>
  <c r="L19" i="46" l="1"/>
  <c r="O60" i="37" l="1"/>
  <c r="O59" i="37"/>
  <c r="E13" i="88"/>
  <c r="G13" i="88" s="1"/>
  <c r="E14" i="88"/>
  <c r="G14" i="88" s="1"/>
  <c r="E15" i="88"/>
  <c r="G15" i="88" s="1"/>
  <c r="E16" i="88"/>
  <c r="G16" i="88" s="1"/>
  <c r="E13" i="90"/>
  <c r="G13" i="90" s="1"/>
  <c r="E14" i="90"/>
  <c r="G14" i="90" s="1"/>
  <c r="E15" i="90"/>
  <c r="E16" i="90"/>
  <c r="E12" i="90"/>
  <c r="G12" i="90" s="1"/>
  <c r="F38" i="90"/>
  <c r="G38" i="90" s="1"/>
  <c r="F37" i="90"/>
  <c r="G37" i="90" s="1"/>
  <c r="E17" i="88" l="1"/>
  <c r="G17" i="88" s="1"/>
  <c r="G15" i="90"/>
  <c r="H15" i="90"/>
  <c r="H16" i="90"/>
  <c r="G16" i="90"/>
  <c r="F38" i="88"/>
  <c r="G38" i="88" s="1"/>
  <c r="F37" i="88"/>
  <c r="G37" i="88" s="1"/>
  <c r="H57" i="56"/>
  <c r="H53" i="56"/>
  <c r="H50" i="56"/>
  <c r="K7" i="56"/>
  <c r="K4" i="56"/>
  <c r="K3" i="56"/>
  <c r="H38" i="56" s="1"/>
  <c r="E17" i="90" l="1"/>
  <c r="G17" i="90" s="1"/>
  <c r="G18" i="90" s="1"/>
  <c r="G19" i="90" s="1"/>
  <c r="F59" i="37" s="1"/>
  <c r="E42" i="56"/>
  <c r="E41" i="56"/>
  <c r="E39" i="56"/>
  <c r="E19" i="56"/>
  <c r="E20" i="56"/>
  <c r="E21" i="56"/>
  <c r="E22" i="56"/>
  <c r="E23" i="56"/>
  <c r="E18" i="56"/>
  <c r="E29" i="56"/>
  <c r="E31" i="56" s="1"/>
  <c r="E33" i="56" s="1"/>
  <c r="E17" i="56"/>
  <c r="E24" i="56"/>
  <c r="E8" i="56"/>
  <c r="E11" i="56"/>
  <c r="E30" i="56"/>
  <c r="E10" i="56"/>
  <c r="E14" i="56"/>
  <c r="E12" i="56"/>
  <c r="E13" i="56"/>
  <c r="E15" i="56"/>
  <c r="E16" i="56"/>
  <c r="E9" i="56"/>
  <c r="E48" i="56"/>
  <c r="G18" i="88"/>
  <c r="G19" i="88" s="1"/>
  <c r="H55" i="56"/>
  <c r="H54" i="56"/>
  <c r="H56" i="56"/>
  <c r="E50" i="56"/>
  <c r="E57" i="56"/>
  <c r="E52" i="56"/>
  <c r="E32" i="56" l="1"/>
  <c r="F60" i="37"/>
  <c r="E54" i="56"/>
  <c r="E55" i="56"/>
  <c r="E59" i="56"/>
  <c r="E49" i="56"/>
  <c r="E40" i="56"/>
  <c r="E58" i="56"/>
  <c r="E56" i="56"/>
  <c r="E60" i="56"/>
  <c r="E46" i="56"/>
  <c r="E44" i="56"/>
  <c r="I63" i="37" s="1"/>
  <c r="E45" i="56"/>
  <c r="E43" i="56"/>
  <c r="E47" i="56"/>
  <c r="E51" i="56"/>
  <c r="E53" i="56"/>
  <c r="F32" i="85" l="1"/>
  <c r="G32" i="85" s="1"/>
  <c r="F31" i="85"/>
  <c r="G31" i="85" s="1"/>
  <c r="F38" i="84"/>
  <c r="G38" i="84" s="1"/>
  <c r="F37" i="84"/>
  <c r="G37" i="84" s="1"/>
  <c r="F34" i="83"/>
  <c r="G34" i="83" s="1"/>
  <c r="F33" i="83"/>
  <c r="G33" i="83" s="1"/>
  <c r="F38" i="82"/>
  <c r="G38" i="82" s="1"/>
  <c r="F37" i="82"/>
  <c r="G37" i="82" s="1"/>
  <c r="F35" i="77"/>
  <c r="G35" i="77" s="1"/>
  <c r="F34" i="77"/>
  <c r="G34" i="77" s="1"/>
  <c r="F36" i="76"/>
  <c r="G36" i="76" s="1"/>
  <c r="F35" i="76"/>
  <c r="G35" i="76" s="1"/>
  <c r="F36" i="75"/>
  <c r="G36" i="75" s="1"/>
  <c r="F35" i="75"/>
  <c r="G35" i="75" s="1"/>
  <c r="F36" i="74"/>
  <c r="G36" i="74" s="1"/>
  <c r="F35" i="74"/>
  <c r="G35" i="74" s="1"/>
  <c r="F36" i="68"/>
  <c r="G36" i="68" s="1"/>
  <c r="F35" i="68"/>
  <c r="G35" i="68" s="1"/>
  <c r="F36" i="67"/>
  <c r="G36" i="67" s="1"/>
  <c r="F35" i="67"/>
  <c r="G35" i="67" s="1"/>
  <c r="F36" i="66"/>
  <c r="G36" i="66" s="1"/>
  <c r="F35" i="66"/>
  <c r="G35" i="66" s="1"/>
  <c r="F36" i="65"/>
  <c r="G36" i="65" s="1"/>
  <c r="F35" i="65"/>
  <c r="G35" i="65" s="1"/>
  <c r="F33" i="64"/>
  <c r="G33" i="64" s="1"/>
  <c r="F32" i="64"/>
  <c r="G32" i="64" s="1"/>
  <c r="F34" i="62"/>
  <c r="G34" i="62" s="1"/>
  <c r="F33" i="62"/>
  <c r="G33" i="62" s="1"/>
  <c r="F34" i="61"/>
  <c r="G34" i="61" s="1"/>
  <c r="F33" i="61"/>
  <c r="G33" i="61" s="1"/>
  <c r="F34" i="63"/>
  <c r="G34" i="63" s="1"/>
  <c r="F33" i="63"/>
  <c r="G33" i="63" s="1"/>
  <c r="F34" i="60"/>
  <c r="G34" i="60" s="1"/>
  <c r="F33" i="60"/>
  <c r="G33" i="60" s="1"/>
  <c r="F34" i="59"/>
  <c r="G34" i="59" s="1"/>
  <c r="F33" i="59"/>
  <c r="G33" i="59" s="1"/>
  <c r="F34" i="58"/>
  <c r="G34" i="58" s="1"/>
  <c r="F33" i="58"/>
  <c r="G33" i="58" s="1"/>
  <c r="F34" i="57"/>
  <c r="G34" i="57" s="1"/>
  <c r="F33" i="57"/>
  <c r="G33" i="57" s="1"/>
  <c r="F35" i="71"/>
  <c r="G35" i="71" s="1"/>
  <c r="F34" i="71"/>
  <c r="G34" i="71" s="1"/>
  <c r="F37" i="70"/>
  <c r="G37" i="70" s="1"/>
  <c r="F36" i="70"/>
  <c r="G36" i="70" s="1"/>
  <c r="F35" i="54"/>
  <c r="G35" i="54" s="1"/>
  <c r="F34" i="54"/>
  <c r="G34" i="54" s="1"/>
  <c r="F37" i="53"/>
  <c r="G37" i="53" s="1"/>
  <c r="F36" i="53"/>
  <c r="G36" i="53" s="1"/>
  <c r="F38" i="52"/>
  <c r="G38" i="52" s="1"/>
  <c r="F37" i="52"/>
  <c r="G37" i="52" s="1"/>
  <c r="F37" i="51"/>
  <c r="G37" i="51" s="1"/>
  <c r="F36" i="51"/>
  <c r="G36" i="51" s="1"/>
  <c r="F40" i="50"/>
  <c r="G40" i="50" s="1"/>
  <c r="F39" i="50"/>
  <c r="G39" i="50" s="1"/>
  <c r="F39" i="49"/>
  <c r="G39" i="49" s="1"/>
  <c r="F38" i="49"/>
  <c r="G38" i="49" s="1"/>
  <c r="F41" i="46"/>
  <c r="G41" i="46" s="1"/>
  <c r="F40" i="46"/>
  <c r="G40" i="46" s="1"/>
  <c r="F40" i="44"/>
  <c r="G40" i="44" s="1"/>
  <c r="F39" i="44"/>
  <c r="G39" i="44" s="1"/>
  <c r="F38" i="69"/>
  <c r="G38" i="69" s="1"/>
  <c r="F37" i="69"/>
  <c r="G37" i="69" s="1"/>
  <c r="F37" i="45"/>
  <c r="G37" i="45" s="1"/>
  <c r="F36" i="45"/>
  <c r="G36" i="45" s="1"/>
  <c r="G39" i="43"/>
  <c r="G38" i="43"/>
  <c r="F39" i="42"/>
  <c r="G39" i="42" s="1"/>
  <c r="F38" i="42"/>
  <c r="G38" i="42" s="1"/>
  <c r="F39" i="41"/>
  <c r="G39" i="41" s="1"/>
  <c r="F38" i="41"/>
  <c r="G38" i="41" s="1"/>
  <c r="F41" i="38"/>
  <c r="G41" i="38" s="1"/>
  <c r="F40" i="38"/>
  <c r="G40" i="38" s="1"/>
  <c r="F36" i="8"/>
  <c r="G36" i="8" s="1"/>
  <c r="F35" i="8"/>
  <c r="G35" i="8" s="1"/>
  <c r="F36" i="9"/>
  <c r="G36" i="9" s="1"/>
  <c r="F35" i="9"/>
  <c r="G35" i="9" s="1"/>
  <c r="F36" i="10"/>
  <c r="G36" i="10" s="1"/>
  <c r="F35" i="10"/>
  <c r="G35" i="10" s="1"/>
  <c r="F40" i="40"/>
  <c r="G40" i="40" s="1"/>
  <c r="F39" i="40"/>
  <c r="G39" i="40" s="1"/>
  <c r="F38" i="12"/>
  <c r="G38" i="12" s="1"/>
  <c r="F37" i="12"/>
  <c r="G37" i="12" s="1"/>
  <c r="F38" i="13"/>
  <c r="G38" i="13" s="1"/>
  <c r="F37" i="13"/>
  <c r="G37" i="13" s="1"/>
  <c r="F42" i="14"/>
  <c r="G42" i="14" s="1"/>
  <c r="F41" i="14"/>
  <c r="G41" i="14" s="1"/>
  <c r="G41" i="15"/>
  <c r="G40" i="15"/>
  <c r="F34" i="17"/>
  <c r="G34" i="17" s="1"/>
  <c r="F33" i="17"/>
  <c r="G33" i="17" s="1"/>
  <c r="F35" i="18"/>
  <c r="G35" i="18" s="1"/>
  <c r="F34" i="18"/>
  <c r="G34" i="18" s="1"/>
  <c r="F33" i="19"/>
  <c r="G33" i="19" s="1"/>
  <c r="F32" i="19"/>
  <c r="G32" i="19" s="1"/>
  <c r="F35" i="55"/>
  <c r="G35" i="55" s="1"/>
  <c r="F34" i="55"/>
  <c r="G34" i="55" s="1"/>
  <c r="F41" i="21"/>
  <c r="G41" i="21" s="1"/>
  <c r="F40" i="21"/>
  <c r="G40" i="21" s="1"/>
  <c r="F40" i="22"/>
  <c r="G40" i="22" s="1"/>
  <c r="F39" i="22"/>
  <c r="G39" i="22" s="1"/>
  <c r="F40" i="23"/>
  <c r="G40" i="23" s="1"/>
  <c r="F39" i="23"/>
  <c r="G39" i="23" s="1"/>
  <c r="G35" i="24"/>
  <c r="G34" i="24"/>
  <c r="F34" i="25"/>
  <c r="G34" i="25" s="1"/>
  <c r="F33" i="25"/>
  <c r="G33" i="25" s="1"/>
  <c r="F33" i="26"/>
  <c r="G33" i="26" s="1"/>
  <c r="F32" i="26"/>
  <c r="G32" i="26" s="1"/>
  <c r="F33" i="27"/>
  <c r="G33" i="27" s="1"/>
  <c r="F32" i="27"/>
  <c r="G32" i="27" s="1"/>
  <c r="F38" i="28"/>
  <c r="G38" i="28" s="1"/>
  <c r="F37" i="28"/>
  <c r="G37" i="28" s="1"/>
  <c r="F53" i="29"/>
  <c r="G53" i="29" s="1"/>
  <c r="F52" i="29"/>
  <c r="G52" i="29" s="1"/>
  <c r="F38" i="30"/>
  <c r="G38" i="30" s="1"/>
  <c r="F37" i="30"/>
  <c r="G37" i="30" s="1"/>
  <c r="F38" i="72"/>
  <c r="G38" i="72" s="1"/>
  <c r="F37" i="72"/>
  <c r="G37" i="72" s="1"/>
  <c r="F38" i="31"/>
  <c r="G38" i="31" s="1"/>
  <c r="F37" i="31"/>
  <c r="G37" i="31" s="1"/>
  <c r="F38" i="32"/>
  <c r="G38" i="32" s="1"/>
  <c r="F37" i="32"/>
  <c r="G37" i="32" s="1"/>
  <c r="F38" i="33"/>
  <c r="G38" i="33" s="1"/>
  <c r="F37" i="33"/>
  <c r="G37" i="33" s="1"/>
  <c r="F36" i="73"/>
  <c r="G36" i="73" s="1"/>
  <c r="F35" i="73"/>
  <c r="G35" i="73" s="1"/>
  <c r="K14" i="29"/>
  <c r="K15" i="29"/>
  <c r="K13" i="29"/>
  <c r="E16" i="29"/>
  <c r="G16" i="29" s="1"/>
  <c r="E13" i="63"/>
  <c r="E12" i="30"/>
  <c r="G12" i="30" s="1"/>
  <c r="E16" i="72"/>
  <c r="G16" i="72" s="1"/>
  <c r="E13" i="67"/>
  <c r="G13" i="67" s="1"/>
  <c r="G23" i="53"/>
  <c r="G24" i="53" s="1"/>
  <c r="M64" i="56"/>
  <c r="M65" i="56"/>
  <c r="M47" i="56"/>
  <c r="N47" i="56" s="1"/>
  <c r="M48" i="56"/>
  <c r="N48" i="56" s="1"/>
  <c r="M49" i="56"/>
  <c r="N49" i="56" s="1"/>
  <c r="M50" i="56"/>
  <c r="N50" i="56" s="1"/>
  <c r="M51" i="56"/>
  <c r="N51" i="56" s="1"/>
  <c r="M52" i="56"/>
  <c r="N52" i="56" s="1"/>
  <c r="M53" i="56"/>
  <c r="M54" i="56"/>
  <c r="M55" i="56"/>
  <c r="M56" i="56"/>
  <c r="N56" i="56" s="1"/>
  <c r="M57" i="56"/>
  <c r="N57" i="56" s="1"/>
  <c r="M58" i="56"/>
  <c r="N58" i="56" s="1"/>
  <c r="M59" i="56"/>
  <c r="N59" i="56" s="1"/>
  <c r="M60" i="56"/>
  <c r="N60" i="56" s="1"/>
  <c r="M39" i="56"/>
  <c r="N39" i="56" s="1"/>
  <c r="M40" i="56"/>
  <c r="N40" i="56" s="1"/>
  <c r="M42" i="56"/>
  <c r="N42" i="56" s="1"/>
  <c r="M43" i="56"/>
  <c r="N43" i="56" s="1"/>
  <c r="M44" i="56"/>
  <c r="N44" i="56" s="1"/>
  <c r="M45" i="56"/>
  <c r="N45" i="56" s="1"/>
  <c r="M46" i="56"/>
  <c r="N46" i="56" s="1"/>
  <c r="M41" i="56"/>
  <c r="N41" i="56" s="1"/>
  <c r="P31" i="56"/>
  <c r="Q31" i="56" s="1"/>
  <c r="E17" i="15"/>
  <c r="G17" i="15" s="1"/>
  <c r="E18" i="15"/>
  <c r="G18" i="15" s="1"/>
  <c r="E16" i="15"/>
  <c r="G16" i="15" s="1"/>
  <c r="E13" i="31"/>
  <c r="G13" i="31" s="1"/>
  <c r="E13" i="83"/>
  <c r="G13" i="83" s="1"/>
  <c r="G19" i="85"/>
  <c r="G18" i="85"/>
  <c r="O57" i="37"/>
  <c r="O56" i="37"/>
  <c r="O55" i="37"/>
  <c r="O54" i="37"/>
  <c r="E53" i="37"/>
  <c r="K18" i="84"/>
  <c r="D57" i="37"/>
  <c r="G24" i="84"/>
  <c r="G23" i="84"/>
  <c r="D56" i="37"/>
  <c r="E14" i="83"/>
  <c r="G14" i="83" s="1"/>
  <c r="D55" i="37"/>
  <c r="D54" i="37"/>
  <c r="K12" i="77"/>
  <c r="M12" i="77" s="1"/>
  <c r="E12" i="77"/>
  <c r="G12" i="77" s="1"/>
  <c r="O10" i="37"/>
  <c r="H12" i="52"/>
  <c r="F9" i="75"/>
  <c r="E22" i="76"/>
  <c r="G22" i="76" s="1"/>
  <c r="G23" i="76" s="1"/>
  <c r="G24" i="76" s="1"/>
  <c r="E21" i="76"/>
  <c r="E20" i="76"/>
  <c r="E13" i="76"/>
  <c r="G13" i="76" s="1"/>
  <c r="E12" i="76"/>
  <c r="G12" i="76" s="1"/>
  <c r="G16" i="76" s="1"/>
  <c r="G17" i="76" s="1"/>
  <c r="E29" i="75"/>
  <c r="G29" i="75" s="1"/>
  <c r="E22" i="75"/>
  <c r="G22" i="75" s="1"/>
  <c r="G23" i="75" s="1"/>
  <c r="E21" i="75"/>
  <c r="E20" i="75"/>
  <c r="E13" i="75"/>
  <c r="G13" i="75" s="1"/>
  <c r="E12" i="75"/>
  <c r="G12" i="75" s="1"/>
  <c r="G16" i="75" s="1"/>
  <c r="G17" i="75" s="1"/>
  <c r="E20" i="74"/>
  <c r="E21" i="74"/>
  <c r="E29" i="74"/>
  <c r="G29" i="74" s="1"/>
  <c r="E22" i="74"/>
  <c r="G22" i="74" s="1"/>
  <c r="G23" i="74" s="1"/>
  <c r="G24" i="74" s="1"/>
  <c r="E13" i="74"/>
  <c r="G13" i="74" s="1"/>
  <c r="E12" i="74"/>
  <c r="G12" i="74" s="1"/>
  <c r="G16" i="74" s="1"/>
  <c r="G17" i="74" s="1"/>
  <c r="O53" i="37"/>
  <c r="O9" i="37"/>
  <c r="E9" i="37"/>
  <c r="D9" i="37"/>
  <c r="E12" i="73"/>
  <c r="E52" i="37"/>
  <c r="E51" i="37"/>
  <c r="E50" i="37"/>
  <c r="E49" i="37"/>
  <c r="E48" i="37"/>
  <c r="E47" i="37"/>
  <c r="E46" i="37"/>
  <c r="E45" i="37"/>
  <c r="E44" i="37"/>
  <c r="E43" i="37"/>
  <c r="E42" i="37"/>
  <c r="E41" i="37"/>
  <c r="E40" i="37"/>
  <c r="E39" i="37"/>
  <c r="E38" i="37"/>
  <c r="E37" i="37"/>
  <c r="E36" i="37"/>
  <c r="E35" i="37"/>
  <c r="E34" i="37"/>
  <c r="E33" i="37"/>
  <c r="E32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5" i="37"/>
  <c r="E14" i="37"/>
  <c r="E13" i="37"/>
  <c r="E12" i="37"/>
  <c r="E11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E10" i="37"/>
  <c r="E15" i="72"/>
  <c r="G15" i="72" s="1"/>
  <c r="E14" i="72"/>
  <c r="G14" i="72" s="1"/>
  <c r="E13" i="72"/>
  <c r="G13" i="72" s="1"/>
  <c r="E12" i="72"/>
  <c r="G12" i="72" s="1"/>
  <c r="D52" i="37"/>
  <c r="E15" i="71"/>
  <c r="G15" i="71" s="1"/>
  <c r="E13" i="71"/>
  <c r="G13" i="71" s="1"/>
  <c r="E12" i="71"/>
  <c r="G12" i="71" s="1"/>
  <c r="E14" i="70"/>
  <c r="G14" i="70" s="1"/>
  <c r="E13" i="70"/>
  <c r="G13" i="70" s="1"/>
  <c r="E12" i="70"/>
  <c r="G12" i="70" s="1"/>
  <c r="D42" i="37"/>
  <c r="D18" i="69"/>
  <c r="H18" i="69" s="1"/>
  <c r="G24" i="69"/>
  <c r="G23" i="69"/>
  <c r="E13" i="40"/>
  <c r="G13" i="40" s="1"/>
  <c r="G18" i="40" s="1"/>
  <c r="E12" i="12"/>
  <c r="G12" i="12" s="1"/>
  <c r="E13" i="14"/>
  <c r="G13" i="14" s="1"/>
  <c r="E13" i="10"/>
  <c r="G13" i="10" s="1"/>
  <c r="E13" i="53"/>
  <c r="G13" i="53" s="1"/>
  <c r="E12" i="53"/>
  <c r="G12" i="53" s="1"/>
  <c r="E12" i="54"/>
  <c r="E16" i="41"/>
  <c r="G16" i="41" s="1"/>
  <c r="E16" i="68"/>
  <c r="G16" i="68" s="1"/>
  <c r="E12" i="17"/>
  <c r="G12" i="17" s="1"/>
  <c r="E12" i="28"/>
  <c r="G12" i="28" s="1"/>
  <c r="E19" i="22"/>
  <c r="G19" i="22" s="1"/>
  <c r="G18" i="23"/>
  <c r="E13" i="51"/>
  <c r="G13" i="51" s="1"/>
  <c r="E14" i="32"/>
  <c r="G14" i="32" s="1"/>
  <c r="E15" i="65"/>
  <c r="G15" i="65" s="1"/>
  <c r="E15" i="42"/>
  <c r="G15" i="42" s="1"/>
  <c r="E14" i="46"/>
  <c r="G14" i="46" s="1"/>
  <c r="C24" i="35"/>
  <c r="C23" i="35"/>
  <c r="G28" i="8" s="1"/>
  <c r="E28" i="66"/>
  <c r="G28" i="66" s="1"/>
  <c r="E27" i="63"/>
  <c r="G27" i="63" s="1"/>
  <c r="E27" i="77"/>
  <c r="G27" i="77" s="1"/>
  <c r="C17" i="35"/>
  <c r="E31" i="49" s="1"/>
  <c r="G31" i="49" s="1"/>
  <c r="C16" i="35"/>
  <c r="E29" i="65" s="1"/>
  <c r="G29" i="65" s="1"/>
  <c r="C15" i="35"/>
  <c r="E26" i="57" s="1"/>
  <c r="G26" i="57" s="1"/>
  <c r="C14" i="35"/>
  <c r="C9" i="35"/>
  <c r="E26" i="24" s="1"/>
  <c r="G26" i="24" s="1"/>
  <c r="C10" i="35"/>
  <c r="E25" i="61" s="1"/>
  <c r="G25" i="61" s="1"/>
  <c r="C11" i="35"/>
  <c r="E28" i="74" s="1"/>
  <c r="G28" i="74" s="1"/>
  <c r="C12" i="35"/>
  <c r="E31" i="94" s="1"/>
  <c r="D33" i="37"/>
  <c r="E14" i="68"/>
  <c r="G14" i="68" s="1"/>
  <c r="E17" i="68"/>
  <c r="G17" i="68" s="1"/>
  <c r="E13" i="68"/>
  <c r="G13" i="68" s="1"/>
  <c r="E12" i="68"/>
  <c r="G12" i="68" s="1"/>
  <c r="E17" i="67"/>
  <c r="G17" i="67" s="1"/>
  <c r="E14" i="67"/>
  <c r="G14" i="67" s="1"/>
  <c r="E12" i="67"/>
  <c r="G12" i="67" s="1"/>
  <c r="E17" i="66"/>
  <c r="G17" i="66" s="1"/>
  <c r="E14" i="66"/>
  <c r="G14" i="66" s="1"/>
  <c r="E13" i="66"/>
  <c r="G13" i="66" s="1"/>
  <c r="E12" i="66"/>
  <c r="G12" i="66" s="1"/>
  <c r="E14" i="65"/>
  <c r="G14" i="65" s="1"/>
  <c r="E17" i="65"/>
  <c r="G17" i="65" s="1"/>
  <c r="E13" i="65"/>
  <c r="G13" i="65" s="1"/>
  <c r="E12" i="65"/>
  <c r="G12" i="65" s="1"/>
  <c r="E14" i="64"/>
  <c r="G14" i="64" s="1"/>
  <c r="E15" i="64"/>
  <c r="G15" i="64" s="1"/>
  <c r="E13" i="64"/>
  <c r="G13" i="64" s="1"/>
  <c r="D13" i="63"/>
  <c r="E12" i="63"/>
  <c r="G12" i="63" s="1"/>
  <c r="E13" i="62"/>
  <c r="G13" i="62" s="1"/>
  <c r="E12" i="62"/>
  <c r="G12" i="62" s="1"/>
  <c r="E13" i="61"/>
  <c r="G13" i="61" s="1"/>
  <c r="E12" i="61"/>
  <c r="G12" i="61" s="1"/>
  <c r="E13" i="60"/>
  <c r="G13" i="60" s="1"/>
  <c r="E12" i="60"/>
  <c r="G12" i="60" s="1"/>
  <c r="E13" i="59"/>
  <c r="G13" i="59" s="1"/>
  <c r="E12" i="59"/>
  <c r="G12" i="59" s="1"/>
  <c r="E13" i="58"/>
  <c r="G13" i="58" s="1"/>
  <c r="E12" i="58"/>
  <c r="G12" i="58" s="1"/>
  <c r="E13" i="57"/>
  <c r="G13" i="57" s="1"/>
  <c r="E12" i="57"/>
  <c r="G12" i="57" s="1"/>
  <c r="D50" i="37"/>
  <c r="D49" i="37"/>
  <c r="D48" i="37"/>
  <c r="D47" i="37"/>
  <c r="D46" i="37"/>
  <c r="D45" i="37"/>
  <c r="G13" i="52"/>
  <c r="E14" i="55"/>
  <c r="E12" i="51"/>
  <c r="G12" i="51" s="1"/>
  <c r="E14" i="15"/>
  <c r="G14" i="15" s="1"/>
  <c r="E14" i="14"/>
  <c r="G14" i="14" s="1"/>
  <c r="D15" i="49"/>
  <c r="H15" i="49" s="1"/>
  <c r="G25" i="49"/>
  <c r="G24" i="49"/>
  <c r="E18" i="49"/>
  <c r="G18" i="49" s="1"/>
  <c r="E17" i="49"/>
  <c r="G17" i="49" s="1"/>
  <c r="E13" i="49"/>
  <c r="G13" i="49" s="1"/>
  <c r="E12" i="49"/>
  <c r="G12" i="49" s="1"/>
  <c r="D44" i="37"/>
  <c r="G27" i="46"/>
  <c r="G26" i="46"/>
  <c r="E19" i="46"/>
  <c r="G19" i="46" s="1"/>
  <c r="E18" i="46"/>
  <c r="G18" i="46" s="1"/>
  <c r="E13" i="46"/>
  <c r="G13" i="46" s="1"/>
  <c r="E12" i="46"/>
  <c r="G12" i="46" s="1"/>
  <c r="D43" i="37"/>
  <c r="D41" i="37"/>
  <c r="D40" i="37"/>
  <c r="D39" i="37"/>
  <c r="D38" i="37"/>
  <c r="D37" i="37"/>
  <c r="G26" i="44"/>
  <c r="G25" i="44"/>
  <c r="E18" i="44"/>
  <c r="G18" i="44" s="1"/>
  <c r="E17" i="44"/>
  <c r="G17" i="44" s="1"/>
  <c r="E13" i="44"/>
  <c r="G13" i="44" s="1"/>
  <c r="E12" i="44"/>
  <c r="G12" i="44" s="1"/>
  <c r="G25" i="43"/>
  <c r="G24" i="43"/>
  <c r="E18" i="43"/>
  <c r="G18" i="43" s="1"/>
  <c r="E17" i="43"/>
  <c r="G17" i="43" s="1"/>
  <c r="E15" i="43"/>
  <c r="G15" i="43" s="1"/>
  <c r="E13" i="43"/>
  <c r="G13" i="43" s="1"/>
  <c r="E12" i="43"/>
  <c r="G12" i="43" s="1"/>
  <c r="G25" i="42"/>
  <c r="G24" i="42"/>
  <c r="E18" i="42"/>
  <c r="G18" i="42" s="1"/>
  <c r="E17" i="42"/>
  <c r="G17" i="42" s="1"/>
  <c r="E13" i="42"/>
  <c r="G13" i="42" s="1"/>
  <c r="E12" i="42"/>
  <c r="G12" i="42" s="1"/>
  <c r="E18" i="41"/>
  <c r="G18" i="41" s="1"/>
  <c r="G24" i="41"/>
  <c r="E17" i="41"/>
  <c r="G17" i="41" s="1"/>
  <c r="E15" i="41"/>
  <c r="G15" i="41" s="1"/>
  <c r="E13" i="41"/>
  <c r="G13" i="41" s="1"/>
  <c r="E12" i="41"/>
  <c r="G12" i="41" s="1"/>
  <c r="G25" i="40"/>
  <c r="E13" i="38"/>
  <c r="G13" i="38" s="1"/>
  <c r="G22" i="38" s="1"/>
  <c r="D36" i="37"/>
  <c r="D35" i="37"/>
  <c r="D34" i="37"/>
  <c r="D32" i="37"/>
  <c r="D30" i="37"/>
  <c r="D29" i="37"/>
  <c r="D28" i="37"/>
  <c r="D27" i="37"/>
  <c r="D25" i="37"/>
  <c r="D24" i="37"/>
  <c r="D22" i="37"/>
  <c r="D21" i="37"/>
  <c r="D20" i="37"/>
  <c r="D19" i="37"/>
  <c r="D18" i="37"/>
  <c r="D17" i="37"/>
  <c r="D15" i="37"/>
  <c r="D14" i="37"/>
  <c r="D13" i="37"/>
  <c r="D12" i="37"/>
  <c r="D11" i="37"/>
  <c r="D10" i="37"/>
  <c r="G18" i="8"/>
  <c r="F36" i="37" s="1"/>
  <c r="E12" i="10"/>
  <c r="G12" i="10" s="1"/>
  <c r="E13" i="12"/>
  <c r="G13" i="12" s="1"/>
  <c r="E14" i="12"/>
  <c r="G14" i="12" s="1"/>
  <c r="E16" i="12"/>
  <c r="G16" i="12" s="1"/>
  <c r="E16" i="13"/>
  <c r="G16" i="13" s="1"/>
  <c r="E14" i="13"/>
  <c r="G14" i="13" s="1"/>
  <c r="E18" i="14"/>
  <c r="G18" i="14" s="1"/>
  <c r="E16" i="14"/>
  <c r="G16" i="14" s="1"/>
  <c r="E27" i="24"/>
  <c r="G27" i="24" s="1"/>
  <c r="E15" i="33"/>
  <c r="G15" i="33" s="1"/>
  <c r="E12" i="14"/>
  <c r="G12" i="14" s="1"/>
  <c r="E17" i="14"/>
  <c r="G17" i="14" s="1"/>
  <c r="E15" i="12"/>
  <c r="G15" i="12" s="1"/>
  <c r="E15" i="13"/>
  <c r="G15" i="13" s="1"/>
  <c r="E12" i="15"/>
  <c r="G12" i="15" s="1"/>
  <c r="E13" i="13"/>
  <c r="G13" i="13" s="1"/>
  <c r="E15" i="68"/>
  <c r="G15" i="68" s="1"/>
  <c r="E12" i="31"/>
  <c r="G12" i="31" s="1"/>
  <c r="E17" i="29"/>
  <c r="G17" i="29" s="1"/>
  <c r="E13" i="30"/>
  <c r="G13" i="30" s="1"/>
  <c r="E13" i="28"/>
  <c r="G13" i="28" s="1"/>
  <c r="E14" i="33"/>
  <c r="G14" i="33" s="1"/>
  <c r="E13" i="32"/>
  <c r="G13" i="32" s="1"/>
  <c r="E16" i="42"/>
  <c r="G16" i="42" s="1"/>
  <c r="E13" i="33"/>
  <c r="G13" i="33" s="1"/>
  <c r="E14" i="51"/>
  <c r="G14" i="51" s="1"/>
  <c r="E14" i="18"/>
  <c r="G14" i="18" s="1"/>
  <c r="E14" i="31"/>
  <c r="G14" i="31" s="1"/>
  <c r="E13" i="29"/>
  <c r="G13" i="29" s="1"/>
  <c r="E14" i="28"/>
  <c r="G14" i="28" s="1"/>
  <c r="E18" i="22"/>
  <c r="G18" i="22" s="1"/>
  <c r="E14" i="30"/>
  <c r="G14" i="30" s="1"/>
  <c r="E15" i="32"/>
  <c r="G15" i="32" s="1"/>
  <c r="E13" i="25"/>
  <c r="G13" i="25" s="1"/>
  <c r="E16" i="49"/>
  <c r="G16" i="49" s="1"/>
  <c r="E16" i="43"/>
  <c r="G16" i="43" s="1"/>
  <c r="E17" i="46"/>
  <c r="G17" i="46" s="1"/>
  <c r="E12" i="33"/>
  <c r="G12" i="33" s="1"/>
  <c r="E14" i="29"/>
  <c r="G14" i="29" s="1"/>
  <c r="E17" i="23"/>
  <c r="G17" i="23" s="1"/>
  <c r="E16" i="44"/>
  <c r="G16" i="44" s="1"/>
  <c r="E14" i="43"/>
  <c r="G14" i="43" s="1"/>
  <c r="E14" i="41"/>
  <c r="G14" i="41" s="1"/>
  <c r="E14" i="44"/>
  <c r="G14" i="44" s="1"/>
  <c r="E13" i="15"/>
  <c r="G13" i="15" s="1"/>
  <c r="E14" i="42"/>
  <c r="G14" i="42" s="1"/>
  <c r="E14" i="49"/>
  <c r="G14" i="49" s="1"/>
  <c r="E15" i="14"/>
  <c r="G15" i="14" s="1"/>
  <c r="E12" i="50"/>
  <c r="G12" i="50" s="1"/>
  <c r="G21" i="50" s="1"/>
  <c r="E15" i="15"/>
  <c r="G15" i="15" s="1"/>
  <c r="E15" i="67"/>
  <c r="G15" i="67" s="1"/>
  <c r="E15" i="66"/>
  <c r="G15" i="66" s="1"/>
  <c r="E13" i="24"/>
  <c r="G13" i="24" s="1"/>
  <c r="G14" i="23"/>
  <c r="E15" i="28"/>
  <c r="G15" i="28" s="1"/>
  <c r="E12" i="55"/>
  <c r="E14" i="17"/>
  <c r="G14" i="17" s="1"/>
  <c r="E15" i="31"/>
  <c r="G15" i="31" s="1"/>
  <c r="E13" i="18"/>
  <c r="G13" i="18" s="1"/>
  <c r="E15" i="51"/>
  <c r="G15" i="51" s="1"/>
  <c r="E12" i="16"/>
  <c r="E13" i="26"/>
  <c r="G13" i="26" s="1"/>
  <c r="E13" i="27"/>
  <c r="G13" i="27" s="1"/>
  <c r="E14" i="24"/>
  <c r="G14" i="24" s="1"/>
  <c r="E15" i="30"/>
  <c r="G15" i="30" s="1"/>
  <c r="E12" i="19"/>
  <c r="E16" i="32"/>
  <c r="G16" i="32" s="1"/>
  <c r="E15" i="44"/>
  <c r="G15" i="44" s="1"/>
  <c r="E12" i="24"/>
  <c r="G12" i="24" s="1"/>
  <c r="E16" i="65"/>
  <c r="G16" i="65" s="1"/>
  <c r="E12" i="64"/>
  <c r="G12" i="64" s="1"/>
  <c r="E16" i="67"/>
  <c r="G16" i="67" s="1"/>
  <c r="E16" i="66"/>
  <c r="G16" i="66" s="1"/>
  <c r="E15" i="49"/>
  <c r="E15" i="46"/>
  <c r="G15" i="46" s="1"/>
  <c r="E25" i="73"/>
  <c r="G25" i="73" s="1"/>
  <c r="E29" i="28"/>
  <c r="G29" i="28" s="1"/>
  <c r="E29" i="32"/>
  <c r="G29" i="32" s="1"/>
  <c r="E28" i="51"/>
  <c r="G28" i="51" s="1"/>
  <c r="E27" i="55"/>
  <c r="G27" i="55" s="1"/>
  <c r="E18" i="73"/>
  <c r="E22" i="67"/>
  <c r="G22" i="67" s="1"/>
  <c r="G23" i="67" s="1"/>
  <c r="G24" i="67" s="1"/>
  <c r="I7" i="36"/>
  <c r="J7" i="36" s="1"/>
  <c r="E21" i="63"/>
  <c r="G21" i="63" s="1"/>
  <c r="E20" i="62"/>
  <c r="G20" i="62" s="1"/>
  <c r="G21" i="62" s="1"/>
  <c r="G22" i="62" s="1"/>
  <c r="E20" i="63"/>
  <c r="G20" i="63" s="1"/>
  <c r="G24" i="52"/>
  <c r="G25" i="52" s="1"/>
  <c r="G26" i="52" s="1"/>
  <c r="L48" i="37" s="1"/>
  <c r="E22" i="68"/>
  <c r="G22" i="68" s="1"/>
  <c r="G23" i="68" s="1"/>
  <c r="G24" i="68" s="1"/>
  <c r="E16" i="28"/>
  <c r="G16" i="28" s="1"/>
  <c r="E15" i="55"/>
  <c r="E12" i="27"/>
  <c r="G12" i="27" s="1"/>
  <c r="E13" i="19"/>
  <c r="E13" i="55"/>
  <c r="E16" i="51"/>
  <c r="G16" i="51" s="1"/>
  <c r="E12" i="25"/>
  <c r="G12" i="25" s="1"/>
  <c r="E12" i="18"/>
  <c r="G12" i="18" s="1"/>
  <c r="E12" i="26"/>
  <c r="G12" i="26" s="1"/>
  <c r="E15" i="23"/>
  <c r="G15" i="23" s="1"/>
  <c r="E16" i="33"/>
  <c r="G16" i="33" s="1"/>
  <c r="E15" i="29"/>
  <c r="G15" i="29" s="1"/>
  <c r="E17" i="22"/>
  <c r="G17" i="22" s="1"/>
  <c r="E13" i="17"/>
  <c r="G13" i="17" s="1"/>
  <c r="E16" i="31"/>
  <c r="G16" i="31" s="1"/>
  <c r="E12" i="83"/>
  <c r="G12" i="83" s="1"/>
  <c r="E16" i="30"/>
  <c r="G16" i="30" s="1"/>
  <c r="G18" i="31" l="1"/>
  <c r="F26" i="91"/>
  <c r="G26" i="91" s="1"/>
  <c r="F24" i="94"/>
  <c r="G24" i="94" s="1"/>
  <c r="E26" i="63"/>
  <c r="G26" i="63" s="1"/>
  <c r="G24" i="75"/>
  <c r="E30" i="43"/>
  <c r="G30" i="43" s="1"/>
  <c r="E30" i="105"/>
  <c r="G30" i="105" s="1"/>
  <c r="G31" i="105" s="1"/>
  <c r="G33" i="105" s="1"/>
  <c r="G34" i="105" s="1"/>
  <c r="I87" i="37" s="1"/>
  <c r="M87" i="37" s="1"/>
  <c r="G20" i="85"/>
  <c r="G21" i="85" s="1"/>
  <c r="L58" i="37" s="1"/>
  <c r="E33" i="46"/>
  <c r="G33" i="46" s="1"/>
  <c r="F23" i="88"/>
  <c r="G23" i="88" s="1"/>
  <c r="F23" i="90"/>
  <c r="G23" i="90" s="1"/>
  <c r="E29" i="70"/>
  <c r="G29" i="70" s="1"/>
  <c r="G30" i="70" s="1"/>
  <c r="G32" i="70" s="1"/>
  <c r="G33" i="70" s="1"/>
  <c r="I51" i="37" s="1"/>
  <c r="E30" i="42"/>
  <c r="G30" i="42" s="1"/>
  <c r="E32" i="104"/>
  <c r="G32" i="104" s="1"/>
  <c r="E27" i="71"/>
  <c r="G27" i="71" s="1"/>
  <c r="E32" i="50"/>
  <c r="G32" i="50" s="1"/>
  <c r="E31" i="42"/>
  <c r="G31" i="42" s="1"/>
  <c r="G15" i="49"/>
  <c r="E32" i="44"/>
  <c r="G32" i="44" s="1"/>
  <c r="G18" i="53"/>
  <c r="G19" i="53" s="1"/>
  <c r="F49" i="37" s="1"/>
  <c r="G12" i="54"/>
  <c r="G14" i="54" s="1"/>
  <c r="G15" i="54" s="1"/>
  <c r="F50" i="37" s="1"/>
  <c r="F18" i="54"/>
  <c r="F22" i="51"/>
  <c r="G22" i="51" s="1"/>
  <c r="G25" i="53"/>
  <c r="L49" i="37" s="1"/>
  <c r="G12" i="52"/>
  <c r="E29" i="67"/>
  <c r="G29" i="67" s="1"/>
  <c r="E26" i="64"/>
  <c r="G26" i="64" s="1"/>
  <c r="E26" i="77"/>
  <c r="G26" i="77" s="1"/>
  <c r="G28" i="77" s="1"/>
  <c r="G30" i="77" s="1"/>
  <c r="G31" i="77" s="1"/>
  <c r="E25" i="16"/>
  <c r="G25" i="16" s="1"/>
  <c r="E26" i="17"/>
  <c r="G26" i="17" s="1"/>
  <c r="E29" i="66"/>
  <c r="G29" i="66" s="1"/>
  <c r="E14" i="25"/>
  <c r="G14" i="25" s="1"/>
  <c r="G15" i="25" s="1"/>
  <c r="G16" i="25" s="1"/>
  <c r="F18" i="37" s="1"/>
  <c r="E32" i="40"/>
  <c r="G32" i="40" s="1"/>
  <c r="E34" i="104"/>
  <c r="G34" i="104" s="1"/>
  <c r="E45" i="29"/>
  <c r="G45" i="29" s="1"/>
  <c r="E27" i="8"/>
  <c r="G27" i="8" s="1"/>
  <c r="E26" i="62"/>
  <c r="G26" i="62" s="1"/>
  <c r="E33" i="104"/>
  <c r="G33" i="104" s="1"/>
  <c r="E32" i="15"/>
  <c r="G32" i="15" s="1"/>
  <c r="G17" i="10"/>
  <c r="G18" i="10" s="1"/>
  <c r="F34" i="37" s="1"/>
  <c r="F25" i="21"/>
  <c r="G25" i="21" s="1"/>
  <c r="F23" i="40"/>
  <c r="G23" i="40" s="1"/>
  <c r="G26" i="40" s="1"/>
  <c r="G27" i="40" s="1"/>
  <c r="L33" i="37" s="1"/>
  <c r="F25" i="104"/>
  <c r="G16" i="18"/>
  <c r="G17" i="18" s="1"/>
  <c r="F25" i="37" s="1"/>
  <c r="G20" i="12"/>
  <c r="G21" i="12" s="1"/>
  <c r="F32" i="37" s="1"/>
  <c r="G15" i="17"/>
  <c r="G16" i="17" s="1"/>
  <c r="F26" i="37" s="1"/>
  <c r="G20" i="22"/>
  <c r="G21" i="22" s="1"/>
  <c r="F21" i="37" s="1"/>
  <c r="G12" i="73"/>
  <c r="G13" i="73" s="1"/>
  <c r="G14" i="73" s="1"/>
  <c r="F9" i="37" s="1"/>
  <c r="E26" i="59"/>
  <c r="G26" i="59" s="1"/>
  <c r="E26" i="61"/>
  <c r="G26" i="61" s="1"/>
  <c r="E26" i="98"/>
  <c r="G26" i="98" s="1"/>
  <c r="E26" i="99"/>
  <c r="G26" i="99" s="1"/>
  <c r="E26" i="97"/>
  <c r="G26" i="97" s="1"/>
  <c r="E32" i="46"/>
  <c r="G32" i="46" s="1"/>
  <c r="E29" i="101"/>
  <c r="G29" i="101" s="1"/>
  <c r="E32" i="100"/>
  <c r="G32" i="100" s="1"/>
  <c r="G33" i="100" s="1"/>
  <c r="G35" i="100" s="1"/>
  <c r="G36" i="100" s="1"/>
  <c r="I78" i="37" s="1"/>
  <c r="E27" i="98"/>
  <c r="G27" i="98" s="1"/>
  <c r="E25" i="99"/>
  <c r="G25" i="99" s="1"/>
  <c r="E27" i="97"/>
  <c r="G27" i="97" s="1"/>
  <c r="E30" i="101"/>
  <c r="G30" i="101" s="1"/>
  <c r="G12" i="55"/>
  <c r="G14" i="55"/>
  <c r="G13" i="55"/>
  <c r="G15" i="55"/>
  <c r="F24" i="22"/>
  <c r="G24" i="22" s="1"/>
  <c r="G27" i="22" s="1"/>
  <c r="F24" i="23"/>
  <c r="G24" i="23" s="1"/>
  <c r="F19" i="97"/>
  <c r="F19" i="98"/>
  <c r="G20" i="23"/>
  <c r="G21" i="23" s="1"/>
  <c r="F20" i="37" s="1"/>
  <c r="G18" i="73"/>
  <c r="F23" i="72"/>
  <c r="G23" i="72" s="1"/>
  <c r="F23" i="28"/>
  <c r="G23" i="28" s="1"/>
  <c r="F19" i="24"/>
  <c r="G19" i="24" s="1"/>
  <c r="F38" i="29"/>
  <c r="G38" i="29" s="1"/>
  <c r="E17" i="72"/>
  <c r="G17" i="72" s="1"/>
  <c r="G18" i="72" s="1"/>
  <c r="G19" i="72" s="1"/>
  <c r="F53" i="37" s="1"/>
  <c r="E17" i="28"/>
  <c r="G17" i="28" s="1"/>
  <c r="J17" i="28" s="1"/>
  <c r="E32" i="29"/>
  <c r="G32" i="29" s="1"/>
  <c r="G33" i="29" s="1"/>
  <c r="G34" i="29" s="1"/>
  <c r="F14" i="37" s="1"/>
  <c r="E17" i="31"/>
  <c r="G17" i="31" s="1"/>
  <c r="F26" i="14"/>
  <c r="F23" i="31"/>
  <c r="G23" i="31" s="1"/>
  <c r="F23" i="33"/>
  <c r="G23" i="33" s="1"/>
  <c r="F23" i="30"/>
  <c r="G23" i="30" s="1"/>
  <c r="F23" i="32"/>
  <c r="E17" i="30"/>
  <c r="G17" i="30" s="1"/>
  <c r="G18" i="30" s="1"/>
  <c r="G19" i="30" s="1"/>
  <c r="M13" i="13"/>
  <c r="E17" i="33"/>
  <c r="G17" i="33" s="1"/>
  <c r="I32" i="36"/>
  <c r="M12" i="13"/>
  <c r="G20" i="13"/>
  <c r="G21" i="13" s="1"/>
  <c r="M17" i="15"/>
  <c r="M16" i="15"/>
  <c r="G22" i="15"/>
  <c r="G23" i="15" s="1"/>
  <c r="J23" i="15" s="1"/>
  <c r="G22" i="14"/>
  <c r="G23" i="14" s="1"/>
  <c r="F29" i="37" s="1"/>
  <c r="G20" i="99"/>
  <c r="G20" i="98"/>
  <c r="G20" i="55"/>
  <c r="G19" i="99"/>
  <c r="G26" i="50"/>
  <c r="E24" i="101"/>
  <c r="G24" i="101" s="1"/>
  <c r="G27" i="100"/>
  <c r="G23" i="70"/>
  <c r="E23" i="101"/>
  <c r="G23" i="101" s="1"/>
  <c r="G26" i="100"/>
  <c r="G26" i="41"/>
  <c r="G27" i="41" s="1"/>
  <c r="L38" i="37" s="1"/>
  <c r="G12" i="19"/>
  <c r="G13" i="19"/>
  <c r="G12" i="16"/>
  <c r="G14" i="16" s="1"/>
  <c r="G15" i="16" s="1"/>
  <c r="F27" i="37" s="1"/>
  <c r="E33" i="38"/>
  <c r="G33" i="38" s="1"/>
  <c r="E25" i="54"/>
  <c r="G25" i="54" s="1"/>
  <c r="E30" i="96"/>
  <c r="G30" i="96" s="1"/>
  <c r="E28" i="95"/>
  <c r="G28" i="95" s="1"/>
  <c r="G30" i="94"/>
  <c r="E32" i="91"/>
  <c r="G32" i="91" s="1"/>
  <c r="E31" i="92"/>
  <c r="G31" i="92" s="1"/>
  <c r="E33" i="15"/>
  <c r="G33" i="15" s="1"/>
  <c r="E27" i="60"/>
  <c r="G27" i="60" s="1"/>
  <c r="G17" i="77"/>
  <c r="G18" i="77" s="1"/>
  <c r="F54" i="37" s="1"/>
  <c r="G28" i="63"/>
  <c r="G30" i="63" s="1"/>
  <c r="G31" i="63" s="1"/>
  <c r="E27" i="57"/>
  <c r="G27" i="57" s="1"/>
  <c r="G13" i="63"/>
  <c r="G16" i="63" s="1"/>
  <c r="G17" i="63" s="1"/>
  <c r="G18" i="26"/>
  <c r="E24" i="96"/>
  <c r="G24" i="96" s="1"/>
  <c r="G26" i="96" s="1"/>
  <c r="G27" i="96" s="1"/>
  <c r="E22" i="95"/>
  <c r="G22" i="95" s="1"/>
  <c r="G24" i="95" s="1"/>
  <c r="G25" i="95" s="1"/>
  <c r="G23" i="94"/>
  <c r="G26" i="94" s="1"/>
  <c r="G27" i="94" s="1"/>
  <c r="L62" i="37" s="1"/>
  <c r="G25" i="91"/>
  <c r="G28" i="91" s="1"/>
  <c r="G29" i="91" s="1"/>
  <c r="L61" i="37" s="1"/>
  <c r="E25" i="92"/>
  <c r="G25" i="92" s="1"/>
  <c r="G27" i="92" s="1"/>
  <c r="G28" i="92" s="1"/>
  <c r="L63" i="37" s="1"/>
  <c r="M63" i="37" s="1"/>
  <c r="E31" i="96"/>
  <c r="G31" i="96" s="1"/>
  <c r="E29" i="95"/>
  <c r="G29" i="95" s="1"/>
  <c r="G31" i="94"/>
  <c r="E33" i="91"/>
  <c r="G33" i="91" s="1"/>
  <c r="E32" i="92"/>
  <c r="G32" i="92" s="1"/>
  <c r="G22" i="28"/>
  <c r="G22" i="30"/>
  <c r="E30" i="84"/>
  <c r="G30" i="84" s="1"/>
  <c r="E32" i="38"/>
  <c r="G32" i="38" s="1"/>
  <c r="E25" i="62"/>
  <c r="G25" i="62" s="1"/>
  <c r="E27" i="65"/>
  <c r="G27" i="65" s="1"/>
  <c r="E31" i="40"/>
  <c r="G31" i="40" s="1"/>
  <c r="E28" i="67"/>
  <c r="G28" i="67" s="1"/>
  <c r="E26" i="71"/>
  <c r="G26" i="71" s="1"/>
  <c r="E29" i="84"/>
  <c r="G29" i="84" s="1"/>
  <c r="E25" i="59"/>
  <c r="G25" i="59" s="1"/>
  <c r="E30" i="31"/>
  <c r="G30" i="31" s="1"/>
  <c r="E30" i="72"/>
  <c r="G30" i="72" s="1"/>
  <c r="E30" i="13"/>
  <c r="G30" i="13" s="1"/>
  <c r="E34" i="14"/>
  <c r="G34" i="14" s="1"/>
  <c r="E28" i="10"/>
  <c r="G28" i="10" s="1"/>
  <c r="E30" i="30"/>
  <c r="G30" i="30" s="1"/>
  <c r="E26" i="60"/>
  <c r="G26" i="60" s="1"/>
  <c r="E28" i="45"/>
  <c r="G28" i="45" s="1"/>
  <c r="E30" i="12"/>
  <c r="G30" i="12" s="1"/>
  <c r="E31" i="50"/>
  <c r="G31" i="50" s="1"/>
  <c r="G18" i="9"/>
  <c r="F35" i="37" s="1"/>
  <c r="E29" i="45"/>
  <c r="G29" i="45" s="1"/>
  <c r="E25" i="60"/>
  <c r="G25" i="60" s="1"/>
  <c r="E25" i="19"/>
  <c r="G25" i="19" s="1"/>
  <c r="E27" i="59"/>
  <c r="G27" i="59" s="1"/>
  <c r="E30" i="40"/>
  <c r="G30" i="40" s="1"/>
  <c r="E29" i="30"/>
  <c r="G29" i="30" s="1"/>
  <c r="E27" i="62"/>
  <c r="G27" i="62" s="1"/>
  <c r="E29" i="72"/>
  <c r="G29" i="72" s="1"/>
  <c r="E33" i="14"/>
  <c r="G33" i="14" s="1"/>
  <c r="E27" i="61"/>
  <c r="G27" i="61" s="1"/>
  <c r="E30" i="52"/>
  <c r="G30" i="52" s="1"/>
  <c r="G28" i="24"/>
  <c r="G30" i="24" s="1"/>
  <c r="G31" i="24" s="1"/>
  <c r="E32" i="23"/>
  <c r="G32" i="23" s="1"/>
  <c r="E25" i="17"/>
  <c r="G25" i="17" s="1"/>
  <c r="E30" i="69"/>
  <c r="G30" i="69" s="1"/>
  <c r="E25" i="57"/>
  <c r="G25" i="57" s="1"/>
  <c r="E20" i="64"/>
  <c r="G20" i="64" s="1"/>
  <c r="G21" i="64" s="1"/>
  <c r="G22" i="64" s="1"/>
  <c r="G37" i="29"/>
  <c r="G22" i="90"/>
  <c r="G25" i="90" s="1"/>
  <c r="G26" i="90" s="1"/>
  <c r="L59" i="37" s="1"/>
  <c r="E30" i="32"/>
  <c r="G30" i="32" s="1"/>
  <c r="G31" i="32" s="1"/>
  <c r="G33" i="32" s="1"/>
  <c r="G34" i="32" s="1"/>
  <c r="E26" i="73"/>
  <c r="G26" i="73" s="1"/>
  <c r="G27" i="73" s="1"/>
  <c r="G29" i="73" s="1"/>
  <c r="G30" i="73" s="1"/>
  <c r="E28" i="68"/>
  <c r="G28" i="68" s="1"/>
  <c r="E25" i="83"/>
  <c r="G25" i="83" s="1"/>
  <c r="E29" i="90"/>
  <c r="G29" i="90" s="1"/>
  <c r="E29" i="88"/>
  <c r="G29" i="88" s="1"/>
  <c r="E26" i="16"/>
  <c r="G26" i="16" s="1"/>
  <c r="E31" i="22"/>
  <c r="G31" i="22" s="1"/>
  <c r="E28" i="75"/>
  <c r="G28" i="75" s="1"/>
  <c r="E30" i="28"/>
  <c r="G30" i="28" s="1"/>
  <c r="G31" i="28" s="1"/>
  <c r="G33" i="28" s="1"/>
  <c r="G34" i="28" s="1"/>
  <c r="E27" i="75"/>
  <c r="G27" i="75" s="1"/>
  <c r="E29" i="33"/>
  <c r="G29" i="33" s="1"/>
  <c r="E28" i="65"/>
  <c r="G28" i="65" s="1"/>
  <c r="E25" i="64"/>
  <c r="G25" i="64" s="1"/>
  <c r="E27" i="66"/>
  <c r="G27" i="66" s="1"/>
  <c r="E24" i="27"/>
  <c r="G24" i="27" s="1"/>
  <c r="E28" i="76"/>
  <c r="G28" i="76" s="1"/>
  <c r="E29" i="51"/>
  <c r="G29" i="51" s="1"/>
  <c r="G30" i="51" s="1"/>
  <c r="G32" i="51" s="1"/>
  <c r="G33" i="51" s="1"/>
  <c r="E27" i="74"/>
  <c r="G27" i="74" s="1"/>
  <c r="G30" i="74" s="1"/>
  <c r="G32" i="74" s="1"/>
  <c r="G33" i="74" s="1"/>
  <c r="G34" i="74" s="1"/>
  <c r="G37" i="74" s="1"/>
  <c r="E44" i="29"/>
  <c r="G44" i="29" s="1"/>
  <c r="E27" i="18"/>
  <c r="G27" i="18" s="1"/>
  <c r="E30" i="33"/>
  <c r="G30" i="33" s="1"/>
  <c r="E25" i="26"/>
  <c r="G25" i="26" s="1"/>
  <c r="E32" i="21"/>
  <c r="G32" i="21" s="1"/>
  <c r="E26" i="25"/>
  <c r="G26" i="25" s="1"/>
  <c r="E29" i="31"/>
  <c r="G29" i="31" s="1"/>
  <c r="E25" i="27"/>
  <c r="G25" i="27" s="1"/>
  <c r="E27" i="76"/>
  <c r="G27" i="76" s="1"/>
  <c r="E27" i="54"/>
  <c r="G27" i="54" s="1"/>
  <c r="E24" i="26"/>
  <c r="G24" i="26" s="1"/>
  <c r="E27" i="58"/>
  <c r="G27" i="58" s="1"/>
  <c r="E24" i="85"/>
  <c r="G24" i="85" s="1"/>
  <c r="E30" i="41"/>
  <c r="G30" i="41" s="1"/>
  <c r="E29" i="69"/>
  <c r="G29" i="69" s="1"/>
  <c r="E27" i="83"/>
  <c r="G27" i="83" s="1"/>
  <c r="E31" i="23"/>
  <c r="G31" i="23" s="1"/>
  <c r="E25" i="58"/>
  <c r="G25" i="58" s="1"/>
  <c r="E27" i="68"/>
  <c r="G27" i="68" s="1"/>
  <c r="E27" i="67"/>
  <c r="G27" i="67" s="1"/>
  <c r="E26" i="58"/>
  <c r="G26" i="58" s="1"/>
  <c r="E29" i="82"/>
  <c r="G29" i="82" s="1"/>
  <c r="E30" i="90"/>
  <c r="G30" i="90" s="1"/>
  <c r="E30" i="88"/>
  <c r="G30" i="88" s="1"/>
  <c r="G14" i="27"/>
  <c r="G15" i="27" s="1"/>
  <c r="F16" i="37" s="1"/>
  <c r="G20" i="18"/>
  <c r="G24" i="70"/>
  <c r="G22" i="31"/>
  <c r="G19" i="25"/>
  <c r="E22" i="65"/>
  <c r="G22" i="65" s="1"/>
  <c r="G23" i="65" s="1"/>
  <c r="G24" i="65" s="1"/>
  <c r="E20" i="61"/>
  <c r="G20" i="61" s="1"/>
  <c r="G21" i="61" s="1"/>
  <c r="G22" i="61" s="1"/>
  <c r="E22" i="66"/>
  <c r="G22" i="66" s="1"/>
  <c r="G23" i="66" s="1"/>
  <c r="G24" i="66" s="1"/>
  <c r="E20" i="57"/>
  <c r="G20" i="57" s="1"/>
  <c r="G21" i="57" s="1"/>
  <c r="G22" i="57" s="1"/>
  <c r="G26" i="21"/>
  <c r="G22" i="88"/>
  <c r="G22" i="72"/>
  <c r="G21" i="71"/>
  <c r="G20" i="71"/>
  <c r="G18" i="27"/>
  <c r="G21" i="18"/>
  <c r="G20" i="24"/>
  <c r="E20" i="60"/>
  <c r="G20" i="60" s="1"/>
  <c r="G21" i="60" s="1"/>
  <c r="G22" i="60" s="1"/>
  <c r="G25" i="69"/>
  <c r="G26" i="69" s="1"/>
  <c r="L42" i="37" s="1"/>
  <c r="G26" i="42"/>
  <c r="G27" i="42" s="1"/>
  <c r="L39" i="37" s="1"/>
  <c r="G18" i="65"/>
  <c r="G19" i="65" s="1"/>
  <c r="G18" i="67"/>
  <c r="G19" i="67" s="1"/>
  <c r="G18" i="66"/>
  <c r="G19" i="66" s="1"/>
  <c r="G18" i="68"/>
  <c r="G19" i="68" s="1"/>
  <c r="G16" i="57"/>
  <c r="G17" i="57" s="1"/>
  <c r="G20" i="82"/>
  <c r="G21" i="82" s="1"/>
  <c r="F55" i="37" s="1"/>
  <c r="G16" i="62"/>
  <c r="G17" i="62" s="1"/>
  <c r="G15" i="24"/>
  <c r="G16" i="24" s="1"/>
  <c r="F19" i="37" s="1"/>
  <c r="G16" i="60"/>
  <c r="G17" i="60" s="1"/>
  <c r="E12" i="32"/>
  <c r="G12" i="32" s="1"/>
  <c r="G16" i="58"/>
  <c r="G17" i="58" s="1"/>
  <c r="G16" i="61"/>
  <c r="G17" i="61" s="1"/>
  <c r="G16" i="64"/>
  <c r="G17" i="64" s="1"/>
  <c r="G16" i="71"/>
  <c r="G17" i="71" s="1"/>
  <c r="F52" i="37" s="1"/>
  <c r="G23" i="38"/>
  <c r="F37" i="37" s="1"/>
  <c r="G16" i="59"/>
  <c r="G17" i="59" s="1"/>
  <c r="G19" i="31"/>
  <c r="F12" i="37" s="1"/>
  <c r="G19" i="70"/>
  <c r="G20" i="70" s="1"/>
  <c r="F51" i="37" s="1"/>
  <c r="G22" i="50"/>
  <c r="F46" i="37" s="1"/>
  <c r="G21" i="21"/>
  <c r="F22" i="37" s="1"/>
  <c r="E27" i="9"/>
  <c r="G27" i="9" s="1"/>
  <c r="E28" i="9"/>
  <c r="G28" i="9" s="1"/>
  <c r="E26" i="83"/>
  <c r="G26" i="83" s="1"/>
  <c r="E26" i="18"/>
  <c r="G26" i="18" s="1"/>
  <c r="E31" i="43"/>
  <c r="G31" i="43" s="1"/>
  <c r="E32" i="22"/>
  <c r="G32" i="22" s="1"/>
  <c r="E29" i="53"/>
  <c r="G29" i="53" s="1"/>
  <c r="E29" i="76"/>
  <c r="G29" i="76" s="1"/>
  <c r="E26" i="54"/>
  <c r="G26" i="54" s="1"/>
  <c r="E27" i="10"/>
  <c r="G27" i="10" s="1"/>
  <c r="E25" i="25"/>
  <c r="G25" i="25" s="1"/>
  <c r="E30" i="82"/>
  <c r="G30" i="82" s="1"/>
  <c r="E33" i="21"/>
  <c r="G33" i="21" s="1"/>
  <c r="E28" i="53"/>
  <c r="G28" i="53" s="1"/>
  <c r="E24" i="19"/>
  <c r="G24" i="19" s="1"/>
  <c r="E26" i="55"/>
  <c r="G26" i="55" s="1"/>
  <c r="E29" i="52"/>
  <c r="G29" i="52" s="1"/>
  <c r="G22" i="63"/>
  <c r="G23" i="63" s="1"/>
  <c r="G26" i="43"/>
  <c r="G27" i="43" s="1"/>
  <c r="L40" i="37" s="1"/>
  <c r="G26" i="49"/>
  <c r="G27" i="49" s="1"/>
  <c r="G26" i="38"/>
  <c r="G25" i="13"/>
  <c r="E20" i="58"/>
  <c r="G20" i="58" s="1"/>
  <c r="G21" i="58" s="1"/>
  <c r="G22" i="58" s="1"/>
  <c r="G24" i="82"/>
  <c r="G28" i="14"/>
  <c r="G27" i="44"/>
  <c r="G28" i="44" s="1"/>
  <c r="L43" i="37" s="1"/>
  <c r="G24" i="12"/>
  <c r="G27" i="15"/>
  <c r="G28" i="46"/>
  <c r="G29" i="46" s="1"/>
  <c r="G25" i="84"/>
  <c r="G26" i="84" s="1"/>
  <c r="L57" i="37" s="1"/>
  <c r="G14" i="26"/>
  <c r="G15" i="26" s="1"/>
  <c r="G15" i="83"/>
  <c r="G16" i="83" s="1"/>
  <c r="F56" i="37" s="1"/>
  <c r="E20" i="83"/>
  <c r="G20" i="83" s="1"/>
  <c r="G27" i="38"/>
  <c r="E20" i="59"/>
  <c r="G20" i="59" s="1"/>
  <c r="G21" i="59" s="1"/>
  <c r="G22" i="59" s="1"/>
  <c r="G19" i="40"/>
  <c r="F33" i="37" s="1"/>
  <c r="G22" i="33"/>
  <c r="E19" i="83"/>
  <c r="G19" i="83" s="1"/>
  <c r="G25" i="50"/>
  <c r="G19" i="54"/>
  <c r="G24" i="13"/>
  <c r="G21" i="55"/>
  <c r="N53" i="56"/>
  <c r="N55" i="56"/>
  <c r="E31" i="41"/>
  <c r="G31" i="41" s="1"/>
  <c r="N54" i="56"/>
  <c r="E20" i="73"/>
  <c r="E30" i="49"/>
  <c r="G30" i="49" s="1"/>
  <c r="G32" i="49" s="1"/>
  <c r="G34" i="49" s="1"/>
  <c r="G35" i="49" s="1"/>
  <c r="I45" i="37" s="1"/>
  <c r="E31" i="44"/>
  <c r="G31" i="44" s="1"/>
  <c r="E29" i="68"/>
  <c r="G29" i="68" s="1"/>
  <c r="E19" i="73"/>
  <c r="E17" i="73"/>
  <c r="G27" i="64" l="1"/>
  <c r="G29" i="64" s="1"/>
  <c r="G30" i="64" s="1"/>
  <c r="G18" i="33"/>
  <c r="G32" i="43"/>
  <c r="G34" i="43" s="1"/>
  <c r="G35" i="43" s="1"/>
  <c r="I40" i="37" s="1"/>
  <c r="G31" i="84"/>
  <c r="G33" i="84" s="1"/>
  <c r="G34" i="84" s="1"/>
  <c r="I57" i="37" s="1"/>
  <c r="G33" i="44"/>
  <c r="G35" i="44" s="1"/>
  <c r="G36" i="44" s="1"/>
  <c r="I43" i="37" s="1"/>
  <c r="G30" i="66"/>
  <c r="G32" i="66" s="1"/>
  <c r="G33" i="66" s="1"/>
  <c r="G34" i="66" s="1"/>
  <c r="G37" i="66" s="1"/>
  <c r="G27" i="16"/>
  <c r="G29" i="16" s="1"/>
  <c r="G30" i="16" s="1"/>
  <c r="G36" i="105"/>
  <c r="G39" i="105" s="1"/>
  <c r="G25" i="88"/>
  <c r="G26" i="88" s="1"/>
  <c r="L60" i="37" s="1"/>
  <c r="G34" i="46"/>
  <c r="G36" i="46" s="1"/>
  <c r="G37" i="46" s="1"/>
  <c r="I44" i="37" s="1"/>
  <c r="G35" i="104"/>
  <c r="G27" i="17"/>
  <c r="G29" i="17" s="1"/>
  <c r="G30" i="17" s="1"/>
  <c r="G33" i="50"/>
  <c r="G35" i="50" s="1"/>
  <c r="G36" i="50" s="1"/>
  <c r="I46" i="37" s="1"/>
  <c r="G25" i="82"/>
  <c r="G26" i="82" s="1"/>
  <c r="L55" i="37" s="1"/>
  <c r="G20" i="52"/>
  <c r="G21" i="52" s="1"/>
  <c r="F48" i="37" s="1"/>
  <c r="L44" i="37"/>
  <c r="L45" i="37"/>
  <c r="G46" i="29"/>
  <c r="G48" i="29" s="1"/>
  <c r="G49" i="29" s="1"/>
  <c r="I14" i="37" s="1"/>
  <c r="G17" i="51"/>
  <c r="G18" i="51" s="1"/>
  <c r="F47" i="37" s="1"/>
  <c r="G30" i="65"/>
  <c r="G32" i="65" s="1"/>
  <c r="G33" i="65" s="1"/>
  <c r="G34" i="65" s="1"/>
  <c r="G37" i="65" s="1"/>
  <c r="G28" i="71"/>
  <c r="G30" i="71" s="1"/>
  <c r="G31" i="71" s="1"/>
  <c r="I52" i="37" s="1"/>
  <c r="G32" i="42"/>
  <c r="G34" i="42" s="1"/>
  <c r="G35" i="42" s="1"/>
  <c r="I39" i="37" s="1"/>
  <c r="G30" i="45"/>
  <c r="G32" i="45" s="1"/>
  <c r="G33" i="45" s="1"/>
  <c r="I41" i="37" s="1"/>
  <c r="G28" i="61"/>
  <c r="G30" i="61" s="1"/>
  <c r="G31" i="61" s="1"/>
  <c r="G32" i="61" s="1"/>
  <c r="G35" i="61" s="1"/>
  <c r="G34" i="38"/>
  <c r="G36" i="38" s="1"/>
  <c r="G37" i="38" s="1"/>
  <c r="I37" i="37" s="1"/>
  <c r="G31" i="52"/>
  <c r="G33" i="52" s="1"/>
  <c r="G34" i="52" s="1"/>
  <c r="I48" i="37" s="1"/>
  <c r="G28" i="62"/>
  <c r="G30" i="62" s="1"/>
  <c r="G31" i="62" s="1"/>
  <c r="G32" i="62" s="1"/>
  <c r="G35" i="62" s="1"/>
  <c r="G27" i="99"/>
  <c r="G29" i="99" s="1"/>
  <c r="G30" i="99" s="1"/>
  <c r="I77" i="37" s="1"/>
  <c r="G30" i="67"/>
  <c r="G32" i="67" s="1"/>
  <c r="G33" i="67" s="1"/>
  <c r="G34" i="67" s="1"/>
  <c r="G37" i="67" s="1"/>
  <c r="G33" i="40"/>
  <c r="G35" i="40" s="1"/>
  <c r="G36" i="40" s="1"/>
  <c r="I33" i="37" s="1"/>
  <c r="M33" i="37" s="1"/>
  <c r="G25" i="104"/>
  <c r="G28" i="104" s="1"/>
  <c r="G29" i="104" s="1"/>
  <c r="L31" i="37" s="1"/>
  <c r="H26" i="14"/>
  <c r="G26" i="12"/>
  <c r="G27" i="12" s="1"/>
  <c r="L32" i="37" s="1"/>
  <c r="G22" i="24"/>
  <c r="G23" i="24" s="1"/>
  <c r="L19" i="37" s="1"/>
  <c r="M14" i="13"/>
  <c r="G28" i="18"/>
  <c r="G30" i="18" s="1"/>
  <c r="G31" i="18" s="1"/>
  <c r="I25" i="37" s="1"/>
  <c r="G28" i="60"/>
  <c r="G30" i="60" s="1"/>
  <c r="G31" i="60" s="1"/>
  <c r="G32" i="60" s="1"/>
  <c r="G35" i="60" s="1"/>
  <c r="G31" i="101"/>
  <c r="G33" i="101" s="1"/>
  <c r="G34" i="101" s="1"/>
  <c r="G28" i="97"/>
  <c r="G30" i="97" s="1"/>
  <c r="G31" i="97" s="1"/>
  <c r="I75" i="37" s="1"/>
  <c r="G28" i="98"/>
  <c r="G30" i="98" s="1"/>
  <c r="G31" i="98" s="1"/>
  <c r="I76" i="37" s="1"/>
  <c r="G31" i="12"/>
  <c r="G33" i="12" s="1"/>
  <c r="G34" i="12" s="1"/>
  <c r="I32" i="37" s="1"/>
  <c r="G28" i="59"/>
  <c r="G30" i="59" s="1"/>
  <c r="G31" i="59" s="1"/>
  <c r="G32" i="59" s="1"/>
  <c r="G35" i="59" s="1"/>
  <c r="G28" i="57"/>
  <c r="G30" i="57" s="1"/>
  <c r="G31" i="57" s="1"/>
  <c r="G32" i="57" s="1"/>
  <c r="G35" i="57" s="1"/>
  <c r="G31" i="13"/>
  <c r="G33" i="13" s="1"/>
  <c r="G34" i="13" s="1"/>
  <c r="I30" i="37" s="1"/>
  <c r="G31" i="31"/>
  <c r="G33" i="31" s="1"/>
  <c r="G34" i="31" s="1"/>
  <c r="I12" i="37" s="1"/>
  <c r="G31" i="69"/>
  <c r="G33" i="69" s="1"/>
  <c r="G34" i="69" s="1"/>
  <c r="I42" i="37" s="1"/>
  <c r="G28" i="55"/>
  <c r="G30" i="55" s="1"/>
  <c r="G31" i="55" s="1"/>
  <c r="I23" i="37" s="1"/>
  <c r="I15" i="37"/>
  <c r="G19" i="97"/>
  <c r="G22" i="97" s="1"/>
  <c r="G23" i="97" s="1"/>
  <c r="L75" i="37" s="1"/>
  <c r="G19" i="98"/>
  <c r="G22" i="98" s="1"/>
  <c r="G23" i="98" s="1"/>
  <c r="I19" i="37"/>
  <c r="G33" i="23"/>
  <c r="G35" i="23" s="1"/>
  <c r="G21" i="25"/>
  <c r="G22" i="25" s="1"/>
  <c r="L18" i="37" s="1"/>
  <c r="F17" i="37"/>
  <c r="G20" i="26"/>
  <c r="G21" i="26" s="1"/>
  <c r="L17" i="37" s="1"/>
  <c r="G20" i="27"/>
  <c r="G21" i="27" s="1"/>
  <c r="L16" i="37" s="1"/>
  <c r="G25" i="30"/>
  <c r="G26" i="30" s="1"/>
  <c r="L13" i="37" s="1"/>
  <c r="G25" i="28"/>
  <c r="G26" i="28" s="1"/>
  <c r="G25" i="72"/>
  <c r="G26" i="72" s="1"/>
  <c r="L53" i="37" s="1"/>
  <c r="I9" i="37"/>
  <c r="G18" i="28"/>
  <c r="G19" i="28" s="1"/>
  <c r="F15" i="37" s="1"/>
  <c r="G40" i="29"/>
  <c r="G41" i="29" s="1"/>
  <c r="G26" i="14"/>
  <c r="G29" i="14" s="1"/>
  <c r="G30" i="14" s="1"/>
  <c r="G31" i="30"/>
  <c r="G33" i="30" s="1"/>
  <c r="G34" i="30" s="1"/>
  <c r="I13" i="37" s="1"/>
  <c r="G25" i="31"/>
  <c r="G26" i="31" s="1"/>
  <c r="E17" i="32"/>
  <c r="G17" i="32" s="1"/>
  <c r="G18" i="32" s="1"/>
  <c r="G19" i="32" s="1"/>
  <c r="F11" i="37" s="1"/>
  <c r="G25" i="33"/>
  <c r="G26" i="33" s="1"/>
  <c r="J32" i="36"/>
  <c r="F21" i="8" s="1"/>
  <c r="G21" i="8" s="1"/>
  <c r="G23" i="8" s="1"/>
  <c r="G24" i="8" s="1"/>
  <c r="L36" i="37" s="1"/>
  <c r="G35" i="14"/>
  <c r="G37" i="14" s="1"/>
  <c r="G38" i="14" s="1"/>
  <c r="I29" i="37" s="1"/>
  <c r="G25" i="70"/>
  <c r="G26" i="70" s="1"/>
  <c r="L51" i="37" s="1"/>
  <c r="M51" i="37" s="1"/>
  <c r="M18" i="15"/>
  <c r="G22" i="18"/>
  <c r="G25" i="101"/>
  <c r="G26" i="101" s="1"/>
  <c r="G28" i="100"/>
  <c r="G29" i="100" s="1"/>
  <c r="G28" i="22"/>
  <c r="L21" i="37" s="1"/>
  <c r="G21" i="99"/>
  <c r="G22" i="99" s="1"/>
  <c r="G27" i="23"/>
  <c r="G28" i="23" s="1"/>
  <c r="L20" i="37" s="1"/>
  <c r="G26" i="15"/>
  <c r="G22" i="55"/>
  <c r="G23" i="55" s="1"/>
  <c r="L23" i="37" s="1"/>
  <c r="G27" i="50"/>
  <c r="G28" i="50" s="1"/>
  <c r="L46" i="37" s="1"/>
  <c r="G34" i="15"/>
  <c r="G36" i="15" s="1"/>
  <c r="G37" i="15" s="1"/>
  <c r="F28" i="37"/>
  <c r="G22" i="71"/>
  <c r="G23" i="71" s="1"/>
  <c r="L52" i="37" s="1"/>
  <c r="F30" i="37"/>
  <c r="G34" i="21"/>
  <c r="G36" i="21" s="1"/>
  <c r="G37" i="21" s="1"/>
  <c r="I22" i="37" s="1"/>
  <c r="G31" i="88"/>
  <c r="G33" i="88" s="1"/>
  <c r="G34" i="88" s="1"/>
  <c r="I60" i="37" s="1"/>
  <c r="G33" i="92"/>
  <c r="G35" i="92" s="1"/>
  <c r="G36" i="92" s="1"/>
  <c r="G37" i="92" s="1"/>
  <c r="G40" i="92" s="1"/>
  <c r="G25" i="85"/>
  <c r="G27" i="85" s="1"/>
  <c r="G28" i="85" s="1"/>
  <c r="I58" i="37" s="1"/>
  <c r="G34" i="91"/>
  <c r="G36" i="91" s="1"/>
  <c r="G37" i="91" s="1"/>
  <c r="G32" i="94"/>
  <c r="G34" i="94" s="1"/>
  <c r="G35" i="94" s="1"/>
  <c r="G30" i="95"/>
  <c r="G32" i="95" s="1"/>
  <c r="G33" i="95" s="1"/>
  <c r="G32" i="96"/>
  <c r="G34" i="96" s="1"/>
  <c r="G35" i="96" s="1"/>
  <c r="G28" i="54"/>
  <c r="G30" i="54" s="1"/>
  <c r="G31" i="54" s="1"/>
  <c r="I50" i="37" s="1"/>
  <c r="E19" i="49"/>
  <c r="G19" i="49" s="1"/>
  <c r="E21" i="46"/>
  <c r="G21" i="46" s="1"/>
  <c r="E20" i="44"/>
  <c r="G20" i="44" s="1"/>
  <c r="E19" i="41"/>
  <c r="E19" i="42"/>
  <c r="G28" i="58"/>
  <c r="G30" i="58" s="1"/>
  <c r="G31" i="58" s="1"/>
  <c r="G32" i="58" s="1"/>
  <c r="G35" i="58" s="1"/>
  <c r="G26" i="19"/>
  <c r="G28" i="19" s="1"/>
  <c r="G29" i="19" s="1"/>
  <c r="G26" i="27"/>
  <c r="G28" i="27" s="1"/>
  <c r="G29" i="27" s="1"/>
  <c r="I16" i="37" s="1"/>
  <c r="G27" i="25"/>
  <c r="G29" i="25" s="1"/>
  <c r="G30" i="25" s="1"/>
  <c r="I18" i="37" s="1"/>
  <c r="G30" i="76"/>
  <c r="G32" i="76" s="1"/>
  <c r="G33" i="76" s="1"/>
  <c r="G34" i="76" s="1"/>
  <c r="G37" i="76" s="1"/>
  <c r="G31" i="72"/>
  <c r="G33" i="72" s="1"/>
  <c r="G34" i="72" s="1"/>
  <c r="I53" i="37" s="1"/>
  <c r="G29" i="9"/>
  <c r="G31" i="9" s="1"/>
  <c r="G32" i="9" s="1"/>
  <c r="G30" i="75"/>
  <c r="G32" i="75" s="1"/>
  <c r="G33" i="75" s="1"/>
  <c r="G34" i="75" s="1"/>
  <c r="G37" i="75" s="1"/>
  <c r="G30" i="68"/>
  <c r="G32" i="68" s="1"/>
  <c r="G33" i="68" s="1"/>
  <c r="G34" i="68" s="1"/>
  <c r="G37" i="68" s="1"/>
  <c r="G30" i="53"/>
  <c r="G32" i="53" s="1"/>
  <c r="G33" i="53" s="1"/>
  <c r="I49" i="37" s="1"/>
  <c r="M49" i="37" s="1"/>
  <c r="G26" i="26"/>
  <c r="G28" i="26" s="1"/>
  <c r="G29" i="26" s="1"/>
  <c r="I17" i="37" s="1"/>
  <c r="G28" i="83"/>
  <c r="G30" i="83" s="1"/>
  <c r="G31" i="83" s="1"/>
  <c r="I56" i="37" s="1"/>
  <c r="G28" i="38"/>
  <c r="G29" i="38" s="1"/>
  <c r="L37" i="37" s="1"/>
  <c r="G33" i="22"/>
  <c r="G35" i="22" s="1"/>
  <c r="G36" i="22" s="1"/>
  <c r="I21" i="37" s="1"/>
  <c r="G31" i="33"/>
  <c r="G33" i="33" s="1"/>
  <c r="G34" i="33" s="1"/>
  <c r="I10" i="37" s="1"/>
  <c r="G31" i="90"/>
  <c r="G33" i="90" s="1"/>
  <c r="G34" i="90" s="1"/>
  <c r="G29" i="10"/>
  <c r="G31" i="10" s="1"/>
  <c r="G32" i="10" s="1"/>
  <c r="G32" i="41"/>
  <c r="G34" i="41" s="1"/>
  <c r="G35" i="41" s="1"/>
  <c r="I38" i="37" s="1"/>
  <c r="G31" i="82"/>
  <c r="G33" i="82" s="1"/>
  <c r="G34" i="82" s="1"/>
  <c r="I55" i="37" s="1"/>
  <c r="G29" i="8"/>
  <c r="G31" i="8" s="1"/>
  <c r="G32" i="8" s="1"/>
  <c r="G32" i="63"/>
  <c r="G35" i="63" s="1"/>
  <c r="G26" i="13"/>
  <c r="G27" i="13" s="1"/>
  <c r="G14" i="19"/>
  <c r="G15" i="19" s="1"/>
  <c r="F24" i="37" s="1"/>
  <c r="G31" i="64"/>
  <c r="G34" i="64" s="1"/>
  <c r="G16" i="55"/>
  <c r="G17" i="55" s="1"/>
  <c r="F23" i="37" s="1"/>
  <c r="G21" i="83"/>
  <c r="G22" i="83" s="1"/>
  <c r="G20" i="73"/>
  <c r="G18" i="54"/>
  <c r="G21" i="54" s="1"/>
  <c r="G22" i="54" s="1"/>
  <c r="G24" i="21"/>
  <c r="G28" i="21" s="1"/>
  <c r="G17" i="73"/>
  <c r="G19" i="73"/>
  <c r="G19" i="33" l="1"/>
  <c r="F10" i="37" s="1"/>
  <c r="H18" i="33"/>
  <c r="G36" i="94"/>
  <c r="G39" i="94" s="1"/>
  <c r="I62" i="37"/>
  <c r="M62" i="37" s="1"/>
  <c r="G38" i="91"/>
  <c r="G41" i="91" s="1"/>
  <c r="I61" i="37"/>
  <c r="M61" i="37" s="1"/>
  <c r="M60" i="37"/>
  <c r="M52" i="37"/>
  <c r="M37" i="37"/>
  <c r="G32" i="99"/>
  <c r="G35" i="99" s="1"/>
  <c r="M55" i="37"/>
  <c r="G19" i="42"/>
  <c r="G20" i="42" s="1"/>
  <c r="G21" i="42" s="1"/>
  <c r="G37" i="42" s="1"/>
  <c r="G40" i="42" s="1"/>
  <c r="G19" i="41"/>
  <c r="G20" i="41" s="1"/>
  <c r="G21" i="41" s="1"/>
  <c r="G36" i="52"/>
  <c r="G39" i="52" s="1"/>
  <c r="M46" i="37"/>
  <c r="M48" i="37"/>
  <c r="M32" i="37"/>
  <c r="G35" i="101"/>
  <c r="G38" i="101" s="1"/>
  <c r="G38" i="40"/>
  <c r="G41" i="40" s="1"/>
  <c r="J37" i="15"/>
  <c r="I28" i="37"/>
  <c r="G36" i="12"/>
  <c r="G39" i="12" s="1"/>
  <c r="G23" i="18"/>
  <c r="L25" i="37" s="1"/>
  <c r="M25" i="37" s="1"/>
  <c r="G36" i="88"/>
  <c r="G39" i="88" s="1"/>
  <c r="M75" i="37"/>
  <c r="G36" i="23"/>
  <c r="G38" i="23" s="1"/>
  <c r="G41" i="23" s="1"/>
  <c r="G36" i="82"/>
  <c r="G39" i="82" s="1"/>
  <c r="G34" i="95"/>
  <c r="G37" i="95" s="1"/>
  <c r="M64" i="37"/>
  <c r="G29" i="21"/>
  <c r="M19" i="37"/>
  <c r="G36" i="96"/>
  <c r="G39" i="96" s="1"/>
  <c r="M65" i="37"/>
  <c r="G31" i="26"/>
  <c r="G34" i="26" s="1"/>
  <c r="M18" i="37"/>
  <c r="M17" i="37"/>
  <c r="G31" i="27"/>
  <c r="G34" i="27" s="1"/>
  <c r="M16" i="37"/>
  <c r="L15" i="37"/>
  <c r="M15" i="37" s="1"/>
  <c r="G36" i="28"/>
  <c r="G39" i="28" s="1"/>
  <c r="G21" i="73"/>
  <c r="G22" i="73" s="1"/>
  <c r="G34" i="73" s="1"/>
  <c r="M53" i="37"/>
  <c r="G36" i="30"/>
  <c r="G39" i="30" s="1"/>
  <c r="F13" i="37"/>
  <c r="M13" i="37" s="1"/>
  <c r="L14" i="37"/>
  <c r="M14" i="37" s="1"/>
  <c r="G51" i="29"/>
  <c r="G54" i="29" s="1"/>
  <c r="L10" i="37"/>
  <c r="M10" i="37" s="1"/>
  <c r="G36" i="33"/>
  <c r="G39" i="33" s="1"/>
  <c r="L12" i="37"/>
  <c r="M12" i="37" s="1"/>
  <c r="G36" i="31"/>
  <c r="G39" i="31" s="1"/>
  <c r="F21" i="10"/>
  <c r="G21" i="10" s="1"/>
  <c r="F21" i="9"/>
  <c r="G21" i="9" s="1"/>
  <c r="G35" i="70"/>
  <c r="G38" i="70" s="1"/>
  <c r="L77" i="37"/>
  <c r="M77" i="37" s="1"/>
  <c r="G33" i="97"/>
  <c r="G36" i="97" s="1"/>
  <c r="G38" i="100"/>
  <c r="G41" i="100" s="1"/>
  <c r="L78" i="37"/>
  <c r="M78" i="37" s="1"/>
  <c r="M21" i="37"/>
  <c r="G28" i="15"/>
  <c r="L76" i="37"/>
  <c r="M76" i="37" s="1"/>
  <c r="G33" i="98"/>
  <c r="G36" i="98" s="1"/>
  <c r="G38" i="50"/>
  <c r="G41" i="50" s="1"/>
  <c r="G33" i="71"/>
  <c r="G36" i="71" s="1"/>
  <c r="L29" i="37"/>
  <c r="M29" i="37" s="1"/>
  <c r="L30" i="37"/>
  <c r="M30" i="37" s="1"/>
  <c r="G33" i="24"/>
  <c r="G36" i="24" s="1"/>
  <c r="E19" i="43"/>
  <c r="G39" i="38"/>
  <c r="G42" i="38" s="1"/>
  <c r="G35" i="53"/>
  <c r="G38" i="53" s="1"/>
  <c r="G36" i="72"/>
  <c r="G39" i="72" s="1"/>
  <c r="G32" i="25"/>
  <c r="G35" i="25" s="1"/>
  <c r="G38" i="22"/>
  <c r="G41" i="22" s="1"/>
  <c r="G34" i="8"/>
  <c r="G37" i="8" s="1"/>
  <c r="I36" i="37"/>
  <c r="M36" i="37" s="1"/>
  <c r="I59" i="37"/>
  <c r="M59" i="37" s="1"/>
  <c r="G36" i="90"/>
  <c r="G39" i="90" s="1"/>
  <c r="G36" i="13"/>
  <c r="G39" i="13" s="1"/>
  <c r="G40" i="14"/>
  <c r="G43" i="14" s="1"/>
  <c r="G33" i="55"/>
  <c r="G36" i="55" s="1"/>
  <c r="L56" i="37"/>
  <c r="M56" i="37" s="1"/>
  <c r="G32" i="83"/>
  <c r="G35" i="83" s="1"/>
  <c r="L50" i="37"/>
  <c r="M50" i="37" s="1"/>
  <c r="G33" i="54"/>
  <c r="G36" i="54" s="1"/>
  <c r="I35" i="37" l="1"/>
  <c r="F38" i="37"/>
  <c r="M38" i="37" s="1"/>
  <c r="G37" i="41"/>
  <c r="G40" i="41" s="1"/>
  <c r="G19" i="43"/>
  <c r="G20" i="43" s="1"/>
  <c r="G21" i="43" s="1"/>
  <c r="F39" i="37"/>
  <c r="M39" i="37" s="1"/>
  <c r="G23" i="9"/>
  <c r="G24" i="9" s="1"/>
  <c r="G23" i="10"/>
  <c r="G24" i="10" s="1"/>
  <c r="I34" i="37"/>
  <c r="G33" i="18"/>
  <c r="G36" i="18" s="1"/>
  <c r="I20" i="37"/>
  <c r="M20" i="37" s="1"/>
  <c r="G39" i="21"/>
  <c r="G42" i="21" s="1"/>
  <c r="M23" i="37"/>
  <c r="L22" i="37"/>
  <c r="M22" i="37" s="1"/>
  <c r="G29" i="15"/>
  <c r="L9" i="37"/>
  <c r="M9" i="37" s="1"/>
  <c r="G37" i="73"/>
  <c r="F40" i="37" l="1"/>
  <c r="M40" i="37" s="1"/>
  <c r="G37" i="43"/>
  <c r="G40" i="43" s="1"/>
  <c r="L35" i="37"/>
  <c r="M35" i="37" s="1"/>
  <c r="G34" i="9"/>
  <c r="G37" i="9" s="1"/>
  <c r="L34" i="37"/>
  <c r="M34" i="37" s="1"/>
  <c r="G34" i="10"/>
  <c r="G37" i="10" s="1"/>
  <c r="G39" i="15"/>
  <c r="G42" i="15" s="1"/>
  <c r="J29" i="15"/>
  <c r="J40" i="15" s="1"/>
  <c r="L28" i="37"/>
  <c r="M28" i="37" s="1"/>
  <c r="K29" i="15"/>
  <c r="E19" i="44" l="1"/>
  <c r="G20" i="49"/>
  <c r="G21" i="49" s="1"/>
  <c r="F45" i="37" s="1"/>
  <c r="G19" i="44" l="1"/>
  <c r="G21" i="44" s="1"/>
  <c r="G22" i="44" s="1"/>
  <c r="E12" i="85"/>
  <c r="E12" i="84"/>
  <c r="G12" i="84" s="1"/>
  <c r="E12" i="45"/>
  <c r="G12" i="45" s="1"/>
  <c r="E12" i="69"/>
  <c r="G12" i="69" s="1"/>
  <c r="M45" i="37"/>
  <c r="G37" i="49"/>
  <c r="G40" i="49" s="1"/>
  <c r="G12" i="85" l="1"/>
  <c r="F43" i="37"/>
  <c r="M43" i="37" s="1"/>
  <c r="G38" i="44"/>
  <c r="G41" i="44" s="1"/>
  <c r="E13" i="69"/>
  <c r="G13" i="69" s="1"/>
  <c r="E13" i="84"/>
  <c r="G13" i="84" s="1"/>
  <c r="E13" i="45"/>
  <c r="G13" i="45" s="1"/>
  <c r="G14" i="85" l="1"/>
  <c r="G15" i="85" s="1"/>
  <c r="E14" i="84"/>
  <c r="G14" i="84" s="1"/>
  <c r="E14" i="69"/>
  <c r="G14" i="69" s="1"/>
  <c r="E14" i="45"/>
  <c r="G14" i="45" s="1"/>
  <c r="F58" i="37" l="1"/>
  <c r="M58" i="37" s="1"/>
  <c r="G30" i="85"/>
  <c r="G33" i="85" s="1"/>
  <c r="E20" i="46"/>
  <c r="E15" i="45"/>
  <c r="G15" i="45" s="1"/>
  <c r="E15" i="69"/>
  <c r="G15" i="69" s="1"/>
  <c r="E15" i="84"/>
  <c r="G15" i="84" s="1"/>
  <c r="G20" i="46" l="1"/>
  <c r="G22" i="46" s="1"/>
  <c r="G23" i="46" s="1"/>
  <c r="F44" i="37" l="1"/>
  <c r="M44" i="37" s="1"/>
  <c r="G39" i="46"/>
  <c r="G42" i="46" s="1"/>
  <c r="E18" i="69"/>
  <c r="G18" i="69" s="1"/>
  <c r="E18" i="84" l="1"/>
  <c r="G18" i="84" s="1"/>
  <c r="G19" i="84" s="1"/>
  <c r="G20" i="84" s="1"/>
  <c r="E17" i="45"/>
  <c r="G17" i="69" l="1"/>
  <c r="G19" i="69" s="1"/>
  <c r="G20" i="69" s="1"/>
  <c r="G17" i="45"/>
  <c r="G18" i="45" s="1"/>
  <c r="G19" i="45" s="1"/>
  <c r="F41" i="37" s="1"/>
  <c r="G36" i="84"/>
  <c r="G39" i="84" s="1"/>
  <c r="F42" i="37" l="1"/>
  <c r="M42" i="37" s="1"/>
  <c r="G36" i="69"/>
  <c r="G39" i="69" s="1"/>
  <c r="F57" i="37"/>
  <c r="M57" i="37" l="1"/>
  <c r="G24" i="32"/>
  <c r="G23" i="32"/>
  <c r="I11" i="37"/>
  <c r="G22" i="32"/>
  <c r="G25" i="32" l="1"/>
  <c r="G26" i="32" s="1"/>
  <c r="G36" i="32" s="1"/>
  <c r="G39" i="32" s="1"/>
  <c r="L11" i="37" l="1"/>
  <c r="M11" i="37" s="1"/>
  <c r="G18" i="19" l="1"/>
  <c r="G19" i="19"/>
  <c r="G20" i="19" l="1"/>
  <c r="G21" i="19" s="1"/>
  <c r="I24" i="37"/>
  <c r="G31" i="19" l="1"/>
  <c r="G34" i="19" s="1"/>
  <c r="L24" i="37"/>
  <c r="M24" i="37" s="1"/>
  <c r="I26" i="37" l="1"/>
  <c r="G19" i="17"/>
  <c r="G21" i="17" l="1"/>
  <c r="G22" i="17" s="1"/>
  <c r="G32" i="17" s="1"/>
  <c r="G35" i="17" l="1"/>
  <c r="L26" i="37"/>
  <c r="M26" i="37" s="1"/>
  <c r="G18" i="16" l="1"/>
  <c r="I27" i="37"/>
  <c r="G19" i="16" l="1"/>
  <c r="G21" i="16" s="1"/>
  <c r="G22" i="16" l="1"/>
  <c r="G32" i="16" s="1"/>
  <c r="G35" i="16" s="1"/>
  <c r="L27" i="37" l="1"/>
  <c r="M27" i="37" s="1"/>
  <c r="G37" i="104" l="1"/>
  <c r="G38" i="104" s="1"/>
  <c r="G40" i="104" l="1"/>
  <c r="G43" i="104" s="1"/>
  <c r="I31" i="37"/>
  <c r="M31" i="37" s="1"/>
  <c r="G22" i="45"/>
  <c r="G23" i="45"/>
  <c r="I47" i="37"/>
  <c r="G21" i="51"/>
  <c r="G24" i="51" l="1"/>
  <c r="G25" i="51" s="1"/>
  <c r="G24" i="45"/>
  <c r="G25" i="45" s="1"/>
  <c r="G35" i="51" l="1"/>
  <c r="G38" i="51" s="1"/>
  <c r="L47" i="37"/>
  <c r="M47" i="37" s="1"/>
  <c r="G35" i="45"/>
  <c r="G38" i="45" s="1"/>
  <c r="L41" i="37"/>
  <c r="M41" i="37" s="1"/>
  <c r="I54" i="37" l="1"/>
  <c r="G21" i="77"/>
  <c r="G22" i="77" s="1"/>
  <c r="G23" i="77" s="1"/>
  <c r="L54" i="37" l="1"/>
  <c r="M54" i="37" s="1"/>
  <c r="G33" i="77"/>
  <c r="G36" i="77" s="1"/>
</calcChain>
</file>

<file path=xl/sharedStrings.xml><?xml version="1.0" encoding="utf-8"?>
<sst xmlns="http://schemas.openxmlformats.org/spreadsheetml/2006/main" count="7932" uniqueCount="889">
  <si>
    <t>GG</t>
  </si>
  <si>
    <t>Mes:</t>
  </si>
  <si>
    <t>DICIEMBRE</t>
  </si>
  <si>
    <t>BB</t>
  </si>
  <si>
    <t>Año:</t>
  </si>
  <si>
    <t>Revisado:</t>
  </si>
  <si>
    <t>MC</t>
  </si>
  <si>
    <t>ANALISIS DE PRECIO UNITARIO - RESUMEN</t>
  </si>
  <si>
    <t>PRECIO UNITARIO</t>
  </si>
  <si>
    <t>Unitario Materiales:</t>
  </si>
  <si>
    <t>Unitario Mano de Obra:</t>
  </si>
  <si>
    <t>Unitario Equipos:</t>
  </si>
  <si>
    <t>REND.</t>
  </si>
  <si>
    <t>CODIGO</t>
  </si>
  <si>
    <t>REV</t>
  </si>
  <si>
    <t>P</t>
  </si>
  <si>
    <t>DETALLE</t>
  </si>
  <si>
    <t>u</t>
  </si>
  <si>
    <t>MAT</t>
  </si>
  <si>
    <t>MO</t>
  </si>
  <si>
    <t>EQUIPOS</t>
  </si>
  <si>
    <t>TOTAL</t>
  </si>
  <si>
    <t>u/dia</t>
  </si>
  <si>
    <t>SI</t>
  </si>
  <si>
    <t>ARQUIN21</t>
  </si>
  <si>
    <t>53 bis</t>
  </si>
  <si>
    <t>ARQUIN22</t>
  </si>
  <si>
    <t>ARQUIN23</t>
  </si>
  <si>
    <t>ARQUIN24</t>
  </si>
  <si>
    <t>ARQUIN25</t>
  </si>
  <si>
    <t>ARQUIN26</t>
  </si>
  <si>
    <t>63 bis</t>
  </si>
  <si>
    <t>ARQUIN27</t>
  </si>
  <si>
    <t>ARQUIN28</t>
  </si>
  <si>
    <t>ARQUIN29</t>
  </si>
  <si>
    <t>ARQUIN30</t>
  </si>
  <si>
    <t>ARQUIN31</t>
  </si>
  <si>
    <t>ARQUIN33</t>
  </si>
  <si>
    <t>ARQUIN34</t>
  </si>
  <si>
    <t>ARQUIN35</t>
  </si>
  <si>
    <t>ARQUIN36</t>
  </si>
  <si>
    <t>ARQUIN37</t>
  </si>
  <si>
    <t>ARQUIN38</t>
  </si>
  <si>
    <t>ladrillo cerámico 12 x 19 x 33 cm - PORTANTE</t>
  </si>
  <si>
    <t>ARQUIN41</t>
  </si>
  <si>
    <t>m2</t>
  </si>
  <si>
    <t>ARQUIN42</t>
  </si>
  <si>
    <t>m</t>
  </si>
  <si>
    <t>ARQUIN43</t>
  </si>
  <si>
    <t>NO</t>
  </si>
  <si>
    <t>ARQUIN44</t>
  </si>
  <si>
    <t>ARQUIN45</t>
  </si>
  <si>
    <t>ml</t>
  </si>
  <si>
    <t>ARQUIN46</t>
  </si>
  <si>
    <t>ARQUIN47</t>
  </si>
  <si>
    <t>ARQUIN48</t>
  </si>
  <si>
    <t>ARQUIN49</t>
  </si>
  <si>
    <t>ARQUIN50</t>
  </si>
  <si>
    <t>ARQUIN51</t>
  </si>
  <si>
    <t>m3</t>
  </si>
  <si>
    <t>ARQUIN52</t>
  </si>
  <si>
    <t>Viga de hormigon rustico 180 kg/m3</t>
  </si>
  <si>
    <t>Viga</t>
  </si>
  <si>
    <t xml:space="preserve">Losa de hormigon rustico </t>
  </si>
  <si>
    <t>Losa</t>
  </si>
  <si>
    <t>Tabique de hormigon rustico 80 kg/m3</t>
  </si>
  <si>
    <t>Tabique de hormigon visto 80 kg/m3</t>
  </si>
  <si>
    <t>Escalera de hormigon rustico 75 kg/m3</t>
  </si>
  <si>
    <t>Bases asiladas 60 kg/m3</t>
  </si>
  <si>
    <t>Vigas de fundacion 60 kg/m3</t>
  </si>
  <si>
    <t xml:space="preserve">Revoque fino a la cal </t>
  </si>
  <si>
    <t xml:space="preserve">Pared simple con aislacion de lana de vidrio </t>
  </si>
  <si>
    <t xml:space="preserve">Yeso pared </t>
  </si>
  <si>
    <t xml:space="preserve">Yeso en cielorraso </t>
  </si>
  <si>
    <t xml:space="preserve">Cemento alisado </t>
  </si>
  <si>
    <t>REVOQUE 2 EN 1 hasta 3,00 m</t>
  </si>
  <si>
    <t>REVOQUE 2 EN 1 a mas 3,00 m</t>
  </si>
  <si>
    <t xml:space="preserve">Muro retak </t>
  </si>
  <si>
    <t>Fecha:</t>
  </si>
  <si>
    <t>Código</t>
  </si>
  <si>
    <t>DESCRIPCION</t>
  </si>
  <si>
    <t>P unit</t>
  </si>
  <si>
    <t>Cant</t>
  </si>
  <si>
    <t>Costo (referencial)</t>
  </si>
  <si>
    <t>Años</t>
  </si>
  <si>
    <t>Dias</t>
  </si>
  <si>
    <t>$ x dia</t>
  </si>
  <si>
    <t>% Deprec.</t>
  </si>
  <si>
    <t>*ANDAM05</t>
  </si>
  <si>
    <t>ANDAMIO TUBULAR DE UNO A TRES CUERPOS</t>
  </si>
  <si>
    <t xml:space="preserve">Andamio reforzado tubular 2,5 mts </t>
  </si>
  <si>
    <t>Tablon Para Andamio 2,5 M Metalico Antideslizante Tca Duroll</t>
  </si>
  <si>
    <t xml:space="preserve">Rueda para andamio giratoria c/freno </t>
  </si>
  <si>
    <t>EQALBA</t>
  </si>
  <si>
    <t>EQUIPO DE ALBAÑILERIA, carpetas, ladrillo</t>
  </si>
  <si>
    <t>REGLA ALUMINIO 6,00MTS</t>
  </si>
  <si>
    <t>Amoladora 4 1/2 850 w - BOSCH</t>
  </si>
  <si>
    <t>Rotopercutor RPK-32KA - BAROVO (5 kg)</t>
  </si>
  <si>
    <t>Sierra circular 7 1/4 - BOSCH</t>
  </si>
  <si>
    <t>Nivel Laser Dewalt Auto.alc.30mt 4p</t>
  </si>
  <si>
    <t>PALA FORJADA ANCHA - Gherardi</t>
  </si>
  <si>
    <t>PALA FORJADA DE PUNTA - Gherardi</t>
  </si>
  <si>
    <t>Carretilla Duroll 100 Litros Chapa 16 Profesional Rueda Maciza</t>
  </si>
  <si>
    <t>RUEDA MACIZA CARRETILLA C100DU</t>
  </si>
  <si>
    <t>FRATACHO DE ALGARROBO DE 30 CM</t>
  </si>
  <si>
    <t>Llana de yesero 12 x 30 cm</t>
  </si>
  <si>
    <t>CUCHARA ALBAÑIL FORJADA 6″</t>
  </si>
  <si>
    <t>PLOMADA PARA ALBAÑIL 500GRS</t>
  </si>
  <si>
    <t>CHOCLA PARA ALBAÑIL C/RECIPIENTE CON TIZA - DUROLL</t>
  </si>
  <si>
    <t>MAZA PARA ALBAÑIL 2″1/2 KG</t>
  </si>
  <si>
    <t>CORTA HIERRO CHATO 30CM</t>
  </si>
  <si>
    <t>BALDE ALBAÑIL PLÁSTICO – MANIJA PLÁSTICA – BAE</t>
  </si>
  <si>
    <t>Set de herramientas profesional duroll - S88PD</t>
  </si>
  <si>
    <t>NIVEL DE ALUMINIO X 50CM - SOLA</t>
  </si>
  <si>
    <t>Rodillo de bronce para cementista grande 17 cm</t>
  </si>
  <si>
    <t>EQCERAMI</t>
  </si>
  <si>
    <t>EQUIPO PARA COLOCACION DE CERAMICA</t>
  </si>
  <si>
    <t>MEZCLADOR ELECTRICO 2V. 50HZ 1200W</t>
  </si>
  <si>
    <t>Rodillera de seguridad goma espuma</t>
  </si>
  <si>
    <t>Martillo Maza De Goma</t>
  </si>
  <si>
    <t>LLANA DENTADA DE 12 X 12 CMS</t>
  </si>
  <si>
    <t>Lapiz carpintero 18 cm</t>
  </si>
  <si>
    <t>CINTA METRICA 510 RETROFLEX 10MTS - Evel</t>
  </si>
  <si>
    <t>Metro madera</t>
  </si>
  <si>
    <t>RODEL RUEDITA 8MM P/C 1958</t>
  </si>
  <si>
    <t>*EQUIP09</t>
  </si>
  <si>
    <t>EQUIPO PARA INSTALACION ELECTRICA</t>
  </si>
  <si>
    <t>Taladro Percutor/Atornillador de 1/2″ (13mm) Inalámbrico 20V + 2 Baterías + Cargador + Maletín</t>
  </si>
  <si>
    <t>TESTER 8EN1 AC/DC 6/380V</t>
  </si>
  <si>
    <t>Pinza amperométrica digital</t>
  </si>
  <si>
    <t>CINTA PASACABLE ALMA DE ACERO X 10MTS</t>
  </si>
  <si>
    <t>CINTA PASACABLE ALMA DE ACERO X 15 MTS</t>
  </si>
  <si>
    <t>Set 6 Destornilladores Bahco Aislados 1000v</t>
  </si>
  <si>
    <t>ALICATE UNIVERSAL</t>
  </si>
  <si>
    <t>PINZA P.CURVA 1000V 160MM</t>
  </si>
  <si>
    <t>*EQUIPIN</t>
  </si>
  <si>
    <t>EQUIPO PARA PINTAR</t>
  </si>
  <si>
    <t>Lijadora Orbital de Palma Bosch GSS 140-1A</t>
  </si>
  <si>
    <t>PISTOLA DE CALOR BOSCH GHG180</t>
  </si>
  <si>
    <t>Equipo De Pintar Hvlp Pistola Máquina Adiabatic Ec2000</t>
  </si>
  <si>
    <t>Llana Plástica 12 x 25 cm</t>
  </si>
  <si>
    <t>Espátula de pintor N° 15</t>
  </si>
  <si>
    <t xml:space="preserve">Cepillo de acero - El Galgo </t>
  </si>
  <si>
    <t>Pistola Aplicadora Silicona Profesional 9″</t>
  </si>
  <si>
    <t>EQPLOME</t>
  </si>
  <si>
    <t>EQUIPO PARA PLOMERIA</t>
  </si>
  <si>
    <t>Termofusora 1800 w - 220 v s/ boquilla</t>
  </si>
  <si>
    <t xml:space="preserve">EQUIPO MOVIMIENTO DE TIERRA MANUAL </t>
  </si>
  <si>
    <t>PALA FORJADA POCERO</t>
  </si>
  <si>
    <t>CABO PARA PALA 0.70 MTS.EMPUÑADURA METAL X UNIDAD</t>
  </si>
  <si>
    <t>*EQUIP02</t>
  </si>
  <si>
    <t>EQUIPO PARA HORMIGON</t>
  </si>
  <si>
    <t>Vibrador de hormigón</t>
  </si>
  <si>
    <t>BARRETA SACA CLAVO 19 X 500</t>
  </si>
  <si>
    <t>BARRETA SACA CLAVO 22X1000</t>
  </si>
  <si>
    <t>DOBLADORA PARA HIERRO 6mm a 10mm Con Palanca Regulable</t>
  </si>
  <si>
    <t>DOBLADORA PARA HIERRO 12mm a 20mm Sin Palanca Regulable</t>
  </si>
  <si>
    <t>DOBLADORA PARA HIERRO 25mm Sin Palanca Regulable Reforzada</t>
  </si>
  <si>
    <t>MASCARA FOTOSENSIBLE</t>
  </si>
  <si>
    <t>Soldadora inverter ESAB LHN 240i Plus amarilla y negra 50Hz/60Hz 220V</t>
  </si>
  <si>
    <t xml:space="preserve">Tenaza 3 puntos </t>
  </si>
  <si>
    <t>Martillo Galponero Loro 500gr Cabo Largo 48cm</t>
  </si>
  <si>
    <t>CARTUCHERA T32 CLAVERA SIMPLE 2 BOLSILLO</t>
  </si>
  <si>
    <t>TROMPO</t>
  </si>
  <si>
    <t>Hormigonera De 150 Litros 1hp Con Rueda Maciza</t>
  </si>
  <si>
    <t>REPUESTO MOTOR HORMIGONERA 1HP CLASICO</t>
  </si>
  <si>
    <t>Correa</t>
  </si>
  <si>
    <t>SOLD003</t>
  </si>
  <si>
    <t>Soldador Soplete A Gas Techista Membrana 10 Kg Boca 50mm</t>
  </si>
  <si>
    <t xml:space="preserve">Garrafa x 10 kg - Vacia </t>
  </si>
  <si>
    <t>Soplete Techista Con Manguera 50mm Garrafas 10kg Brogas</t>
  </si>
  <si>
    <t>CUTTER TRAPEZOIDAL ALUMINIO</t>
  </si>
  <si>
    <t>EQUIPO DE COLOCACION DE ESTRUCTURAS/META</t>
  </si>
  <si>
    <t>AMOLADORA BOSCH 7″ GWS 22-180 2200W</t>
  </si>
  <si>
    <t>Sierra de metal de banco gco 220</t>
  </si>
  <si>
    <t>Tijera Hojalatero Aviacion Recta 10</t>
  </si>
  <si>
    <t>Kit 4 Escuadra Magnetica 4″ Kushiro</t>
  </si>
  <si>
    <t>EQUIPO DE CONSTRUCCION EN SECO</t>
  </si>
  <si>
    <t>Serruchin Para Durlock Con Mango Plastico</t>
  </si>
  <si>
    <t>EQCERAMI02</t>
  </si>
  <si>
    <t>CORTADORA CERAMICA PROFESIONAL 1200MM (PORCELANATO HASTA 16MM)</t>
  </si>
  <si>
    <t>*ESCALE1</t>
  </si>
  <si>
    <t>ESCALERA GLOSS ALUMINIO ARTICULADA 4 X 4 ESCALONES HASTA 150KG</t>
  </si>
  <si>
    <t>ESCALERA MADERA PINTOR 8 ESCALONES</t>
  </si>
  <si>
    <t>SILLETA</t>
  </si>
  <si>
    <t>Kit Complementario Silleta Descensor Conector Soga X 50 Mts</t>
  </si>
  <si>
    <t>BALANCIN</t>
  </si>
  <si>
    <t>Balancin</t>
  </si>
  <si>
    <t xml:space="preserve">FRATACHADORA MASTERPAC PMT36H - Alq. X dia </t>
  </si>
  <si>
    <t xml:space="preserve">FRATACHADORA MASALTA MT24-2 - Alq. X dia </t>
  </si>
  <si>
    <t>MARTILLO HIDRAULICO PARA BOBCAT</t>
  </si>
  <si>
    <t>Maquina revocadora Revoque/Yeso - Alq. X mes</t>
  </si>
  <si>
    <t xml:space="preserve">MINI CARGADORA Bobcat  S570 (c/ operario y combustible) - Alq. X dia </t>
  </si>
  <si>
    <t xml:space="preserve">Pala y retro 310J (c/ operario y combustible) - Alq. X dia </t>
  </si>
  <si>
    <t xml:space="preserve">Pala cargadora frontal (2 m) 936 - (c/ operario y combustible) - Alq. X dia </t>
  </si>
  <si>
    <t xml:space="preserve">Pala cargadora frontal (3 m) 950 - (c/ operario y combustible) - Alq. X dia </t>
  </si>
  <si>
    <t xml:space="preserve">Compactador pata de cabra 612H - (c/operario y combustible) - Alq. X dia </t>
  </si>
  <si>
    <t xml:space="preserve">Excavador sobre orugas PC-200 - (c/operario y combustible) - Alq. X dia </t>
  </si>
  <si>
    <t xml:space="preserve">Motoniveladora 120H - (c/operario y combustible) - Alq. X dia </t>
  </si>
  <si>
    <t xml:space="preserve">Camion chasis volcador 170E22 - (c/ operario y combustible) - Alq. X dia </t>
  </si>
  <si>
    <t xml:space="preserve">Camion Batea o Tatu 170E22 - (c/ operario y combustible) - Alq. X dia </t>
  </si>
  <si>
    <t>Combustible bobcat (36 lts)</t>
  </si>
  <si>
    <t>Combustible Pala y Retro (60 lts)</t>
  </si>
  <si>
    <t>Combustible Retroexcav (96 lts)</t>
  </si>
  <si>
    <t>DÓLAR USD</t>
  </si>
  <si>
    <t>DÓLAR MEP</t>
  </si>
  <si>
    <t>PRECIOS DE EQUIPOS</t>
  </si>
  <si>
    <t>P. Unit</t>
  </si>
  <si>
    <t xml:space="preserve">Fecha </t>
  </si>
  <si>
    <t>Proveedor</t>
  </si>
  <si>
    <t xml:space="preserve">IZAJE, TRASLADO Y ALTURA </t>
  </si>
  <si>
    <t>Abrafer WEB</t>
  </si>
  <si>
    <t xml:space="preserve">Mercado Libre </t>
  </si>
  <si>
    <t xml:space="preserve">Leiten </t>
  </si>
  <si>
    <t>HERRAMIENTAS ELECTRICAS</t>
  </si>
  <si>
    <t>Martillo demoledor MPK-125K</t>
  </si>
  <si>
    <t>HERRAMIENTAS</t>
  </si>
  <si>
    <t>Prestigio WEB</t>
  </si>
  <si>
    <t>ALQUILER EQUIPOS Y MAQUINARIAS</t>
  </si>
  <si>
    <t>USD</t>
  </si>
  <si>
    <t>TODO PROYECTABLE</t>
  </si>
  <si>
    <t xml:space="preserve">LP VIAL </t>
  </si>
  <si>
    <t xml:space="preserve">Precio Gasoil </t>
  </si>
  <si>
    <t>MANO DE OBRA</t>
  </si>
  <si>
    <t>Salario (Día)</t>
  </si>
  <si>
    <t>Prestaciones Sociales</t>
  </si>
  <si>
    <t>COSTO Jornal</t>
  </si>
  <si>
    <t>*AYUDAN1</t>
  </si>
  <si>
    <t>AYUDANTE</t>
  </si>
  <si>
    <t>CAPATAZ</t>
  </si>
  <si>
    <t>AYUDANTE ALBAÑIL</t>
  </si>
  <si>
    <t>ESPECIALIZADO</t>
  </si>
  <si>
    <t>AYAR</t>
  </si>
  <si>
    <t>AYUDANTE ARMADOR</t>
  </si>
  <si>
    <t xml:space="preserve">OFICIAL </t>
  </si>
  <si>
    <t>AYUCARP</t>
  </si>
  <si>
    <t>AYUDANTE CARPINTERO</t>
  </si>
  <si>
    <t>MEDIO OFICIAL</t>
  </si>
  <si>
    <t>AYELECT</t>
  </si>
  <si>
    <t>AYUDANTE ELECTRICISTA</t>
  </si>
  <si>
    <t>AYPLOMER</t>
  </si>
  <si>
    <t>AYUDANTE PLOMERO</t>
  </si>
  <si>
    <t>MOFAL</t>
  </si>
  <si>
    <t>MEDIO OFICIAL ALBAÑIL</t>
  </si>
  <si>
    <t>SOBRESTANTE</t>
  </si>
  <si>
    <t>MEDARM</t>
  </si>
  <si>
    <t>MEDIO OFICIAL ARMADOR</t>
  </si>
  <si>
    <t>JEFE DE OBRA</t>
  </si>
  <si>
    <t>MEDOFCAR</t>
  </si>
  <si>
    <t>MEDIO OFICIAL CARPINTERO</t>
  </si>
  <si>
    <t>COORD OBRAS</t>
  </si>
  <si>
    <t>MEDPINTO</t>
  </si>
  <si>
    <t>MEDIO OFICIAL PINTOR</t>
  </si>
  <si>
    <t>OFCOLOCA</t>
  </si>
  <si>
    <t>OFICIAL COLOCADOR</t>
  </si>
  <si>
    <t>OFAL</t>
  </si>
  <si>
    <t>OFICIAL ESPECIALIZADO ALBAÑIL</t>
  </si>
  <si>
    <t>OFAR</t>
  </si>
  <si>
    <t>OFICIAL ESPECIALIZADO ARMADOR</t>
  </si>
  <si>
    <t>OFICARPI</t>
  </si>
  <si>
    <t>OFICIAL ESPECIALIZADO CARPINTERO</t>
  </si>
  <si>
    <t>OFELECT</t>
  </si>
  <si>
    <t>OFICIAL ESPECIALIZADO ELECTRICISTA</t>
  </si>
  <si>
    <t>OFINST</t>
  </si>
  <si>
    <t>OFICIAL ESPECIALIZADO INSTALADOR</t>
  </si>
  <si>
    <t>OFPINTOR</t>
  </si>
  <si>
    <t>OFICIAL ESPECIALIZADO PINTOR</t>
  </si>
  <si>
    <t>OFPLOMER</t>
  </si>
  <si>
    <t>OFICIAL ESPECIALIZADO PLOMERO</t>
  </si>
  <si>
    <t>*TOPOGRA</t>
  </si>
  <si>
    <t>TOPOGRAFO</t>
  </si>
  <si>
    <t>CAC OCT 24</t>
  </si>
  <si>
    <t xml:space="preserve">Retroactivo oct. </t>
  </si>
  <si>
    <t>SUBCONTRATOS</t>
  </si>
  <si>
    <t>CAC sep 22</t>
  </si>
  <si>
    <t>CAC jul 22</t>
  </si>
  <si>
    <t>RUBRO</t>
  </si>
  <si>
    <t>TAREA</t>
  </si>
  <si>
    <t>CONTRATISTA</t>
  </si>
  <si>
    <t>U</t>
  </si>
  <si>
    <t>PU</t>
  </si>
  <si>
    <t>FECHA</t>
  </si>
  <si>
    <t>CAC nov 22</t>
  </si>
  <si>
    <t>Colocacion</t>
  </si>
  <si>
    <t>Ceramico en pisos y pared</t>
  </si>
  <si>
    <t xml:space="preserve">Zotelo </t>
  </si>
  <si>
    <t>Porcelanato en piso</t>
  </si>
  <si>
    <t>Pintura</t>
  </si>
  <si>
    <t xml:space="preserve">Latex Mate </t>
  </si>
  <si>
    <t>Lionel</t>
  </si>
  <si>
    <t>Latex Mate s/ Pared + Enduido</t>
  </si>
  <si>
    <t>Latex Mate s/ Cielorraso + Enduido</t>
  </si>
  <si>
    <t>Latex Satinado s/ Pared + Enduido</t>
  </si>
  <si>
    <t>Latex Satinado s/ Cielorraso + Enduido</t>
  </si>
  <si>
    <t>Esmalte Sintetico</t>
  </si>
  <si>
    <t>Esmalte sintetico en Herrerias</t>
  </si>
  <si>
    <t>Tarquini</t>
  </si>
  <si>
    <t>Durlock</t>
  </si>
  <si>
    <t>Tabique simple</t>
  </si>
  <si>
    <t>Mario Silva</t>
  </si>
  <si>
    <t xml:space="preserve">Neogen </t>
  </si>
  <si>
    <t>Tabique simple, doble placa</t>
  </si>
  <si>
    <t>Medio Forro</t>
  </si>
  <si>
    <t>Cielorraso Junta Tomada</t>
  </si>
  <si>
    <t>Cielorraso Desmontable</t>
  </si>
  <si>
    <t>Cajon cielorraso</t>
  </si>
  <si>
    <t>Techos</t>
  </si>
  <si>
    <t>Cubierta Metalica c/Aislacion</t>
  </si>
  <si>
    <t>Acevedo</t>
  </si>
  <si>
    <t>HUA</t>
  </si>
  <si>
    <t>Babeta</t>
  </si>
  <si>
    <t>Banda Soler</t>
  </si>
  <si>
    <t>Canaleta</t>
  </si>
  <si>
    <t>Cumbrera</t>
  </si>
  <si>
    <t>Yeso</t>
  </si>
  <si>
    <t>Cielorraso aplicado yeso</t>
  </si>
  <si>
    <t>Miguel Galleguillo</t>
  </si>
  <si>
    <t>Cielorraso armado yeso</t>
  </si>
  <si>
    <t>Jorge Yesero (CDR)</t>
  </si>
  <si>
    <t>CDR</t>
  </si>
  <si>
    <t>Aristas</t>
  </si>
  <si>
    <t xml:space="preserve">Cielorraso armado CDR </t>
  </si>
  <si>
    <t>Enlucidos en paredes</t>
  </si>
  <si>
    <t xml:space="preserve">Buña </t>
  </si>
  <si>
    <t>Buñas</t>
  </si>
  <si>
    <t>Enduido Tabiques</t>
  </si>
  <si>
    <t>Fredi Austral</t>
  </si>
  <si>
    <t>Enduido Cielorraso</t>
  </si>
  <si>
    <t>AAIERIC</t>
  </si>
  <si>
    <t>Electrico</t>
  </si>
  <si>
    <t>Cableado x boca</t>
  </si>
  <si>
    <t xml:space="preserve">Demian </t>
  </si>
  <si>
    <t>Cableado x bandeja (cable 4x10mm x ml)</t>
  </si>
  <si>
    <t>Cañeria PVC (x boca)</t>
  </si>
  <si>
    <t>Cañeria Metalica (x boca)</t>
  </si>
  <si>
    <t>Demian</t>
  </si>
  <si>
    <t>Cañeria EXT</t>
  </si>
  <si>
    <t>Bandeja 450/600 (xml)</t>
  </si>
  <si>
    <t>Cablecanal (x ml)</t>
  </si>
  <si>
    <t>Colocacion Interruptores / Tomas</t>
  </si>
  <si>
    <t>Colocacion de fichas / tomas de Telefono o TV</t>
  </si>
  <si>
    <t>Colocacion de Artefactos tipo (aplique, extractores, campanillas, etc)</t>
  </si>
  <si>
    <t>Armado de Tablero de Bombas</t>
  </si>
  <si>
    <t>Portero Electrico hasta 2m</t>
  </si>
  <si>
    <t>Cableado estructurado Red / Telefono / TV</t>
  </si>
  <si>
    <t>Colocacion Y armado de Tableros 1ID + 1 TM + 1 PAT</t>
  </si>
  <si>
    <t>Interruptor Diferencial Bipolar</t>
  </si>
  <si>
    <t>Interruptor Diferencial Tetrapolar</t>
  </si>
  <si>
    <t>Interruptor Termomagnetico Bipolar</t>
  </si>
  <si>
    <t>Interruptor Termomagnetico Tetrapolar</t>
  </si>
  <si>
    <t>Automatico de bomba</t>
  </si>
  <si>
    <t>Acometida Trifasica + 50Kw</t>
  </si>
  <si>
    <t>gl</t>
  </si>
  <si>
    <t>Puesta a tierra: Jabalina + caja de inspeccion</t>
  </si>
  <si>
    <t>Cable subterraneo (1 boca cada 5 metros)</t>
  </si>
  <si>
    <t>b</t>
  </si>
  <si>
    <t xml:space="preserve">Tablero seccional hasta 8 polos </t>
  </si>
  <si>
    <t>Tablero secicional de 8 a 36 polos</t>
  </si>
  <si>
    <t>Tablero seccional de 36 a 54 polos</t>
  </si>
  <si>
    <t>PRECIOS UNITARIOS POR MATERIAL</t>
  </si>
  <si>
    <t>UNIDAD</t>
  </si>
  <si>
    <t>Costo Material</t>
  </si>
  <si>
    <t>*AGREG02</t>
  </si>
  <si>
    <t>ARENA LAVADA</t>
  </si>
  <si>
    <t>Cutuli Hnos</t>
  </si>
  <si>
    <t>BOLSÓN</t>
  </si>
  <si>
    <t>Piedra Partida</t>
  </si>
  <si>
    <t>Cascote</t>
  </si>
  <si>
    <t>*AGREG01</t>
  </si>
  <si>
    <t>Cemento Portland x 50kg</t>
  </si>
  <si>
    <t>Bol</t>
  </si>
  <si>
    <t>CEMENTO AVELLANEDA</t>
  </si>
  <si>
    <t>AGREG11</t>
  </si>
  <si>
    <t>Cal Comun x 25kg</t>
  </si>
  <si>
    <t>bol</t>
  </si>
  <si>
    <t>CALMILAG</t>
  </si>
  <si>
    <t>cal milagro</t>
  </si>
  <si>
    <t>FE06</t>
  </si>
  <si>
    <t>Barra de Acero Aleteado - 6mm x 12m</t>
  </si>
  <si>
    <t>Barra de Acero Aleteado - 8mm x 12m</t>
  </si>
  <si>
    <t>Barra de Acero Aleteado - 10mm x 12m</t>
  </si>
  <si>
    <t>Barra de Acero Aleteado - 12mm x 12m</t>
  </si>
  <si>
    <t>Barra de Acero Aleteado - 16mm x 12m</t>
  </si>
  <si>
    <t>Barra de Acero Aleteado - 20mm x 12m</t>
  </si>
  <si>
    <t>Barra de Acero Aleteado - 25mm x 12m</t>
  </si>
  <si>
    <t>LADVISTA</t>
  </si>
  <si>
    <t>ladrillo a la vista 1 cara</t>
  </si>
  <si>
    <t>1/2 VISTA MDQ</t>
  </si>
  <si>
    <t>*LADRI03</t>
  </si>
  <si>
    <t>LADRILLO CERAMICO 8 x 18 x 33 cm</t>
  </si>
  <si>
    <t>LADRI12</t>
  </si>
  <si>
    <t>LADRILLO CERAMICO 12 x 18 x 33 cm</t>
  </si>
  <si>
    <t>LADRI181</t>
  </si>
  <si>
    <t>LADRILLO CERAMICO 18 x 18 x 33 cm</t>
  </si>
  <si>
    <t>LADRIC</t>
  </si>
  <si>
    <t>Ladrillo Comun 12.5 x 5.5 x 25</t>
  </si>
  <si>
    <t>LADRI182</t>
  </si>
  <si>
    <t>Ladrillo hueco ceramico 12x19x33 - Portante</t>
  </si>
  <si>
    <t>Ladrillo hueco ceramico 18x19x33 - Portante</t>
  </si>
  <si>
    <t>Ladrillo Ceramico Kilablock 27 x 18 x 33</t>
  </si>
  <si>
    <t>Bloque de Hormigon 19 x 19 x 39</t>
  </si>
  <si>
    <t>Bloque de Hormigon 10 x 19 x 39</t>
  </si>
  <si>
    <t>Precio x 25 kg</t>
  </si>
  <si>
    <t>kg</t>
  </si>
  <si>
    <t>Precio x 30 kg</t>
  </si>
  <si>
    <t>Bloque de Hormigon 39 x 19 x 19 - simil pieda</t>
  </si>
  <si>
    <t>*AGREG11</t>
  </si>
  <si>
    <t>Adhesivo Klaukol Porcellanato Fluido x 30Kg</t>
  </si>
  <si>
    <t>WEBER FORTE PORCELLANATO X 25 KG</t>
  </si>
  <si>
    <t>Adhesivo Klaukol Impermeable Petenciado x 30Kg</t>
  </si>
  <si>
    <t>WEBER SUPLER FLEX 25 KG</t>
  </si>
  <si>
    <t>AGREG07</t>
  </si>
  <si>
    <t>Aditivo Hidrofugo en pasta - Ceresita x 1kg</t>
  </si>
  <si>
    <t>CERESITA X 20 LTS</t>
  </si>
  <si>
    <t>PINT015</t>
  </si>
  <si>
    <t>Yeso Tuyango x 30kg</t>
  </si>
  <si>
    <t>Pastina Klaukol x 1kg - Alta performance</t>
  </si>
  <si>
    <t>Prestige nieve</t>
  </si>
  <si>
    <t>Revoque Cementicio Exterior 3en1</t>
  </si>
  <si>
    <t xml:space="preserve"> PROMEX E X 30</t>
  </si>
  <si>
    <t>Malla SIMA Q335 (8mm)</t>
  </si>
  <si>
    <t>Malla SIMA Q188 (6mm)</t>
  </si>
  <si>
    <t>Malla SIMA Q92 (4.2mm)</t>
  </si>
  <si>
    <t>Alambre de Fardo</t>
  </si>
  <si>
    <t xml:space="preserve">Alambre N°16 </t>
  </si>
  <si>
    <t xml:space="preserve">Sika Poro Plus x 10 kg </t>
  </si>
  <si>
    <t>ML</t>
  </si>
  <si>
    <t>https://articulo.mercadolibre.com.ar/MLA-1239468887-sika-poro-plus-espumigeno-para-hormigon-10-kg-_JM#polycard_client=search-nordic&amp;position=11&amp;search_layout=grid&amp;type=item&amp;tracking_id=c5802d9e-4804-403a-958c-824dd473f5b4</t>
  </si>
  <si>
    <t>Solera 70mm x 2.60m</t>
  </si>
  <si>
    <t>Montante 69mm x 2.60m</t>
  </si>
  <si>
    <t>Solera 35mm x 2.60m</t>
  </si>
  <si>
    <t>Montante 34mm x 2.60m</t>
  </si>
  <si>
    <t>Tornillo T1 - Aguja</t>
  </si>
  <si>
    <t>CMP online</t>
  </si>
  <si>
    <t>Tornillo T2 - Aguja</t>
  </si>
  <si>
    <t>Tornillo T3 - Aguja</t>
  </si>
  <si>
    <t>Fijacion completa del 8</t>
  </si>
  <si>
    <t>Cinta Entramada - 90m</t>
  </si>
  <si>
    <t>Cinta de Papel - 75m</t>
  </si>
  <si>
    <t>Pegue la de 150 m entramada</t>
  </si>
  <si>
    <t>Masilla x 32kg</t>
  </si>
  <si>
    <t>Placa Roca de Yeso 1220 x 2440 - 12.5mm - STD</t>
  </si>
  <si>
    <t>Placa Roca de Yeso 1220 x 2440 - 12.5mm - RH</t>
  </si>
  <si>
    <t>Placa Roca de Yeso 1220 x 2440 - 12.5mm - RF</t>
  </si>
  <si>
    <t>Cantonera x 2.60</t>
  </si>
  <si>
    <t>Buña Z x 2.60m</t>
  </si>
  <si>
    <t>Lana De Vidrio 40mm X 21,6m2 Alta Densidad</t>
  </si>
  <si>
    <t>Rolac plata cubierta 1,20 x 18 x 50 mm</t>
  </si>
  <si>
    <t>Perfil Perimetral x 3.05</t>
  </si>
  <si>
    <t>Larguero x 3.66</t>
  </si>
  <si>
    <t>Travesaño x 1.22</t>
  </si>
  <si>
    <t>Travesaño x 0.60</t>
  </si>
  <si>
    <t>Lana De Vidrio Acustiver Ar400 50mm x 21,6m2</t>
  </si>
  <si>
    <t>rol</t>
  </si>
  <si>
    <t>Galvylam</t>
  </si>
  <si>
    <t>Placa Decovinyl Liso 60x60</t>
  </si>
  <si>
    <t>Alambre galvanizado N°14 x kg</t>
  </si>
  <si>
    <t>Placa Decovinyl Liso 120x60</t>
  </si>
  <si>
    <t>no tengo coti</t>
  </si>
  <si>
    <t>PINT001</t>
  </si>
  <si>
    <t>Latex Loxon Interior Sherwin Williams Mate Bco x 20lts</t>
  </si>
  <si>
    <t>B</t>
  </si>
  <si>
    <t>Prestigio</t>
  </si>
  <si>
    <t>Latex Loxon Interior Sherwin Williams Satinado Bco x 20lts</t>
  </si>
  <si>
    <t>Prestigio Web</t>
  </si>
  <si>
    <t>Latex Loxon Exterior Sherwin Williams Mate Bco x 20lts</t>
  </si>
  <si>
    <t>ESMALTES</t>
  </si>
  <si>
    <t>Esmalte sintetico brillante Albalux Blanco x 4lts</t>
  </si>
  <si>
    <t>Esmalte sintetico semi mate Albalux Blanco x 4lts</t>
  </si>
  <si>
    <t>Esmalte sintetico satinado Satinol Blanco x 4lts</t>
  </si>
  <si>
    <t>PINT010</t>
  </si>
  <si>
    <t>Enduido Interior x 20lts</t>
  </si>
  <si>
    <t>COVER</t>
  </si>
  <si>
    <t>Recuplast Tradicional Blanco x 20 lts</t>
  </si>
  <si>
    <t>Pintura Asfaltica Asfasol x18ts</t>
  </si>
  <si>
    <t>Revear Marble - Medio x 30kg</t>
  </si>
  <si>
    <t>Quimtex Romano Fino x 27 kg</t>
  </si>
  <si>
    <t>Quimtex</t>
  </si>
  <si>
    <t xml:space="preserve">Quimtex base cuarzo 18 lts </t>
  </si>
  <si>
    <t>Membrana Geotextil Ormiflex 4mm - (35kg) x10m</t>
  </si>
  <si>
    <t xml:space="preserve">Membrana EMAPI W450 </t>
  </si>
  <si>
    <t>Membrana Geotextil Ormiflex 4mm -(codigo 52) c/aluminio</t>
  </si>
  <si>
    <t>Membrana Geotextil Ormiflex 4mm -(codigo 10) c/aluminio</t>
  </si>
  <si>
    <t>Venda SikaTEX 75 - Rollo</t>
  </si>
  <si>
    <t>Prestifio Web</t>
  </si>
  <si>
    <t>PINT014</t>
  </si>
  <si>
    <t>Fijador al Aguarras x 4lts</t>
  </si>
  <si>
    <t>Fijador al agua x 20 lts</t>
  </si>
  <si>
    <t>PRINZ</t>
  </si>
  <si>
    <t>PINT016</t>
  </si>
  <si>
    <t>Aguarras Hydrarras Hydra x 18lts</t>
  </si>
  <si>
    <t>PINT011</t>
  </si>
  <si>
    <t>Lija 180 al agua x 10u</t>
  </si>
  <si>
    <t>PINT012</t>
  </si>
  <si>
    <t>Cinta de Papel 36 mm x 40m</t>
  </si>
  <si>
    <t>48 mm</t>
  </si>
  <si>
    <t>PINT013</t>
  </si>
  <si>
    <t>Trapo</t>
  </si>
  <si>
    <t>Impregnante p/ Ladrillos Brikol 20 L - Semi Satinado</t>
  </si>
  <si>
    <t>SikaGuard</t>
  </si>
  <si>
    <t xml:space="preserve">Rodillo de lana pelo corto antigota N°22 - El Galgo </t>
  </si>
  <si>
    <t xml:space="preserve">Rodillo de lana pelo largo N°22 - El Galgo </t>
  </si>
  <si>
    <t xml:space="preserve">Pincel N° 20 - El Galgo </t>
  </si>
  <si>
    <t>N25</t>
  </si>
  <si>
    <t xml:space="preserve">Rollo de cartón corrugado 0,90 x 25 mts </t>
  </si>
  <si>
    <t>CLAVO25</t>
  </si>
  <si>
    <t>CLAVOS DE 21/2" X 12</t>
  </si>
  <si>
    <t>KG</t>
  </si>
  <si>
    <t>FENOLICO</t>
  </si>
  <si>
    <t>FENOLICO 18MM. COMUN 1.22 x 2.40</t>
  </si>
  <si>
    <t>UD</t>
  </si>
  <si>
    <t>Newton</t>
  </si>
  <si>
    <t>FENOLMEL</t>
  </si>
  <si>
    <t>FENOLICO 18MM. LAMINADO MELAMINICO</t>
  </si>
  <si>
    <t>M2</t>
  </si>
  <si>
    <t>PUNTA3X3</t>
  </si>
  <si>
    <t>tirante 3x3 para puntal 3.66</t>
  </si>
  <si>
    <t>TIRAN3X6</t>
  </si>
  <si>
    <t>tirante 3x6 3.66</t>
  </si>
  <si>
    <t>un</t>
  </si>
  <si>
    <t>ACEROEST</t>
  </si>
  <si>
    <t>ACERO ESTRUCTURAL POR KILO</t>
  </si>
  <si>
    <t>KGF</t>
  </si>
  <si>
    <t>HORH30</t>
  </si>
  <si>
    <t>Hormigon Elaborado H30</t>
  </si>
  <si>
    <t>Horcrisa</t>
  </si>
  <si>
    <t>Traslado de Bomba</t>
  </si>
  <si>
    <t>Bombeo</t>
  </si>
  <si>
    <t>PEGA01</t>
  </si>
  <si>
    <t>Adhesivo Cartucho El Pulpito x 400g</t>
  </si>
  <si>
    <t>AGREG03</t>
  </si>
  <si>
    <t>Tosca apisonada</t>
  </si>
  <si>
    <t xml:space="preserve">Naclerio </t>
  </si>
  <si>
    <t>BAÑOQUIM</t>
  </si>
  <si>
    <t>BAÑO QUIMICO X 18 MESES</t>
  </si>
  <si>
    <t xml:space="preserve">Aporte de Tosca </t>
  </si>
  <si>
    <t xml:space="preserve">Calmina SUR </t>
  </si>
  <si>
    <t>Base texturado revear x 25kg</t>
  </si>
  <si>
    <t>tac</t>
  </si>
  <si>
    <t>ELECTRICIDAD</t>
  </si>
  <si>
    <t>Caño rigido 1"</t>
  </si>
  <si>
    <t>Casa Castelao</t>
  </si>
  <si>
    <t>Caño rigido 7/8"</t>
  </si>
  <si>
    <t>Caño rigido 3/4"</t>
  </si>
  <si>
    <t>Conector hierro 3/4"</t>
  </si>
  <si>
    <t>Conector hierro 7/8"</t>
  </si>
  <si>
    <t>Conector hierro 1"</t>
  </si>
  <si>
    <t>Cupla PVC 3/4"</t>
  </si>
  <si>
    <t>De hierro</t>
  </si>
  <si>
    <t>Cupla PVC 7/8"</t>
  </si>
  <si>
    <t>Cupla PVC 1"</t>
  </si>
  <si>
    <t>Cable unipolar 1 x 1,50</t>
  </si>
  <si>
    <t>Cable unipolar 1 x 2,50 VA</t>
  </si>
  <si>
    <t>Cable unipolar 1 x 2,50 Rojo/Marron/Negro</t>
  </si>
  <si>
    <t>Cable unipolar 1 x 4,00</t>
  </si>
  <si>
    <t>Caja octogonal chica</t>
  </si>
  <si>
    <t>Caja octogonal profunda</t>
  </si>
  <si>
    <t>Caja rectangular chica</t>
  </si>
  <si>
    <t>SMARTTRAY TRX3M BJA PERF 200-22</t>
  </si>
  <si>
    <t>150 mm</t>
  </si>
  <si>
    <t>SMARTTRAY TAPA CIEGA P/BJA 200-22</t>
  </si>
  <si>
    <t>SMARTTRAY CUPLA UNION  JBCC-M6-100</t>
  </si>
  <si>
    <t xml:space="preserve">GRAMPA FIJACIÓN CABLE </t>
  </si>
  <si>
    <t xml:space="preserve">ACOMETIDA PARA TABLERO </t>
  </si>
  <si>
    <t>EMBUDO</t>
  </si>
  <si>
    <t>GRAMPA FIJACIÓN 200-22</t>
  </si>
  <si>
    <t>BROCA METALICA 1/4</t>
  </si>
  <si>
    <t>VARILLA ROSCADA 1/4</t>
  </si>
  <si>
    <t>TUERCA Y ARANDELA 1/4</t>
  </si>
  <si>
    <t>VARIOS FERRETERIA</t>
  </si>
  <si>
    <t>Disco Diamantado Aliafor Turbo Fino TRF</t>
  </si>
  <si>
    <t>Arco y cuña niveladores porcelanatos x 150 un</t>
  </si>
  <si>
    <t>https://articulo.mercadolibre.com.ar/MLA-695124291-niveladores-porcelanato-1050-arcos-150-cunas-_JM?matt_tool=62476992&amp;matt_word=&amp;matt_source=google&amp;matt_campaign_id=14508409193&amp;matt_ad_group_id=144413706239&amp;matt_match_type=&amp;matt_network=g&amp;matt_device=c&amp;matt_creative=644633625334&amp;matt_keyword=&amp;matt_ad_position=&amp;matt_ad_type=pla&amp;matt_merchant_id=310094797&amp;matt_product_id=MLA695124291&amp;matt_product_partition_id=2163484155058&amp;matt_target_id=aud-1925157273100:pla-2163484155058&amp;cq_src=google_ads&amp;cq_cmp=14508409193&amp;cq_net=g&amp;cq_plt=gp&amp;cq_med=pla&amp;gad_source=1&amp;gclid=Cj0KCQiAu8W6BhC-ARIsACEQoDDep1arVYfWC4pApbNWm2DE8Ln37JRVhHUMtagELBFNL57Db29AZ20aAsBIEALw_wcB</t>
  </si>
  <si>
    <t>Guante Vaqueta Medio Paseo</t>
  </si>
  <si>
    <t>par</t>
  </si>
  <si>
    <t>Recarga de garrafa</t>
  </si>
  <si>
    <t>Conjunto rotor estator Yeso ASE</t>
  </si>
  <si>
    <t>Todo Proyectable WEB</t>
  </si>
  <si>
    <t>Completar…</t>
  </si>
  <si>
    <t>ANALISIS DE PRECIO UNITARIO</t>
  </si>
  <si>
    <t>Partida N°:</t>
  </si>
  <si>
    <t>Obra:</t>
  </si>
  <si>
    <t>Cliente:</t>
  </si>
  <si>
    <t>Código de Obra:</t>
  </si>
  <si>
    <t>Partida:</t>
  </si>
  <si>
    <t>Movimiento de suelos para bases c/ aporte de tosca (e: 40 cm en 2 capas de 20 cm)</t>
  </si>
  <si>
    <t>Unidad:</t>
  </si>
  <si>
    <t>Cantidad:</t>
  </si>
  <si>
    <t>Rendimiento:</t>
  </si>
  <si>
    <t>m3/dia</t>
  </si>
  <si>
    <t>1.- MATERIALES</t>
  </si>
  <si>
    <t>Descripción</t>
  </si>
  <si>
    <t>Unidad</t>
  </si>
  <si>
    <t>Cantidad</t>
  </si>
  <si>
    <t>Costo $</t>
  </si>
  <si>
    <t>% Desp.</t>
  </si>
  <si>
    <t>Total $</t>
  </si>
  <si>
    <t>Cant. x Obra</t>
  </si>
  <si>
    <t>Total Materiales:</t>
  </si>
  <si>
    <t>2.- EQUIPOS</t>
  </si>
  <si>
    <t>Tarifa $</t>
  </si>
  <si>
    <t>d</t>
  </si>
  <si>
    <t>Total Equipos:</t>
  </si>
  <si>
    <t xml:space="preserve">3.- MANO DE OBRA </t>
  </si>
  <si>
    <t>Salario $</t>
  </si>
  <si>
    <t>j</t>
  </si>
  <si>
    <t>Total Mano de Obra Menor:</t>
  </si>
  <si>
    <t>Grado de dificultad</t>
  </si>
  <si>
    <t>Total Mano de Obra:</t>
  </si>
  <si>
    <t>Costo Directo por Unidad:</t>
  </si>
  <si>
    <t>Gastos Generales:</t>
  </si>
  <si>
    <t>Beneficio:</t>
  </si>
  <si>
    <t xml:space="preserve">PRECIO UNITARIO: </t>
  </si>
  <si>
    <t>Completar …</t>
  </si>
  <si>
    <t>Ladrillo común 12,5 x 5,5 x 25 (e:15 cm)</t>
  </si>
  <si>
    <t>m2/dia</t>
  </si>
  <si>
    <t>para 1 m2</t>
  </si>
  <si>
    <t>Consumibles (discos, alambre, maderas, etc.)</t>
  </si>
  <si>
    <t>Ladrillo cerámico 8 x 18 x 33 cm</t>
  </si>
  <si>
    <t>(10 lts mezcla x m2)</t>
  </si>
  <si>
    <t>Para 1 m2</t>
  </si>
  <si>
    <t xml:space="preserve">Ladrillo cerámico 12 x 18 x 33 cm </t>
  </si>
  <si>
    <t>(15 lts mezcla x m2)</t>
  </si>
  <si>
    <t>lt</t>
  </si>
  <si>
    <t>lts</t>
  </si>
  <si>
    <t>Ladrillo cerámico 18 x 18 x 33 cm</t>
  </si>
  <si>
    <t>(20 lts mezcla x m2)</t>
  </si>
  <si>
    <t>Pared DOBLE Comun / 5 / LHC 08 - (ladrillo a la vista)</t>
  </si>
  <si>
    <t>Mamposteria LHC 08</t>
  </si>
  <si>
    <t>Azotado hidrófugo + pintura asfáltica</t>
  </si>
  <si>
    <t xml:space="preserve">Rend. 0,50 lts x m2 </t>
  </si>
  <si>
    <t>Pared ladrillo a la vista</t>
  </si>
  <si>
    <t>Consumibles</t>
  </si>
  <si>
    <t>horas x m2</t>
  </si>
  <si>
    <t>Azotado</t>
  </si>
  <si>
    <t xml:space="preserve">Lh </t>
  </si>
  <si>
    <t>L comun</t>
  </si>
  <si>
    <t>Subtotla horas</t>
  </si>
  <si>
    <t>horas</t>
  </si>
  <si>
    <t xml:space="preserve">m2 x dia </t>
  </si>
  <si>
    <t>Oficial</t>
  </si>
  <si>
    <t>Ayudante</t>
  </si>
  <si>
    <t>Ladrillo hueco portante 12 x 19 x 33</t>
  </si>
  <si>
    <t>Amure puertas tipo (0,90 x 2,00 m)</t>
  </si>
  <si>
    <t>Ancho</t>
  </si>
  <si>
    <t xml:space="preserve">Largo </t>
  </si>
  <si>
    <t>e Tabique</t>
  </si>
  <si>
    <t xml:space="preserve">m3 mezcla </t>
  </si>
  <si>
    <t>(0,03 m3 de mezcla de concreto)</t>
  </si>
  <si>
    <t>U/dia</t>
  </si>
  <si>
    <t>Para m3</t>
  </si>
  <si>
    <t xml:space="preserve">Para </t>
  </si>
  <si>
    <t>Para 2 cm espesor</t>
  </si>
  <si>
    <t>U comercial</t>
  </si>
  <si>
    <t xml:space="preserve">Cemento </t>
  </si>
  <si>
    <t>Arena</t>
  </si>
  <si>
    <t>Amure Premarcos</t>
  </si>
  <si>
    <t xml:space="preserve">Ancho </t>
  </si>
  <si>
    <t>h</t>
  </si>
  <si>
    <t>e tabiq</t>
  </si>
  <si>
    <t>carga</t>
  </si>
  <si>
    <t>Perim</t>
  </si>
  <si>
    <t>Premarco 1</t>
  </si>
  <si>
    <t>(0,0125 m3 de mezcla de concreto)</t>
  </si>
  <si>
    <t>Premarco 2</t>
  </si>
  <si>
    <t>Premarco 3</t>
  </si>
  <si>
    <t>Premarco 4</t>
  </si>
  <si>
    <t>Amure barandas (insertos c/1,00 m)</t>
  </si>
  <si>
    <t>ml/dia</t>
  </si>
  <si>
    <t xml:space="preserve">Cada inserto </t>
  </si>
  <si>
    <t>prof</t>
  </si>
  <si>
    <t>m3 mezcla</t>
  </si>
  <si>
    <t xml:space="preserve">m3 mezcla x ml </t>
  </si>
  <si>
    <t>*EQUIP04</t>
  </si>
  <si>
    <t xml:space="preserve">Azotado hidrófugo </t>
  </si>
  <si>
    <t xml:space="preserve">e: 0,5 cm </t>
  </si>
  <si>
    <t>Proporciones</t>
  </si>
  <si>
    <t xml:space="preserve">Cant </t>
  </si>
  <si>
    <t>Un</t>
  </si>
  <si>
    <t xml:space="preserve">Para 1 m2 </t>
  </si>
  <si>
    <t>Medidas comerciales</t>
  </si>
  <si>
    <t>de 175 a 200 gr x cm de espesor</t>
  </si>
  <si>
    <t>m2/d</t>
  </si>
  <si>
    <t>Interior jaharro a la cal + Enlucido a la cal</t>
  </si>
  <si>
    <t>Revoque grueso para interiores</t>
  </si>
  <si>
    <t>Revoque fino a la cal</t>
  </si>
  <si>
    <t>M.O Chandias</t>
  </si>
  <si>
    <t>Grueso</t>
  </si>
  <si>
    <t>Fino</t>
  </si>
  <si>
    <t>Horas</t>
  </si>
  <si>
    <t>H x dia</t>
  </si>
  <si>
    <t xml:space="preserve">Rend. </t>
  </si>
  <si>
    <t>Revoque Grueso impermeable Exterior hasta 3.00 m - Incl. Azotado hidrófugo</t>
  </si>
  <si>
    <t>Azotado hidrofugo (5 lts/m2)</t>
  </si>
  <si>
    <t>Revoque grueso (15 lts/m2)</t>
  </si>
  <si>
    <t>Revoque Grueso impermeable Exterior a mas de 3.00 m - Incl. Azotado hidrófugo</t>
  </si>
  <si>
    <t>Revoque</t>
  </si>
  <si>
    <t>Costo h balancin</t>
  </si>
  <si>
    <t>OF</t>
  </si>
  <si>
    <t>AY</t>
  </si>
  <si>
    <t>Contrapiso HHRP</t>
  </si>
  <si>
    <t>Para 1 m3</t>
  </si>
  <si>
    <t>Para 8 cm</t>
  </si>
  <si>
    <t xml:space="preserve">m3 x dia </t>
  </si>
  <si>
    <t>Carpeta MC 1:3 (e: 2cm)</t>
  </si>
  <si>
    <t>e: 2 cm</t>
  </si>
  <si>
    <t>e: 2,5 cm</t>
  </si>
  <si>
    <t>x m2</t>
  </si>
  <si>
    <t>U comerc</t>
  </si>
  <si>
    <t>h/m2</t>
  </si>
  <si>
    <t>horas x dia</t>
  </si>
  <si>
    <t>Completar..</t>
  </si>
  <si>
    <t>Carpeta monolítico h = 7 cm</t>
  </si>
  <si>
    <t>bal</t>
  </si>
  <si>
    <t>Carpeta hidrófuga (e: 2 cm)</t>
  </si>
  <si>
    <t>Cemento alisado o cilindrado (e: 3 cm)</t>
  </si>
  <si>
    <t>h x m2</t>
  </si>
  <si>
    <t>h x dia</t>
  </si>
  <si>
    <t>Látex interior para paredes (incl. enduido)</t>
  </si>
  <si>
    <t>VERA</t>
  </si>
  <si>
    <t xml:space="preserve">Pintura </t>
  </si>
  <si>
    <t>% incidencia</t>
  </si>
  <si>
    <t>Obra</t>
  </si>
  <si>
    <t>m2 / dia</t>
  </si>
  <si>
    <t>Chandias</t>
  </si>
  <si>
    <t>látex para cielorrasos  (incl. enduido)</t>
  </si>
  <si>
    <t xml:space="preserve">horas x dia </t>
  </si>
  <si>
    <t>látex exterior para paredes hasta 3.00 m de altura</t>
  </si>
  <si>
    <t>látex exterior para paredes a más 3.00 m de altura</t>
  </si>
  <si>
    <t>horas extras x silleta</t>
  </si>
  <si>
    <t>*</t>
  </si>
  <si>
    <t>Esmalte sintético sobre carpintería metálica , herrería (cuando es vacio x lleno contemplar MAT al 60%)</t>
  </si>
  <si>
    <t>mlperim</t>
  </si>
  <si>
    <t>Ambas caras</t>
  </si>
  <si>
    <t>Puerta tipo</t>
  </si>
  <si>
    <t>perim</t>
  </si>
  <si>
    <t>ml de cinta x 5m2</t>
  </si>
  <si>
    <t>sup marc</t>
  </si>
  <si>
    <t>hojas</t>
  </si>
  <si>
    <t>x puerta</t>
  </si>
  <si>
    <t>imprimacion</t>
  </si>
  <si>
    <t>puertas</t>
  </si>
  <si>
    <t>x dia</t>
  </si>
  <si>
    <t xml:space="preserve">12 a 15 litros x mano </t>
  </si>
  <si>
    <t>litros</t>
  </si>
  <si>
    <t xml:space="preserve">m2 x 3 manos </t>
  </si>
  <si>
    <t>h/d</t>
  </si>
  <si>
    <t>m/d</t>
  </si>
  <si>
    <t>MAIZ</t>
  </si>
  <si>
    <t>Completar ..</t>
  </si>
  <si>
    <t>base</t>
  </si>
  <si>
    <t xml:space="preserve">Revestimiento plastico texturado tipo Quimtex fino </t>
  </si>
  <si>
    <t>kg base</t>
  </si>
  <si>
    <t>kg/m2</t>
  </si>
  <si>
    <t>Balde/m2</t>
  </si>
  <si>
    <t>tarquini</t>
  </si>
  <si>
    <t>kg tarquini</t>
  </si>
  <si>
    <t>Colocación porcelanato en pisos (no incluye baños)</t>
  </si>
  <si>
    <t>Depto tipo</t>
  </si>
  <si>
    <t>Estar</t>
  </si>
  <si>
    <t>Habitacion</t>
  </si>
  <si>
    <t>Paso y cocina</t>
  </si>
  <si>
    <t>dias</t>
  </si>
  <si>
    <t>m2 x dia</t>
  </si>
  <si>
    <t>Revestimiento porcelanato en paredes y piso baños</t>
  </si>
  <si>
    <t>Largo</t>
  </si>
  <si>
    <t>Paredes</t>
  </si>
  <si>
    <t>Piso</t>
  </si>
  <si>
    <t>Total</t>
  </si>
  <si>
    <t>A</t>
  </si>
  <si>
    <t>Completar</t>
  </si>
  <si>
    <t>Colocacion de zocalo porcelanato</t>
  </si>
  <si>
    <t xml:space="preserve">Paso </t>
  </si>
  <si>
    <t>Cocina</t>
  </si>
  <si>
    <t>bolsa</t>
  </si>
  <si>
    <t xml:space="preserve">Pegamento </t>
  </si>
  <si>
    <t>Látex interior satinado para paredes</t>
  </si>
  <si>
    <t xml:space="preserve">2 m2 x litros </t>
  </si>
  <si>
    <t>Cielorraso Durlock - Junta Tomada STD</t>
  </si>
  <si>
    <t>Cielorraso Durlock - Junta Tomada RH</t>
  </si>
  <si>
    <t>Cielorraso Durlock - Junta Tomada RF</t>
  </si>
  <si>
    <t xml:space="preserve">Cielorraso Desmontable 60x60 - sin provision </t>
  </si>
  <si>
    <t>Cielorraso Desmontable 60x60 - incluye placa  Deco Vinyl</t>
  </si>
  <si>
    <t>Pared Durlock - Simple</t>
  </si>
  <si>
    <t xml:space="preserve">Pared Durlock - Doble placa STD ambas caras y asilación lana de vidrio </t>
  </si>
  <si>
    <t xml:space="preserve">Medio tabique espesor total 8,5 cm </t>
  </si>
  <si>
    <t>Esmalte sintetico para paredes</t>
  </si>
  <si>
    <t>Ladrillo Klimablock 27 x 19 x 30 cm</t>
  </si>
  <si>
    <t>(25 lts mezcla x m2)</t>
  </si>
  <si>
    <t>Impermeabilización de cubierta transitable sobre carpeta horizontal con membrana Geotextil de 4mm, a soplete.</t>
  </si>
  <si>
    <t xml:space="preserve">Litros </t>
  </si>
  <si>
    <t>MEMB001</t>
  </si>
  <si>
    <t>Guante vaqueta medio paseo</t>
  </si>
  <si>
    <t>Impermeabilización de cubierta con Malla no tejida de poliester y pintura poliuretánica</t>
  </si>
  <si>
    <t>MEMB003</t>
  </si>
  <si>
    <t>VELO</t>
  </si>
  <si>
    <t>*KITPINT</t>
  </si>
  <si>
    <t>Revoque Exterior 3 en 1 hasta 3,00 m</t>
  </si>
  <si>
    <t>Pintura sobre pared existente</t>
  </si>
  <si>
    <t>Impermeabilizacion sobre ladrillo</t>
  </si>
  <si>
    <t>Ladrillo hueco portante 18 x 19 x 33</t>
  </si>
  <si>
    <t>HUA NCQA</t>
  </si>
  <si>
    <t>ARQUINERING SRL</t>
  </si>
  <si>
    <t>Provision, preparacion y colocacion de acero de refuerzo en Vigas de Fundacion</t>
  </si>
  <si>
    <t>kgf</t>
  </si>
  <si>
    <t>kgf/dia</t>
  </si>
  <si>
    <t>*DRYWA57</t>
  </si>
  <si>
    <t>Alambre de fardo</t>
  </si>
  <si>
    <t>% Depr.</t>
  </si>
  <si>
    <t>EQUIPO PARA PREPARACION DE ACERO DE REFUERZO</t>
  </si>
  <si>
    <t>Provision, preparacion y colocacion de acero de refuerzo en Columnas</t>
  </si>
  <si>
    <t>Provision, preparacion y colocacion de acero de refuerzo en Vigas</t>
  </si>
  <si>
    <t>Provision, preparacion y colocacion de acero de refuerzo en Losa (arm inf)</t>
  </si>
  <si>
    <t>Provision y colocacion de malla de acero de refuerzo Q335 en Losas (arm sup)</t>
  </si>
  <si>
    <t>*EQUIP20</t>
  </si>
  <si>
    <t>*EQUIP52</t>
  </si>
  <si>
    <t>EQUIPO DE ALBAÑILERIA (tareas en seco)</t>
  </si>
  <si>
    <t>Provision, preparacion y colocacion de acero de refuerzo en Escaleras</t>
  </si>
  <si>
    <t>Provision, preparacion y colocacion de acero de refuerzo en Tabiques</t>
  </si>
  <si>
    <t>Encofrado de Madera - Acabado Normal en Vigas de Fundacion</t>
  </si>
  <si>
    <t>ALAMBRE GALVANIZADO N°14 x kg</t>
  </si>
  <si>
    <t>*MADER01</t>
  </si>
  <si>
    <t>MADERA TIRANTE 5X5CM P TRAVIESAS Y ESTACAS</t>
  </si>
  <si>
    <t>*MADER03</t>
  </si>
  <si>
    <t>MADERA TABLA CORRIENTE</t>
  </si>
  <si>
    <t>EQUIPO DE CARPINTERIA.</t>
  </si>
  <si>
    <t>Encofrado de Madera - Acabado Normal en Losa</t>
  </si>
  <si>
    <t>Encofrado de Madera - Acabado Normal en Escalera</t>
  </si>
  <si>
    <t>Encofrado de Madera - Acabado VISTO en Losas</t>
  </si>
  <si>
    <t>Encofrado de Madera - Acabado VISTO en Tabiques</t>
  </si>
  <si>
    <t>Viga de Hormigon Armado - Encofrado Fenolico</t>
  </si>
  <si>
    <t>Viga de Hormigon Armado - FE Doblado y Armado</t>
  </si>
  <si>
    <t>Viga de Hormigon Armado - Llenado</t>
  </si>
  <si>
    <t xml:space="preserve">Fecha: </t>
  </si>
  <si>
    <t>Impermeabilizacion de azotea con pintura asfaltica / Barrera de vapor</t>
  </si>
  <si>
    <t>Babeta en Azotea con membrana Geotextil Ormiflex de 4mm, a soplete.</t>
  </si>
  <si>
    <t>Revoque Grueso Exterior S/hidrofugo hasta 3.00 m</t>
  </si>
  <si>
    <t>Cielorraso Desmontable 120x60 - incluye placa</t>
  </si>
  <si>
    <t>Perfil buña Z / Cantonera</t>
  </si>
  <si>
    <t>pza</t>
  </si>
  <si>
    <t>(12 lts mezcla x m2)</t>
  </si>
  <si>
    <t>para 10 lts</t>
  </si>
  <si>
    <t>para 12 lts</t>
  </si>
  <si>
    <t>BOCA ILUMINACIÓN</t>
  </si>
  <si>
    <t>BOCA TOMACORRIENTE</t>
  </si>
  <si>
    <t>BANDEJA PORTACABLES 200</t>
  </si>
  <si>
    <t>COLUMNA HORMIGÓN RÚSTICO 85 kg/m3</t>
  </si>
  <si>
    <t>HIERRO</t>
  </si>
  <si>
    <t>hierro+desperdicio</t>
  </si>
  <si>
    <t>ESTACAS</t>
  </si>
  <si>
    <t>BARROTES</t>
  </si>
  <si>
    <t>Pie derecho saligna bruto</t>
  </si>
  <si>
    <t xml:space="preserve">Fenólico común e: 18 mm </t>
  </si>
  <si>
    <t>COLUMNA HORMIGÓN VISTO</t>
  </si>
  <si>
    <t>(110 kg/m3)</t>
  </si>
  <si>
    <t>Hierro</t>
  </si>
  <si>
    <t xml:space="preserve">Fenólico visto e: 18 mm </t>
  </si>
  <si>
    <t xml:space="preserve">e: 1,5 cm </t>
  </si>
  <si>
    <t>h (dia)</t>
  </si>
  <si>
    <t>Carpeta cal reforzada (e: 1,5 cm)</t>
  </si>
  <si>
    <t>Látex interior para paredes (enduido parcial)</t>
  </si>
  <si>
    <t>ESCALERA TIPO TIJERA DE ALUMINIO DE 7 TRAMOS</t>
  </si>
  <si>
    <t>Látex interior para paredes (s/enduido)</t>
  </si>
  <si>
    <t>BOCA ILUMINACIÓN LOSA (Profunda)</t>
  </si>
  <si>
    <t xml:space="preserve">BOCA TOMACORRIENTE ESPECIAL </t>
  </si>
  <si>
    <t>VA</t>
  </si>
  <si>
    <t>COLOR</t>
  </si>
  <si>
    <t>BOCA VACIA C/CABLE TESTIGO</t>
  </si>
  <si>
    <t>Informe de compatibilidad para HUA-NCQA - APU 12-22 B.xls</t>
  </si>
  <si>
    <t>Ejecutar el 03/01/2023 16:58</t>
  </si>
  <si>
    <t>Las siguientes características de este libro no son compatibles con versiones anteriores de Excel. Estas características podrían perderse o degradarse si abre el libro con una versión anterior de Excel o si guarda el libro con un formato de archivo anterior.</t>
  </si>
  <si>
    <t>Pérdida significativa de funcionalidad</t>
  </si>
  <si>
    <t>Nº de apariciones</t>
  </si>
  <si>
    <t>Versión</t>
  </si>
  <si>
    <t>Algunas celdas contienen más formatos condicionales de los permitidos en el formato de archivo seleccionado. En las versiones anteriores de Excel solamente se mostrarán las tres primeras condiciones.</t>
  </si>
  <si>
    <t>RESUMEN'!O11:O66</t>
  </si>
  <si>
    <t>Excel 97-2003</t>
  </si>
  <si>
    <t>Pérdida menor de fidelidad</t>
  </si>
  <si>
    <t>Algunas celdas o estilos de este libro contienen un formato no admitido en el formato de archivo seleccionado. Estos formatos se convertirán al formato más cercano disponible.</t>
  </si>
  <si>
    <t>Informe de compatibilidad para ARQING - APU 09-23.xlsx</t>
  </si>
  <si>
    <t>Ejecutado el 28/8/2023 19:50</t>
  </si>
  <si>
    <t>Si el libro se guarda o se abre en un formato de archivo de una versión anterior de Microsoft Excel, las características indicadas no estarán disponibles.</t>
  </si>
  <si>
    <t>Este libro tiene información del vínculo de libro que se perderá o no será visible si el archivo se guarda con un formato de Excel antiguo.</t>
  </si>
  <si>
    <t>Excel 2007</t>
  </si>
  <si>
    <t>Excel 2010</t>
  </si>
  <si>
    <t>Excel 2013</t>
  </si>
  <si>
    <t>Excel 2016</t>
  </si>
  <si>
    <t>Excel 2019</t>
  </si>
  <si>
    <t>Excel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</si>
</sst>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-* #,##0.00_-;\-* #,##0.00_-;_-* &quot;-&quot;??_-;_-@_-"/>
    <numFmt numFmtId="165" formatCode="_(&quot;Bs&quot;\ * #,##0.00_);_(&quot;Bs&quot;\ * \(#,##0.00\);_(&quot;Bs&quot;\ * &quot;-&quot;??_);_(@_)"/>
    <numFmt numFmtId="166" formatCode="dd/mm/yyyy;@"/>
    <numFmt numFmtId="167" formatCode="#,##0.000000"/>
    <numFmt numFmtId="168" formatCode="#,##0.00000"/>
    <numFmt numFmtId="169" formatCode="#0.00000"/>
    <numFmt numFmtId="170" formatCode="_ &quot;$&quot;\ * #,##0.00_ ;_ &quot;$&quot;\ * \-#,##0.00_ ;_ &quot;$&quot;\ * &quot;-&quot;??_ ;_ @_ "/>
    <numFmt numFmtId="171" formatCode="_ * #,##0.00_ ;_ * \-#,##0.00_ ;_ * &quot;-&quot;??_ ;_ @_ "/>
    <numFmt numFmtId="172" formatCode="_ [$€-2]\ * #,##0.00_ ;_ [$€-2]\ * \-#,##0.00_ ;_ [$€-2]\ * &quot;-&quot;??_ "/>
    <numFmt numFmtId="173" formatCode="_-* #,##0.00\ _$_-;\-* #,##0.00\ _$_-;_-* &quot;-&quot;??\ _$_-;_-@_-"/>
    <numFmt numFmtId="174" formatCode="#,##0.000"/>
    <numFmt numFmtId="175" formatCode="#0.000"/>
    <numFmt numFmtId="176" formatCode="#,##0.0"/>
    <numFmt numFmtId="177" formatCode="#,##0.0000"/>
    <numFmt numFmtId="178" formatCode="_(* #,##0.000_);_(* \(#,##0.000\);_(* &quot;-&quot;??_);_(@_)"/>
    <numFmt numFmtId="179" formatCode="_(* #,##0.0000_);_(* \(#,##0.0000\);_(* &quot;-&quot;??_);_(@_)"/>
    <numFmt numFmtId="180" formatCode="_(* #,##0.0_);_(* \(#,##0.0\);_(* &quot;-&quot;??_);_(@_)"/>
    <numFmt numFmtId="181" formatCode="_(* #,##0_);_(* \(#,##0\);_(* &quot;-&quot;??_);_(@_)"/>
    <numFmt numFmtId="182" formatCode="#0.0000"/>
    <numFmt numFmtId="183" formatCode="_(* #,##0.00000_);_(* \(#,##0.00000\);_(* &quot;-&quot;??_);_(@_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10"/>
      <color indexed="8"/>
      <name val="MS Sans Serif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9.9499999999999993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7.9"/>
      <color indexed="8"/>
      <name val="Calibri"/>
      <family val="2"/>
      <scheme val="minor"/>
    </font>
    <font>
      <b/>
      <sz val="8.0500000000000007"/>
      <color indexed="8"/>
      <name val="Calibri"/>
      <family val="2"/>
      <scheme val="minor"/>
    </font>
    <font>
      <sz val="8.0500000000000007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9.9499999999999993"/>
      <color indexed="8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scheme val="minor"/>
    </font>
    <font>
      <b/>
      <sz val="7"/>
      <name val="Calibri"/>
      <family val="2"/>
      <scheme val="minor"/>
    </font>
    <font>
      <b/>
      <sz val="7"/>
      <color rgb="FF7030A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7.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24">
    <xf numFmtId="0" fontId="0" fillId="0" borderId="0"/>
    <xf numFmtId="172" fontId="9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171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173" fontId="1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7" fillId="0" borderId="0"/>
    <xf numFmtId="0" fontId="7" fillId="0" borderId="0"/>
    <xf numFmtId="0" fontId="3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4">
    <xf numFmtId="0" fontId="0" fillId="0" borderId="0" xfId="0"/>
    <xf numFmtId="4" fontId="4" fillId="0" borderId="0" xfId="0" applyNumberFormat="1" applyFont="1"/>
    <xf numFmtId="4" fontId="4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43" fontId="14" fillId="0" borderId="0" xfId="3" applyFont="1"/>
    <xf numFmtId="43" fontId="14" fillId="0" borderId="0" xfId="3" applyFont="1" applyAlignment="1">
      <alignment vertical="center"/>
    </xf>
    <xf numFmtId="43" fontId="15" fillId="0" borderId="13" xfId="3" applyFont="1" applyBorder="1" applyAlignment="1">
      <alignment horizontal="center" vertical="center" wrapText="1" shrinkToFit="1"/>
    </xf>
    <xf numFmtId="43" fontId="14" fillId="0" borderId="14" xfId="3" applyFont="1" applyBorder="1" applyAlignment="1">
      <alignment horizontal="center" vertical="center"/>
    </xf>
    <xf numFmtId="43" fontId="14" fillId="0" borderId="14" xfId="3" applyFont="1" applyBorder="1" applyAlignment="1">
      <alignment vertical="center"/>
    </xf>
    <xf numFmtId="43" fontId="14" fillId="0" borderId="15" xfId="3" applyFont="1" applyBorder="1" applyAlignment="1">
      <alignment horizontal="center" vertical="center"/>
    </xf>
    <xf numFmtId="43" fontId="14" fillId="0" borderId="15" xfId="3" applyFont="1" applyBorder="1" applyAlignment="1">
      <alignment vertical="center"/>
    </xf>
    <xf numFmtId="0" fontId="15" fillId="0" borderId="0" xfId="15" applyFont="1" applyAlignment="1">
      <alignment horizontal="left"/>
    </xf>
    <xf numFmtId="0" fontId="14" fillId="0" borderId="0" xfId="15" applyFont="1"/>
    <xf numFmtId="0" fontId="14" fillId="0" borderId="0" xfId="15" applyFont="1" applyAlignment="1">
      <alignment horizontal="center"/>
    </xf>
    <xf numFmtId="0" fontId="14" fillId="0" borderId="0" xfId="15" applyFont="1" applyAlignment="1">
      <alignment horizontal="right"/>
    </xf>
    <xf numFmtId="0" fontId="16" fillId="0" borderId="0" xfId="15" applyFont="1" applyAlignment="1">
      <alignment horizontal="left"/>
    </xf>
    <xf numFmtId="0" fontId="17" fillId="0" borderId="0" xfId="15" applyFont="1" applyAlignment="1">
      <alignment horizontal="left" wrapText="1" shrinkToFit="1"/>
    </xf>
    <xf numFmtId="0" fontId="18" fillId="0" borderId="0" xfId="15" applyFont="1" applyAlignment="1">
      <alignment horizontal="left"/>
    </xf>
    <xf numFmtId="0" fontId="19" fillId="0" borderId="0" xfId="15" applyFont="1" applyAlignment="1">
      <alignment horizontal="left"/>
    </xf>
    <xf numFmtId="0" fontId="20" fillId="0" borderId="0" xfId="15" applyFont="1" applyAlignment="1">
      <alignment horizontal="right"/>
    </xf>
    <xf numFmtId="0" fontId="19" fillId="0" borderId="0" xfId="15" applyFont="1" applyAlignment="1">
      <alignment horizontal="center"/>
    </xf>
    <xf numFmtId="0" fontId="21" fillId="0" borderId="0" xfId="15" applyFont="1" applyAlignment="1">
      <alignment horizontal="right"/>
    </xf>
    <xf numFmtId="0" fontId="14" fillId="0" borderId="0" xfId="15" applyFont="1" applyAlignment="1">
      <alignment vertical="center"/>
    </xf>
    <xf numFmtId="0" fontId="15" fillId="0" borderId="13" xfId="15" applyFont="1" applyBorder="1" applyAlignment="1">
      <alignment horizontal="center" vertical="center" wrapText="1" shrinkToFit="1"/>
    </xf>
    <xf numFmtId="0" fontId="15" fillId="0" borderId="0" xfId="15" applyFont="1"/>
    <xf numFmtId="0" fontId="14" fillId="0" borderId="14" xfId="15" applyFont="1" applyBorder="1" applyAlignment="1">
      <alignment vertical="center"/>
    </xf>
    <xf numFmtId="0" fontId="14" fillId="0" borderId="15" xfId="15" applyFont="1" applyBorder="1" applyAlignment="1">
      <alignment vertical="center"/>
    </xf>
    <xf numFmtId="0" fontId="14" fillId="0" borderId="15" xfId="15" applyFont="1" applyBorder="1"/>
    <xf numFmtId="43" fontId="14" fillId="0" borderId="15" xfId="3" applyFont="1" applyBorder="1"/>
    <xf numFmtId="43" fontId="15" fillId="0" borderId="15" xfId="3" applyFont="1" applyBorder="1" applyAlignment="1">
      <alignment horizontal="right"/>
    </xf>
    <xf numFmtId="0" fontId="14" fillId="0" borderId="16" xfId="15" applyFont="1" applyBorder="1"/>
    <xf numFmtId="43" fontId="14" fillId="0" borderId="16" xfId="3" applyFont="1" applyBorder="1"/>
    <xf numFmtId="43" fontId="15" fillId="0" borderId="16" xfId="3" applyFont="1" applyBorder="1" applyAlignment="1">
      <alignment horizontal="right"/>
    </xf>
    <xf numFmtId="43" fontId="22" fillId="0" borderId="0" xfId="3" applyFont="1"/>
    <xf numFmtId="43" fontId="22" fillId="0" borderId="0" xfId="3" applyFont="1" applyAlignment="1">
      <alignment horizontal="center"/>
    </xf>
    <xf numFmtId="43" fontId="22" fillId="0" borderId="15" xfId="3" applyFont="1" applyBorder="1"/>
    <xf numFmtId="0" fontId="14" fillId="0" borderId="1" xfId="15" applyFont="1" applyBorder="1"/>
    <xf numFmtId="0" fontId="14" fillId="0" borderId="2" xfId="15" applyFont="1" applyBorder="1"/>
    <xf numFmtId="43" fontId="22" fillId="0" borderId="0" xfId="3" applyFont="1" applyAlignment="1">
      <alignment horizontal="right"/>
    </xf>
    <xf numFmtId="43" fontId="22" fillId="0" borderId="17" xfId="3" applyFont="1" applyBorder="1"/>
    <xf numFmtId="43" fontId="25" fillId="0" borderId="15" xfId="3" applyFont="1" applyBorder="1" applyAlignment="1">
      <alignment vertical="center"/>
    </xf>
    <xf numFmtId="43" fontId="22" fillId="0" borderId="15" xfId="3" applyFont="1" applyBorder="1" applyAlignment="1">
      <alignment vertical="center"/>
    </xf>
    <xf numFmtId="43" fontId="22" fillId="0" borderId="13" xfId="3" applyFont="1" applyBorder="1" applyAlignment="1">
      <alignment horizontal="center" vertical="center" wrapText="1" shrinkToFit="1"/>
    </xf>
    <xf numFmtId="43" fontId="15" fillId="0" borderId="0" xfId="3" applyFont="1" applyAlignment="1">
      <alignment horizontal="left"/>
    </xf>
    <xf numFmtId="43" fontId="15" fillId="0" borderId="0" xfId="3" applyFont="1" applyBorder="1" applyAlignment="1">
      <alignment horizontal="left"/>
    </xf>
    <xf numFmtId="43" fontId="14" fillId="0" borderId="0" xfId="3" applyFont="1" applyBorder="1"/>
    <xf numFmtId="43" fontId="15" fillId="0" borderId="0" xfId="3" applyFont="1" applyBorder="1" applyAlignment="1">
      <alignment horizontal="center"/>
    </xf>
    <xf numFmtId="43" fontId="14" fillId="0" borderId="0" xfId="3" applyFont="1" applyAlignment="1">
      <alignment horizontal="left" wrapText="1" shrinkToFit="1"/>
    </xf>
    <xf numFmtId="43" fontId="14" fillId="0" borderId="0" xfId="3" applyFont="1" applyBorder="1" applyAlignment="1">
      <alignment horizontal="right"/>
    </xf>
    <xf numFmtId="0" fontId="15" fillId="0" borderId="0" xfId="15" applyFont="1" applyAlignment="1">
      <alignment horizontal="right"/>
    </xf>
    <xf numFmtId="17" fontId="15" fillId="0" borderId="0" xfId="15" applyNumberFormat="1" applyFont="1"/>
    <xf numFmtId="4" fontId="4" fillId="0" borderId="8" xfId="0" applyNumberFormat="1" applyFont="1" applyBorder="1"/>
    <xf numFmtId="168" fontId="4" fillId="0" borderId="8" xfId="0" applyNumberFormat="1" applyFont="1" applyBorder="1"/>
    <xf numFmtId="43" fontId="14" fillId="0" borderId="13" xfId="3" applyFont="1" applyBorder="1" applyAlignment="1">
      <alignment horizontal="center" vertical="center"/>
    </xf>
    <xf numFmtId="43" fontId="14" fillId="0" borderId="15" xfId="3" applyFont="1" applyBorder="1" applyAlignment="1">
      <alignment horizontal="center"/>
    </xf>
    <xf numFmtId="43" fontId="14" fillId="0" borderId="16" xfId="3" applyFont="1" applyBorder="1" applyAlignment="1">
      <alignment vertical="center"/>
    </xf>
    <xf numFmtId="43" fontId="22" fillId="0" borderId="16" xfId="3" applyFont="1" applyBorder="1" applyAlignment="1">
      <alignment vertical="center"/>
    </xf>
    <xf numFmtId="43" fontId="14" fillId="0" borderId="2" xfId="3" applyFont="1" applyBorder="1" applyAlignment="1">
      <alignment vertical="center"/>
    </xf>
    <xf numFmtId="43" fontId="22" fillId="0" borderId="2" xfId="3" applyFont="1" applyBorder="1" applyAlignment="1">
      <alignment vertical="center"/>
    </xf>
    <xf numFmtId="43" fontId="14" fillId="0" borderId="16" xfId="3" applyFont="1" applyBorder="1" applyAlignment="1">
      <alignment horizontal="center" vertical="center"/>
    </xf>
    <xf numFmtId="43" fontId="14" fillId="0" borderId="15" xfId="3" applyFont="1" applyFill="1" applyBorder="1" applyAlignment="1">
      <alignment horizontal="center" vertical="center"/>
    </xf>
    <xf numFmtId="0" fontId="16" fillId="0" borderId="0" xfId="15" applyFont="1" applyAlignment="1">
      <alignment horizontal="center"/>
    </xf>
    <xf numFmtId="0" fontId="17" fillId="0" borderId="0" xfId="15" applyFont="1" applyAlignment="1">
      <alignment horizontal="center" wrapText="1" shrinkToFit="1"/>
    </xf>
    <xf numFmtId="0" fontId="21" fillId="0" borderId="0" xfId="15" applyFont="1" applyAlignment="1">
      <alignment horizontal="center"/>
    </xf>
    <xf numFmtId="0" fontId="14" fillId="0" borderId="15" xfId="15" applyFont="1" applyBorder="1" applyAlignment="1">
      <alignment horizontal="center"/>
    </xf>
    <xf numFmtId="0" fontId="14" fillId="0" borderId="2" xfId="15" applyFont="1" applyBorder="1" applyAlignment="1">
      <alignment horizontal="center"/>
    </xf>
    <xf numFmtId="0" fontId="14" fillId="0" borderId="16" xfId="15" applyFont="1" applyBorder="1" applyAlignment="1">
      <alignment horizontal="center"/>
    </xf>
    <xf numFmtId="43" fontId="23" fillId="0" borderId="0" xfId="3" applyFont="1" applyAlignment="1">
      <alignment horizontal="center"/>
    </xf>
    <xf numFmtId="14" fontId="14" fillId="0" borderId="0" xfId="3" applyNumberFormat="1" applyFont="1"/>
    <xf numFmtId="0" fontId="23" fillId="0" borderId="13" xfId="0" applyFont="1" applyBorder="1"/>
    <xf numFmtId="170" fontId="22" fillId="0" borderId="15" xfId="0" applyNumberFormat="1" applyFont="1" applyBorder="1"/>
    <xf numFmtId="0" fontId="23" fillId="0" borderId="15" xfId="0" applyFont="1" applyBorder="1"/>
    <xf numFmtId="0" fontId="23" fillId="0" borderId="16" xfId="0" applyFont="1" applyBorder="1"/>
    <xf numFmtId="170" fontId="22" fillId="0" borderId="16" xfId="0" applyNumberFormat="1" applyFont="1" applyBorder="1"/>
    <xf numFmtId="0" fontId="22" fillId="0" borderId="0" xfId="0" applyFont="1"/>
    <xf numFmtId="0" fontId="23" fillId="0" borderId="14" xfId="0" applyFont="1" applyBorder="1"/>
    <xf numFmtId="170" fontId="22" fillId="0" borderId="14" xfId="0" applyNumberFormat="1" applyFont="1" applyBorder="1"/>
    <xf numFmtId="164" fontId="22" fillId="0" borderId="0" xfId="5" applyFont="1" applyFill="1" applyBorder="1"/>
    <xf numFmtId="43" fontId="23" fillId="0" borderId="3" xfId="3" applyFont="1" applyBorder="1" applyAlignment="1">
      <alignment horizontal="center"/>
    </xf>
    <xf numFmtId="43" fontId="22" fillId="0" borderId="0" xfId="3" applyFont="1" applyBorder="1"/>
    <xf numFmtId="43" fontId="22" fillId="0" borderId="16" xfId="3" applyFont="1" applyBorder="1"/>
    <xf numFmtId="43" fontId="22" fillId="0" borderId="0" xfId="3" applyFont="1" applyAlignment="1">
      <alignment horizontal="center" vertical="center"/>
    </xf>
    <xf numFmtId="43" fontId="23" fillId="0" borderId="0" xfId="3" applyFont="1"/>
    <xf numFmtId="0" fontId="27" fillId="0" borderId="0" xfId="15" applyFont="1" applyAlignment="1">
      <alignment horizontal="left"/>
    </xf>
    <xf numFmtId="14" fontId="14" fillId="0" borderId="0" xfId="15" applyNumberFormat="1" applyFont="1"/>
    <xf numFmtId="164" fontId="14" fillId="0" borderId="0" xfId="15" applyNumberFormat="1" applyFont="1"/>
    <xf numFmtId="43" fontId="15" fillId="0" borderId="0" xfId="3" applyFont="1" applyAlignment="1">
      <alignment horizontal="center"/>
    </xf>
    <xf numFmtId="43" fontId="14" fillId="0" borderId="16" xfId="3" applyFont="1" applyFill="1" applyBorder="1" applyAlignment="1">
      <alignment horizontal="center" vertical="center"/>
    </xf>
    <xf numFmtId="43" fontId="14" fillId="0" borderId="14" xfId="3" applyFont="1" applyFill="1" applyBorder="1" applyAlignment="1">
      <alignment horizontal="center" vertical="center"/>
    </xf>
    <xf numFmtId="43" fontId="16" fillId="0" borderId="0" xfId="3" applyFont="1" applyAlignment="1">
      <alignment horizontal="left"/>
    </xf>
    <xf numFmtId="43" fontId="17" fillId="0" borderId="0" xfId="3" applyFont="1" applyAlignment="1">
      <alignment horizontal="left" wrapText="1" shrinkToFit="1"/>
    </xf>
    <xf numFmtId="43" fontId="14" fillId="0" borderId="0" xfId="3" applyFont="1" applyBorder="1" applyAlignment="1">
      <alignment horizontal="center"/>
    </xf>
    <xf numFmtId="43" fontId="15" fillId="0" borderId="0" xfId="3" applyFont="1" applyBorder="1" applyAlignment="1">
      <alignment vertical="center"/>
    </xf>
    <xf numFmtId="43" fontId="14" fillId="0" borderId="0" xfId="3" applyFont="1" applyAlignment="1">
      <alignment horizontal="center"/>
    </xf>
    <xf numFmtId="43" fontId="20" fillId="0" borderId="0" xfId="3" applyFont="1" applyBorder="1" applyAlignment="1">
      <alignment horizontal="right"/>
    </xf>
    <xf numFmtId="43" fontId="20" fillId="0" borderId="0" xfId="3" applyFont="1" applyBorder="1" applyAlignment="1">
      <alignment horizontal="center"/>
    </xf>
    <xf numFmtId="43" fontId="19" fillId="0" borderId="0" xfId="3" applyFont="1" applyBorder="1" applyAlignment="1">
      <alignment horizontal="center"/>
    </xf>
    <xf numFmtId="43" fontId="14" fillId="0" borderId="14" xfId="3" applyFont="1" applyBorder="1" applyAlignment="1">
      <alignment horizontal="left" vertical="center"/>
    </xf>
    <xf numFmtId="43" fontId="14" fillId="0" borderId="15" xfId="3" applyFont="1" applyBorder="1" applyAlignment="1">
      <alignment horizontal="left" vertical="center"/>
    </xf>
    <xf numFmtId="43" fontId="28" fillId="0" borderId="15" xfId="3" applyFont="1" applyBorder="1" applyAlignment="1">
      <alignment vertical="center"/>
    </xf>
    <xf numFmtId="43" fontId="15" fillId="0" borderId="0" xfId="3" applyFont="1" applyAlignment="1">
      <alignment horizontal="left" vertical="center"/>
    </xf>
    <xf numFmtId="43" fontId="14" fillId="0" borderId="0" xfId="3" applyFont="1" applyAlignment="1">
      <alignment horizontal="right" vertical="center"/>
    </xf>
    <xf numFmtId="43" fontId="14" fillId="0" borderId="16" xfId="3" applyFont="1" applyBorder="1" applyAlignment="1">
      <alignment horizontal="center"/>
    </xf>
    <xf numFmtId="43" fontId="15" fillId="0" borderId="0" xfId="3" applyFont="1" applyBorder="1"/>
    <xf numFmtId="43" fontId="14" fillId="0" borderId="0" xfId="3" applyFont="1" applyBorder="1" applyAlignment="1">
      <alignment vertical="center"/>
    </xf>
    <xf numFmtId="43" fontId="14" fillId="0" borderId="0" xfId="3" applyFont="1" applyBorder="1" applyAlignment="1">
      <alignment horizontal="center" vertical="center"/>
    </xf>
    <xf numFmtId="43" fontId="14" fillId="0" borderId="0" xfId="3" applyFont="1" applyAlignment="1">
      <alignment horizontal="left" vertical="center"/>
    </xf>
    <xf numFmtId="43" fontId="15" fillId="0" borderId="0" xfId="3" applyFont="1" applyAlignment="1">
      <alignment horizontal="center" vertical="center"/>
    </xf>
    <xf numFmtId="14" fontId="14" fillId="0" borderId="8" xfId="3" applyNumberFormat="1" applyFont="1" applyBorder="1"/>
    <xf numFmtId="14" fontId="15" fillId="0" borderId="13" xfId="3" applyNumberFormat="1" applyFont="1" applyBorder="1" applyAlignment="1">
      <alignment horizontal="center" vertical="center" wrapText="1" shrinkToFit="1"/>
    </xf>
    <xf numFmtId="14" fontId="16" fillId="0" borderId="3" xfId="3" applyNumberFormat="1" applyFont="1" applyBorder="1" applyAlignment="1">
      <alignment horizontal="left"/>
    </xf>
    <xf numFmtId="43" fontId="18" fillId="0" borderId="20" xfId="3" applyFont="1" applyBorder="1" applyAlignment="1">
      <alignment horizontal="left"/>
    </xf>
    <xf numFmtId="14" fontId="14" fillId="0" borderId="12" xfId="3" applyNumberFormat="1" applyFont="1" applyBorder="1"/>
    <xf numFmtId="43" fontId="19" fillId="0" borderId="20" xfId="3" applyFont="1" applyBorder="1" applyAlignment="1">
      <alignment horizontal="left"/>
    </xf>
    <xf numFmtId="14" fontId="21" fillId="0" borderId="12" xfId="3" applyNumberFormat="1" applyFont="1" applyBorder="1" applyAlignment="1">
      <alignment horizontal="right"/>
    </xf>
    <xf numFmtId="43" fontId="22" fillId="0" borderId="0" xfId="3" applyFont="1" applyFill="1"/>
    <xf numFmtId="43" fontId="22" fillId="0" borderId="14" xfId="3" applyFont="1" applyBorder="1"/>
    <xf numFmtId="43" fontId="14" fillId="0" borderId="15" xfId="3" applyFont="1" applyFill="1" applyBorder="1" applyAlignment="1">
      <alignment vertical="center"/>
    </xf>
    <xf numFmtId="43" fontId="14" fillId="0" borderId="15" xfId="6" applyFont="1" applyBorder="1" applyAlignment="1">
      <alignment horizontal="center" vertical="center"/>
    </xf>
    <xf numFmtId="43" fontId="14" fillId="0" borderId="0" xfId="6" applyFont="1"/>
    <xf numFmtId="43" fontId="22" fillId="0" borderId="0" xfId="6" applyFont="1" applyBorder="1" applyAlignment="1">
      <alignment vertical="center"/>
    </xf>
    <xf numFmtId="43" fontId="14" fillId="0" borderId="0" xfId="6" applyFont="1" applyBorder="1"/>
    <xf numFmtId="4" fontId="22" fillId="0" borderId="0" xfId="0" applyNumberFormat="1" applyFont="1"/>
    <xf numFmtId="4" fontId="23" fillId="0" borderId="0" xfId="0" applyNumberFormat="1" applyFont="1" applyAlignment="1">
      <alignment horizontal="right"/>
    </xf>
    <xf numFmtId="4" fontId="23" fillId="0" borderId="0" xfId="0" applyNumberFormat="1" applyFont="1" applyAlignment="1">
      <alignment horizontal="centerContinuous"/>
    </xf>
    <xf numFmtId="4" fontId="22" fillId="0" borderId="0" xfId="0" applyNumberFormat="1" applyFont="1" applyAlignment="1">
      <alignment horizontal="centerContinuous"/>
    </xf>
    <xf numFmtId="3" fontId="22" fillId="0" borderId="0" xfId="0" applyNumberFormat="1" applyFont="1" applyAlignment="1">
      <alignment horizontal="right"/>
    </xf>
    <xf numFmtId="4" fontId="23" fillId="0" borderId="0" xfId="0" applyNumberFormat="1" applyFont="1" applyAlignment="1">
      <alignment horizontal="left" vertical="top"/>
    </xf>
    <xf numFmtId="4" fontId="23" fillId="0" borderId="0" xfId="0" applyNumberFormat="1" applyFont="1"/>
    <xf numFmtId="4" fontId="22" fillId="0" borderId="0" xfId="0" applyNumberFormat="1" applyFont="1" applyAlignment="1">
      <alignment horizontal="left"/>
    </xf>
    <xf numFmtId="4" fontId="22" fillId="0" borderId="0" xfId="0" applyNumberFormat="1" applyFont="1" applyAlignment="1">
      <alignment horizontal="right"/>
    </xf>
    <xf numFmtId="4" fontId="23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center"/>
    </xf>
    <xf numFmtId="4" fontId="23" fillId="0" borderId="1" xfId="0" applyNumberFormat="1" applyFont="1" applyBorder="1" applyAlignment="1">
      <alignment horizontal="center"/>
    </xf>
    <xf numFmtId="4" fontId="23" fillId="0" borderId="2" xfId="0" applyNumberFormat="1" applyFont="1" applyBorder="1" applyAlignment="1">
      <alignment horizontal="center"/>
    </xf>
    <xf numFmtId="4" fontId="23" fillId="0" borderId="3" xfId="0" applyNumberFormat="1" applyFont="1" applyBorder="1" applyAlignment="1">
      <alignment horizontal="center"/>
    </xf>
    <xf numFmtId="4" fontId="22" fillId="0" borderId="5" xfId="0" applyNumberFormat="1" applyFont="1" applyBorder="1"/>
    <xf numFmtId="4" fontId="22" fillId="0" borderId="11" xfId="0" applyNumberFormat="1" applyFont="1" applyBorder="1" applyAlignment="1">
      <alignment horizontal="right"/>
    </xf>
    <xf numFmtId="4" fontId="22" fillId="0" borderId="11" xfId="0" applyNumberFormat="1" applyFont="1" applyBorder="1"/>
    <xf numFmtId="4" fontId="22" fillId="0" borderId="6" xfId="0" applyNumberFormat="1" applyFont="1" applyBorder="1"/>
    <xf numFmtId="4" fontId="22" fillId="0" borderId="4" xfId="0" applyNumberFormat="1" applyFont="1" applyBorder="1"/>
    <xf numFmtId="4" fontId="23" fillId="0" borderId="6" xfId="0" applyNumberFormat="1" applyFont="1" applyBorder="1" applyAlignment="1">
      <alignment horizontal="right"/>
    </xf>
    <xf numFmtId="4" fontId="22" fillId="0" borderId="9" xfId="0" applyNumberFormat="1" applyFont="1" applyBorder="1" applyAlignment="1">
      <alignment horizontal="right"/>
    </xf>
    <xf numFmtId="4" fontId="22" fillId="0" borderId="7" xfId="0" applyNumberFormat="1" applyFont="1" applyBorder="1"/>
    <xf numFmtId="4" fontId="23" fillId="0" borderId="8" xfId="0" applyNumberFormat="1" applyFont="1" applyBorder="1" applyAlignment="1">
      <alignment horizontal="right"/>
    </xf>
    <xf numFmtId="4" fontId="22" fillId="0" borderId="10" xfId="0" applyNumberFormat="1" applyFont="1" applyBorder="1" applyAlignment="1">
      <alignment horizontal="right"/>
    </xf>
    <xf numFmtId="4" fontId="22" fillId="0" borderId="9" xfId="0" applyNumberFormat="1" applyFont="1" applyBorder="1"/>
    <xf numFmtId="169" fontId="22" fillId="0" borderId="5" xfId="0" applyNumberFormat="1" applyFont="1" applyBorder="1"/>
    <xf numFmtId="4" fontId="22" fillId="0" borderId="5" xfId="0" applyNumberFormat="1" applyFont="1" applyBorder="1" applyAlignment="1">
      <alignment horizontal="right"/>
    </xf>
    <xf numFmtId="4" fontId="22" fillId="0" borderId="12" xfId="0" applyNumberFormat="1" applyFont="1" applyBorder="1"/>
    <xf numFmtId="169" fontId="22" fillId="0" borderId="11" xfId="0" applyNumberFormat="1" applyFont="1" applyBorder="1"/>
    <xf numFmtId="4" fontId="22" fillId="0" borderId="1" xfId="0" applyNumberFormat="1" applyFont="1" applyBorder="1"/>
    <xf numFmtId="4" fontId="23" fillId="0" borderId="2" xfId="0" applyNumberFormat="1" applyFont="1" applyBorder="1" applyAlignment="1">
      <alignment horizontal="right"/>
    </xf>
    <xf numFmtId="4" fontId="22" fillId="0" borderId="3" xfId="0" applyNumberFormat="1" applyFont="1" applyBorder="1" applyAlignment="1">
      <alignment horizontal="right"/>
    </xf>
    <xf numFmtId="4" fontId="23" fillId="0" borderId="3" xfId="0" applyNumberFormat="1" applyFont="1" applyBorder="1" applyAlignment="1">
      <alignment horizontal="right"/>
    </xf>
    <xf numFmtId="168" fontId="22" fillId="0" borderId="11" xfId="0" applyNumberFormat="1" applyFont="1" applyBorder="1"/>
    <xf numFmtId="4" fontId="29" fillId="0" borderId="10" xfId="0" applyNumberFormat="1" applyFont="1" applyBorder="1" applyAlignment="1">
      <alignment horizontal="right"/>
    </xf>
    <xf numFmtId="4" fontId="22" fillId="2" borderId="0" xfId="0" applyNumberFormat="1" applyFont="1" applyFill="1" applyAlignment="1">
      <alignment horizontal="right"/>
    </xf>
    <xf numFmtId="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0" borderId="14" xfId="15" applyFont="1" applyBorder="1" applyAlignment="1">
      <alignment horizontal="left" vertical="center"/>
    </xf>
    <xf numFmtId="0" fontId="14" fillId="0" borderId="15" xfId="15" applyFont="1" applyBorder="1" applyAlignment="1">
      <alignment horizontal="left" vertical="center"/>
    </xf>
    <xf numFmtId="4" fontId="30" fillId="0" borderId="0" xfId="0" applyNumberFormat="1" applyFont="1"/>
    <xf numFmtId="4" fontId="26" fillId="0" borderId="0" xfId="0" applyNumberFormat="1" applyFont="1" applyAlignment="1">
      <alignment horizontal="right"/>
    </xf>
    <xf numFmtId="166" fontId="26" fillId="0" borderId="0" xfId="0" applyNumberFormat="1" applyFont="1" applyAlignment="1">
      <alignment horizontal="right"/>
    </xf>
    <xf numFmtId="4" fontId="31" fillId="0" borderId="0" xfId="0" applyNumberFormat="1" applyFont="1" applyAlignment="1">
      <alignment horizontal="centerContinuous"/>
    </xf>
    <xf numFmtId="4" fontId="30" fillId="0" borderId="0" xfId="0" applyNumberFormat="1" applyFont="1" applyAlignment="1">
      <alignment horizontal="centerContinuous"/>
    </xf>
    <xf numFmtId="4" fontId="32" fillId="0" borderId="0" xfId="0" applyNumberFormat="1" applyFont="1" applyAlignment="1">
      <alignment horizontal="center"/>
    </xf>
    <xf numFmtId="4" fontId="33" fillId="0" borderId="0" xfId="0" applyNumberFormat="1" applyFont="1"/>
    <xf numFmtId="4" fontId="29" fillId="0" borderId="0" xfId="0" applyNumberFormat="1" applyFont="1" applyAlignment="1">
      <alignment horizontal="right"/>
    </xf>
    <xf numFmtId="4" fontId="22" fillId="2" borderId="10" xfId="0" applyNumberFormat="1" applyFont="1" applyFill="1" applyBorder="1" applyAlignment="1">
      <alignment horizontal="right"/>
    </xf>
    <xf numFmtId="4" fontId="22" fillId="0" borderId="18" xfId="0" applyNumberFormat="1" applyFont="1" applyBorder="1"/>
    <xf numFmtId="43" fontId="22" fillId="0" borderId="18" xfId="3" applyFont="1" applyBorder="1"/>
    <xf numFmtId="4" fontId="22" fillId="0" borderId="18" xfId="0" applyNumberFormat="1" applyFont="1" applyBorder="1" applyAlignment="1">
      <alignment horizontal="right"/>
    </xf>
    <xf numFmtId="4" fontId="23" fillId="0" borderId="14" xfId="0" applyNumberFormat="1" applyFont="1" applyBorder="1" applyAlignment="1">
      <alignment horizontal="center"/>
    </xf>
    <xf numFmtId="4" fontId="22" fillId="0" borderId="14" xfId="0" applyNumberFormat="1" applyFont="1" applyBorder="1"/>
    <xf numFmtId="4" fontId="22" fillId="0" borderId="14" xfId="0" applyNumberFormat="1" applyFont="1" applyBorder="1" applyAlignment="1">
      <alignment horizontal="right"/>
    </xf>
    <xf numFmtId="4" fontId="23" fillId="0" borderId="15" xfId="0" applyNumberFormat="1" applyFont="1" applyBorder="1" applyAlignment="1">
      <alignment horizontal="center"/>
    </xf>
    <xf numFmtId="4" fontId="22" fillId="0" borderId="15" xfId="0" applyNumberFormat="1" applyFont="1" applyBorder="1"/>
    <xf numFmtId="4" fontId="22" fillId="0" borderId="15" xfId="0" applyNumberFormat="1" applyFont="1" applyBorder="1" applyAlignment="1">
      <alignment horizontal="right"/>
    </xf>
    <xf numFmtId="4" fontId="22" fillId="0" borderId="16" xfId="0" applyNumberFormat="1" applyFont="1" applyBorder="1"/>
    <xf numFmtId="169" fontId="22" fillId="0" borderId="16" xfId="0" applyNumberFormat="1" applyFont="1" applyBorder="1"/>
    <xf numFmtId="4" fontId="22" fillId="0" borderId="16" xfId="0" applyNumberFormat="1" applyFont="1" applyBorder="1" applyAlignment="1">
      <alignment horizontal="right"/>
    </xf>
    <xf numFmtId="4" fontId="22" fillId="2" borderId="11" xfId="0" applyNumberFormat="1" applyFont="1" applyFill="1" applyBorder="1"/>
    <xf numFmtId="168" fontId="22" fillId="2" borderId="11" xfId="0" applyNumberFormat="1" applyFont="1" applyFill="1" applyBorder="1"/>
    <xf numFmtId="174" fontId="22" fillId="0" borderId="0" xfId="0" applyNumberFormat="1" applyFont="1"/>
    <xf numFmtId="174" fontId="22" fillId="0" borderId="5" xfId="0" applyNumberFormat="1" applyFont="1" applyBorder="1"/>
    <xf numFmtId="174" fontId="22" fillId="0" borderId="11" xfId="0" applyNumberFormat="1" applyFont="1" applyBorder="1"/>
    <xf numFmtId="174" fontId="22" fillId="0" borderId="6" xfId="0" applyNumberFormat="1" applyFont="1" applyBorder="1"/>
    <xf numFmtId="174" fontId="22" fillId="2" borderId="11" xfId="0" applyNumberFormat="1" applyFont="1" applyFill="1" applyBorder="1"/>
    <xf numFmtId="175" fontId="22" fillId="0" borderId="5" xfId="0" applyNumberFormat="1" applyFont="1" applyBorder="1"/>
    <xf numFmtId="175" fontId="22" fillId="0" borderId="11" xfId="0" applyNumberFormat="1" applyFont="1" applyBorder="1"/>
    <xf numFmtId="175" fontId="22" fillId="0" borderId="6" xfId="0" applyNumberFormat="1" applyFont="1" applyBorder="1"/>
    <xf numFmtId="175" fontId="22" fillId="0" borderId="0" xfId="0" applyNumberFormat="1" applyFont="1"/>
    <xf numFmtId="175" fontId="23" fillId="0" borderId="2" xfId="0" applyNumberFormat="1" applyFont="1" applyBorder="1" applyAlignment="1">
      <alignment horizontal="center"/>
    </xf>
    <xf numFmtId="175" fontId="22" fillId="0" borderId="14" xfId="0" applyNumberFormat="1" applyFont="1" applyBorder="1"/>
    <xf numFmtId="175" fontId="22" fillId="0" borderId="15" xfId="0" applyNumberFormat="1" applyFont="1" applyBorder="1"/>
    <xf numFmtId="4" fontId="23" fillId="0" borderId="24" xfId="0" applyNumberFormat="1" applyFont="1" applyBorder="1" applyAlignment="1">
      <alignment horizontal="left" vertical="top"/>
    </xf>
    <xf numFmtId="9" fontId="22" fillId="0" borderId="0" xfId="20" applyFont="1" applyAlignment="1">
      <alignment horizontal="right"/>
    </xf>
    <xf numFmtId="4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3" fillId="0" borderId="28" xfId="2" quotePrefix="1" applyNumberFormat="1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43" fontId="28" fillId="0" borderId="14" xfId="6" applyFont="1" applyBorder="1" applyAlignment="1">
      <alignment vertical="center"/>
    </xf>
    <xf numFmtId="14" fontId="14" fillId="0" borderId="14" xfId="6" applyNumberFormat="1" applyFont="1" applyBorder="1" applyAlignment="1">
      <alignment vertical="center"/>
    </xf>
    <xf numFmtId="43" fontId="14" fillId="0" borderId="0" xfId="6" applyFont="1" applyAlignment="1">
      <alignment vertical="center"/>
    </xf>
    <xf numFmtId="43" fontId="28" fillId="0" borderId="15" xfId="6" applyFont="1" applyBorder="1" applyAlignment="1">
      <alignment vertical="center"/>
    </xf>
    <xf numFmtId="14" fontId="14" fillId="0" borderId="15" xfId="6" applyNumberFormat="1" applyFont="1" applyBorder="1" applyAlignment="1">
      <alignment vertical="center"/>
    </xf>
    <xf numFmtId="43" fontId="28" fillId="0" borderId="15" xfId="6" applyFont="1" applyFill="1" applyBorder="1" applyAlignment="1">
      <alignment vertical="center"/>
    </xf>
    <xf numFmtId="43" fontId="28" fillId="2" borderId="15" xfId="6" applyFont="1" applyFill="1" applyBorder="1" applyAlignment="1">
      <alignment vertical="center"/>
    </xf>
    <xf numFmtId="43" fontId="15" fillId="0" borderId="0" xfId="6" applyFont="1" applyAlignment="1">
      <alignment horizontal="left" vertical="center"/>
    </xf>
    <xf numFmtId="43" fontId="14" fillId="0" borderId="15" xfId="6" applyFont="1" applyBorder="1"/>
    <xf numFmtId="43" fontId="15" fillId="0" borderId="0" xfId="6" applyFont="1" applyAlignment="1">
      <alignment horizontal="center" vertical="center"/>
    </xf>
    <xf numFmtId="43" fontId="15" fillId="0" borderId="0" xfId="6" applyFont="1" applyAlignment="1">
      <alignment horizontal="center"/>
    </xf>
    <xf numFmtId="43" fontId="28" fillId="0" borderId="15" xfId="6" applyFont="1" applyBorder="1" applyAlignment="1">
      <alignment horizontal="right"/>
    </xf>
    <xf numFmtId="43" fontId="28" fillId="0" borderId="16" xfId="6" applyFont="1" applyBorder="1" applyAlignment="1">
      <alignment vertical="center"/>
    </xf>
    <xf numFmtId="14" fontId="14" fillId="0" borderId="16" xfId="6" applyNumberFormat="1" applyFont="1" applyBorder="1" applyAlignment="1">
      <alignment vertical="center"/>
    </xf>
    <xf numFmtId="43" fontId="28" fillId="0" borderId="16" xfId="6" applyFont="1" applyBorder="1" applyAlignment="1">
      <alignment horizontal="right"/>
    </xf>
    <xf numFmtId="14" fontId="14" fillId="0" borderId="20" xfId="15" applyNumberFormat="1" applyFont="1" applyBorder="1"/>
    <xf numFmtId="43" fontId="14" fillId="0" borderId="15" xfId="6" applyFont="1" applyBorder="1" applyAlignment="1">
      <alignment horizontal="center"/>
    </xf>
    <xf numFmtId="0" fontId="14" fillId="0" borderId="0" xfId="15" applyFont="1" applyAlignment="1">
      <alignment horizontal="center" vertical="center"/>
    </xf>
    <xf numFmtId="0" fontId="0" fillId="0" borderId="34" xfId="0" applyBorder="1" applyAlignment="1">
      <alignment vertical="top" wrapText="1"/>
    </xf>
    <xf numFmtId="0" fontId="0" fillId="0" borderId="35" xfId="0" applyBorder="1" applyAlignment="1">
      <alignment horizontal="center" vertical="top" wrapText="1"/>
    </xf>
    <xf numFmtId="4" fontId="23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/>
    </xf>
    <xf numFmtId="167" fontId="30" fillId="0" borderId="0" xfId="0" applyNumberFormat="1" applyFont="1"/>
    <xf numFmtId="4" fontId="34" fillId="0" borderId="5" xfId="0" applyNumberFormat="1" applyFont="1" applyBorder="1" applyAlignment="1">
      <alignment horizontal="center" vertical="center"/>
    </xf>
    <xf numFmtId="4" fontId="34" fillId="0" borderId="11" xfId="0" applyNumberFormat="1" applyFont="1" applyBorder="1" applyAlignment="1">
      <alignment horizontal="center" vertical="center"/>
    </xf>
    <xf numFmtId="4" fontId="34" fillId="0" borderId="18" xfId="0" applyNumberFormat="1" applyFont="1" applyBorder="1" applyAlignment="1">
      <alignment horizontal="center" vertical="center"/>
    </xf>
    <xf numFmtId="43" fontId="22" fillId="0" borderId="14" xfId="3" applyFont="1" applyBorder="1" applyAlignment="1">
      <alignment horizontal="center" vertical="center"/>
    </xf>
    <xf numFmtId="43" fontId="22" fillId="0" borderId="15" xfId="3" applyFont="1" applyBorder="1" applyAlignment="1">
      <alignment horizontal="center" vertical="center"/>
    </xf>
    <xf numFmtId="43" fontId="22" fillId="0" borderId="16" xfId="3" applyFont="1" applyBorder="1" applyAlignment="1">
      <alignment horizontal="center" vertical="center"/>
    </xf>
    <xf numFmtId="4" fontId="34" fillId="0" borderId="11" xfId="0" applyNumberFormat="1" applyFont="1" applyBorder="1" applyAlignment="1">
      <alignment horizontal="left" vertical="center"/>
    </xf>
    <xf numFmtId="43" fontId="30" fillId="0" borderId="0" xfId="3" applyFont="1"/>
    <xf numFmtId="43" fontId="30" fillId="0" borderId="0" xfId="3" applyFont="1" applyAlignment="1">
      <alignment horizontal="centerContinuous"/>
    </xf>
    <xf numFmtId="43" fontId="23" fillId="0" borderId="2" xfId="3" applyFont="1" applyBorder="1" applyAlignment="1">
      <alignment horizontal="center"/>
    </xf>
    <xf numFmtId="43" fontId="34" fillId="0" borderId="11" xfId="3" applyFont="1" applyBorder="1" applyAlignment="1">
      <alignment horizontal="center" vertical="center"/>
    </xf>
    <xf numFmtId="43" fontId="22" fillId="0" borderId="6" xfId="3" applyFont="1" applyBorder="1"/>
    <xf numFmtId="169" fontId="22" fillId="0" borderId="18" xfId="0" applyNumberFormat="1" applyFont="1" applyBorder="1"/>
    <xf numFmtId="4" fontId="34" fillId="0" borderId="5" xfId="0" applyNumberFormat="1" applyFont="1" applyBorder="1" applyAlignment="1">
      <alignment horizontal="left" vertical="center"/>
    </xf>
    <xf numFmtId="43" fontId="34" fillId="0" borderId="5" xfId="3" applyFont="1" applyBorder="1" applyAlignment="1">
      <alignment horizontal="center" vertical="center"/>
    </xf>
    <xf numFmtId="4" fontId="34" fillId="0" borderId="18" xfId="0" applyNumberFormat="1" applyFont="1" applyBorder="1" applyAlignment="1">
      <alignment horizontal="left" vertical="center"/>
    </xf>
    <xf numFmtId="43" fontId="34" fillId="0" borderId="18" xfId="3" applyFont="1" applyBorder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4" fontId="23" fillId="0" borderId="2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22" fillId="0" borderId="14" xfId="0" applyNumberFormat="1" applyFont="1" applyBorder="1" applyAlignment="1">
      <alignment horizontal="center" vertical="center"/>
    </xf>
    <xf numFmtId="4" fontId="22" fillId="0" borderId="16" xfId="0" applyNumberFormat="1" applyFont="1" applyBorder="1" applyAlignment="1">
      <alignment horizontal="center" vertical="center"/>
    </xf>
    <xf numFmtId="169" fontId="22" fillId="0" borderId="14" xfId="0" applyNumberFormat="1" applyFont="1" applyBorder="1"/>
    <xf numFmtId="0" fontId="14" fillId="3" borderId="15" xfId="15" applyFont="1" applyFill="1" applyBorder="1" applyAlignment="1">
      <alignment horizontal="center"/>
    </xf>
    <xf numFmtId="43" fontId="14" fillId="3" borderId="15" xfId="3" applyFont="1" applyFill="1" applyBorder="1" applyAlignment="1">
      <alignment vertical="center"/>
    </xf>
    <xf numFmtId="43" fontId="14" fillId="3" borderId="15" xfId="3" applyFont="1" applyFill="1" applyBorder="1" applyAlignment="1">
      <alignment horizontal="center" vertical="center"/>
    </xf>
    <xf numFmtId="43" fontId="22" fillId="3" borderId="15" xfId="3" applyFont="1" applyFill="1" applyBorder="1" applyAlignment="1">
      <alignment vertical="center"/>
    </xf>
    <xf numFmtId="43" fontId="22" fillId="0" borderId="0" xfId="3" applyFont="1" applyBorder="1" applyAlignment="1">
      <alignment vertical="center"/>
    </xf>
    <xf numFmtId="43" fontId="22" fillId="0" borderId="14" xfId="3" applyFont="1" applyBorder="1" applyAlignment="1">
      <alignment vertical="center"/>
    </xf>
    <xf numFmtId="43" fontId="14" fillId="0" borderId="14" xfId="6" applyFont="1" applyFill="1" applyBorder="1" applyAlignment="1">
      <alignment horizontal="center"/>
    </xf>
    <xf numFmtId="43" fontId="14" fillId="0" borderId="15" xfId="6" applyFont="1" applyFill="1" applyBorder="1" applyAlignment="1">
      <alignment horizontal="center"/>
    </xf>
    <xf numFmtId="43" fontId="14" fillId="3" borderId="16" xfId="3" applyFont="1" applyFill="1" applyBorder="1" applyAlignment="1">
      <alignment vertical="center"/>
    </xf>
    <xf numFmtId="43" fontId="22" fillId="2" borderId="15" xfId="3" applyFont="1" applyFill="1" applyBorder="1"/>
    <xf numFmtId="174" fontId="4" fillId="0" borderId="0" xfId="0" applyNumberFormat="1" applyFont="1"/>
    <xf numFmtId="177" fontId="4" fillId="0" borderId="0" xfId="0" applyNumberFormat="1" applyFont="1"/>
    <xf numFmtId="4" fontId="22" fillId="0" borderId="5" xfId="0" applyNumberFormat="1" applyFont="1" applyBorder="1" applyAlignment="1">
      <alignment horizontal="center" vertical="center"/>
    </xf>
    <xf numFmtId="4" fontId="22" fillId="0" borderId="11" xfId="0" applyNumberFormat="1" applyFont="1" applyBorder="1" applyAlignment="1">
      <alignment horizontal="center" vertical="center"/>
    </xf>
    <xf numFmtId="4" fontId="22" fillId="0" borderId="18" xfId="0" applyNumberFormat="1" applyFont="1" applyBorder="1" applyAlignment="1">
      <alignment horizontal="center" vertical="center"/>
    </xf>
    <xf numFmtId="4" fontId="29" fillId="0" borderId="0" xfId="0" applyNumberFormat="1" applyFont="1"/>
    <xf numFmtId="43" fontId="22" fillId="0" borderId="15" xfId="3" applyFont="1" applyFill="1" applyBorder="1"/>
    <xf numFmtId="168" fontId="4" fillId="0" borderId="0" xfId="0" applyNumberFormat="1" applyFont="1"/>
    <xf numFmtId="4" fontId="4" fillId="2" borderId="0" xfId="0" applyNumberFormat="1" applyFont="1" applyFill="1"/>
    <xf numFmtId="43" fontId="14" fillId="0" borderId="0" xfId="3" applyFont="1" applyAlignment="1">
      <alignment horizontal="center" vertical="center"/>
    </xf>
    <xf numFmtId="43" fontId="14" fillId="0" borderId="0" xfId="6" applyFont="1" applyFill="1"/>
    <xf numFmtId="0" fontId="14" fillId="0" borderId="14" xfId="15" applyFont="1" applyBorder="1" applyAlignment="1">
      <alignment horizontal="center"/>
    </xf>
    <xf numFmtId="43" fontId="14" fillId="0" borderId="14" xfId="3" applyFont="1" applyFill="1" applyBorder="1" applyAlignment="1">
      <alignment vertical="center"/>
    </xf>
    <xf numFmtId="43" fontId="15" fillId="0" borderId="0" xfId="3" applyFont="1" applyFill="1"/>
    <xf numFmtId="43" fontId="14" fillId="0" borderId="0" xfId="3" applyFont="1" applyFill="1" applyBorder="1"/>
    <xf numFmtId="43" fontId="22" fillId="0" borderId="0" xfId="3" applyFont="1" applyFill="1" applyBorder="1" applyAlignment="1">
      <alignment vertical="center"/>
    </xf>
    <xf numFmtId="43" fontId="14" fillId="0" borderId="0" xfId="3" applyFont="1" applyFill="1" applyBorder="1" applyAlignment="1">
      <alignment vertical="center"/>
    </xf>
    <xf numFmtId="43" fontId="14" fillId="0" borderId="0" xfId="3" applyFont="1" applyFill="1" applyBorder="1" applyAlignment="1">
      <alignment horizontal="center" vertical="center"/>
    </xf>
    <xf numFmtId="165" fontId="14" fillId="0" borderId="0" xfId="12" applyFont="1" applyFill="1"/>
    <xf numFmtId="43" fontId="14" fillId="0" borderId="0" xfId="6" applyFont="1" applyBorder="1" applyAlignment="1">
      <alignment vertical="center"/>
    </xf>
    <xf numFmtId="43" fontId="15" fillId="0" borderId="0" xfId="3" applyFont="1"/>
    <xf numFmtId="4" fontId="22" fillId="0" borderId="14" xfId="0" applyNumberFormat="1" applyFont="1" applyBorder="1" applyAlignment="1">
      <alignment horizontal="center"/>
    </xf>
    <xf numFmtId="4" fontId="22" fillId="0" borderId="16" xfId="0" applyNumberFormat="1" applyFont="1" applyBorder="1" applyAlignment="1">
      <alignment horizontal="center"/>
    </xf>
    <xf numFmtId="43" fontId="4" fillId="0" borderId="0" xfId="3" applyFont="1"/>
    <xf numFmtId="43" fontId="0" fillId="0" borderId="0" xfId="3" applyFont="1"/>
    <xf numFmtId="43" fontId="22" fillId="0" borderId="14" xfId="3" applyFont="1" applyFill="1" applyBorder="1"/>
    <xf numFmtId="43" fontId="22" fillId="0" borderId="16" xfId="3" applyFont="1" applyFill="1" applyBorder="1"/>
    <xf numFmtId="43" fontId="22" fillId="0" borderId="0" xfId="3" applyFont="1" applyAlignment="1">
      <alignment horizontal="centerContinuous"/>
    </xf>
    <xf numFmtId="4" fontId="31" fillId="0" borderId="24" xfId="0" applyNumberFormat="1" applyFont="1" applyBorder="1" applyAlignment="1">
      <alignment vertical="top"/>
    </xf>
    <xf numFmtId="4" fontId="22" fillId="0" borderId="0" xfId="0" applyNumberFormat="1" applyFont="1" applyAlignment="1">
      <alignment vertical="top"/>
    </xf>
    <xf numFmtId="0" fontId="22" fillId="0" borderId="0" xfId="0" applyFont="1" applyAlignment="1">
      <alignment vertical="top"/>
    </xf>
    <xf numFmtId="43" fontId="22" fillId="0" borderId="14" xfId="9" applyFont="1" applyBorder="1" applyAlignment="1">
      <alignment horizontal="left" vertical="center"/>
    </xf>
    <xf numFmtId="43" fontId="14" fillId="0" borderId="6" xfId="3" applyFont="1" applyFill="1" applyBorder="1" applyAlignment="1">
      <alignment vertical="center"/>
    </xf>
    <xf numFmtId="43" fontId="22" fillId="0" borderId="11" xfId="9" applyFont="1" applyBorder="1" applyAlignment="1">
      <alignment horizontal="left" vertical="center"/>
    </xf>
    <xf numFmtId="4" fontId="30" fillId="4" borderId="0" xfId="0" applyNumberFormat="1" applyFont="1" applyFill="1"/>
    <xf numFmtId="43" fontId="34" fillId="0" borderId="11" xfId="3" applyFont="1" applyFill="1" applyBorder="1" applyAlignment="1">
      <alignment horizontal="center" vertical="center"/>
    </xf>
    <xf numFmtId="4" fontId="34" fillId="0" borderId="12" xfId="0" applyNumberFormat="1" applyFont="1" applyBorder="1" applyAlignment="1">
      <alignment horizontal="center" vertical="center"/>
    </xf>
    <xf numFmtId="43" fontId="34" fillId="0" borderId="20" xfId="3" applyFont="1" applyFill="1" applyBorder="1" applyAlignment="1">
      <alignment horizontal="center" vertical="center"/>
    </xf>
    <xf numFmtId="4" fontId="30" fillId="0" borderId="0" xfId="0" applyNumberFormat="1" applyFont="1" applyAlignment="1">
      <alignment vertical="center"/>
    </xf>
    <xf numFmtId="43" fontId="34" fillId="0" borderId="0" xfId="3" applyFont="1"/>
    <xf numFmtId="178" fontId="34" fillId="0" borderId="0" xfId="3" applyNumberFormat="1" applyFont="1"/>
    <xf numFmtId="4" fontId="26" fillId="0" borderId="0" xfId="0" applyNumberFormat="1" applyFont="1" applyAlignment="1">
      <alignment horizontal="center" vertical="center"/>
    </xf>
    <xf numFmtId="12" fontId="4" fillId="0" borderId="0" xfId="0" applyNumberFormat="1" applyFont="1"/>
    <xf numFmtId="4" fontId="22" fillId="0" borderId="15" xfId="0" applyNumberFormat="1" applyFont="1" applyBorder="1" applyAlignment="1">
      <alignment horizontal="center" vertical="center"/>
    </xf>
    <xf numFmtId="4" fontId="6" fillId="0" borderId="0" xfId="0" applyNumberFormat="1" applyFont="1"/>
    <xf numFmtId="4" fontId="6" fillId="0" borderId="0" xfId="0" applyNumberFormat="1" applyFont="1" applyAlignment="1">
      <alignment horizontal="center" vertical="center"/>
    </xf>
    <xf numFmtId="174" fontId="6" fillId="0" borderId="0" xfId="0" applyNumberFormat="1" applyFont="1" applyAlignment="1">
      <alignment horizontal="center"/>
    </xf>
    <xf numFmtId="174" fontId="0" fillId="0" borderId="0" xfId="0" applyNumberFormat="1"/>
    <xf numFmtId="169" fontId="22" fillId="0" borderId="15" xfId="0" applyNumberFormat="1" applyFont="1" applyBorder="1"/>
    <xf numFmtId="175" fontId="22" fillId="0" borderId="16" xfId="0" applyNumberFormat="1" applyFont="1" applyBorder="1"/>
    <xf numFmtId="43" fontId="22" fillId="0" borderId="15" xfId="3" applyFont="1" applyFill="1" applyBorder="1" applyAlignment="1">
      <alignment horizontal="center" vertical="center"/>
    </xf>
    <xf numFmtId="169" fontId="22" fillId="2" borderId="11" xfId="0" applyNumberFormat="1" applyFont="1" applyFill="1" applyBorder="1"/>
    <xf numFmtId="9" fontId="4" fillId="0" borderId="0" xfId="20" applyFont="1"/>
    <xf numFmtId="179" fontId="22" fillId="2" borderId="14" xfId="3" applyNumberFormat="1" applyFont="1" applyFill="1" applyBorder="1"/>
    <xf numFmtId="179" fontId="22" fillId="2" borderId="15" xfId="3" applyNumberFormat="1" applyFont="1" applyFill="1" applyBorder="1"/>
    <xf numFmtId="179" fontId="4" fillId="0" borderId="0" xfId="3" applyNumberFormat="1" applyFont="1"/>
    <xf numFmtId="179" fontId="22" fillId="2" borderId="16" xfId="3" applyNumberFormat="1" applyFont="1" applyFill="1" applyBorder="1"/>
    <xf numFmtId="4" fontId="23" fillId="0" borderId="24" xfId="0" applyNumberFormat="1" applyFont="1" applyBorder="1" applyAlignment="1">
      <alignment horizontal="center" vertical="center"/>
    </xf>
    <xf numFmtId="4" fontId="22" fillId="0" borderId="0" xfId="0" applyNumberFormat="1" applyFont="1" applyAlignment="1">
      <alignment horizontal="left" vertical="center"/>
    </xf>
    <xf numFmtId="4" fontId="23" fillId="0" borderId="0" xfId="0" applyNumberFormat="1" applyFont="1" applyAlignment="1">
      <alignment horizontal="right" vertical="center"/>
    </xf>
    <xf numFmtId="4" fontId="23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/>
    </xf>
    <xf numFmtId="174" fontId="22" fillId="0" borderId="0" xfId="0" applyNumberFormat="1" applyFont="1" applyAlignment="1">
      <alignment horizontal="center" vertical="center"/>
    </xf>
    <xf numFmtId="177" fontId="30" fillId="0" borderId="0" xfId="0" applyNumberFormat="1" applyFont="1"/>
    <xf numFmtId="177" fontId="30" fillId="0" borderId="0" xfId="0" applyNumberFormat="1" applyFont="1" applyAlignment="1">
      <alignment horizontal="centerContinuous"/>
    </xf>
    <xf numFmtId="177" fontId="22" fillId="0" borderId="0" xfId="0" applyNumberFormat="1" applyFont="1"/>
    <xf numFmtId="177" fontId="22" fillId="0" borderId="0" xfId="0" applyNumberFormat="1" applyFont="1" applyAlignment="1">
      <alignment horizontal="left" vertical="center"/>
    </xf>
    <xf numFmtId="177" fontId="22" fillId="0" borderId="0" xfId="0" applyNumberFormat="1" applyFont="1" applyAlignment="1">
      <alignment horizontal="center" vertical="center"/>
    </xf>
    <xf numFmtId="177" fontId="23" fillId="0" borderId="2" xfId="0" applyNumberFormat="1" applyFont="1" applyBorder="1" applyAlignment="1">
      <alignment horizontal="center"/>
    </xf>
    <xf numFmtId="177" fontId="22" fillId="0" borderId="6" xfId="0" applyNumberFormat="1" applyFont="1" applyBorder="1"/>
    <xf numFmtId="177" fontId="0" fillId="0" borderId="0" xfId="0" applyNumberFormat="1"/>
    <xf numFmtId="175" fontId="23" fillId="0" borderId="2" xfId="0" applyNumberFormat="1" applyFont="1" applyBorder="1" applyAlignment="1">
      <alignment horizontal="center" vertical="center"/>
    </xf>
    <xf numFmtId="4" fontId="22" fillId="0" borderId="12" xfId="0" applyNumberFormat="1" applyFont="1" applyBorder="1" applyAlignment="1">
      <alignment horizontal="right"/>
    </xf>
    <xf numFmtId="43" fontId="14" fillId="0" borderId="36" xfId="3" applyFont="1" applyBorder="1" applyAlignment="1">
      <alignment horizontal="center" vertical="center"/>
    </xf>
    <xf numFmtId="43" fontId="36" fillId="0" borderId="15" xfId="3" applyFont="1" applyBorder="1" applyAlignment="1">
      <alignment vertical="center"/>
    </xf>
    <xf numFmtId="43" fontId="15" fillId="0" borderId="0" xfId="3" applyFont="1" applyFill="1" applyAlignment="1">
      <alignment horizontal="center"/>
    </xf>
    <xf numFmtId="43" fontId="14" fillId="0" borderId="0" xfId="3" applyFont="1" applyFill="1" applyBorder="1" applyAlignment="1">
      <alignment horizontal="center" vertical="center" wrapText="1"/>
    </xf>
    <xf numFmtId="43" fontId="14" fillId="0" borderId="0" xfId="3" applyFont="1" applyFill="1"/>
    <xf numFmtId="43" fontId="15" fillId="0" borderId="0" xfId="3" applyFont="1" applyFill="1" applyBorder="1" applyAlignment="1">
      <alignment horizontal="center"/>
    </xf>
    <xf numFmtId="43" fontId="36" fillId="0" borderId="0" xfId="3" applyFont="1" applyFill="1" applyBorder="1" applyAlignment="1">
      <alignment vertical="center"/>
    </xf>
    <xf numFmtId="4" fontId="30" fillId="0" borderId="4" xfId="0" applyNumberFormat="1" applyFont="1" applyBorder="1"/>
    <xf numFmtId="4" fontId="30" fillId="0" borderId="20" xfId="0" applyNumberFormat="1" applyFont="1" applyBorder="1"/>
    <xf numFmtId="4" fontId="23" fillId="0" borderId="24" xfId="0" applyNumberFormat="1" applyFont="1" applyBorder="1" applyAlignment="1">
      <alignment horizontal="left" vertical="center"/>
    </xf>
    <xf numFmtId="4" fontId="22" fillId="0" borderId="20" xfId="0" applyNumberFormat="1" applyFont="1" applyBorder="1"/>
    <xf numFmtId="43" fontId="22" fillId="0" borderId="0" xfId="3" applyFont="1" applyFill="1" applyBorder="1" applyAlignment="1">
      <alignment horizontal="center" vertical="center"/>
    </xf>
    <xf numFmtId="43" fontId="37" fillId="0" borderId="0" xfId="3" applyFont="1" applyFill="1" applyBorder="1" applyAlignment="1">
      <alignment horizontal="center" vertical="center" shrinkToFit="1"/>
    </xf>
    <xf numFmtId="179" fontId="14" fillId="0" borderId="6" xfId="3" applyNumberFormat="1" applyFont="1" applyBorder="1"/>
    <xf numFmtId="43" fontId="14" fillId="0" borderId="6" xfId="3" applyFont="1" applyBorder="1"/>
    <xf numFmtId="43" fontId="36" fillId="0" borderId="16" xfId="3" applyFont="1" applyBorder="1" applyAlignment="1">
      <alignment vertical="center"/>
    </xf>
    <xf numFmtId="43" fontId="22" fillId="0" borderId="8" xfId="3" applyFont="1" applyFill="1" applyBorder="1" applyAlignment="1">
      <alignment horizontal="center" vertical="center"/>
    </xf>
    <xf numFmtId="43" fontId="36" fillId="0" borderId="8" xfId="3" applyFont="1" applyFill="1" applyBorder="1" applyAlignment="1">
      <alignment vertical="center"/>
    </xf>
    <xf numFmtId="43" fontId="14" fillId="0" borderId="8" xfId="3" applyFont="1" applyBorder="1"/>
    <xf numFmtId="43" fontId="36" fillId="0" borderId="15" xfId="3" applyFont="1" applyFill="1" applyBorder="1" applyAlignment="1">
      <alignment vertical="center"/>
    </xf>
    <xf numFmtId="43" fontId="36" fillId="0" borderId="16" xfId="3" applyFont="1" applyFill="1" applyBorder="1" applyAlignment="1">
      <alignment vertical="center"/>
    </xf>
    <xf numFmtId="43" fontId="14" fillId="0" borderId="2" xfId="3" applyFont="1" applyFill="1" applyBorder="1" applyAlignment="1">
      <alignment vertical="center"/>
    </xf>
    <xf numFmtId="177" fontId="22" fillId="0" borderId="14" xfId="0" applyNumberFormat="1" applyFont="1" applyBorder="1"/>
    <xf numFmtId="177" fontId="22" fillId="0" borderId="16" xfId="0" applyNumberFormat="1" applyFont="1" applyBorder="1"/>
    <xf numFmtId="177" fontId="22" fillId="0" borderId="15" xfId="0" applyNumberFormat="1" applyFont="1" applyBorder="1"/>
    <xf numFmtId="43" fontId="22" fillId="0" borderId="14" xfId="3" applyFont="1" applyFill="1" applyBorder="1" applyAlignment="1">
      <alignment horizontal="right"/>
    </xf>
    <xf numFmtId="43" fontId="22" fillId="0" borderId="15" xfId="3" applyFont="1" applyFill="1" applyBorder="1" applyAlignment="1">
      <alignment horizontal="right"/>
    </xf>
    <xf numFmtId="43" fontId="22" fillId="0" borderId="16" xfId="3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4" fontId="22" fillId="0" borderId="0" xfId="0" applyNumberFormat="1" applyFont="1" applyAlignment="1">
      <alignment horizontal="right" vertical="center"/>
    </xf>
    <xf numFmtId="4" fontId="26" fillId="0" borderId="0" xfId="0" applyNumberFormat="1" applyFont="1" applyAlignment="1">
      <alignment horizontal="right" vertical="center"/>
    </xf>
    <xf numFmtId="166" fontId="26" fillId="0" borderId="0" xfId="0" applyNumberFormat="1" applyFont="1" applyAlignment="1">
      <alignment horizontal="right" vertical="center"/>
    </xf>
    <xf numFmtId="4" fontId="31" fillId="0" borderId="0" xfId="0" applyNumberFormat="1" applyFont="1" applyAlignment="1">
      <alignment horizontal="centerContinuous" vertical="center"/>
    </xf>
    <xf numFmtId="4" fontId="30" fillId="0" borderId="0" xfId="0" applyNumberFormat="1" applyFont="1" applyAlignment="1">
      <alignment horizontal="centerContinuous" vertical="center"/>
    </xf>
    <xf numFmtId="3" fontId="22" fillId="0" borderId="0" xfId="0" applyNumberFormat="1" applyFont="1" applyAlignment="1">
      <alignment horizontal="right" vertical="center"/>
    </xf>
    <xf numFmtId="174" fontId="22" fillId="0" borderId="0" xfId="0" applyNumberFormat="1" applyFont="1" applyAlignment="1">
      <alignment vertical="center"/>
    </xf>
    <xf numFmtId="179" fontId="22" fillId="0" borderId="14" xfId="3" applyNumberFormat="1" applyFont="1" applyFill="1" applyBorder="1"/>
    <xf numFmtId="179" fontId="22" fillId="0" borderId="15" xfId="3" applyNumberFormat="1" applyFont="1" applyFill="1" applyBorder="1"/>
    <xf numFmtId="179" fontId="22" fillId="0" borderId="16" xfId="3" applyNumberFormat="1" applyFont="1" applyFill="1" applyBorder="1"/>
    <xf numFmtId="4" fontId="29" fillId="0" borderId="3" xfId="0" applyNumberFormat="1" applyFont="1" applyBorder="1" applyAlignment="1">
      <alignment horizontal="right"/>
    </xf>
    <xf numFmtId="4" fontId="23" fillId="0" borderId="12" xfId="0" applyNumberFormat="1" applyFont="1" applyBorder="1" applyAlignment="1">
      <alignment horizontal="right"/>
    </xf>
    <xf numFmtId="4" fontId="23" fillId="0" borderId="9" xfId="0" applyNumberFormat="1" applyFont="1" applyBorder="1" applyAlignment="1">
      <alignment horizontal="right"/>
    </xf>
    <xf numFmtId="4" fontId="22" fillId="2" borderId="0" xfId="0" applyNumberFormat="1" applyFont="1" applyFill="1" applyAlignment="1">
      <alignment vertical="center"/>
    </xf>
    <xf numFmtId="0" fontId="0" fillId="0" borderId="15" xfId="0" applyBorder="1"/>
    <xf numFmtId="179" fontId="14" fillId="0" borderId="0" xfId="3" applyNumberFormat="1" applyFont="1" applyBorder="1"/>
    <xf numFmtId="43" fontId="15" fillId="0" borderId="5" xfId="3" applyFont="1" applyBorder="1" applyAlignment="1">
      <alignment horizontal="center" vertical="center" wrapText="1" shrinkToFit="1"/>
    </xf>
    <xf numFmtId="43" fontId="15" fillId="0" borderId="5" xfId="3" applyFont="1" applyBorder="1" applyAlignment="1">
      <alignment horizontal="center" vertical="center" shrinkToFit="1"/>
    </xf>
    <xf numFmtId="43" fontId="14" fillId="0" borderId="8" xfId="3" applyFont="1" applyFill="1" applyBorder="1" applyAlignment="1">
      <alignment vertical="center"/>
    </xf>
    <xf numFmtId="179" fontId="14" fillId="0" borderId="8" xfId="3" applyNumberFormat="1" applyFont="1" applyBorder="1"/>
    <xf numFmtId="4" fontId="23" fillId="0" borderId="3" xfId="0" applyNumberFormat="1" applyFont="1" applyBorder="1" applyAlignment="1">
      <alignment horizontal="center" vertical="center"/>
    </xf>
    <xf numFmtId="43" fontId="36" fillId="0" borderId="36" xfId="3" applyFont="1" applyBorder="1" applyAlignment="1">
      <alignment vertical="center"/>
    </xf>
    <xf numFmtId="43" fontId="36" fillId="0" borderId="36" xfId="3" applyFont="1" applyFill="1" applyBorder="1" applyAlignment="1">
      <alignment vertical="center"/>
    </xf>
    <xf numFmtId="43" fontId="14" fillId="0" borderId="14" xfId="3" applyFont="1" applyBorder="1"/>
    <xf numFmtId="43" fontId="14" fillId="0" borderId="20" xfId="3" applyFont="1" applyFill="1" applyBorder="1" applyAlignment="1">
      <alignment vertical="center"/>
    </xf>
    <xf numFmtId="180" fontId="14" fillId="0" borderId="0" xfId="3" applyNumberFormat="1" applyFont="1" applyFill="1" applyBorder="1" applyAlignment="1">
      <alignment vertical="center"/>
    </xf>
    <xf numFmtId="181" fontId="15" fillId="0" borderId="0" xfId="3" applyNumberFormat="1" applyFont="1" applyFill="1" applyBorder="1" applyAlignment="1">
      <alignment horizontal="center"/>
    </xf>
    <xf numFmtId="181" fontId="14" fillId="0" borderId="0" xfId="3" applyNumberFormat="1" applyFont="1" applyFill="1" applyBorder="1" applyAlignment="1">
      <alignment horizontal="center" vertical="center" wrapText="1"/>
    </xf>
    <xf numFmtId="181" fontId="15" fillId="0" borderId="0" xfId="15" applyNumberFormat="1" applyFont="1"/>
    <xf numFmtId="181" fontId="14" fillId="0" borderId="0" xfId="3" applyNumberFormat="1" applyFont="1" applyFill="1" applyBorder="1"/>
    <xf numFmtId="181" fontId="14" fillId="0" borderId="0" xfId="3" applyNumberFormat="1" applyFont="1" applyFill="1" applyBorder="1" applyAlignment="1">
      <alignment vertical="center"/>
    </xf>
    <xf numFmtId="181" fontId="22" fillId="0" borderId="0" xfId="3" applyNumberFormat="1" applyFont="1" applyFill="1" applyBorder="1" applyAlignment="1">
      <alignment horizontal="center" vertical="center"/>
    </xf>
    <xf numFmtId="4" fontId="22" fillId="0" borderId="20" xfId="0" applyNumberFormat="1" applyFont="1" applyBorder="1" applyAlignment="1">
      <alignment horizontal="right"/>
    </xf>
    <xf numFmtId="4" fontId="23" fillId="0" borderId="20" xfId="0" applyNumberFormat="1" applyFont="1" applyBorder="1" applyAlignment="1">
      <alignment horizontal="center"/>
    </xf>
    <xf numFmtId="177" fontId="22" fillId="0" borderId="5" xfId="0" applyNumberFormat="1" applyFont="1" applyBorder="1"/>
    <xf numFmtId="177" fontId="22" fillId="0" borderId="11" xfId="0" applyNumberFormat="1" applyFont="1" applyBorder="1"/>
    <xf numFmtId="4" fontId="22" fillId="2" borderId="0" xfId="0" applyNumberFormat="1" applyFont="1" applyFill="1" applyAlignment="1">
      <alignment horizontal="left" vertical="center"/>
    </xf>
    <xf numFmtId="43" fontId="36" fillId="0" borderId="19" xfId="3" applyFont="1" applyFill="1" applyBorder="1" applyAlignment="1">
      <alignment vertical="center"/>
    </xf>
    <xf numFmtId="4" fontId="23" fillId="0" borderId="6" xfId="0" applyNumberFormat="1" applyFont="1" applyBorder="1" applyAlignment="1">
      <alignment horizontal="center" vertical="center"/>
    </xf>
    <xf numFmtId="4" fontId="22" fillId="0" borderId="14" xfId="0" applyNumberFormat="1" applyFont="1" applyBorder="1" applyAlignment="1">
      <alignment horizontal="left" vertical="center"/>
    </xf>
    <xf numFmtId="4" fontId="22" fillId="0" borderId="15" xfId="0" applyNumberFormat="1" applyFont="1" applyBorder="1" applyAlignment="1">
      <alignment horizontal="left" vertical="center"/>
    </xf>
    <xf numFmtId="4" fontId="22" fillId="0" borderId="16" xfId="0" applyNumberFormat="1" applyFont="1" applyBorder="1" applyAlignment="1">
      <alignment horizontal="left" vertical="center"/>
    </xf>
    <xf numFmtId="179" fontId="22" fillId="0" borderId="0" xfId="3" applyNumberFormat="1" applyFont="1"/>
    <xf numFmtId="179" fontId="22" fillId="0" borderId="0" xfId="3" applyNumberFormat="1" applyFont="1" applyAlignment="1">
      <alignment horizontal="centerContinuous"/>
    </xf>
    <xf numFmtId="179" fontId="22" fillId="0" borderId="14" xfId="3" applyNumberFormat="1" applyFont="1" applyBorder="1" applyAlignment="1">
      <alignment horizontal="center" vertical="center"/>
    </xf>
    <xf numFmtId="179" fontId="22" fillId="0" borderId="15" xfId="3" applyNumberFormat="1" applyFont="1" applyBorder="1" applyAlignment="1">
      <alignment horizontal="center" vertical="center"/>
    </xf>
    <xf numFmtId="179" fontId="22" fillId="0" borderId="16" xfId="3" applyNumberFormat="1" applyFont="1" applyBorder="1" applyAlignment="1">
      <alignment horizontal="center" vertical="center"/>
    </xf>
    <xf numFmtId="179" fontId="22" fillId="0" borderId="6" xfId="3" applyNumberFormat="1" applyFont="1" applyBorder="1"/>
    <xf numFmtId="179" fontId="0" fillId="0" borderId="0" xfId="3" applyNumberFormat="1" applyFont="1"/>
    <xf numFmtId="4" fontId="22" fillId="0" borderId="15" xfId="0" applyNumberFormat="1" applyFont="1" applyBorder="1" applyAlignment="1">
      <alignment horizontal="center"/>
    </xf>
    <xf numFmtId="4" fontId="22" fillId="0" borderId="14" xfId="0" applyNumberFormat="1" applyFont="1" applyBorder="1" applyAlignment="1">
      <alignment vertical="center"/>
    </xf>
    <xf numFmtId="4" fontId="22" fillId="0" borderId="15" xfId="0" applyNumberFormat="1" applyFont="1" applyBorder="1" applyAlignment="1">
      <alignment vertical="center"/>
    </xf>
    <xf numFmtId="43" fontId="14" fillId="0" borderId="16" xfId="3" applyFont="1" applyBorder="1" applyAlignment="1">
      <alignment horizontal="left" vertical="center"/>
    </xf>
    <xf numFmtId="4" fontId="22" fillId="0" borderId="16" xfId="0" applyNumberFormat="1" applyFont="1" applyBorder="1" applyAlignment="1">
      <alignment vertical="center"/>
    </xf>
    <xf numFmtId="179" fontId="22" fillId="0" borderId="14" xfId="3" applyNumberFormat="1" applyFont="1" applyBorder="1"/>
    <xf numFmtId="179" fontId="22" fillId="0" borderId="16" xfId="3" applyNumberFormat="1" applyFont="1" applyBorder="1"/>
    <xf numFmtId="4" fontId="23" fillId="0" borderId="1" xfId="0" applyNumberFormat="1" applyFont="1" applyBorder="1" applyAlignment="1">
      <alignment horizontal="center" vertical="center"/>
    </xf>
    <xf numFmtId="179" fontId="23" fillId="0" borderId="2" xfId="3" applyNumberFormat="1" applyFont="1" applyBorder="1" applyAlignment="1">
      <alignment horizontal="center" vertical="center"/>
    </xf>
    <xf numFmtId="4" fontId="23" fillId="0" borderId="0" xfId="0" applyNumberFormat="1" applyFont="1" applyAlignment="1">
      <alignment horizontal="left"/>
    </xf>
    <xf numFmtId="43" fontId="22" fillId="0" borderId="0" xfId="3" applyFont="1" applyAlignment="1">
      <alignment horizontal="left" vertical="center"/>
    </xf>
    <xf numFmtId="4" fontId="22" fillId="0" borderId="1" xfId="0" applyNumberFormat="1" applyFont="1" applyBorder="1" applyAlignment="1">
      <alignment horizontal="left"/>
    </xf>
    <xf numFmtId="4" fontId="23" fillId="0" borderId="6" xfId="0" applyNumberFormat="1" applyFont="1" applyBorder="1" applyAlignment="1">
      <alignment horizontal="right" vertical="center"/>
    </xf>
    <xf numFmtId="4" fontId="23" fillId="0" borderId="8" xfId="0" applyNumberFormat="1" applyFont="1" applyBorder="1" applyAlignment="1">
      <alignment horizontal="right" vertical="center"/>
    </xf>
    <xf numFmtId="43" fontId="23" fillId="0" borderId="9" xfId="3" applyFont="1" applyBorder="1" applyAlignment="1">
      <alignment horizontal="center" vertical="center"/>
    </xf>
    <xf numFmtId="43" fontId="22" fillId="0" borderId="12" xfId="3" applyFont="1" applyBorder="1" applyAlignment="1">
      <alignment horizontal="center" vertical="center"/>
    </xf>
    <xf numFmtId="43" fontId="23" fillId="0" borderId="12" xfId="3" applyFont="1" applyBorder="1" applyAlignment="1">
      <alignment horizontal="center" vertical="center"/>
    </xf>
    <xf numFmtId="43" fontId="29" fillId="0" borderId="10" xfId="3" applyFont="1" applyBorder="1" applyAlignment="1">
      <alignment horizontal="center" vertical="center"/>
    </xf>
    <xf numFmtId="43" fontId="22" fillId="2" borderId="0" xfId="3" applyFont="1" applyFill="1" applyAlignment="1">
      <alignment vertical="center"/>
    </xf>
    <xf numFmtId="43" fontId="23" fillId="0" borderId="2" xfId="3" applyFont="1" applyBorder="1" applyAlignment="1">
      <alignment horizontal="center" vertical="center"/>
    </xf>
    <xf numFmtId="43" fontId="23" fillId="0" borderId="3" xfId="3" applyFont="1" applyBorder="1" applyAlignment="1">
      <alignment horizontal="center" vertical="center"/>
    </xf>
    <xf numFmtId="43" fontId="22" fillId="0" borderId="14" xfId="3" applyFont="1" applyBorder="1" applyAlignment="1">
      <alignment horizontal="right"/>
    </xf>
    <xf numFmtId="43" fontId="22" fillId="0" borderId="16" xfId="3" applyFont="1" applyBorder="1" applyAlignment="1">
      <alignment horizontal="right"/>
    </xf>
    <xf numFmtId="181" fontId="22" fillId="0" borderId="0" xfId="3" applyNumberFormat="1" applyFont="1" applyAlignment="1">
      <alignment horizontal="right"/>
    </xf>
    <xf numFmtId="43" fontId="23" fillId="0" borderId="0" xfId="3" applyFont="1" applyAlignment="1">
      <alignment horizontal="right"/>
    </xf>
    <xf numFmtId="43" fontId="30" fillId="0" borderId="0" xfId="0" applyNumberFormat="1" applyFont="1"/>
    <xf numFmtId="4" fontId="22" fillId="0" borderId="15" xfId="0" applyNumberFormat="1" applyFont="1" applyBorder="1" applyAlignment="1">
      <alignment horizontal="left" vertical="center" wrapText="1"/>
    </xf>
    <xf numFmtId="179" fontId="22" fillId="2" borderId="15" xfId="3" applyNumberFormat="1" applyFont="1" applyFill="1" applyBorder="1" applyAlignment="1">
      <alignment vertical="center"/>
    </xf>
    <xf numFmtId="43" fontId="22" fillId="0" borderId="15" xfId="3" applyFont="1" applyBorder="1" applyAlignment="1">
      <alignment horizontal="right" vertical="center"/>
    </xf>
    <xf numFmtId="179" fontId="22" fillId="0" borderId="15" xfId="3" applyNumberFormat="1" applyFont="1" applyBorder="1"/>
    <xf numFmtId="182" fontId="22" fillId="0" borderId="14" xfId="0" applyNumberFormat="1" applyFont="1" applyBorder="1"/>
    <xf numFmtId="182" fontId="22" fillId="0" borderId="15" xfId="0" applyNumberFormat="1" applyFont="1" applyBorder="1" applyAlignment="1">
      <alignment vertical="center"/>
    </xf>
    <xf numFmtId="182" fontId="22" fillId="0" borderId="16" xfId="0" applyNumberFormat="1" applyFont="1" applyBorder="1"/>
    <xf numFmtId="9" fontId="22" fillId="0" borderId="0" xfId="20" applyFont="1" applyBorder="1" applyAlignment="1">
      <alignment horizontal="right"/>
    </xf>
    <xf numFmtId="43" fontId="23" fillId="0" borderId="9" xfId="3" applyFont="1" applyBorder="1" applyAlignment="1">
      <alignment horizontal="right"/>
    </xf>
    <xf numFmtId="43" fontId="14" fillId="0" borderId="16" xfId="3" applyFont="1" applyBorder="1" applyAlignment="1">
      <alignment horizontal="left" vertical="center" wrapText="1"/>
    </xf>
    <xf numFmtId="179" fontId="22" fillId="0" borderId="14" xfId="3" applyNumberFormat="1" applyFont="1" applyBorder="1" applyAlignment="1">
      <alignment vertical="center"/>
    </xf>
    <xf numFmtId="4" fontId="22" fillId="0" borderId="14" xfId="0" applyNumberFormat="1" applyFont="1" applyBorder="1" applyAlignment="1">
      <alignment horizontal="right" vertical="center"/>
    </xf>
    <xf numFmtId="179" fontId="22" fillId="0" borderId="15" xfId="3" applyNumberFormat="1" applyFont="1" applyBorder="1" applyAlignment="1">
      <alignment vertical="center"/>
    </xf>
    <xf numFmtId="4" fontId="22" fillId="0" borderId="15" xfId="0" applyNumberFormat="1" applyFont="1" applyBorder="1" applyAlignment="1">
      <alignment horizontal="right" vertical="center"/>
    </xf>
    <xf numFmtId="179" fontId="22" fillId="0" borderId="16" xfId="3" applyNumberFormat="1" applyFont="1" applyBorder="1" applyAlignment="1">
      <alignment vertical="center"/>
    </xf>
    <xf numFmtId="4" fontId="22" fillId="0" borderId="16" xfId="0" applyNumberFormat="1" applyFont="1" applyBorder="1" applyAlignment="1">
      <alignment horizontal="right" vertical="center"/>
    </xf>
    <xf numFmtId="182" fontId="22" fillId="0" borderId="14" xfId="0" applyNumberFormat="1" applyFont="1" applyBorder="1" applyAlignment="1">
      <alignment vertical="center"/>
    </xf>
    <xf numFmtId="182" fontId="22" fillId="0" borderId="16" xfId="0" applyNumberFormat="1" applyFont="1" applyBorder="1" applyAlignment="1">
      <alignment vertical="center"/>
    </xf>
    <xf numFmtId="0" fontId="22" fillId="0" borderId="0" xfId="0" applyFont="1" applyAlignment="1">
      <alignment horizontal="justify" vertical="top"/>
    </xf>
    <xf numFmtId="182" fontId="22" fillId="2" borderId="14" xfId="0" applyNumberFormat="1" applyFont="1" applyFill="1" applyBorder="1" applyAlignment="1">
      <alignment vertical="center"/>
    </xf>
    <xf numFmtId="182" fontId="22" fillId="2" borderId="15" xfId="0" applyNumberFormat="1" applyFont="1" applyFill="1" applyBorder="1" applyAlignment="1">
      <alignment vertical="center"/>
    </xf>
    <xf numFmtId="182" fontId="22" fillId="2" borderId="16" xfId="0" applyNumberFormat="1" applyFont="1" applyFill="1" applyBorder="1" applyAlignment="1">
      <alignment vertical="center"/>
    </xf>
    <xf numFmtId="179" fontId="14" fillId="0" borderId="0" xfId="3" applyNumberFormat="1" applyFont="1" applyFill="1" applyBorder="1"/>
    <xf numFmtId="43" fontId="14" fillId="0" borderId="19" xfId="3" applyFont="1" applyBorder="1"/>
    <xf numFmtId="179" fontId="22" fillId="0" borderId="14" xfId="3" applyNumberFormat="1" applyFont="1" applyBorder="1" applyAlignment="1">
      <alignment horizontal="center"/>
    </xf>
    <xf numFmtId="43" fontId="22" fillId="0" borderId="15" xfId="3" applyFont="1" applyBorder="1" applyAlignment="1">
      <alignment horizontal="center"/>
    </xf>
    <xf numFmtId="4" fontId="23" fillId="0" borderId="4" xfId="0" applyNumberFormat="1" applyFont="1" applyBorder="1" applyAlignment="1">
      <alignment horizontal="center" vertical="center"/>
    </xf>
    <xf numFmtId="4" fontId="23" fillId="0" borderId="6" xfId="0" applyNumberFormat="1" applyFont="1" applyBorder="1" applyAlignment="1">
      <alignment horizontal="center"/>
    </xf>
    <xf numFmtId="4" fontId="23" fillId="0" borderId="9" xfId="0" applyNumberFormat="1" applyFont="1" applyBorder="1" applyAlignment="1">
      <alignment horizontal="center"/>
    </xf>
    <xf numFmtId="4" fontId="23" fillId="0" borderId="6" xfId="0" applyNumberFormat="1" applyFont="1" applyBorder="1" applyAlignment="1">
      <alignment horizontal="left" vertical="center"/>
    </xf>
    <xf numFmtId="4" fontId="23" fillId="0" borderId="20" xfId="0" applyNumberFormat="1" applyFont="1" applyBorder="1" applyAlignment="1">
      <alignment horizontal="center" vertical="center"/>
    </xf>
    <xf numFmtId="4" fontId="23" fillId="0" borderId="12" xfId="0" applyNumberFormat="1" applyFont="1" applyBorder="1" applyAlignment="1">
      <alignment horizontal="center"/>
    </xf>
    <xf numFmtId="169" fontId="22" fillId="0" borderId="14" xfId="0" applyNumberFormat="1" applyFont="1" applyBorder="1" applyAlignment="1">
      <alignment vertical="center"/>
    </xf>
    <xf numFmtId="169" fontId="22" fillId="0" borderId="15" xfId="0" applyNumberFormat="1" applyFont="1" applyBorder="1" applyAlignment="1">
      <alignment vertical="center"/>
    </xf>
    <xf numFmtId="169" fontId="22" fillId="0" borderId="16" xfId="0" applyNumberFormat="1" applyFont="1" applyBorder="1" applyAlignment="1">
      <alignment vertical="center"/>
    </xf>
    <xf numFmtId="169" fontId="22" fillId="0" borderId="14" xfId="0" applyNumberFormat="1" applyFont="1" applyBorder="1" applyAlignment="1">
      <alignment horizontal="center" vertical="center"/>
    </xf>
    <xf numFmtId="169" fontId="22" fillId="0" borderId="15" xfId="0" applyNumberFormat="1" applyFont="1" applyBorder="1" applyAlignment="1">
      <alignment horizontal="center" vertical="center"/>
    </xf>
    <xf numFmtId="169" fontId="22" fillId="0" borderId="16" xfId="0" applyNumberFormat="1" applyFont="1" applyBorder="1" applyAlignment="1">
      <alignment horizontal="center" vertical="center"/>
    </xf>
    <xf numFmtId="176" fontId="22" fillId="0" borderId="14" xfId="0" applyNumberFormat="1" applyFont="1" applyBorder="1"/>
    <xf numFmtId="4" fontId="22" fillId="0" borderId="1" xfId="0" applyNumberFormat="1" applyFont="1" applyBorder="1" applyAlignment="1">
      <alignment horizontal="center" vertical="center"/>
    </xf>
    <xf numFmtId="4" fontId="23" fillId="0" borderId="2" xfId="0" applyNumberFormat="1" applyFont="1" applyBorder="1" applyAlignment="1">
      <alignment horizontal="left" vertical="center"/>
    </xf>
    <xf numFmtId="4" fontId="22" fillId="0" borderId="2" xfId="0" applyNumberFormat="1" applyFont="1" applyBorder="1"/>
    <xf numFmtId="168" fontId="22" fillId="0" borderId="2" xfId="0" applyNumberFormat="1" applyFont="1" applyBorder="1"/>
    <xf numFmtId="4" fontId="22" fillId="0" borderId="2" xfId="0" applyNumberFormat="1" applyFont="1" applyBorder="1" applyAlignment="1">
      <alignment horizontal="right"/>
    </xf>
    <xf numFmtId="0" fontId="2" fillId="0" borderId="0" xfId="0" applyFont="1"/>
    <xf numFmtId="4" fontId="0" fillId="0" borderId="0" xfId="0" applyNumberFormat="1"/>
    <xf numFmtId="4" fontId="22" fillId="2" borderId="0" xfId="0" applyNumberFormat="1" applyFont="1" applyFill="1" applyAlignment="1">
      <alignment horizontal="left"/>
    </xf>
    <xf numFmtId="179" fontId="30" fillId="0" borderId="0" xfId="3" applyNumberFormat="1" applyFont="1"/>
    <xf numFmtId="179" fontId="30" fillId="0" borderId="0" xfId="3" applyNumberFormat="1" applyFont="1" applyAlignment="1">
      <alignment horizontal="centerContinuous"/>
    </xf>
    <xf numFmtId="179" fontId="23" fillId="0" borderId="2" xfId="3" applyNumberFormat="1" applyFont="1" applyBorder="1" applyAlignment="1">
      <alignment horizontal="center"/>
    </xf>
    <xf numFmtId="179" fontId="22" fillId="0" borderId="0" xfId="3" applyNumberFormat="1" applyFont="1" applyBorder="1"/>
    <xf numFmtId="4" fontId="22" fillId="0" borderId="6" xfId="0" applyNumberFormat="1" applyFont="1" applyBorder="1" applyAlignment="1">
      <alignment vertical="center"/>
    </xf>
    <xf numFmtId="4" fontId="4" fillId="0" borderId="0" xfId="0" applyNumberFormat="1" applyFont="1" applyAlignment="1">
      <alignment vertical="center"/>
    </xf>
    <xf numFmtId="43" fontId="14" fillId="3" borderId="14" xfId="3" applyFont="1" applyFill="1" applyBorder="1" applyAlignment="1">
      <alignment vertical="center"/>
    </xf>
    <xf numFmtId="43" fontId="14" fillId="3" borderId="14" xfId="3" applyFont="1" applyFill="1" applyBorder="1" applyAlignment="1">
      <alignment horizontal="center" vertical="center"/>
    </xf>
    <xf numFmtId="166" fontId="22" fillId="2" borderId="0" xfId="0" applyNumberFormat="1" applyFont="1" applyFill="1" applyAlignment="1">
      <alignment horizontal="right"/>
    </xf>
    <xf numFmtId="166" fontId="22" fillId="2" borderId="0" xfId="0" applyNumberFormat="1" applyFont="1" applyFill="1" applyAlignment="1">
      <alignment horizontal="left" vertical="center"/>
    </xf>
    <xf numFmtId="182" fontId="22" fillId="0" borderId="15" xfId="0" applyNumberFormat="1" applyFont="1" applyBorder="1"/>
    <xf numFmtId="4" fontId="22" fillId="0" borderId="13" xfId="0" applyNumberFormat="1" applyFont="1" applyBorder="1"/>
    <xf numFmtId="4" fontId="22" fillId="0" borderId="13" xfId="0" applyNumberFormat="1" applyFont="1" applyBorder="1" applyAlignment="1">
      <alignment horizontal="center"/>
    </xf>
    <xf numFmtId="179" fontId="22" fillId="0" borderId="13" xfId="3" applyNumberFormat="1" applyFont="1" applyBorder="1"/>
    <xf numFmtId="43" fontId="22" fillId="0" borderId="13" xfId="3" applyFont="1" applyBorder="1" applyAlignment="1">
      <alignment horizontal="center" vertical="center"/>
    </xf>
    <xf numFmtId="43" fontId="22" fillId="0" borderId="13" xfId="3" applyFont="1" applyBorder="1"/>
    <xf numFmtId="4" fontId="22" fillId="0" borderId="14" xfId="0" applyNumberFormat="1" applyFont="1" applyBorder="1" applyAlignment="1">
      <alignment horizontal="left"/>
    </xf>
    <xf numFmtId="43" fontId="22" fillId="0" borderId="14" xfId="3" applyFont="1" applyBorder="1" applyAlignment="1">
      <alignment horizontal="center"/>
    </xf>
    <xf numFmtId="4" fontId="22" fillId="0" borderId="15" xfId="0" applyNumberFormat="1" applyFont="1" applyBorder="1" applyAlignment="1">
      <alignment horizontal="left"/>
    </xf>
    <xf numFmtId="179" fontId="22" fillId="0" borderId="15" xfId="3" applyNumberFormat="1" applyFont="1" applyBorder="1" applyAlignment="1">
      <alignment horizontal="center"/>
    </xf>
    <xf numFmtId="4" fontId="23" fillId="0" borderId="16" xfId="0" applyNumberFormat="1" applyFont="1" applyBorder="1" applyAlignment="1">
      <alignment horizontal="center"/>
    </xf>
    <xf numFmtId="4" fontId="22" fillId="0" borderId="16" xfId="0" applyNumberFormat="1" applyFont="1" applyBorder="1" applyAlignment="1">
      <alignment horizontal="left"/>
    </xf>
    <xf numFmtId="179" fontId="22" fillId="0" borderId="16" xfId="3" applyNumberFormat="1" applyFont="1" applyBorder="1" applyAlignment="1">
      <alignment horizontal="center"/>
    </xf>
    <xf numFmtId="43" fontId="22" fillId="0" borderId="16" xfId="3" applyFont="1" applyBorder="1" applyAlignment="1">
      <alignment horizontal="center"/>
    </xf>
    <xf numFmtId="43" fontId="22" fillId="3" borderId="15" xfId="3" applyFont="1" applyFill="1" applyBorder="1"/>
    <xf numFmtId="177" fontId="22" fillId="0" borderId="14" xfId="0" applyNumberFormat="1" applyFont="1" applyBorder="1" applyAlignment="1">
      <alignment vertical="center"/>
    </xf>
    <xf numFmtId="177" fontId="22" fillId="0" borderId="16" xfId="0" applyNumberFormat="1" applyFont="1" applyBorder="1" applyAlignment="1">
      <alignment vertical="center"/>
    </xf>
    <xf numFmtId="177" fontId="4" fillId="0" borderId="0" xfId="0" applyNumberFormat="1" applyFont="1" applyAlignment="1">
      <alignment vertical="center"/>
    </xf>
    <xf numFmtId="174" fontId="4" fillId="0" borderId="0" xfId="0" applyNumberFormat="1" applyFont="1" applyAlignment="1">
      <alignment vertical="center"/>
    </xf>
    <xf numFmtId="4" fontId="22" fillId="0" borderId="20" xfId="0" applyNumberFormat="1" applyFont="1" applyBorder="1" applyAlignment="1">
      <alignment vertical="center"/>
    </xf>
    <xf numFmtId="4" fontId="23" fillId="0" borderId="12" xfId="0" applyNumberFormat="1" applyFont="1" applyBorder="1" applyAlignment="1">
      <alignment horizontal="right" vertical="center"/>
    </xf>
    <xf numFmtId="4" fontId="22" fillId="0" borderId="7" xfId="0" applyNumberFormat="1" applyFont="1" applyBorder="1" applyAlignment="1">
      <alignment vertical="center"/>
    </xf>
    <xf numFmtId="4" fontId="29" fillId="0" borderId="10" xfId="0" applyNumberFormat="1" applyFont="1" applyBorder="1" applyAlignment="1">
      <alignment horizontal="right" vertical="center"/>
    </xf>
    <xf numFmtId="4" fontId="32" fillId="0" borderId="0" xfId="0" applyNumberFormat="1" applyFont="1" applyAlignment="1">
      <alignment horizontal="center" vertical="center"/>
    </xf>
    <xf numFmtId="175" fontId="22" fillId="0" borderId="6" xfId="0" applyNumberFormat="1" applyFont="1" applyBorder="1" applyAlignment="1">
      <alignment vertical="center"/>
    </xf>
    <xf numFmtId="4" fontId="22" fillId="0" borderId="4" xfId="0" applyNumberFormat="1" applyFont="1" applyBorder="1" applyAlignment="1">
      <alignment vertical="center"/>
    </xf>
    <xf numFmtId="4" fontId="23" fillId="0" borderId="9" xfId="0" applyNumberFormat="1" applyFont="1" applyBorder="1" applyAlignment="1">
      <alignment horizontal="right" vertical="center"/>
    </xf>
    <xf numFmtId="175" fontId="22" fillId="0" borderId="0" xfId="0" applyNumberFormat="1" applyFont="1" applyAlignment="1">
      <alignment vertical="center"/>
    </xf>
    <xf numFmtId="4" fontId="22" fillId="0" borderId="12" xfId="0" applyNumberFormat="1" applyFont="1" applyBorder="1" applyAlignment="1">
      <alignment horizontal="right" vertical="center"/>
    </xf>
    <xf numFmtId="9" fontId="22" fillId="0" borderId="0" xfId="20" applyFont="1" applyAlignment="1">
      <alignment horizontal="right" vertical="center"/>
    </xf>
    <xf numFmtId="4" fontId="33" fillId="0" borderId="0" xfId="0" applyNumberFormat="1" applyFont="1" applyAlignment="1">
      <alignment vertical="center"/>
    </xf>
    <xf numFmtId="4" fontId="22" fillId="0" borderId="1" xfId="0" applyNumberFormat="1" applyFont="1" applyBorder="1" applyAlignment="1">
      <alignment vertical="center"/>
    </xf>
    <xf numFmtId="4" fontId="23" fillId="0" borderId="2" xfId="0" applyNumberFormat="1" applyFont="1" applyBorder="1" applyAlignment="1">
      <alignment horizontal="right" vertical="center"/>
    </xf>
    <xf numFmtId="4" fontId="29" fillId="0" borderId="3" xfId="0" applyNumberFormat="1" applyFont="1" applyBorder="1" applyAlignment="1">
      <alignment horizontal="right" vertical="center"/>
    </xf>
    <xf numFmtId="43" fontId="4" fillId="0" borderId="0" xfId="3" applyFont="1" applyAlignment="1">
      <alignment horizontal="center"/>
    </xf>
    <xf numFmtId="177" fontId="4" fillId="0" borderId="0" xfId="0" applyNumberFormat="1" applyFont="1" applyAlignment="1">
      <alignment horizontal="center" vertical="center"/>
    </xf>
    <xf numFmtId="43" fontId="22" fillId="0" borderId="21" xfId="3" applyFont="1" applyBorder="1"/>
    <xf numFmtId="176" fontId="22" fillId="0" borderId="15" xfId="0" applyNumberFormat="1" applyFont="1" applyBorder="1"/>
    <xf numFmtId="43" fontId="22" fillId="2" borderId="0" xfId="3" applyFont="1" applyFill="1" applyAlignment="1">
      <alignment horizontal="left" vertical="center"/>
    </xf>
    <xf numFmtId="177" fontId="23" fillId="0" borderId="2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177" fontId="22" fillId="0" borderId="15" xfId="0" applyNumberFormat="1" applyFont="1" applyBorder="1" applyAlignment="1">
      <alignment vertical="center"/>
    </xf>
    <xf numFmtId="12" fontId="4" fillId="0" borderId="0" xfId="0" applyNumberFormat="1" applyFont="1" applyAlignment="1">
      <alignment vertical="center"/>
    </xf>
    <xf numFmtId="4" fontId="31" fillId="0" borderId="24" xfId="0" applyNumberFormat="1" applyFont="1" applyBorder="1" applyAlignment="1">
      <alignment vertical="center"/>
    </xf>
    <xf numFmtId="43" fontId="14" fillId="0" borderId="14" xfId="3" applyFont="1" applyBorder="1" applyAlignment="1">
      <alignment horizontal="left" wrapText="1"/>
    </xf>
    <xf numFmtId="43" fontId="14" fillId="0" borderId="14" xfId="3" applyFont="1" applyBorder="1" applyAlignment="1">
      <alignment horizontal="left" vertical="center" wrapText="1"/>
    </xf>
    <xf numFmtId="43" fontId="15" fillId="0" borderId="1" xfId="3" applyFont="1" applyBorder="1" applyAlignment="1">
      <alignment horizontal="center" vertical="center" wrapText="1"/>
    </xf>
    <xf numFmtId="43" fontId="14" fillId="0" borderId="2" xfId="3" applyFont="1" applyBorder="1" applyAlignment="1">
      <alignment horizontal="center" vertical="center" wrapText="1"/>
    </xf>
    <xf numFmtId="4" fontId="22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vertical="top"/>
    </xf>
    <xf numFmtId="0" fontId="22" fillId="2" borderId="0" xfId="0" applyFont="1" applyFill="1" applyAlignment="1">
      <alignment vertical="top"/>
    </xf>
    <xf numFmtId="4" fontId="22" fillId="2" borderId="0" xfId="0" applyNumberFormat="1" applyFont="1" applyFill="1" applyAlignment="1">
      <alignment horizontal="center"/>
    </xf>
    <xf numFmtId="4" fontId="22" fillId="0" borderId="2" xfId="0" applyNumberFormat="1" applyFont="1" applyBorder="1" applyAlignment="1">
      <alignment horizontal="left" vertical="center"/>
    </xf>
    <xf numFmtId="4" fontId="30" fillId="0" borderId="3" xfId="0" applyNumberFormat="1" applyFont="1" applyBorder="1"/>
    <xf numFmtId="4" fontId="23" fillId="0" borderId="4" xfId="0" applyNumberFormat="1" applyFont="1" applyBorder="1" applyAlignment="1">
      <alignment horizontal="center"/>
    </xf>
    <xf numFmtId="179" fontId="23" fillId="0" borderId="6" xfId="3" applyNumberFormat="1" applyFont="1" applyBorder="1" applyAlignment="1">
      <alignment horizontal="center"/>
    </xf>
    <xf numFmtId="4" fontId="22" fillId="2" borderId="14" xfId="0" applyNumberFormat="1" applyFont="1" applyFill="1" applyBorder="1" applyAlignment="1">
      <alignment horizontal="center" vertical="center"/>
    </xf>
    <xf numFmtId="179" fontId="22" fillId="2" borderId="14" xfId="3" applyNumberFormat="1" applyFont="1" applyFill="1" applyBorder="1" applyAlignment="1">
      <alignment vertical="center"/>
    </xf>
    <xf numFmtId="0" fontId="31" fillId="0" borderId="0" xfId="0" applyFont="1" applyAlignment="1">
      <alignment horizontal="left" vertical="top"/>
    </xf>
    <xf numFmtId="4" fontId="22" fillId="2" borderId="14" xfId="0" applyNumberFormat="1" applyFont="1" applyFill="1" applyBorder="1" applyAlignment="1">
      <alignment vertical="center"/>
    </xf>
    <xf numFmtId="4" fontId="22" fillId="2" borderId="14" xfId="0" applyNumberFormat="1" applyFont="1" applyFill="1" applyBorder="1" applyAlignment="1">
      <alignment horizontal="right" vertical="center"/>
    </xf>
    <xf numFmtId="0" fontId="22" fillId="2" borderId="0" xfId="0" applyFont="1" applyFill="1" applyAlignment="1">
      <alignment vertical="center"/>
    </xf>
    <xf numFmtId="179" fontId="6" fillId="0" borderId="0" xfId="3" applyNumberFormat="1" applyFont="1" applyAlignment="1">
      <alignment horizontal="center"/>
    </xf>
    <xf numFmtId="43" fontId="14" fillId="0" borderId="36" xfId="3" applyFont="1" applyBorder="1"/>
    <xf numFmtId="9" fontId="22" fillId="0" borderId="8" xfId="20" applyFont="1" applyBorder="1" applyAlignment="1">
      <alignment horizontal="right"/>
    </xf>
    <xf numFmtId="4" fontId="22" fillId="0" borderId="8" xfId="0" applyNumberFormat="1" applyFont="1" applyBorder="1" applyAlignment="1">
      <alignment horizontal="right"/>
    </xf>
    <xf numFmtId="168" fontId="6" fillId="0" borderId="0" xfId="0" applyNumberFormat="1" applyFont="1" applyAlignment="1">
      <alignment horizontal="center" vertical="center"/>
    </xf>
    <xf numFmtId="168" fontId="0" fillId="0" borderId="0" xfId="0" applyNumberFormat="1"/>
    <xf numFmtId="177" fontId="22" fillId="0" borderId="16" xfId="0" applyNumberFormat="1" applyFont="1" applyBorder="1" applyAlignment="1">
      <alignment horizontal="center" vertical="center"/>
    </xf>
    <xf numFmtId="4" fontId="29" fillId="0" borderId="12" xfId="0" applyNumberFormat="1" applyFont="1" applyBorder="1" applyAlignment="1">
      <alignment horizontal="right"/>
    </xf>
    <xf numFmtId="166" fontId="23" fillId="2" borderId="0" xfId="0" applyNumberFormat="1" applyFont="1" applyFill="1" applyAlignment="1">
      <alignment horizontal="center" vertical="center"/>
    </xf>
    <xf numFmtId="179" fontId="22" fillId="2" borderId="0" xfId="3" applyNumberFormat="1" applyFont="1" applyFill="1" applyAlignment="1">
      <alignment vertical="top"/>
    </xf>
    <xf numFmtId="9" fontId="22" fillId="0" borderId="6" xfId="20" applyFont="1" applyBorder="1" applyAlignment="1">
      <alignment horizontal="right"/>
    </xf>
    <xf numFmtId="4" fontId="22" fillId="0" borderId="6" xfId="0" applyNumberFormat="1" applyFont="1" applyBorder="1" applyAlignment="1">
      <alignment horizontal="right"/>
    </xf>
    <xf numFmtId="4" fontId="22" fillId="0" borderId="16" xfId="0" applyNumberFormat="1" applyFont="1" applyBorder="1" applyAlignment="1">
      <alignment wrapText="1"/>
    </xf>
    <xf numFmtId="4" fontId="30" fillId="0" borderId="0" xfId="0" applyNumberFormat="1" applyFont="1" applyAlignment="1">
      <alignment horizontal="left"/>
    </xf>
    <xf numFmtId="4" fontId="23" fillId="0" borderId="2" xfId="0" applyNumberFormat="1" applyFont="1" applyBorder="1" applyAlignment="1">
      <alignment horizontal="left"/>
    </xf>
    <xf numFmtId="4" fontId="22" fillId="0" borderId="6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74" fontId="4" fillId="0" borderId="0" xfId="0" applyNumberFormat="1" applyFont="1" applyAlignment="1">
      <alignment horizontal="center" vertical="center"/>
    </xf>
    <xf numFmtId="43" fontId="4" fillId="0" borderId="0" xfId="3" applyFont="1" applyAlignment="1">
      <alignment horizontal="center" vertical="center"/>
    </xf>
    <xf numFmtId="179" fontId="30" fillId="0" borderId="0" xfId="3" applyNumberFormat="1" applyFont="1" applyAlignment="1">
      <alignment horizontal="center" vertical="center"/>
    </xf>
    <xf numFmtId="179" fontId="22" fillId="0" borderId="0" xfId="3" applyNumberFormat="1" applyFont="1" applyAlignment="1">
      <alignment horizontal="center" vertical="center"/>
    </xf>
    <xf numFmtId="179" fontId="22" fillId="0" borderId="6" xfId="3" applyNumberFormat="1" applyFont="1" applyBorder="1" applyAlignment="1">
      <alignment horizontal="center" vertical="center"/>
    </xf>
    <xf numFmtId="179" fontId="0" fillId="0" borderId="0" xfId="3" applyNumberFormat="1" applyFont="1" applyAlignment="1">
      <alignment horizontal="center" vertical="center"/>
    </xf>
    <xf numFmtId="4" fontId="22" fillId="0" borderId="13" xfId="0" applyNumberFormat="1" applyFont="1" applyBorder="1" applyAlignment="1">
      <alignment horizontal="center" vertical="center"/>
    </xf>
    <xf numFmtId="179" fontId="22" fillId="0" borderId="13" xfId="3" applyNumberFormat="1" applyFont="1" applyBorder="1" applyAlignment="1">
      <alignment horizontal="center" vertical="center"/>
    </xf>
    <xf numFmtId="4" fontId="22" fillId="0" borderId="13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 vertical="center"/>
    </xf>
    <xf numFmtId="179" fontId="30" fillId="0" borderId="0" xfId="3" applyNumberFormat="1" applyFont="1" applyAlignment="1">
      <alignment horizontal="centerContinuous" vertical="center"/>
    </xf>
    <xf numFmtId="0" fontId="22" fillId="2" borderId="0" xfId="0" applyFont="1" applyFill="1" applyAlignment="1">
      <alignment horizontal="center" vertical="center"/>
    </xf>
    <xf numFmtId="177" fontId="6" fillId="0" borderId="0" xfId="0" applyNumberFormat="1" applyFont="1" applyAlignment="1">
      <alignment horizontal="center"/>
    </xf>
    <xf numFmtId="177" fontId="4" fillId="0" borderId="0" xfId="3" applyNumberFormat="1" applyFont="1" applyAlignment="1">
      <alignment horizontal="center" vertical="center"/>
    </xf>
    <xf numFmtId="174" fontId="6" fillId="0" borderId="0" xfId="0" applyNumberFormat="1" applyFont="1" applyAlignment="1">
      <alignment horizontal="center" vertical="center"/>
    </xf>
    <xf numFmtId="0" fontId="14" fillId="0" borderId="14" xfId="15" applyFont="1" applyBorder="1" applyAlignment="1">
      <alignment horizontal="center" vertical="center"/>
    </xf>
    <xf numFmtId="0" fontId="14" fillId="0" borderId="15" xfId="15" applyFont="1" applyBorder="1" applyAlignment="1">
      <alignment horizontal="center" vertical="center"/>
    </xf>
    <xf numFmtId="43" fontId="15" fillId="0" borderId="0" xfId="3" applyFont="1" applyFill="1" applyBorder="1" applyAlignment="1">
      <alignment horizontal="center" vertical="center"/>
    </xf>
    <xf numFmtId="43" fontId="15" fillId="0" borderId="0" xfId="3" applyFont="1" applyBorder="1" applyAlignment="1"/>
    <xf numFmtId="43" fontId="37" fillId="0" borderId="2" xfId="3" applyFont="1" applyFill="1" applyBorder="1" applyAlignment="1">
      <alignment horizontal="center" vertical="center" shrinkToFit="1"/>
    </xf>
    <xf numFmtId="43" fontId="37" fillId="0" borderId="3" xfId="3" applyFont="1" applyFill="1" applyBorder="1" applyAlignment="1">
      <alignment horizontal="center" vertical="center" shrinkToFit="1"/>
    </xf>
    <xf numFmtId="43" fontId="36" fillId="0" borderId="14" xfId="3" applyFont="1" applyFill="1" applyBorder="1" applyAlignment="1">
      <alignment vertical="center"/>
    </xf>
    <xf numFmtId="14" fontId="22" fillId="0" borderId="14" xfId="3" applyNumberFormat="1" applyFont="1" applyFill="1" applyBorder="1" applyAlignment="1">
      <alignment horizontal="center" vertical="center"/>
    </xf>
    <xf numFmtId="14" fontId="22" fillId="0" borderId="15" xfId="3" applyNumberFormat="1" applyFont="1" applyFill="1" applyBorder="1" applyAlignment="1">
      <alignment horizontal="center" vertical="center"/>
    </xf>
    <xf numFmtId="43" fontId="15" fillId="0" borderId="13" xfId="3" applyFont="1" applyBorder="1" applyAlignment="1">
      <alignment horizontal="center" vertical="center" wrapText="1"/>
    </xf>
    <xf numFmtId="43" fontId="37" fillId="0" borderId="13" xfId="3" applyFont="1" applyFill="1" applyBorder="1" applyAlignment="1">
      <alignment horizontal="center" vertical="center" shrinkToFit="1"/>
    </xf>
    <xf numFmtId="43" fontId="18" fillId="0" borderId="0" xfId="3" applyFont="1" applyBorder="1" applyAlignment="1"/>
    <xf numFmtId="43" fontId="22" fillId="0" borderId="14" xfId="3" applyFont="1" applyFill="1" applyBorder="1" applyAlignment="1">
      <alignment vertical="center"/>
    </xf>
    <xf numFmtId="43" fontId="22" fillId="0" borderId="15" xfId="3" applyFont="1" applyFill="1" applyBorder="1" applyAlignment="1">
      <alignment vertical="center"/>
    </xf>
    <xf numFmtId="43" fontId="22" fillId="0" borderId="16" xfId="3" applyFont="1" applyFill="1" applyBorder="1" applyAlignment="1">
      <alignment vertical="center"/>
    </xf>
    <xf numFmtId="43" fontId="15" fillId="0" borderId="2" xfId="3" applyFont="1" applyBorder="1" applyAlignment="1">
      <alignment horizontal="left" vertical="center" wrapText="1" shrinkToFit="1"/>
    </xf>
    <xf numFmtId="14" fontId="22" fillId="0" borderId="16" xfId="3" applyNumberFormat="1" applyFont="1" applyFill="1" applyBorder="1" applyAlignment="1">
      <alignment horizontal="center" vertical="center"/>
    </xf>
    <xf numFmtId="43" fontId="22" fillId="0" borderId="19" xfId="3" applyFont="1" applyBorder="1" applyAlignment="1">
      <alignment vertical="center"/>
    </xf>
    <xf numFmtId="43" fontId="15" fillId="0" borderId="1" xfId="3" applyFont="1" applyBorder="1" applyAlignment="1">
      <alignment horizontal="centerContinuous" vertical="center" wrapText="1"/>
    </xf>
    <xf numFmtId="43" fontId="14" fillId="0" borderId="2" xfId="3" applyFont="1" applyBorder="1" applyAlignment="1">
      <alignment horizontal="centerContinuous" vertical="center" wrapText="1"/>
    </xf>
    <xf numFmtId="181" fontId="15" fillId="0" borderId="5" xfId="3" applyNumberFormat="1" applyFont="1" applyFill="1" applyBorder="1" applyAlignment="1">
      <alignment horizontal="center" vertical="center" shrinkToFit="1"/>
    </xf>
    <xf numFmtId="43" fontId="15" fillId="0" borderId="5" xfId="3" applyFont="1" applyFill="1" applyBorder="1" applyAlignment="1">
      <alignment horizontal="center" vertical="center" shrinkToFit="1"/>
    </xf>
    <xf numFmtId="4" fontId="23" fillId="0" borderId="5" xfId="0" applyNumberFormat="1" applyFont="1" applyBorder="1" applyAlignment="1">
      <alignment horizontal="center" vertical="center"/>
    </xf>
    <xf numFmtId="43" fontId="14" fillId="0" borderId="19" xfId="3" applyFont="1" applyFill="1" applyBorder="1" applyAlignment="1">
      <alignment horizontal="center" vertical="center"/>
    </xf>
    <xf numFmtId="43" fontId="14" fillId="0" borderId="1" xfId="3" applyFont="1" applyFill="1" applyBorder="1" applyAlignment="1">
      <alignment horizontal="center" vertical="center"/>
    </xf>
    <xf numFmtId="181" fontId="14" fillId="0" borderId="2" xfId="3" applyNumberFormat="1" applyFont="1" applyFill="1" applyBorder="1" applyAlignment="1">
      <alignment vertical="center"/>
    </xf>
    <xf numFmtId="179" fontId="14" fillId="0" borderId="3" xfId="3" applyNumberFormat="1" applyFont="1" applyBorder="1"/>
    <xf numFmtId="43" fontId="36" fillId="0" borderId="14" xfId="3" applyFont="1" applyBorder="1" applyAlignment="1">
      <alignment vertical="center"/>
    </xf>
    <xf numFmtId="43" fontId="36" fillId="0" borderId="15" xfId="3" applyFont="1" applyFill="1" applyBorder="1" applyAlignment="1">
      <alignment horizontal="left" vertical="center"/>
    </xf>
    <xf numFmtId="43" fontId="14" fillId="0" borderId="4" xfId="3" applyFont="1" applyFill="1" applyBorder="1" applyAlignment="1">
      <alignment vertical="center"/>
    </xf>
    <xf numFmtId="181" fontId="14" fillId="0" borderId="6" xfId="3" applyNumberFormat="1" applyFont="1" applyFill="1" applyBorder="1" applyAlignment="1">
      <alignment vertical="center"/>
    </xf>
    <xf numFmtId="43" fontId="14" fillId="0" borderId="7" xfId="3" applyFont="1" applyFill="1" applyBorder="1" applyAlignment="1">
      <alignment vertical="center"/>
    </xf>
    <xf numFmtId="181" fontId="14" fillId="0" borderId="8" xfId="3" applyNumberFormat="1" applyFont="1" applyFill="1" applyBorder="1" applyAlignment="1">
      <alignment vertical="center"/>
    </xf>
    <xf numFmtId="43" fontId="22" fillId="0" borderId="20" xfId="3" applyFont="1" applyFill="1" applyBorder="1" applyAlignment="1">
      <alignment horizontal="center" vertical="center"/>
    </xf>
    <xf numFmtId="43" fontId="22" fillId="0" borderId="7" xfId="3" applyFont="1" applyFill="1" applyBorder="1" applyAlignment="1">
      <alignment horizontal="center" vertical="center"/>
    </xf>
    <xf numFmtId="181" fontId="22" fillId="0" borderId="8" xfId="3" applyNumberFormat="1" applyFont="1" applyFill="1" applyBorder="1" applyAlignment="1">
      <alignment horizontal="center" vertical="center"/>
    </xf>
    <xf numFmtId="43" fontId="22" fillId="0" borderId="1" xfId="3" applyFont="1" applyFill="1" applyBorder="1" applyAlignment="1">
      <alignment horizontal="center" vertical="center"/>
    </xf>
    <xf numFmtId="43" fontId="22" fillId="0" borderId="2" xfId="3" applyFont="1" applyFill="1" applyBorder="1" applyAlignment="1">
      <alignment vertical="center"/>
    </xf>
    <xf numFmtId="181" fontId="22" fillId="0" borderId="2" xfId="3" applyNumberFormat="1" applyFont="1" applyFill="1" applyBorder="1" applyAlignment="1">
      <alignment vertical="center"/>
    </xf>
    <xf numFmtId="179" fontId="22" fillId="0" borderId="3" xfId="3" applyNumberFormat="1" applyFont="1" applyBorder="1"/>
    <xf numFmtId="43" fontId="38" fillId="0" borderId="2" xfId="3" applyFont="1" applyFill="1" applyBorder="1" applyAlignment="1">
      <alignment vertical="center"/>
    </xf>
    <xf numFmtId="4" fontId="31" fillId="0" borderId="0" xfId="0" applyNumberFormat="1" applyFont="1" applyAlignment="1">
      <alignment horizontal="center" vertical="center"/>
    </xf>
    <xf numFmtId="43" fontId="14" fillId="0" borderId="15" xfId="3" applyFont="1" applyBorder="1" applyAlignment="1">
      <alignment horizontal="left"/>
    </xf>
    <xf numFmtId="43" fontId="14" fillId="0" borderId="14" xfId="3" applyFont="1" applyBorder="1" applyAlignment="1">
      <alignment horizontal="left"/>
    </xf>
    <xf numFmtId="43" fontId="14" fillId="0" borderId="37" xfId="3" applyFont="1" applyFill="1" applyBorder="1" applyAlignment="1">
      <alignment vertical="center"/>
    </xf>
    <xf numFmtId="43" fontId="22" fillId="0" borderId="14" xfId="3" applyFont="1" applyFill="1" applyBorder="1" applyAlignment="1">
      <alignment horizontal="center" vertical="center"/>
    </xf>
    <xf numFmtId="14" fontId="22" fillId="0" borderId="19" xfId="3" applyNumberFormat="1" applyFont="1" applyFill="1" applyBorder="1" applyAlignment="1">
      <alignment horizontal="center" vertical="center"/>
    </xf>
    <xf numFmtId="43" fontId="22" fillId="0" borderId="19" xfId="3" applyFont="1" applyFill="1" applyBorder="1" applyAlignment="1">
      <alignment horizontal="center" vertical="center"/>
    </xf>
    <xf numFmtId="14" fontId="14" fillId="0" borderId="0" xfId="3" applyNumberFormat="1" applyFont="1" applyFill="1" applyBorder="1" applyAlignment="1">
      <alignment horizontal="center"/>
    </xf>
    <xf numFmtId="43" fontId="22" fillId="0" borderId="20" xfId="3" applyFont="1" applyFill="1" applyBorder="1" applyAlignment="1">
      <alignment vertical="center"/>
    </xf>
    <xf numFmtId="181" fontId="22" fillId="0" borderId="0" xfId="3" applyNumberFormat="1" applyFont="1" applyFill="1" applyBorder="1" applyAlignment="1">
      <alignment vertical="center"/>
    </xf>
    <xf numFmtId="43" fontId="14" fillId="0" borderId="20" xfId="3" applyFont="1" applyBorder="1" applyAlignment="1">
      <alignment horizontal="center" vertical="center"/>
    </xf>
    <xf numFmtId="43" fontId="22" fillId="2" borderId="0" xfId="3" applyFont="1" applyFill="1" applyAlignment="1">
      <alignment vertical="top"/>
    </xf>
    <xf numFmtId="4" fontId="22" fillId="0" borderId="14" xfId="0" applyNumberFormat="1" applyFont="1" applyBorder="1" applyAlignment="1">
      <alignment horizontal="left" vertical="center" wrapText="1"/>
    </xf>
    <xf numFmtId="183" fontId="22" fillId="0" borderId="14" xfId="3" applyNumberFormat="1" applyFont="1" applyBorder="1" applyAlignment="1">
      <alignment horizontal="center" vertical="center"/>
    </xf>
    <xf numFmtId="183" fontId="22" fillId="0" borderId="16" xfId="3" applyNumberFormat="1" applyFont="1" applyBorder="1" applyAlignment="1">
      <alignment horizontal="center" vertical="center"/>
    </xf>
    <xf numFmtId="4" fontId="23" fillId="2" borderId="0" xfId="0" applyNumberFormat="1" applyFont="1" applyFill="1" applyAlignment="1">
      <alignment vertical="top"/>
    </xf>
    <xf numFmtId="4" fontId="23" fillId="2" borderId="0" xfId="0" applyNumberFormat="1" applyFont="1" applyFill="1" applyAlignment="1">
      <alignment horizontal="left"/>
    </xf>
    <xf numFmtId="4" fontId="22" fillId="0" borderId="14" xfId="0" applyNumberFormat="1" applyFont="1" applyBorder="1" applyAlignment="1">
      <alignment vertical="center" wrapText="1"/>
    </xf>
    <xf numFmtId="183" fontId="22" fillId="0" borderId="16" xfId="3" applyNumberFormat="1" applyFont="1" applyBorder="1" applyAlignment="1">
      <alignment vertical="center"/>
    </xf>
    <xf numFmtId="43" fontId="29" fillId="0" borderId="10" xfId="3" applyFont="1" applyBorder="1" applyAlignment="1">
      <alignment horizontal="right"/>
    </xf>
    <xf numFmtId="43" fontId="26" fillId="0" borderId="0" xfId="3" applyFont="1" applyAlignment="1">
      <alignment horizontal="right"/>
    </xf>
    <xf numFmtId="43" fontId="23" fillId="2" borderId="0" xfId="3" applyFont="1" applyFill="1" applyAlignment="1">
      <alignment horizontal="center" vertical="center"/>
    </xf>
    <xf numFmtId="43" fontId="31" fillId="0" borderId="0" xfId="3" applyFont="1" applyAlignment="1">
      <alignment horizontal="centerContinuous"/>
    </xf>
    <xf numFmtId="43" fontId="23" fillId="0" borderId="0" xfId="3" applyFont="1" applyAlignment="1">
      <alignment horizontal="left" vertical="top"/>
    </xf>
    <xf numFmtId="43" fontId="23" fillId="2" borderId="0" xfId="3" applyFont="1" applyFill="1" applyAlignment="1">
      <alignment vertical="top"/>
    </xf>
    <xf numFmtId="43" fontId="23" fillId="2" borderId="0" xfId="3" applyFont="1" applyFill="1" applyAlignment="1">
      <alignment horizontal="left" vertical="center"/>
    </xf>
    <xf numFmtId="43" fontId="23" fillId="0" borderId="24" xfId="3" applyFont="1" applyBorder="1" applyAlignment="1">
      <alignment horizontal="left" vertical="top"/>
    </xf>
    <xf numFmtId="43" fontId="23" fillId="0" borderId="1" xfId="3" applyFont="1" applyBorder="1" applyAlignment="1">
      <alignment horizontal="center"/>
    </xf>
    <xf numFmtId="43" fontId="22" fillId="0" borderId="15" xfId="3" applyFont="1" applyBorder="1" applyAlignment="1">
      <alignment horizontal="right"/>
    </xf>
    <xf numFmtId="43" fontId="22" fillId="0" borderId="4" xfId="3" applyFont="1" applyBorder="1"/>
    <xf numFmtId="43" fontId="23" fillId="0" borderId="6" xfId="3" applyFont="1" applyBorder="1" applyAlignment="1">
      <alignment horizontal="right"/>
    </xf>
    <xf numFmtId="43" fontId="22" fillId="0" borderId="7" xfId="3" applyFont="1" applyBorder="1"/>
    <xf numFmtId="43" fontId="23" fillId="0" borderId="8" xfId="3" applyFont="1" applyBorder="1" applyAlignment="1">
      <alignment horizontal="right"/>
    </xf>
    <xf numFmtId="43" fontId="32" fillId="0" borderId="0" xfId="3" applyFont="1" applyAlignment="1">
      <alignment horizontal="center"/>
    </xf>
    <xf numFmtId="43" fontId="22" fillId="0" borderId="14" xfId="3" applyFont="1" applyBorder="1" applyAlignment="1">
      <alignment vertical="center" wrapText="1"/>
    </xf>
    <xf numFmtId="43" fontId="33" fillId="0" borderId="0" xfId="3" applyFont="1"/>
    <xf numFmtId="43" fontId="22" fillId="0" borderId="1" xfId="3" applyFont="1" applyBorder="1"/>
    <xf numFmtId="43" fontId="23" fillId="0" borderId="2" xfId="3" applyFont="1" applyBorder="1" applyAlignment="1">
      <alignment horizontal="right"/>
    </xf>
    <xf numFmtId="43" fontId="22" fillId="0" borderId="20" xfId="3" applyFont="1" applyBorder="1"/>
    <xf numFmtId="43" fontId="23" fillId="0" borderId="0" xfId="3" applyFont="1" applyBorder="1" applyAlignment="1">
      <alignment horizontal="right"/>
    </xf>
    <xf numFmtId="43" fontId="22" fillId="0" borderId="12" xfId="3" applyFont="1" applyBorder="1" applyAlignment="1">
      <alignment horizontal="right"/>
    </xf>
    <xf numFmtId="43" fontId="23" fillId="0" borderId="12" xfId="3" applyFont="1" applyBorder="1" applyAlignment="1">
      <alignment horizontal="right"/>
    </xf>
    <xf numFmtId="43" fontId="29" fillId="0" borderId="3" xfId="3" applyFont="1" applyBorder="1" applyAlignment="1">
      <alignment horizontal="right"/>
    </xf>
    <xf numFmtId="179" fontId="23" fillId="2" borderId="0" xfId="3" applyNumberFormat="1" applyFont="1" applyFill="1" applyAlignment="1">
      <alignment horizontal="left" vertical="center"/>
    </xf>
    <xf numFmtId="4" fontId="22" fillId="0" borderId="36" xfId="0" applyNumberFormat="1" applyFont="1" applyBorder="1"/>
    <xf numFmtId="4" fontId="22" fillId="0" borderId="36" xfId="0" applyNumberFormat="1" applyFont="1" applyBorder="1" applyAlignment="1">
      <alignment horizontal="center"/>
    </xf>
    <xf numFmtId="179" fontId="22" fillId="0" borderId="36" xfId="3" applyNumberFormat="1" applyFont="1" applyBorder="1"/>
    <xf numFmtId="4" fontId="22" fillId="0" borderId="14" xfId="0" applyNumberFormat="1" applyFont="1" applyBorder="1" applyAlignment="1">
      <alignment wrapText="1"/>
    </xf>
    <xf numFmtId="43" fontId="23" fillId="2" borderId="0" xfId="3" applyFont="1" applyFill="1" applyAlignment="1">
      <alignment vertical="center"/>
    </xf>
    <xf numFmtId="182" fontId="22" fillId="0" borderId="6" xfId="0" applyNumberFormat="1" applyFont="1" applyBorder="1"/>
    <xf numFmtId="182" fontId="22" fillId="0" borderId="0" xfId="0" applyNumberFormat="1" applyFont="1"/>
    <xf numFmtId="182" fontId="23" fillId="0" borderId="2" xfId="0" applyNumberFormat="1" applyFont="1" applyBorder="1" applyAlignment="1">
      <alignment horizontal="center"/>
    </xf>
    <xf numFmtId="182" fontId="22" fillId="0" borderId="14" xfId="0" applyNumberFormat="1" applyFont="1" applyBorder="1" applyAlignment="1">
      <alignment horizontal="center" vertical="center"/>
    </xf>
    <xf numFmtId="182" fontId="22" fillId="0" borderId="16" xfId="0" applyNumberFormat="1" applyFont="1" applyBorder="1" applyAlignment="1">
      <alignment horizontal="center" vertical="center"/>
    </xf>
    <xf numFmtId="0" fontId="23" fillId="2" borderId="0" xfId="0" applyFont="1" applyFill="1" applyAlignment="1">
      <alignment vertical="top"/>
    </xf>
    <xf numFmtId="179" fontId="23" fillId="2" borderId="0" xfId="3" applyNumberFormat="1" applyFont="1" applyFill="1" applyAlignment="1">
      <alignment vertical="top"/>
    </xf>
    <xf numFmtId="43" fontId="22" fillId="0" borderId="14" xfId="3" applyFont="1" applyBorder="1" applyAlignment="1">
      <alignment horizontal="left" vertical="center" wrapText="1"/>
    </xf>
    <xf numFmtId="43" fontId="22" fillId="0" borderId="16" xfId="3" applyFont="1" applyBorder="1" applyAlignment="1">
      <alignment horizontal="left" vertical="center"/>
    </xf>
    <xf numFmtId="179" fontId="22" fillId="0" borderId="5" xfId="3" applyNumberFormat="1" applyFont="1" applyBorder="1"/>
    <xf numFmtId="179" fontId="22" fillId="0" borderId="11" xfId="3" applyNumberFormat="1" applyFont="1" applyBorder="1"/>
    <xf numFmtId="10" fontId="22" fillId="0" borderId="0" xfId="3" applyNumberFormat="1" applyFont="1" applyAlignment="1">
      <alignment horizontal="right"/>
    </xf>
    <xf numFmtId="183" fontId="22" fillId="0" borderId="14" xfId="3" applyNumberFormat="1" applyFont="1" applyBorder="1"/>
    <xf numFmtId="183" fontId="22" fillId="0" borderId="16" xfId="3" applyNumberFormat="1" applyFont="1" applyBorder="1"/>
    <xf numFmtId="4" fontId="22" fillId="0" borderId="9" xfId="0" applyNumberFormat="1" applyFont="1" applyBorder="1" applyAlignment="1">
      <alignment horizontal="center" vertical="center"/>
    </xf>
    <xf numFmtId="4" fontId="22" fillId="0" borderId="12" xfId="0" applyNumberFormat="1" applyFont="1" applyBorder="1" applyAlignment="1">
      <alignment horizontal="center" vertical="center"/>
    </xf>
    <xf numFmtId="0" fontId="14" fillId="0" borderId="16" xfId="15" applyFont="1" applyBorder="1" applyAlignment="1">
      <alignment horizontal="left" vertical="center"/>
    </xf>
    <xf numFmtId="0" fontId="14" fillId="0" borderId="16" xfId="15" applyFont="1" applyBorder="1" applyAlignment="1">
      <alignment vertical="center"/>
    </xf>
    <xf numFmtId="4" fontId="22" fillId="0" borderId="4" xfId="0" applyNumberFormat="1" applyFont="1" applyBorder="1" applyAlignment="1">
      <alignment horizontal="right"/>
    </xf>
    <xf numFmtId="4" fontId="22" fillId="0" borderId="0" xfId="0" applyNumberFormat="1" applyFont="1" applyAlignment="1">
      <alignment wrapText="1"/>
    </xf>
    <xf numFmtId="43" fontId="22" fillId="0" borderId="9" xfId="3" applyFont="1" applyBorder="1" applyAlignment="1">
      <alignment horizontal="center" vertical="center"/>
    </xf>
    <xf numFmtId="43" fontId="22" fillId="0" borderId="5" xfId="3" applyFont="1" applyBorder="1" applyAlignment="1">
      <alignment vertical="center"/>
    </xf>
    <xf numFmtId="43" fontId="22" fillId="0" borderId="5" xfId="3" applyFont="1" applyBorder="1" applyAlignment="1">
      <alignment horizontal="right" vertical="center"/>
    </xf>
    <xf numFmtId="183" fontId="22" fillId="0" borderId="14" xfId="3" applyNumberFormat="1" applyFont="1" applyBorder="1" applyAlignment="1">
      <alignment vertical="center"/>
    </xf>
    <xf numFmtId="43" fontId="4" fillId="0" borderId="0" xfId="3" applyFont="1" applyAlignment="1">
      <alignment vertical="center"/>
    </xf>
    <xf numFmtId="166" fontId="26" fillId="2" borderId="0" xfId="0" applyNumberFormat="1" applyFont="1" applyFill="1" applyAlignment="1">
      <alignment horizontal="right"/>
    </xf>
    <xf numFmtId="14" fontId="14" fillId="0" borderId="0" xfId="15" applyNumberFormat="1" applyFont="1" applyAlignment="1">
      <alignment horizontal="right" vertical="center"/>
    </xf>
    <xf numFmtId="4" fontId="22" fillId="0" borderId="36" xfId="0" applyNumberFormat="1" applyFont="1" applyBorder="1" applyAlignment="1">
      <alignment horizontal="center" vertical="center"/>
    </xf>
    <xf numFmtId="43" fontId="22" fillId="2" borderId="0" xfId="3" applyFont="1" applyFill="1" applyAlignment="1">
      <alignment horizontal="left"/>
    </xf>
    <xf numFmtId="4" fontId="4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4" fontId="22" fillId="0" borderId="13" xfId="0" applyNumberFormat="1" applyFont="1" applyBorder="1" applyAlignment="1">
      <alignment wrapText="1"/>
    </xf>
    <xf numFmtId="166" fontId="26" fillId="2" borderId="0" xfId="0" applyNumberFormat="1" applyFont="1" applyFill="1" applyAlignment="1">
      <alignment horizontal="left" vertical="center"/>
    </xf>
    <xf numFmtId="166" fontId="26" fillId="2" borderId="0" xfId="0" applyNumberFormat="1" applyFont="1" applyFill="1" applyAlignment="1">
      <alignment horizontal="center" vertical="center"/>
    </xf>
    <xf numFmtId="169" fontId="22" fillId="0" borderId="13" xfId="0" applyNumberFormat="1" applyFont="1" applyBorder="1" applyAlignment="1">
      <alignment horizontal="center" vertical="center"/>
    </xf>
    <xf numFmtId="43" fontId="22" fillId="2" borderId="0" xfId="3" applyFont="1" applyFill="1" applyAlignment="1">
      <alignment horizontal="center"/>
    </xf>
    <xf numFmtId="177" fontId="22" fillId="0" borderId="14" xfId="3" applyNumberFormat="1" applyFont="1" applyBorder="1"/>
    <xf numFmtId="177" fontId="22" fillId="0" borderId="15" xfId="3" applyNumberFormat="1" applyFont="1" applyBorder="1"/>
    <xf numFmtId="177" fontId="22" fillId="0" borderId="16" xfId="3" applyNumberFormat="1" applyFont="1" applyBorder="1"/>
    <xf numFmtId="177" fontId="22" fillId="0" borderId="13" xfId="0" applyNumberFormat="1" applyFont="1" applyBorder="1"/>
    <xf numFmtId="183" fontId="22" fillId="0" borderId="13" xfId="3" applyNumberFormat="1" applyFont="1" applyBorder="1" applyAlignment="1">
      <alignment vertical="center"/>
    </xf>
    <xf numFmtId="4" fontId="23" fillId="2" borderId="0" xfId="0" applyNumberFormat="1" applyFont="1" applyFill="1" applyAlignment="1">
      <alignment horizontal="center" vertical="center"/>
    </xf>
    <xf numFmtId="177" fontId="22" fillId="0" borderId="14" xfId="0" applyNumberFormat="1" applyFont="1" applyBorder="1" applyAlignment="1">
      <alignment horizontal="right"/>
    </xf>
    <xf numFmtId="177" fontId="22" fillId="0" borderId="15" xfId="0" applyNumberFormat="1" applyFont="1" applyBorder="1" applyAlignment="1">
      <alignment horizontal="right"/>
    </xf>
    <xf numFmtId="177" fontId="22" fillId="0" borderId="16" xfId="0" applyNumberFormat="1" applyFont="1" applyBorder="1" applyAlignment="1">
      <alignment horizontal="right"/>
    </xf>
    <xf numFmtId="43" fontId="22" fillId="0" borderId="5" xfId="3" applyFont="1" applyBorder="1" applyAlignment="1">
      <alignment horizontal="center" vertical="center"/>
    </xf>
    <xf numFmtId="43" fontId="22" fillId="0" borderId="18" xfId="3" applyFont="1" applyBorder="1" applyAlignment="1">
      <alignment horizontal="center" vertical="center"/>
    </xf>
    <xf numFmtId="4" fontId="39" fillId="0" borderId="0" xfId="0" applyNumberFormat="1" applyFont="1"/>
    <xf numFmtId="43" fontId="14" fillId="0" borderId="15" xfId="3" applyFont="1" applyFill="1" applyBorder="1"/>
    <xf numFmtId="4" fontId="34" fillId="0" borderId="14" xfId="0" applyNumberFormat="1" applyFont="1" applyBorder="1" applyAlignment="1">
      <alignment horizontal="center" vertical="center"/>
    </xf>
    <xf numFmtId="4" fontId="34" fillId="0" borderId="15" xfId="0" applyNumberFormat="1" applyFont="1" applyBorder="1" applyAlignment="1">
      <alignment horizontal="center" vertical="center"/>
    </xf>
    <xf numFmtId="4" fontId="22" fillId="0" borderId="16" xfId="0" applyNumberFormat="1" applyFont="1" applyBorder="1" applyAlignment="1">
      <alignment horizontal="left" vertical="center" wrapText="1"/>
    </xf>
    <xf numFmtId="4" fontId="34" fillId="0" borderId="39" xfId="0" applyNumberFormat="1" applyFont="1" applyBorder="1" applyAlignment="1">
      <alignment horizontal="center" vertical="center"/>
    </xf>
    <xf numFmtId="4" fontId="22" fillId="0" borderId="40" xfId="0" applyNumberFormat="1" applyFont="1" applyBorder="1" applyAlignment="1">
      <alignment horizontal="left" vertical="center"/>
    </xf>
    <xf numFmtId="4" fontId="22" fillId="0" borderId="40" xfId="0" applyNumberFormat="1" applyFont="1" applyBorder="1" applyAlignment="1">
      <alignment horizontal="center"/>
    </xf>
    <xf numFmtId="177" fontId="22" fillId="0" borderId="40" xfId="0" applyNumberFormat="1" applyFont="1" applyBorder="1" applyAlignment="1">
      <alignment horizontal="right"/>
    </xf>
    <xf numFmtId="43" fontId="22" fillId="0" borderId="39" xfId="3" applyFont="1" applyBorder="1" applyAlignment="1">
      <alignment horizontal="center" vertical="center"/>
    </xf>
    <xf numFmtId="43" fontId="22" fillId="0" borderId="40" xfId="3" applyFont="1" applyBorder="1" applyAlignment="1">
      <alignment horizontal="center" vertical="center"/>
    </xf>
    <xf numFmtId="43" fontId="22" fillId="0" borderId="38" xfId="3" applyFont="1" applyBorder="1" applyAlignment="1">
      <alignment horizontal="right"/>
    </xf>
    <xf numFmtId="43" fontId="25" fillId="0" borderId="15" xfId="3" applyFont="1" applyFill="1" applyBorder="1" applyAlignment="1">
      <alignment horizontal="center" vertical="center"/>
    </xf>
    <xf numFmtId="0" fontId="22" fillId="0" borderId="15" xfId="15" applyFont="1" applyBorder="1" applyAlignment="1">
      <alignment horizontal="center"/>
    </xf>
    <xf numFmtId="14" fontId="14" fillId="5" borderId="20" xfId="15" applyNumberFormat="1" applyFont="1" applyFill="1" applyBorder="1"/>
    <xf numFmtId="43" fontId="14" fillId="3" borderId="15" xfId="3" applyFont="1" applyFill="1" applyBorder="1"/>
    <xf numFmtId="43" fontId="35" fillId="0" borderId="0" xfId="3" applyFont="1"/>
    <xf numFmtId="43" fontId="22" fillId="3" borderId="16" xfId="3" applyFont="1" applyFill="1" applyBorder="1" applyAlignment="1">
      <alignment vertical="center"/>
    </xf>
    <xf numFmtId="2" fontId="0" fillId="0" borderId="0" xfId="0" applyNumberFormat="1"/>
    <xf numFmtId="13" fontId="14" fillId="0" borderId="0" xfId="15" applyNumberFormat="1" applyFont="1"/>
    <xf numFmtId="14" fontId="22" fillId="0" borderId="13" xfId="3" applyNumberFormat="1" applyFont="1" applyBorder="1" applyAlignment="1">
      <alignment horizontal="center"/>
    </xf>
    <xf numFmtId="14" fontId="15" fillId="0" borderId="20" xfId="15" applyNumberFormat="1" applyFont="1" applyBorder="1"/>
    <xf numFmtId="43" fontId="22" fillId="5" borderId="16" xfId="3" applyFont="1" applyFill="1" applyBorder="1"/>
    <xf numFmtId="0" fontId="14" fillId="0" borderId="0" xfId="15" applyFont="1" applyAlignment="1">
      <alignment horizontal="left" vertical="center"/>
    </xf>
    <xf numFmtId="0" fontId="20" fillId="0" borderId="0" xfId="15" applyFont="1" applyAlignment="1">
      <alignment horizontal="center"/>
    </xf>
    <xf numFmtId="43" fontId="40" fillId="0" borderId="0" xfId="3" applyFont="1" applyAlignment="1">
      <alignment horizontal="center"/>
    </xf>
    <xf numFmtId="0" fontId="14" fillId="0" borderId="16" xfId="15" applyFont="1" applyBorder="1" applyAlignment="1">
      <alignment horizontal="center" vertical="center"/>
    </xf>
    <xf numFmtId="0" fontId="14" fillId="0" borderId="0" xfId="15" applyFont="1" applyAlignment="1">
      <alignment horizontal="right" vertical="center"/>
    </xf>
    <xf numFmtId="43" fontId="22" fillId="0" borderId="2" xfId="3" applyFont="1" applyBorder="1"/>
    <xf numFmtId="0" fontId="14" fillId="0" borderId="14" xfId="15" applyFont="1" applyBorder="1"/>
    <xf numFmtId="0" fontId="14" fillId="0" borderId="42" xfId="15" applyFont="1" applyBorder="1"/>
    <xf numFmtId="0" fontId="14" fillId="0" borderId="39" xfId="15" applyFont="1" applyBorder="1"/>
    <xf numFmtId="0" fontId="14" fillId="0" borderId="41" xfId="15" applyFont="1" applyBorder="1"/>
    <xf numFmtId="43" fontId="23" fillId="0" borderId="2" xfId="3" applyFont="1" applyFill="1" applyBorder="1" applyAlignment="1">
      <alignment vertical="center"/>
    </xf>
    <xf numFmtId="0" fontId="14" fillId="0" borderId="3" xfId="15" applyFont="1" applyBorder="1" applyAlignment="1">
      <alignment horizontal="center"/>
    </xf>
    <xf numFmtId="43" fontId="14" fillId="0" borderId="0" xfId="15" applyNumberFormat="1" applyFont="1"/>
    <xf numFmtId="43" fontId="22" fillId="5" borderId="15" xfId="3" applyFont="1" applyFill="1" applyBorder="1" applyAlignment="1">
      <alignment vertical="center"/>
    </xf>
    <xf numFmtId="0" fontId="14" fillId="5" borderId="15" xfId="15" applyFont="1" applyFill="1" applyBorder="1" applyAlignment="1">
      <alignment horizontal="center"/>
    </xf>
    <xf numFmtId="43" fontId="14" fillId="5" borderId="15" xfId="3" applyFont="1" applyFill="1" applyBorder="1" applyAlignment="1">
      <alignment vertical="center"/>
    </xf>
    <xf numFmtId="43" fontId="14" fillId="5" borderId="15" xfId="3" applyFont="1" applyFill="1" applyBorder="1" applyAlignment="1">
      <alignment horizontal="center" vertical="center"/>
    </xf>
    <xf numFmtId="43" fontId="14" fillId="5" borderId="16" xfId="3" applyFont="1" applyFill="1" applyBorder="1" applyAlignment="1">
      <alignment vertical="center"/>
    </xf>
    <xf numFmtId="43" fontId="14" fillId="5" borderId="16" xfId="3" applyFont="1" applyFill="1" applyBorder="1" applyAlignment="1">
      <alignment horizontal="center" vertical="center"/>
    </xf>
    <xf numFmtId="0" fontId="14" fillId="5" borderId="16" xfId="15" applyFont="1" applyFill="1" applyBorder="1" applyAlignment="1">
      <alignment horizontal="center"/>
    </xf>
    <xf numFmtId="43" fontId="14" fillId="5" borderId="15" xfId="3" applyFont="1" applyFill="1" applyBorder="1"/>
    <xf numFmtId="43" fontId="14" fillId="5" borderId="15" xfId="6" applyFont="1" applyFill="1" applyBorder="1" applyAlignment="1">
      <alignment horizontal="center"/>
    </xf>
    <xf numFmtId="14" fontId="14" fillId="5" borderId="0" xfId="15" applyNumberFormat="1" applyFont="1" applyFill="1"/>
    <xf numFmtId="43" fontId="22" fillId="0" borderId="8" xfId="3" applyFont="1" applyBorder="1"/>
    <xf numFmtId="43" fontId="22" fillId="5" borderId="16" xfId="3" applyFont="1" applyFill="1" applyBorder="1" applyAlignment="1">
      <alignment vertical="center"/>
    </xf>
    <xf numFmtId="4" fontId="22" fillId="5" borderId="15" xfId="0" applyNumberFormat="1" applyFont="1" applyFill="1" applyBorder="1"/>
    <xf numFmtId="43" fontId="22" fillId="0" borderId="16" xfId="3" applyFont="1" applyFill="1" applyBorder="1" applyAlignment="1">
      <alignment horizontal="center" vertical="center"/>
    </xf>
    <xf numFmtId="43" fontId="22" fillId="0" borderId="15" xfId="6" applyFont="1" applyFill="1" applyBorder="1" applyAlignment="1">
      <alignment horizontal="center"/>
    </xf>
    <xf numFmtId="43" fontId="14" fillId="0" borderId="16" xfId="3" applyFont="1" applyFill="1" applyBorder="1"/>
    <xf numFmtId="43" fontId="14" fillId="0" borderId="16" xfId="6" applyFont="1" applyFill="1" applyBorder="1" applyAlignment="1">
      <alignment horizontal="center"/>
    </xf>
    <xf numFmtId="43" fontId="22" fillId="5" borderId="15" xfId="3" applyFont="1" applyFill="1" applyBorder="1"/>
    <xf numFmtId="43" fontId="22" fillId="2" borderId="15" xfId="3" applyFont="1" applyFill="1" applyBorder="1" applyAlignment="1">
      <alignment vertical="center"/>
    </xf>
    <xf numFmtId="0" fontId="14" fillId="2" borderId="15" xfId="15" applyFont="1" applyFill="1" applyBorder="1" applyAlignment="1">
      <alignment horizontal="center"/>
    </xf>
    <xf numFmtId="43" fontId="13" fillId="0" borderId="0" xfId="2" applyNumberFormat="1"/>
    <xf numFmtId="43" fontId="22" fillId="2" borderId="16" xfId="3" applyFont="1" applyFill="1" applyBorder="1" applyAlignment="1">
      <alignment vertical="center"/>
    </xf>
    <xf numFmtId="43" fontId="22" fillId="2" borderId="16" xfId="3" applyFont="1" applyFill="1" applyBorder="1" applyAlignment="1">
      <alignment horizontal="center" vertical="center"/>
    </xf>
    <xf numFmtId="43" fontId="14" fillId="0" borderId="14" xfId="6" applyFont="1" applyBorder="1" applyAlignment="1">
      <alignment horizontal="center" vertical="center"/>
    </xf>
    <xf numFmtId="0" fontId="22" fillId="2" borderId="15" xfId="15" applyFont="1" applyFill="1" applyBorder="1" applyAlignment="1">
      <alignment horizontal="center"/>
    </xf>
    <xf numFmtId="0" fontId="13" fillId="0" borderId="0" xfId="2" applyAlignment="1">
      <alignment horizontal="left" vertical="center"/>
    </xf>
    <xf numFmtId="43" fontId="22" fillId="5" borderId="15" xfId="3" applyFont="1" applyFill="1" applyBorder="1" applyAlignment="1">
      <alignment horizontal="center" vertical="center"/>
    </xf>
    <xf numFmtId="0" fontId="22" fillId="5" borderId="15" xfId="15" applyFont="1" applyFill="1" applyBorder="1" applyAlignment="1">
      <alignment horizontal="center"/>
    </xf>
    <xf numFmtId="0" fontId="22" fillId="0" borderId="15" xfId="0" applyFont="1" applyBorder="1"/>
    <xf numFmtId="4" fontId="34" fillId="0" borderId="16" xfId="0" applyNumberFormat="1" applyFont="1" applyBorder="1" applyAlignment="1">
      <alignment horizontal="center" vertical="center"/>
    </xf>
    <xf numFmtId="43" fontId="34" fillId="0" borderId="14" xfId="3" applyFont="1" applyBorder="1" applyAlignment="1">
      <alignment horizontal="center" vertical="center"/>
    </xf>
    <xf numFmtId="4" fontId="34" fillId="0" borderId="15" xfId="0" applyNumberFormat="1" applyFont="1" applyBorder="1" applyAlignment="1">
      <alignment horizontal="left" vertical="center"/>
    </xf>
    <xf numFmtId="43" fontId="34" fillId="0" borderId="15" xfId="3" applyFont="1" applyBorder="1" applyAlignment="1">
      <alignment horizontal="center" vertical="center"/>
    </xf>
    <xf numFmtId="43" fontId="34" fillId="0" borderId="16" xfId="3" applyFont="1" applyBorder="1" applyAlignment="1">
      <alignment horizontal="center" vertical="center"/>
    </xf>
    <xf numFmtId="43" fontId="43" fillId="0" borderId="0" xfId="3" applyFont="1" applyAlignment="1">
      <alignment horizontal="center"/>
    </xf>
    <xf numFmtId="0" fontId="44" fillId="0" borderId="2" xfId="15" applyFont="1" applyBorder="1" applyAlignment="1">
      <alignment vertical="center" wrapText="1"/>
    </xf>
    <xf numFmtId="43" fontId="45" fillId="0" borderId="13" xfId="3" applyFont="1" applyBorder="1" applyAlignment="1">
      <alignment horizontal="center"/>
    </xf>
    <xf numFmtId="3" fontId="43" fillId="0" borderId="14" xfId="0" applyNumberFormat="1" applyFont="1" applyBorder="1" applyAlignment="1">
      <alignment horizontal="center"/>
    </xf>
    <xf numFmtId="3" fontId="43" fillId="0" borderId="15" xfId="0" applyNumberFormat="1" applyFont="1" applyBorder="1" applyAlignment="1">
      <alignment horizontal="center"/>
    </xf>
    <xf numFmtId="3" fontId="43" fillId="0" borderId="16" xfId="0" applyNumberFormat="1" applyFont="1" applyBorder="1" applyAlignment="1">
      <alignment horizontal="center"/>
    </xf>
    <xf numFmtId="43" fontId="43" fillId="0" borderId="0" xfId="3" applyFont="1"/>
    <xf numFmtId="43" fontId="43" fillId="0" borderId="4" xfId="3" applyFont="1" applyBorder="1" applyAlignment="1">
      <alignment horizontal="center" vertical="center"/>
    </xf>
    <xf numFmtId="43" fontId="43" fillId="0" borderId="6" xfId="3" applyFont="1" applyBorder="1" applyAlignment="1">
      <alignment horizontal="center"/>
    </xf>
    <xf numFmtId="9" fontId="43" fillId="0" borderId="9" xfId="20" applyFont="1" applyBorder="1"/>
    <xf numFmtId="43" fontId="43" fillId="0" borderId="0" xfId="3" applyFont="1" applyBorder="1"/>
    <xf numFmtId="43" fontId="43" fillId="0" borderId="0" xfId="3" applyFont="1" applyAlignment="1">
      <alignment horizontal="right"/>
    </xf>
    <xf numFmtId="43" fontId="45" fillId="0" borderId="0" xfId="3" applyFont="1" applyAlignment="1">
      <alignment horizontal="center" vertical="center"/>
    </xf>
    <xf numFmtId="43" fontId="43" fillId="0" borderId="7" xfId="3" applyFont="1" applyBorder="1" applyAlignment="1">
      <alignment horizontal="center" vertical="center"/>
    </xf>
    <xf numFmtId="43" fontId="43" fillId="0" borderId="8" xfId="3" applyFont="1" applyBorder="1" applyAlignment="1">
      <alignment horizontal="center"/>
    </xf>
    <xf numFmtId="9" fontId="43" fillId="0" borderId="10" xfId="20" applyFont="1" applyBorder="1"/>
    <xf numFmtId="0" fontId="45" fillId="0" borderId="0" xfId="3" applyNumberFormat="1" applyFont="1" applyAlignment="1">
      <alignment horizontal="center" vertical="center"/>
    </xf>
    <xf numFmtId="43" fontId="43" fillId="0" borderId="0" xfId="3" applyFont="1" applyAlignment="1">
      <alignment horizontal="center" vertical="center"/>
    </xf>
    <xf numFmtId="9" fontId="43" fillId="0" borderId="0" xfId="20" applyFont="1"/>
    <xf numFmtId="0" fontId="44" fillId="0" borderId="1" xfId="15" applyFont="1" applyBorder="1"/>
    <xf numFmtId="0" fontId="44" fillId="0" borderId="2" xfId="15" applyFont="1" applyBorder="1"/>
    <xf numFmtId="0" fontId="46" fillId="0" borderId="2" xfId="15" applyFont="1" applyBorder="1" applyAlignment="1">
      <alignment vertical="center" wrapText="1"/>
    </xf>
    <xf numFmtId="0" fontId="46" fillId="0" borderId="2" xfId="15" applyFont="1" applyBorder="1" applyAlignment="1">
      <alignment horizontal="center" vertical="center" wrapText="1"/>
    </xf>
    <xf numFmtId="0" fontId="44" fillId="0" borderId="2" xfId="15" applyFont="1" applyBorder="1" applyAlignment="1">
      <alignment horizontal="left" wrapText="1" shrinkToFit="1"/>
    </xf>
    <xf numFmtId="14" fontId="46" fillId="0" borderId="3" xfId="15" applyNumberFormat="1" applyFont="1" applyBorder="1" applyAlignment="1">
      <alignment horizontal="center" vertical="center"/>
    </xf>
    <xf numFmtId="0" fontId="44" fillId="0" borderId="0" xfId="15" applyFont="1"/>
    <xf numFmtId="164" fontId="44" fillId="0" borderId="0" xfId="15" applyNumberFormat="1" applyFont="1"/>
    <xf numFmtId="43" fontId="45" fillId="0" borderId="0" xfId="3" applyFont="1" applyAlignment="1"/>
    <xf numFmtId="43" fontId="42" fillId="0" borderId="0" xfId="3" applyFont="1"/>
    <xf numFmtId="43" fontId="45" fillId="0" borderId="13" xfId="3" applyFont="1" applyBorder="1" applyAlignment="1">
      <alignment horizontal="center" vertical="center"/>
    </xf>
    <xf numFmtId="43" fontId="45" fillId="0" borderId="22" xfId="3" applyFont="1" applyBorder="1" applyAlignment="1">
      <alignment horizontal="center"/>
    </xf>
    <xf numFmtId="43" fontId="45" fillId="0" borderId="23" xfId="3" applyFont="1" applyBorder="1" applyAlignment="1">
      <alignment horizontal="center"/>
    </xf>
    <xf numFmtId="43" fontId="45" fillId="0" borderId="3" xfId="3" applyFont="1" applyBorder="1" applyAlignment="1">
      <alignment horizontal="center"/>
    </xf>
    <xf numFmtId="43" fontId="45" fillId="0" borderId="0" xfId="3" applyFont="1" applyAlignment="1">
      <alignment horizontal="center"/>
    </xf>
    <xf numFmtId="4" fontId="43" fillId="0" borderId="14" xfId="0" applyNumberFormat="1" applyFont="1" applyBorder="1" applyAlignment="1">
      <alignment horizontal="center"/>
    </xf>
    <xf numFmtId="4" fontId="41" fillId="0" borderId="14" xfId="0" applyNumberFormat="1" applyFont="1" applyBorder="1" applyAlignment="1">
      <alignment horizontal="center"/>
    </xf>
    <xf numFmtId="43" fontId="43" fillId="0" borderId="14" xfId="3" applyFont="1" applyBorder="1"/>
    <xf numFmtId="43" fontId="43" fillId="0" borderId="14" xfId="3" applyFont="1" applyBorder="1" applyAlignment="1">
      <alignment horizontal="center" vertical="center"/>
    </xf>
    <xf numFmtId="43" fontId="45" fillId="0" borderId="14" xfId="3" applyFont="1" applyBorder="1"/>
    <xf numFmtId="4" fontId="43" fillId="0" borderId="15" xfId="0" applyNumberFormat="1" applyFont="1" applyBorder="1" applyAlignment="1">
      <alignment horizontal="center"/>
    </xf>
    <xf numFmtId="43" fontId="43" fillId="0" borderId="15" xfId="3" applyFont="1" applyBorder="1"/>
    <xf numFmtId="43" fontId="43" fillId="0" borderId="15" xfId="3" applyFont="1" applyBorder="1" applyAlignment="1">
      <alignment horizontal="center" vertical="center"/>
    </xf>
    <xf numFmtId="43" fontId="45" fillId="0" borderId="15" xfId="3" applyFont="1" applyFill="1" applyBorder="1"/>
    <xf numFmtId="43" fontId="43" fillId="0" borderId="15" xfId="3" applyFont="1" applyFill="1" applyBorder="1"/>
    <xf numFmtId="43" fontId="45" fillId="0" borderId="15" xfId="3" applyFont="1" applyBorder="1"/>
    <xf numFmtId="4" fontId="41" fillId="0" borderId="15" xfId="0" applyNumberFormat="1" applyFont="1" applyBorder="1" applyAlignment="1">
      <alignment horizontal="center"/>
    </xf>
    <xf numFmtId="43" fontId="43" fillId="0" borderId="15" xfId="3" applyFont="1" applyFill="1" applyBorder="1" applyAlignment="1">
      <alignment horizontal="center" vertical="center"/>
    </xf>
    <xf numFmtId="43" fontId="43" fillId="2" borderId="15" xfId="3" applyFont="1" applyFill="1" applyBorder="1"/>
    <xf numFmtId="43" fontId="47" fillId="0" borderId="15" xfId="3" applyFont="1" applyBorder="1"/>
    <xf numFmtId="43" fontId="43" fillId="2" borderId="15" xfId="3" applyFont="1" applyFill="1" applyBorder="1" applyAlignment="1">
      <alignment horizontal="left" vertical="center"/>
    </xf>
    <xf numFmtId="43" fontId="43" fillId="2" borderId="15" xfId="3" applyFont="1" applyFill="1" applyBorder="1" applyAlignment="1">
      <alignment horizontal="left"/>
    </xf>
    <xf numFmtId="4" fontId="43" fillId="0" borderId="16" xfId="0" applyNumberFormat="1" applyFont="1" applyBorder="1" applyAlignment="1">
      <alignment horizontal="center"/>
    </xf>
    <xf numFmtId="43" fontId="43" fillId="0" borderId="16" xfId="3" applyFont="1" applyBorder="1"/>
    <xf numFmtId="43" fontId="43" fillId="0" borderId="16" xfId="3" applyFont="1" applyBorder="1" applyAlignment="1">
      <alignment horizontal="center" vertical="center"/>
    </xf>
    <xf numFmtId="43" fontId="45" fillId="0" borderId="16" xfId="3" applyFont="1" applyBorder="1"/>
    <xf numFmtId="4" fontId="3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4" fontId="22" fillId="2" borderId="0" xfId="0" applyNumberFormat="1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4" fontId="31" fillId="0" borderId="24" xfId="0" applyNumberFormat="1" applyFont="1" applyBorder="1" applyAlignment="1">
      <alignment horizontal="left" vertical="top"/>
    </xf>
    <xf numFmtId="0" fontId="31" fillId="0" borderId="24" xfId="0" applyFont="1" applyBorder="1" applyAlignment="1">
      <alignment horizontal="left" vertical="top"/>
    </xf>
    <xf numFmtId="4" fontId="22" fillId="0" borderId="0" xfId="0" applyNumberFormat="1" applyFont="1" applyAlignment="1">
      <alignment horizontal="center" vertical="center"/>
    </xf>
    <xf numFmtId="43" fontId="45" fillId="0" borderId="6" xfId="3" applyFont="1" applyBorder="1" applyAlignment="1">
      <alignment horizontal="center"/>
    </xf>
    <xf numFmtId="43" fontId="15" fillId="0" borderId="0" xfId="3" applyFont="1" applyAlignment="1">
      <alignment horizontal="center"/>
    </xf>
    <xf numFmtId="0" fontId="18" fillId="0" borderId="0" xfId="15" applyFont="1" applyAlignment="1">
      <alignment horizontal="center"/>
    </xf>
    <xf numFmtId="0" fontId="19" fillId="0" borderId="1" xfId="15" applyFont="1" applyBorder="1" applyAlignment="1">
      <alignment horizontal="center" vertical="center" wrapText="1"/>
    </xf>
    <xf numFmtId="0" fontId="14" fillId="0" borderId="2" xfId="15" applyFont="1" applyBorder="1" applyAlignment="1">
      <alignment horizontal="center" vertical="center" wrapText="1"/>
    </xf>
    <xf numFmtId="0" fontId="18" fillId="0" borderId="1" xfId="15" applyFont="1" applyBorder="1" applyAlignment="1">
      <alignment horizontal="center" vertical="center" wrapText="1"/>
    </xf>
    <xf numFmtId="0" fontId="24" fillId="0" borderId="2" xfId="15" applyFont="1" applyBorder="1" applyAlignment="1">
      <alignment horizontal="center" vertical="center" wrapText="1"/>
    </xf>
    <xf numFmtId="43" fontId="18" fillId="0" borderId="8" xfId="3" applyFont="1" applyBorder="1" applyAlignment="1">
      <alignment horizontal="center"/>
    </xf>
    <xf numFmtId="43" fontId="19" fillId="0" borderId="1" xfId="3" applyFont="1" applyBorder="1" applyAlignment="1">
      <alignment horizontal="center" vertical="center" wrapText="1"/>
    </xf>
    <xf numFmtId="43" fontId="14" fillId="0" borderId="2" xfId="3" applyFont="1" applyBorder="1" applyAlignment="1">
      <alignment horizontal="center" vertical="center" wrapText="1"/>
    </xf>
    <xf numFmtId="43" fontId="18" fillId="0" borderId="7" xfId="3" applyFont="1" applyBorder="1" applyAlignment="1">
      <alignment horizontal="center" vertical="center" wrapText="1"/>
    </xf>
    <xf numFmtId="43" fontId="18" fillId="0" borderId="8" xfId="3" applyFont="1" applyBorder="1" applyAlignment="1">
      <alignment horizontal="center" vertical="center" wrapText="1"/>
    </xf>
    <xf numFmtId="43" fontId="18" fillId="0" borderId="10" xfId="3" applyFont="1" applyBorder="1" applyAlignment="1">
      <alignment horizontal="center" vertical="center" wrapText="1"/>
    </xf>
    <xf numFmtId="0" fontId="18" fillId="0" borderId="13" xfId="15" applyFont="1" applyBorder="1" applyAlignment="1">
      <alignment horizontal="center" vertical="center" wrapText="1"/>
    </xf>
    <xf numFmtId="0" fontId="24" fillId="0" borderId="13" xfId="15" applyFont="1" applyBorder="1" applyAlignment="1">
      <alignment horizontal="center" vertical="center" wrapText="1"/>
    </xf>
    <xf numFmtId="4" fontId="23" fillId="0" borderId="0" xfId="0" applyNumberFormat="1" applyFont="1" applyAlignment="1">
      <alignment horizontal="center" vertical="center"/>
    </xf>
    <xf numFmtId="4" fontId="22" fillId="2" borderId="0" xfId="0" applyNumberFormat="1" applyFont="1" applyFill="1" applyAlignment="1">
      <alignment horizontal="justify" vertical="top"/>
    </xf>
    <xf numFmtId="0" fontId="22" fillId="2" borderId="0" xfId="0" applyFont="1" applyFill="1" applyAlignment="1">
      <alignment horizontal="justify" vertical="top"/>
    </xf>
    <xf numFmtId="4" fontId="22" fillId="2" borderId="0" xfId="0" applyNumberFormat="1" applyFont="1" applyFill="1" applyAlignment="1">
      <alignment horizontal="justify" vertical="center"/>
    </xf>
    <xf numFmtId="0" fontId="22" fillId="2" borderId="0" xfId="0" applyFont="1" applyFill="1" applyAlignment="1">
      <alignment horizontal="justify" vertical="center"/>
    </xf>
    <xf numFmtId="4" fontId="31" fillId="0" borderId="24" xfId="0" applyNumberFormat="1" applyFont="1" applyBorder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43" fontId="31" fillId="0" borderId="0" xfId="3" applyFont="1" applyAlignment="1">
      <alignment horizontal="center" vertical="center"/>
    </xf>
    <xf numFmtId="43" fontId="22" fillId="0" borderId="0" xfId="3" applyFont="1" applyAlignment="1">
      <alignment horizontal="center" vertical="center"/>
    </xf>
    <xf numFmtId="43" fontId="31" fillId="0" borderId="24" xfId="3" applyFont="1" applyBorder="1" applyAlignment="1">
      <alignment horizontal="left" vertical="top"/>
    </xf>
    <xf numFmtId="4" fontId="23" fillId="2" borderId="0" xfId="0" applyNumberFormat="1" applyFont="1" applyFill="1" applyAlignment="1">
      <alignment horizontal="justify" vertical="top"/>
    </xf>
    <xf numFmtId="0" fontId="23" fillId="2" borderId="0" xfId="0" applyFont="1" applyFill="1" applyAlignment="1">
      <alignment horizontal="justify" vertical="top"/>
    </xf>
    <xf numFmtId="4" fontId="31" fillId="0" borderId="24" xfId="0" applyNumberFormat="1" applyFont="1" applyBorder="1" applyAlignment="1">
      <alignment horizontal="left" vertical="top" wrapText="1"/>
    </xf>
    <xf numFmtId="0" fontId="31" fillId="0" borderId="24" xfId="0" applyFont="1" applyBorder="1" applyAlignment="1">
      <alignment horizontal="left" vertical="top" wrapText="1"/>
    </xf>
    <xf numFmtId="4" fontId="22" fillId="0" borderId="0" xfId="0" applyNumberFormat="1" applyFont="1" applyAlignment="1">
      <alignment horizontal="justify" vertical="top"/>
    </xf>
    <xf numFmtId="0" fontId="22" fillId="0" borderId="0" xfId="0" applyFont="1" applyAlignment="1">
      <alignment horizontal="justify" vertical="top"/>
    </xf>
    <xf numFmtId="4" fontId="4" fillId="0" borderId="0" xfId="0" applyNumberFormat="1" applyFont="1" applyAlignment="1">
      <alignment horizontal="center"/>
    </xf>
    <xf numFmtId="4" fontId="23" fillId="0" borderId="24" xfId="0" applyNumberFormat="1" applyFont="1" applyBorder="1" applyAlignment="1">
      <alignment horizontal="left" vertical="center"/>
    </xf>
    <xf numFmtId="4" fontId="22" fillId="0" borderId="0" xfId="0" applyNumberFormat="1" applyFont="1" applyAlignment="1">
      <alignment horizontal="justify" vertical="center"/>
    </xf>
    <xf numFmtId="0" fontId="22" fillId="0" borderId="0" xfId="0" applyFont="1" applyAlignment="1">
      <alignment horizontal="justify" vertical="center"/>
    </xf>
    <xf numFmtId="174" fontId="22" fillId="0" borderId="14" xfId="0" applyNumberFormat="1" applyFont="1" applyBorder="1" applyAlignment="1">
      <alignment horizontal="right"/>
    </xf>
    <xf numFmtId="174" fontId="22" fillId="0" borderId="15" xfId="0" applyNumberFormat="1" applyFont="1" applyBorder="1" applyAlignment="1">
      <alignment horizontal="right"/>
    </xf>
    <xf numFmtId="174" fontId="22" fillId="0" borderId="16" xfId="0" applyNumberFormat="1" applyFont="1" applyBorder="1" applyAlignment="1">
      <alignment horizontal="right"/>
    </xf>
  </cellXfs>
  <cellStyles count="24">
    <cellStyle name="Comma" xfId="3" builtinId="3"/>
    <cellStyle name="Currency" xfId="12" builtinId="4"/>
    <cellStyle name="Euro" xfId="1" xr:uid="{00000000-0005-0000-0000-000000000000}"/>
    <cellStyle name="Hyperlink" xfId="2" builtinId="8"/>
    <cellStyle name="Millares 10 2" xfId="23" xr:uid="{CF68B9F4-AFF4-49B5-8DA2-1FD3D084C0DA}"/>
    <cellStyle name="Millares 14 2" xfId="4" xr:uid="{00000000-0005-0000-0000-000003000000}"/>
    <cellStyle name="Millares 17" xfId="5" xr:uid="{00000000-0005-0000-0000-000004000000}"/>
    <cellStyle name="Millares 18" xfId="6" xr:uid="{00000000-0005-0000-0000-000005000000}"/>
    <cellStyle name="Millares 2" xfId="7" xr:uid="{00000000-0005-0000-0000-000006000000}"/>
    <cellStyle name="Millares 3" xfId="8" xr:uid="{00000000-0005-0000-0000-000007000000}"/>
    <cellStyle name="Millares 4" xfId="9" xr:uid="{00000000-0005-0000-0000-000008000000}"/>
    <cellStyle name="Millares 4 3" xfId="10" xr:uid="{00000000-0005-0000-0000-000009000000}"/>
    <cellStyle name="Millares 5" xfId="11" xr:uid="{00000000-0005-0000-0000-00000A000000}"/>
    <cellStyle name="Moneda 2" xfId="13" xr:uid="{00000000-0005-0000-0000-00000C000000}"/>
    <cellStyle name="Moneda 3" xfId="14" xr:uid="{00000000-0005-0000-0000-00000D000000}"/>
    <cellStyle name="Normal" xfId="0" builtinId="0"/>
    <cellStyle name="Normal 2" xfId="15" xr:uid="{00000000-0005-0000-0000-00000F000000}"/>
    <cellStyle name="Normal 2 3" xfId="16" xr:uid="{00000000-0005-0000-0000-000010000000}"/>
    <cellStyle name="Normal 3" xfId="17" xr:uid="{00000000-0005-0000-0000-000011000000}"/>
    <cellStyle name="Normal 4" xfId="18" xr:uid="{00000000-0005-0000-0000-000012000000}"/>
    <cellStyle name="Normal 4 2" xfId="19" xr:uid="{00000000-0005-0000-0000-000013000000}"/>
    <cellStyle name="Percent" xfId="20" builtinId="5"/>
    <cellStyle name="Porcentaje 2" xfId="21" xr:uid="{00000000-0005-0000-0000-000015000000}"/>
    <cellStyle name="Porcentaje 3" xfId="22" xr:uid="{00000000-0005-0000-0000-00001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95" Type="http://schemas.openxmlformats.org/officeDocument/2006/relationships/customXml" Target="../customXml/item2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tyles" Target="styles.xml"/><Relationship Id="rId9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85725</xdr:rowOff>
    </xdr:from>
    <xdr:to>
      <xdr:col>3</xdr:col>
      <xdr:colOff>904875</xdr:colOff>
      <xdr:row>3</xdr:row>
      <xdr:rowOff>72390</xdr:rowOff>
    </xdr:to>
    <xdr:pic>
      <xdr:nvPicPr>
        <xdr:cNvPr id="1339" name="1 Imagen" descr="Logo ArqIng Encabezado.png">
          <a:extLst>
            <a:ext uri="{FF2B5EF4-FFF2-40B4-BE49-F238E27FC236}">
              <a16:creationId xmlns:a16="http://schemas.microsoft.com/office/drawing/2014/main" id="{FB9667D3-E0D0-6BAD-8178-541887505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5725"/>
          <a:ext cx="224599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171450</xdr:rowOff>
    </xdr:to>
    <xdr:pic>
      <xdr:nvPicPr>
        <xdr:cNvPr id="25604" name="Imagen 1">
          <a:extLst>
            <a:ext uri="{FF2B5EF4-FFF2-40B4-BE49-F238E27FC236}">
              <a16:creationId xmlns:a16="http://schemas.microsoft.com/office/drawing/2014/main" id="{FE95162B-F459-DB5A-DCE1-060A16C6F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53340</xdr:rowOff>
    </xdr:from>
    <xdr:to>
      <xdr:col>0</xdr:col>
      <xdr:colOff>658495</xdr:colOff>
      <xdr:row>3</xdr:row>
      <xdr:rowOff>97155</xdr:rowOff>
    </xdr:to>
    <xdr:pic>
      <xdr:nvPicPr>
        <xdr:cNvPr id="21509" name="Imagen 1">
          <a:extLst>
            <a:ext uri="{FF2B5EF4-FFF2-40B4-BE49-F238E27FC236}">
              <a16:creationId xmlns:a16="http://schemas.microsoft.com/office/drawing/2014/main" id="{21128525-85A8-9387-A887-D9F7B9D04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53340"/>
          <a:ext cx="523875" cy="573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649605</xdr:colOff>
      <xdr:row>3</xdr:row>
      <xdr:rowOff>45720</xdr:rowOff>
    </xdr:to>
    <xdr:pic>
      <xdr:nvPicPr>
        <xdr:cNvPr id="47113" name="Imagen 1">
          <a:extLst>
            <a:ext uri="{FF2B5EF4-FFF2-40B4-BE49-F238E27FC236}">
              <a16:creationId xmlns:a16="http://schemas.microsoft.com/office/drawing/2014/main" id="{60A15F2A-E2A8-8173-D4A5-2E96E90B7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620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102870</xdr:rowOff>
    </xdr:from>
    <xdr:to>
      <xdr:col>0</xdr:col>
      <xdr:colOff>611505</xdr:colOff>
      <xdr:row>3</xdr:row>
      <xdr:rowOff>86995</xdr:rowOff>
    </xdr:to>
    <xdr:pic>
      <xdr:nvPicPr>
        <xdr:cNvPr id="48137" name="Imagen 1">
          <a:extLst>
            <a:ext uri="{FF2B5EF4-FFF2-40B4-BE49-F238E27FC236}">
              <a16:creationId xmlns:a16="http://schemas.microsoft.com/office/drawing/2014/main" id="{41B4D605-41E3-521E-5CDF-A82C5087C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2870"/>
          <a:ext cx="535305" cy="55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535305</xdr:colOff>
      <xdr:row>3</xdr:row>
      <xdr:rowOff>0</xdr:rowOff>
    </xdr:to>
    <xdr:pic>
      <xdr:nvPicPr>
        <xdr:cNvPr id="50180" name="Imagen 1">
          <a:extLst>
            <a:ext uri="{FF2B5EF4-FFF2-40B4-BE49-F238E27FC236}">
              <a16:creationId xmlns:a16="http://schemas.microsoft.com/office/drawing/2014/main" id="{2326E2DD-1F36-13C8-B677-114C50CE3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99060</xdr:rowOff>
    </xdr:from>
    <xdr:to>
      <xdr:col>0</xdr:col>
      <xdr:colOff>611505</xdr:colOff>
      <xdr:row>3</xdr:row>
      <xdr:rowOff>100965</xdr:rowOff>
    </xdr:to>
    <xdr:pic>
      <xdr:nvPicPr>
        <xdr:cNvPr id="38916" name="Imagen 1">
          <a:extLst>
            <a:ext uri="{FF2B5EF4-FFF2-40B4-BE49-F238E27FC236}">
              <a16:creationId xmlns:a16="http://schemas.microsoft.com/office/drawing/2014/main" id="{EFCB9C02-267D-58B9-8575-FA19AEA4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9060"/>
          <a:ext cx="535305" cy="55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611505</xdr:colOff>
      <xdr:row>3</xdr:row>
      <xdr:rowOff>53340</xdr:rowOff>
    </xdr:to>
    <xdr:pic>
      <xdr:nvPicPr>
        <xdr:cNvPr id="14340" name="Imagen 1">
          <a:extLst>
            <a:ext uri="{FF2B5EF4-FFF2-40B4-BE49-F238E27FC236}">
              <a16:creationId xmlns:a16="http://schemas.microsoft.com/office/drawing/2014/main" id="{30F76FBC-3475-98A8-BE3D-D00216FCF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382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550545</xdr:colOff>
      <xdr:row>2</xdr:row>
      <xdr:rowOff>167640</xdr:rowOff>
    </xdr:to>
    <xdr:pic>
      <xdr:nvPicPr>
        <xdr:cNvPr id="15364" name="Imagen 1">
          <a:extLst>
            <a:ext uri="{FF2B5EF4-FFF2-40B4-BE49-F238E27FC236}">
              <a16:creationId xmlns:a16="http://schemas.microsoft.com/office/drawing/2014/main" id="{C61C66AF-E967-1BC5-EFAF-B80A14823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542925</xdr:colOff>
      <xdr:row>2</xdr:row>
      <xdr:rowOff>167640</xdr:rowOff>
    </xdr:to>
    <xdr:pic>
      <xdr:nvPicPr>
        <xdr:cNvPr id="40964" name="Imagen 1">
          <a:extLst>
            <a:ext uri="{FF2B5EF4-FFF2-40B4-BE49-F238E27FC236}">
              <a16:creationId xmlns:a16="http://schemas.microsoft.com/office/drawing/2014/main" id="{91C94751-2757-CBF6-56FD-B060FD3D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535305</xdr:colOff>
      <xdr:row>2</xdr:row>
      <xdr:rowOff>167640</xdr:rowOff>
    </xdr:to>
    <xdr:pic>
      <xdr:nvPicPr>
        <xdr:cNvPr id="16388" name="Imagen 1">
          <a:extLst>
            <a:ext uri="{FF2B5EF4-FFF2-40B4-BE49-F238E27FC236}">
              <a16:creationId xmlns:a16="http://schemas.microsoft.com/office/drawing/2014/main" id="{0E99A7C1-CE4F-1C60-0D0C-BB71AD6C9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2</xdr:row>
      <xdr:rowOff>163830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18A902-BE24-4A5A-B694-0BF56A300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114300</xdr:rowOff>
    </xdr:from>
    <xdr:to>
      <xdr:col>0</xdr:col>
      <xdr:colOff>634365</xdr:colOff>
      <xdr:row>3</xdr:row>
      <xdr:rowOff>80010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138D3A-2576-43FE-A13D-869324A3E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11430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76200</xdr:rowOff>
    </xdr:from>
    <xdr:to>
      <xdr:col>0</xdr:col>
      <xdr:colOff>634365</xdr:colOff>
      <xdr:row>3</xdr:row>
      <xdr:rowOff>41910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29A08F-D208-42C3-8410-0E7B56D75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7620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91440</xdr:rowOff>
    </xdr:from>
    <xdr:to>
      <xdr:col>0</xdr:col>
      <xdr:colOff>575310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65DFF3-041A-4E71-AE5F-03753A5D5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1440"/>
          <a:ext cx="53721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535305</xdr:colOff>
      <xdr:row>2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3BFD5A-682B-403B-B114-D26C5BC2B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533400</xdr:colOff>
      <xdr:row>2</xdr:row>
      <xdr:rowOff>160020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CC4281-272F-4231-9D9E-E373D8E95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0</xdr:col>
      <xdr:colOff>624840</xdr:colOff>
      <xdr:row>3</xdr:row>
      <xdr:rowOff>59055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E06877-E667-4703-8DD6-3D5A684F1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542925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99060</xdr:rowOff>
    </xdr:from>
    <xdr:to>
      <xdr:col>0</xdr:col>
      <xdr:colOff>676275</xdr:colOff>
      <xdr:row>3</xdr:row>
      <xdr:rowOff>66675</xdr:rowOff>
    </xdr:to>
    <xdr:pic>
      <xdr:nvPicPr>
        <xdr:cNvPr id="52233" name="Imagen 1">
          <a:extLst>
            <a:ext uri="{FF2B5EF4-FFF2-40B4-BE49-F238E27FC236}">
              <a16:creationId xmlns:a16="http://schemas.microsoft.com/office/drawing/2014/main" id="{5DA13C41-2F0D-DB41-62A2-FFF5D42BE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99060"/>
          <a:ext cx="5486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1</xdr:col>
      <xdr:colOff>95250</xdr:colOff>
      <xdr:row>3</xdr:row>
      <xdr:rowOff>43815</xdr:rowOff>
    </xdr:to>
    <xdr:pic>
      <xdr:nvPicPr>
        <xdr:cNvPr id="51209" name="Imagen 1">
          <a:extLst>
            <a:ext uri="{FF2B5EF4-FFF2-40B4-BE49-F238E27FC236}">
              <a16:creationId xmlns:a16="http://schemas.microsoft.com/office/drawing/2014/main" id="{04437365-FDC1-2DB2-EE7C-903F09807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99060</xdr:rowOff>
    </xdr:from>
    <xdr:to>
      <xdr:col>1</xdr:col>
      <xdr:colOff>22860</xdr:colOff>
      <xdr:row>3</xdr:row>
      <xdr:rowOff>64770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2BDCB5-7196-4A8E-A8D2-85D1F5743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9906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1</xdr:col>
      <xdr:colOff>133350</xdr:colOff>
      <xdr:row>3</xdr:row>
      <xdr:rowOff>43815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0972BB-380C-4731-BF15-50469677D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620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83820</xdr:rowOff>
    </xdr:from>
    <xdr:to>
      <xdr:col>1</xdr:col>
      <xdr:colOff>9525</xdr:colOff>
      <xdr:row>3</xdr:row>
      <xdr:rowOff>53340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6999CD-99BE-4D1C-9A93-60D636460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382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83820</xdr:rowOff>
    </xdr:from>
    <xdr:to>
      <xdr:col>1</xdr:col>
      <xdr:colOff>19050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48C71D-898A-4CF4-A9AC-C72EB3D49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382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1</xdr:col>
      <xdr:colOff>0</xdr:colOff>
      <xdr:row>3</xdr:row>
      <xdr:rowOff>49530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BE8445-963A-4517-9B9C-BF0BC92E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620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83820</xdr:rowOff>
    </xdr:from>
    <xdr:to>
      <xdr:col>0</xdr:col>
      <xdr:colOff>659130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3D00B4-B325-42BC-B768-FB09A4DD5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382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99060</xdr:rowOff>
    </xdr:from>
    <xdr:to>
      <xdr:col>0</xdr:col>
      <xdr:colOff>624840</xdr:colOff>
      <xdr:row>3</xdr:row>
      <xdr:rowOff>87630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96D6AF-79E4-4EF1-9F67-100A15F5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906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68580</xdr:rowOff>
    </xdr:from>
    <xdr:to>
      <xdr:col>0</xdr:col>
      <xdr:colOff>630555</xdr:colOff>
      <xdr:row>3</xdr:row>
      <xdr:rowOff>34290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BDCAE9-84D1-4FBC-A988-8169131E3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6858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91440</xdr:rowOff>
    </xdr:from>
    <xdr:to>
      <xdr:col>0</xdr:col>
      <xdr:colOff>628650</xdr:colOff>
      <xdr:row>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CBA7D1-BA15-4D65-BEB3-40BDC6EF8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9144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0</xdr:row>
      <xdr:rowOff>81915</xdr:rowOff>
    </xdr:from>
    <xdr:to>
      <xdr:col>0</xdr:col>
      <xdr:colOff>723900</xdr:colOff>
      <xdr:row>3</xdr:row>
      <xdr:rowOff>53340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5C9229-E681-406F-97A2-CEA6257FC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81915"/>
          <a:ext cx="55626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57150</xdr:rowOff>
    </xdr:from>
    <xdr:to>
      <xdr:col>0</xdr:col>
      <xdr:colOff>668655</xdr:colOff>
      <xdr:row>3</xdr:row>
      <xdr:rowOff>20955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6B2E6B-D897-4C96-BED6-C2A421AB1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57150"/>
          <a:ext cx="542925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548640</xdr:colOff>
      <xdr:row>2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97F57E-9386-4F0B-8496-580C56CEC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0</xdr:col>
      <xdr:colOff>630555</xdr:colOff>
      <xdr:row>3</xdr:row>
      <xdr:rowOff>72390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A351CD-631A-4046-B77E-2383BABC3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04775"/>
          <a:ext cx="54864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0</xdr:col>
      <xdr:colOff>666750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6F076F-AE5E-4ABB-A239-EB7138EDA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5725"/>
          <a:ext cx="54864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123825</xdr:rowOff>
    </xdr:from>
    <xdr:to>
      <xdr:col>0</xdr:col>
      <xdr:colOff>649605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12B82-6B2F-4DFA-9581-6898DAB99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23825"/>
          <a:ext cx="54483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548640</xdr:colOff>
      <xdr:row>2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F42585-E4DE-416C-ABAD-0BC413C05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0</xdr:col>
      <xdr:colOff>685800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98B150-A658-4C11-83B3-D2C20D02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14300"/>
          <a:ext cx="5524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95250</xdr:rowOff>
    </xdr:from>
    <xdr:to>
      <xdr:col>0</xdr:col>
      <xdr:colOff>628650</xdr:colOff>
      <xdr:row>3</xdr:row>
      <xdr:rowOff>55245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866A4E-49AF-459D-8DCE-49D0091B4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0"/>
          <a:ext cx="53911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114300</xdr:rowOff>
    </xdr:from>
    <xdr:to>
      <xdr:col>0</xdr:col>
      <xdr:colOff>624840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41A07B-266E-470B-9C12-51B27D0CF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14300"/>
          <a:ext cx="542925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0</xdr:col>
      <xdr:colOff>647700</xdr:colOff>
      <xdr:row>3</xdr:row>
      <xdr:rowOff>34290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258CED-3351-401B-9AB0-3A72E822F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5"/>
          <a:ext cx="55245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95250</xdr:rowOff>
    </xdr:from>
    <xdr:to>
      <xdr:col>0</xdr:col>
      <xdr:colOff>685800</xdr:colOff>
      <xdr:row>3</xdr:row>
      <xdr:rowOff>55245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AC621C-0FAC-46B9-A752-EE09FA29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95250"/>
          <a:ext cx="55245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548640</xdr:colOff>
      <xdr:row>2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6939C2-9FD7-4E17-838A-98BFBAC89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66675</xdr:rowOff>
    </xdr:from>
    <xdr:to>
      <xdr:col>0</xdr:col>
      <xdr:colOff>668655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CCF96F-BD03-4ACD-B1A8-5EA2EEDE8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6675"/>
          <a:ext cx="5334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0</xdr:col>
      <xdr:colOff>630555</xdr:colOff>
      <xdr:row>3</xdr:row>
      <xdr:rowOff>59055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5EB766-2338-4BAE-86E0-040117245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5250"/>
          <a:ext cx="54483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95250</xdr:rowOff>
    </xdr:from>
    <xdr:to>
      <xdr:col>0</xdr:col>
      <xdr:colOff>664845</xdr:colOff>
      <xdr:row>3</xdr:row>
      <xdr:rowOff>55245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955DD6-A004-4D1C-BE0C-C4F995E0A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54864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99060</xdr:rowOff>
    </xdr:from>
    <xdr:to>
      <xdr:col>0</xdr:col>
      <xdr:colOff>649605</xdr:colOff>
      <xdr:row>3</xdr:row>
      <xdr:rowOff>59055</xdr:rowOff>
    </xdr:to>
    <xdr:pic>
      <xdr:nvPicPr>
        <xdr:cNvPr id="49156" name="Imagen 1">
          <a:extLst>
            <a:ext uri="{FF2B5EF4-FFF2-40B4-BE49-F238E27FC236}">
              <a16:creationId xmlns:a16="http://schemas.microsoft.com/office/drawing/2014/main" id="{0C914208-821D-A219-9184-E1A189422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906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225E05-FE1C-460C-BC84-CEC5AC047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43AFCD-EF9B-4CB3-B1A6-EDAA22310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3137D8-1478-4197-A5AC-06CB3EFC3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CB5F00-8ADA-4DE1-875F-3A9C67E1F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F621BC-99CA-416B-9D6C-F1F779F5A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855289-FFE1-44EC-99BC-B507B41A2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D66B64-E6E2-4E92-9F8A-86F78848A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521970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457568-F750-404C-B037-813E5A73A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340538-44F2-48FD-9D32-AC8E8E3C9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591EB8-F086-4D8E-9037-FFE534C3E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F32BB3-D4BA-4B4B-8CEA-35EBA2B64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E8F17A-1F6F-46DF-B945-1675898FA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EE16DA-4FD1-453B-AF52-5E8DC7496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ADE932-DD2A-4165-BFE6-7462A0F9B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01EA85-449C-4204-AF1A-60544A55E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0</xdr:col>
      <xdr:colOff>624840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9FA97D-07E2-48E2-A925-546E834F3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6675"/>
          <a:ext cx="53911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99060</xdr:rowOff>
    </xdr:from>
    <xdr:to>
      <xdr:col>0</xdr:col>
      <xdr:colOff>735330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7E1ED3-748C-4964-BC3D-D583674A4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9906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11430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6504EC-BB22-47DB-B91A-1D96DD43F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0</xdr:col>
      <xdr:colOff>588645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D12B67-D2C2-46E0-88F5-CF603C794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810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</xdr:colOff>
      <xdr:row>0</xdr:row>
      <xdr:rowOff>47625</xdr:rowOff>
    </xdr:from>
    <xdr:to>
      <xdr:col>0</xdr:col>
      <xdr:colOff>739140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514440-E424-4FD7-8343-6A1C07862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47625"/>
          <a:ext cx="5334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74295</xdr:rowOff>
    </xdr:from>
    <xdr:to>
      <xdr:col>0</xdr:col>
      <xdr:colOff>628650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976C0E-DF14-4254-87C8-DD8D66A0E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4295"/>
          <a:ext cx="55245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586740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08D2A4-20F8-4932-A852-DF8B89E40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586740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F0B357-B7B5-4D22-8DC6-A7B804EAF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AB40FB-E5AF-4F6D-9DB7-EB17D0CA7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1BA7F7-693D-43A2-92E0-750C1C394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980868-C220-4DF9-B9F6-C20D5EEA2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0E730D-A643-4C42-BDD4-0BA7E858F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542925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DE2D10-5771-4E82-BB63-F3B33F81D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5305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99060</xdr:rowOff>
    </xdr:from>
    <xdr:to>
      <xdr:col>0</xdr:col>
      <xdr:colOff>634365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53CA67-5088-4F8B-9550-D65597192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99060"/>
          <a:ext cx="54483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544830</xdr:colOff>
      <xdr:row>2</xdr:row>
      <xdr:rowOff>160020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F94931-AFCD-432F-83CF-D04FA7AED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586740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94570D-05D8-446A-9CCA-F9E6D308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4864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586740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6E6599-C81C-41D4-9E71-CDFB84FAE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4864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A36666-42A6-414A-8537-AB2D3E179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4102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articulo.mercadolibre.com.ar/MLA-695124291-niveladores-porcelanato-1050-arcos-150-cunas-_JM?matt_tool=62476992&amp;matt_word=&amp;matt_source=google&amp;matt_campaign_id=14508409193&amp;matt_ad_group_id=144413706239&amp;matt_match_type=&amp;matt_network=g&amp;matt_device=c&amp;matt_creative=644633625334&amp;matt_keyword=&amp;matt_ad_position=&amp;matt_ad_type=pla&amp;matt_merchant_id=310094797&amp;matt_product_id=MLA695124291&amp;matt_product_partition_id=2163484155058&amp;matt_target_id=aud-1925157273100:pla-2163484155058&amp;cq_src=google_ads&amp;cq_cmp=14508409193&amp;cq_net=g&amp;cq_plt=gp&amp;cq_med=pla&amp;gad_source=1&amp;gclid=Cj0KCQiAu8W6BhC-ARIsACEQoDDep1arVYfWC4pApbNWm2DE8Ln37JRVhHUMtagELBFNL57Db29AZ20aAsBIEALw_wcB" TargetMode="External"/><Relationship Id="rId1" Type="http://schemas.openxmlformats.org/officeDocument/2006/relationships/hyperlink" Target="https://articulo.mercadolibre.com.ar/MLA-1239468887-sika-poro-plus-espumigeno-para-hormigon-10-kg-_J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9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0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1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3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4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2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2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28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29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30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31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32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33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3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35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36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37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38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39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40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41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42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43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4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4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4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2:P90"/>
  <sheetViews>
    <sheetView zoomScaleNormal="100" workbookViewId="0">
      <pane xSplit="4" ySplit="7" topLeftCell="E73" activePane="bottomRight" state="frozen"/>
      <selection pane="topRight" activeCell="E1" sqref="E1"/>
      <selection pane="bottomLeft" activeCell="A8" sqref="A8"/>
      <selection pane="bottomRight" activeCell="D81" sqref="D81"/>
    </sheetView>
  </sheetViews>
  <sheetFormatPr defaultColWidth="11.453125" defaultRowHeight="14.5" outlineLevelCol="1" x14ac:dyDescent="0.35"/>
  <cols>
    <col min="1" max="1" width="8.6328125" style="820" bestFit="1" customWidth="1"/>
    <col min="2" max="2" width="5.36328125" style="820" bestFit="1" customWidth="1"/>
    <col min="3" max="3" width="7.6328125" style="814" bestFit="1" customWidth="1"/>
    <col min="4" max="4" width="58.36328125" style="820" customWidth="1"/>
    <col min="5" max="5" width="4.6328125" style="831" customWidth="1"/>
    <col min="6" max="6" width="17.90625" style="820" bestFit="1" customWidth="1"/>
    <col min="7" max="7" width="4" style="820" hidden="1" customWidth="1" outlineLevel="1"/>
    <col min="8" max="8" width="3.36328125" style="820" hidden="1" customWidth="1" outlineLevel="1"/>
    <col min="9" max="9" width="20.6328125" style="820" bestFit="1" customWidth="1" collapsed="1"/>
    <col min="10" max="11" width="3.08984375" style="820" hidden="1" customWidth="1" outlineLevel="1"/>
    <col min="12" max="12" width="15.6328125" style="820" bestFit="1" customWidth="1" collapsed="1"/>
    <col min="13" max="13" width="11.453125" style="820" bestFit="1" customWidth="1"/>
    <col min="14" max="14" width="2.6328125" style="820" customWidth="1"/>
    <col min="15" max="15" width="6.6328125" style="820" bestFit="1" customWidth="1"/>
    <col min="16" max="16" width="3.453125" style="820" customWidth="1"/>
    <col min="17" max="16384" width="11.453125" style="820"/>
  </cols>
  <sheetData>
    <row r="2" spans="1:16" x14ac:dyDescent="0.35">
      <c r="E2" s="821"/>
      <c r="F2" s="822" t="s">
        <v>0</v>
      </c>
      <c r="G2" s="822"/>
      <c r="H2" s="822"/>
      <c r="I2" s="823">
        <v>0</v>
      </c>
      <c r="J2" s="824"/>
      <c r="K2" s="824"/>
      <c r="L2" s="825" t="s">
        <v>1</v>
      </c>
      <c r="M2" s="826" t="s">
        <v>2</v>
      </c>
    </row>
    <row r="3" spans="1:16" x14ac:dyDescent="0.35">
      <c r="E3" s="827"/>
      <c r="F3" s="828" t="s">
        <v>3</v>
      </c>
      <c r="G3" s="828"/>
      <c r="H3" s="828"/>
      <c r="I3" s="829">
        <v>0</v>
      </c>
      <c r="J3" s="824"/>
      <c r="K3" s="824"/>
      <c r="L3" s="825" t="s">
        <v>4</v>
      </c>
      <c r="M3" s="830">
        <v>2024</v>
      </c>
    </row>
    <row r="4" spans="1:16" x14ac:dyDescent="0.35">
      <c r="I4" s="832"/>
      <c r="L4" s="825" t="s">
        <v>5</v>
      </c>
      <c r="M4" s="826" t="s">
        <v>6</v>
      </c>
    </row>
    <row r="5" spans="1:16" s="839" customFormat="1" x14ac:dyDescent="0.35">
      <c r="A5" s="833"/>
      <c r="B5" s="834"/>
      <c r="C5" s="815"/>
      <c r="D5" s="835" t="s">
        <v>7</v>
      </c>
      <c r="E5" s="835"/>
      <c r="F5" s="835"/>
      <c r="G5" s="836"/>
      <c r="H5" s="836"/>
      <c r="I5" s="834"/>
      <c r="J5" s="834"/>
      <c r="K5" s="834"/>
      <c r="L5" s="837"/>
      <c r="M5" s="838"/>
      <c r="P5" s="840"/>
    </row>
    <row r="6" spans="1:16" x14ac:dyDescent="0.35">
      <c r="F6" s="876" t="s">
        <v>8</v>
      </c>
      <c r="G6" s="876"/>
      <c r="H6" s="876"/>
      <c r="I6" s="876"/>
      <c r="J6" s="876"/>
      <c r="K6" s="876"/>
      <c r="L6" s="876"/>
      <c r="M6" s="841"/>
    </row>
    <row r="7" spans="1:16" ht="14" customHeight="1" x14ac:dyDescent="0.35">
      <c r="F7" s="842" t="s">
        <v>9</v>
      </c>
      <c r="G7" s="842"/>
      <c r="H7" s="842"/>
      <c r="I7" s="842" t="s">
        <v>10</v>
      </c>
      <c r="J7" s="842"/>
      <c r="K7" s="842"/>
      <c r="L7" s="842" t="s">
        <v>11</v>
      </c>
      <c r="O7" s="826" t="s">
        <v>12</v>
      </c>
    </row>
    <row r="8" spans="1:16" x14ac:dyDescent="0.35">
      <c r="A8" s="816" t="s">
        <v>13</v>
      </c>
      <c r="B8" s="816" t="s">
        <v>14</v>
      </c>
      <c r="C8" s="816" t="s">
        <v>15</v>
      </c>
      <c r="D8" s="816" t="s">
        <v>16</v>
      </c>
      <c r="E8" s="843" t="s">
        <v>17</v>
      </c>
      <c r="F8" s="816" t="s">
        <v>18</v>
      </c>
      <c r="G8" s="844"/>
      <c r="H8" s="845"/>
      <c r="I8" s="816" t="s">
        <v>19</v>
      </c>
      <c r="J8" s="844"/>
      <c r="K8" s="845"/>
      <c r="L8" s="816" t="s">
        <v>20</v>
      </c>
      <c r="M8" s="846" t="s">
        <v>21</v>
      </c>
      <c r="O8" s="847" t="s">
        <v>22</v>
      </c>
    </row>
    <row r="9" spans="1:16" x14ac:dyDescent="0.35">
      <c r="A9" s="848"/>
      <c r="B9" s="849" t="s">
        <v>23</v>
      </c>
      <c r="C9" s="817">
        <v>32</v>
      </c>
      <c r="D9" s="850" t="str">
        <f>+VLOOKUP("Partida:",'P-32'!$A$7:$G$7,2,FALSE)</f>
        <v>Movimiento de suelos para bases c/ aporte de tosca (e: 40 cm en 2 capas de 20 cm)</v>
      </c>
      <c r="E9" s="851" t="str">
        <f>+'P-32'!$C$9</f>
        <v>m3</v>
      </c>
      <c r="F9" s="850">
        <f>+VLOOKUP(F$7,'P-32'!F11:G65536,2,FALSE)</f>
        <v>12754.6733337154</v>
      </c>
      <c r="G9" s="850"/>
      <c r="H9" s="850"/>
      <c r="I9" s="850">
        <f>+VLOOKUP(I$7,'P-32'!F11:G65536,2,FALSE)</f>
        <v>6056.8067517257587</v>
      </c>
      <c r="J9" s="850"/>
      <c r="K9" s="850"/>
      <c r="L9" s="850">
        <f>+VLOOKUP(L$7,'P-32'!F11:G65536,2,FALSE)</f>
        <v>34605.5</v>
      </c>
      <c r="M9" s="852">
        <f>SUM(F9:L9)</f>
        <v>53416.980085441159</v>
      </c>
      <c r="O9" s="820">
        <f>+'P-32'!$F$9</f>
        <v>25</v>
      </c>
    </row>
    <row r="10" spans="1:16" x14ac:dyDescent="0.35">
      <c r="A10" s="853" t="s">
        <v>24</v>
      </c>
      <c r="B10" s="853" t="s">
        <v>23</v>
      </c>
      <c r="C10" s="818">
        <v>33</v>
      </c>
      <c r="D10" s="854" t="str">
        <f>+VLOOKUP("Partida:",'P-33'!$A$7:$G$7,2,FALSE)</f>
        <v>Ladrillo común 12,5 x 5,5 x 25 (e:15 cm)</v>
      </c>
      <c r="E10" s="855" t="str">
        <f>+'P-33'!$C$9</f>
        <v>m2</v>
      </c>
      <c r="F10" s="854">
        <f>+VLOOKUP(F$7,'P-33'!F11:G65539,2,FALSE)</f>
        <v>12909.380278326502</v>
      </c>
      <c r="G10" s="854"/>
      <c r="H10" s="854"/>
      <c r="I10" s="854">
        <f>+VLOOKUP(I$7,'P-33'!F11:G65539,2,FALSE)</f>
        <v>20969.668276163422</v>
      </c>
      <c r="J10" s="854"/>
      <c r="K10" s="854"/>
      <c r="L10" s="854">
        <f>+VLOOKUP(L$7,'P-33'!F11:G65539,2,FALSE)</f>
        <v>504.28266953387617</v>
      </c>
      <c r="M10" s="856">
        <f t="shared" ref="M10:M47" si="0">SUM(F10:L10)</f>
        <v>34383.331224023801</v>
      </c>
      <c r="O10" s="820">
        <f>+'P-33'!$F$9</f>
        <v>7</v>
      </c>
    </row>
    <row r="11" spans="1:16" x14ac:dyDescent="0.35">
      <c r="A11" s="853" t="s">
        <v>24</v>
      </c>
      <c r="B11" s="853" t="s">
        <v>23</v>
      </c>
      <c r="C11" s="818">
        <v>34</v>
      </c>
      <c r="D11" s="854" t="str">
        <f>+VLOOKUP("Partida:",'P-34'!$A$7:$G$7,2,FALSE)</f>
        <v>Ladrillo cerámico 8 x 18 x 33 cm</v>
      </c>
      <c r="E11" s="855" t="str">
        <f>+'P-34'!$C$9</f>
        <v>m2</v>
      </c>
      <c r="F11" s="854">
        <f>+VLOOKUP(F$7,'P-34'!$F11:$G65539,2,FALSE)</f>
        <v>6590.9962250622011</v>
      </c>
      <c r="G11" s="854"/>
      <c r="H11" s="854"/>
      <c r="I11" s="854">
        <f>+VLOOKUP(I$7,'P-34'!$F11:$G65539,2,FALSE)</f>
        <v>9785.84519554293</v>
      </c>
      <c r="J11" s="854"/>
      <c r="K11" s="854"/>
      <c r="L11" s="854">
        <f>+VLOOKUP(L$7,'P-34'!$F11:$G65539,2,FALSE)</f>
        <v>235.33191244914221</v>
      </c>
      <c r="M11" s="856">
        <f t="shared" si="0"/>
        <v>16612.173333054274</v>
      </c>
      <c r="O11" s="820">
        <f>+'P-34'!$F$9</f>
        <v>15</v>
      </c>
    </row>
    <row r="12" spans="1:16" x14ac:dyDescent="0.35">
      <c r="A12" s="853" t="s">
        <v>24</v>
      </c>
      <c r="B12" s="853" t="s">
        <v>23</v>
      </c>
      <c r="C12" s="818">
        <v>35</v>
      </c>
      <c r="D12" s="854" t="str">
        <f>+VLOOKUP("Partida:",'P-35'!$A$7:$G$7,2,FALSE)</f>
        <v xml:space="preserve">Ladrillo cerámico 12 x 18 x 33 cm </v>
      </c>
      <c r="E12" s="855" t="str">
        <f>+'P-35'!$C$9</f>
        <v>m2</v>
      </c>
      <c r="F12" s="854">
        <f>+VLOOKUP(F$7,'P-35'!$F11:$G65539,2,FALSE)</f>
        <v>8314.4980560000004</v>
      </c>
      <c r="G12" s="854"/>
      <c r="H12" s="854"/>
      <c r="I12" s="854">
        <f>+VLOOKUP(I$7,'P-35'!$F11:$G65539,2,FALSE)</f>
        <v>9785.84519554293</v>
      </c>
      <c r="J12" s="854"/>
      <c r="K12" s="854"/>
      <c r="L12" s="854">
        <f>+VLOOKUP(L$7,'P-35'!$F11:$G65539,2,FALSE)</f>
        <v>235.33191244914221</v>
      </c>
      <c r="M12" s="856">
        <f t="shared" si="0"/>
        <v>18335.675163992073</v>
      </c>
      <c r="O12" s="820">
        <f>+'P-35'!$F$9</f>
        <v>15</v>
      </c>
    </row>
    <row r="13" spans="1:16" x14ac:dyDescent="0.35">
      <c r="A13" s="853" t="s">
        <v>24</v>
      </c>
      <c r="B13" s="853" t="s">
        <v>23</v>
      </c>
      <c r="C13" s="818">
        <v>36</v>
      </c>
      <c r="D13" s="854" t="str">
        <f>+VLOOKUP("Partida:",'P-36'!$A$7:$G$7,2,FALSE)</f>
        <v>Ladrillo cerámico 18 x 18 x 33 cm</v>
      </c>
      <c r="E13" s="855" t="str">
        <f>+'P-36'!$C$9</f>
        <v>m2</v>
      </c>
      <c r="F13" s="854">
        <f>+VLOOKUP(F$7,'P-36'!$F11:$G65539,2,FALSE)</f>
        <v>11492.440370891401</v>
      </c>
      <c r="G13" s="854"/>
      <c r="H13" s="854"/>
      <c r="I13" s="854">
        <f>+VLOOKUP(I$7,'P-36'!$F11:$G65539,2,FALSE)</f>
        <v>9785.84519554293</v>
      </c>
      <c r="J13" s="854"/>
      <c r="K13" s="854"/>
      <c r="L13" s="854">
        <f>+VLOOKUP(L$7,'P-36'!$F11:$G65539,2,FALSE)</f>
        <v>235.33191244914221</v>
      </c>
      <c r="M13" s="856">
        <f t="shared" si="0"/>
        <v>21513.617478883472</v>
      </c>
      <c r="O13" s="820">
        <f>+'P-36'!$F$9</f>
        <v>15</v>
      </c>
    </row>
    <row r="14" spans="1:16" x14ac:dyDescent="0.35">
      <c r="A14" s="853" t="s">
        <v>24</v>
      </c>
      <c r="B14" s="853" t="s">
        <v>23</v>
      </c>
      <c r="C14" s="818">
        <v>37</v>
      </c>
      <c r="D14" s="857" t="str">
        <f>+VLOOKUP("Partida:",'P-37'!$A$7:$G$7,2,FALSE)</f>
        <v>Pared DOBLE Comun / 5 / LHC 08 - (ladrillo a la vista)</v>
      </c>
      <c r="E14" s="855" t="str">
        <f>+'P-37'!$C$9</f>
        <v>m2</v>
      </c>
      <c r="F14" s="854">
        <f>+VLOOKUP(F$7,'P-37'!$F11:$G65553,2,FALSE)</f>
        <v>27983.302211670431</v>
      </c>
      <c r="G14" s="854"/>
      <c r="H14" s="854"/>
      <c r="I14" s="854">
        <f>+VLOOKUP(I$7,'P-37'!$F11:$G65553,2,FALSE)</f>
        <v>35327.556415813116</v>
      </c>
      <c r="J14" s="854"/>
      <c r="K14" s="854"/>
      <c r="L14" s="854">
        <f>+VLOOKUP(L$7,'P-37'!$F11:$G65553,2,FALSE)</f>
        <v>882.49467168428328</v>
      </c>
      <c r="M14" s="858">
        <f t="shared" si="0"/>
        <v>64193.353299167829</v>
      </c>
      <c r="O14" s="820">
        <f>+'P-37'!$F$9</f>
        <v>4</v>
      </c>
    </row>
    <row r="15" spans="1:16" x14ac:dyDescent="0.35">
      <c r="A15" s="853" t="s">
        <v>24</v>
      </c>
      <c r="B15" s="853" t="s">
        <v>23</v>
      </c>
      <c r="C15" s="818">
        <v>38</v>
      </c>
      <c r="D15" s="854" t="str">
        <f>+VLOOKUP("Partida:",'P-38'!$A$7:$G$7,2,FALSE)</f>
        <v>Ladrillo hueco portante 12 x 19 x 33</v>
      </c>
      <c r="E15" s="855" t="str">
        <f>+'P-38'!$C$9</f>
        <v>m2</v>
      </c>
      <c r="F15" s="854">
        <f>+VLOOKUP(F$7,'P-38'!$F11:$G65539,2,FALSE)</f>
        <v>11547.8937354768</v>
      </c>
      <c r="G15" s="854"/>
      <c r="H15" s="854"/>
      <c r="I15" s="854">
        <f>+VLOOKUP(I$7,'P-38'!$F11:$G65539,2,FALSE)</f>
        <v>9785.84519554293</v>
      </c>
      <c r="J15" s="854"/>
      <c r="K15" s="854"/>
      <c r="L15" s="854">
        <f>+VLOOKUP(L$7,'P-38'!$F11:$G65539,2,FALSE)</f>
        <v>235.33191244914221</v>
      </c>
      <c r="M15" s="858">
        <f t="shared" si="0"/>
        <v>21569.070843468875</v>
      </c>
      <c r="O15" s="820">
        <f>+'P-38'!$F$9</f>
        <v>15</v>
      </c>
    </row>
    <row r="16" spans="1:16" x14ac:dyDescent="0.35">
      <c r="A16" s="853" t="s">
        <v>24</v>
      </c>
      <c r="B16" s="853" t="s">
        <v>23</v>
      </c>
      <c r="C16" s="818">
        <v>39</v>
      </c>
      <c r="D16" s="854" t="str">
        <f>+VLOOKUP("Partida:",'P-39'!$A$7:$G$7,2,FALSE)</f>
        <v>Amure puertas tipo (0,90 x 2,00 m)</v>
      </c>
      <c r="E16" s="855" t="str">
        <f>+'P-39'!$C$9</f>
        <v>u</v>
      </c>
      <c r="F16" s="854">
        <f>+VLOOKUP(F$7,'P-39'!$F11:$G65537,2,FALSE)</f>
        <v>4066.3295639999997</v>
      </c>
      <c r="G16" s="854"/>
      <c r="H16" s="854"/>
      <c r="I16" s="854">
        <f>+VLOOKUP(I$7,'P-39'!$F11:$G65537,2,FALSE)</f>
        <v>55045.379224928984</v>
      </c>
      <c r="J16" s="854"/>
      <c r="K16" s="854"/>
      <c r="L16" s="854">
        <f>+VLOOKUP(L$7,'P-39'!$F11:$G65537,2,FALSE)</f>
        <v>405.54861765584405</v>
      </c>
      <c r="M16" s="858">
        <f t="shared" si="0"/>
        <v>59517.257406584824</v>
      </c>
      <c r="O16" s="820">
        <f>+'P-39'!$F$9</f>
        <v>2</v>
      </c>
    </row>
    <row r="17" spans="1:15" x14ac:dyDescent="0.35">
      <c r="A17" s="853" t="s">
        <v>24</v>
      </c>
      <c r="B17" s="853" t="s">
        <v>23</v>
      </c>
      <c r="C17" s="818">
        <v>40</v>
      </c>
      <c r="D17" s="854" t="str">
        <f>+VLOOKUP("Partida:",'P-40'!$A$7:$G$7,2,FALSE)</f>
        <v>Amure Premarcos</v>
      </c>
      <c r="E17" s="855" t="str">
        <f>+'P-40'!$C$9</f>
        <v>u</v>
      </c>
      <c r="F17" s="854">
        <f>+VLOOKUP(F$7,'P-40'!$F11:$G65537,2,FALSE)</f>
        <v>1487.9069540999999</v>
      </c>
      <c r="G17" s="854"/>
      <c r="H17" s="854"/>
      <c r="I17" s="854">
        <f>+VLOOKUP(I$7,'P-40'!$F11:$G65537,2,FALSE)</f>
        <v>36696.919483285987</v>
      </c>
      <c r="J17" s="854"/>
      <c r="K17" s="854"/>
      <c r="L17" s="854">
        <f>+VLOOKUP(L$7,'P-40'!$F11:$G65537,2,FALSE)</f>
        <v>202.77430882792203</v>
      </c>
      <c r="M17" s="858">
        <f t="shared" si="0"/>
        <v>38387.60074621391</v>
      </c>
      <c r="O17" s="820">
        <f>+'P-40'!$F$9</f>
        <v>4</v>
      </c>
    </row>
    <row r="18" spans="1:15" x14ac:dyDescent="0.35">
      <c r="A18" s="853" t="s">
        <v>24</v>
      </c>
      <c r="B18" s="853" t="s">
        <v>23</v>
      </c>
      <c r="C18" s="818">
        <v>41</v>
      </c>
      <c r="D18" s="854" t="str">
        <f>+VLOOKUP("Partida:",'P-41'!$A$7:$G$7,2,FALSE)</f>
        <v>Amure barandas (insertos c/1,00 m)</v>
      </c>
      <c r="E18" s="855" t="str">
        <f>+'P-41'!$C$9</f>
        <v>ml</v>
      </c>
      <c r="F18" s="854">
        <f>+VLOOKUP(F$7,'P-41'!$F11:$G65538,2,FALSE)</f>
        <v>308.02446447300008</v>
      </c>
      <c r="G18" s="854"/>
      <c r="H18" s="854"/>
      <c r="I18" s="854">
        <f>+VLOOKUP(I$7,'P-41'!$F11:$G65538,2,FALSE)</f>
        <v>29357.53558662879</v>
      </c>
      <c r="J18" s="854"/>
      <c r="K18" s="854"/>
      <c r="L18" s="854">
        <f>+VLOOKUP(L$7,'P-41'!$F11:$G65538,2,FALSE)</f>
        <v>276.57623431717786</v>
      </c>
      <c r="M18" s="858">
        <f t="shared" si="0"/>
        <v>29942.136285418968</v>
      </c>
      <c r="O18" s="820">
        <f>+'P-41'!$F$9</f>
        <v>5</v>
      </c>
    </row>
    <row r="19" spans="1:15" x14ac:dyDescent="0.35">
      <c r="A19" s="853" t="s">
        <v>24</v>
      </c>
      <c r="B19" s="853" t="s">
        <v>23</v>
      </c>
      <c r="C19" s="818">
        <v>42</v>
      </c>
      <c r="D19" s="854" t="str">
        <f>+VLOOKUP("Partida:",'P-42'!$A$7:$G$7,2,FALSE)</f>
        <v xml:space="preserve">Azotado hidrófugo </v>
      </c>
      <c r="E19" s="855" t="str">
        <f>+'P-42'!$C$9</f>
        <v>m2</v>
      </c>
      <c r="F19" s="854">
        <f>+VLOOKUP(F$7,'P-42'!$F11:$G65537,2,FALSE)</f>
        <v>809.61503400000015</v>
      </c>
      <c r="G19" s="854"/>
      <c r="H19" s="854"/>
      <c r="I19" s="854">
        <f>+VLOOKUP(I$7,'P-42'!$F11:$G65537,2,FALSE)</f>
        <v>3938.2617666857413</v>
      </c>
      <c r="J19" s="854"/>
      <c r="K19" s="854"/>
      <c r="L19" s="854">
        <f>+VLOOKUP(L$7,'P-42'!$F11:$G65537,2,FALSE)</f>
        <v>126.07066738346904</v>
      </c>
      <c r="M19" s="858">
        <f t="shared" si="0"/>
        <v>4873.947468069211</v>
      </c>
      <c r="O19" s="820">
        <f>+'P-42'!$F$9</f>
        <v>28</v>
      </c>
    </row>
    <row r="20" spans="1:15" x14ac:dyDescent="0.35">
      <c r="A20" s="853" t="s">
        <v>24</v>
      </c>
      <c r="B20" s="853" t="s">
        <v>23</v>
      </c>
      <c r="C20" s="818">
        <v>43</v>
      </c>
      <c r="D20" s="854" t="str">
        <f>+VLOOKUP("Partida:",'P-43'!$A$7:$G$7,2,FALSE)</f>
        <v>Interior jaharro a la cal + Enlucido a la cal</v>
      </c>
      <c r="E20" s="855" t="str">
        <f>+'P-43'!$C$9</f>
        <v>m2</v>
      </c>
      <c r="F20" s="854">
        <f>+VLOOKUP(F$7,'P-43'!$F11:$G65540,2,FALSE)</f>
        <v>2735.3164410000004</v>
      </c>
      <c r="G20" s="854"/>
      <c r="H20" s="854"/>
      <c r="I20" s="854">
        <f>+VLOOKUP(I$7,'P-43'!$F11:$G65540,2,FALSE)</f>
        <v>20914.412443557292</v>
      </c>
      <c r="J20" s="854"/>
      <c r="K20" s="854"/>
      <c r="L20" s="854">
        <f>+VLOOKUP(L$7,'P-43'!$F11:$G65540,2,FALSE)</f>
        <v>588.32978112285548</v>
      </c>
      <c r="M20" s="858">
        <f t="shared" si="0"/>
        <v>24238.058665680146</v>
      </c>
      <c r="O20" s="820">
        <f>+'P-43'!$F$9</f>
        <v>6</v>
      </c>
    </row>
    <row r="21" spans="1:15" x14ac:dyDescent="0.35">
      <c r="A21" s="853" t="s">
        <v>24</v>
      </c>
      <c r="B21" s="853" t="s">
        <v>23</v>
      </c>
      <c r="C21" s="818">
        <v>44</v>
      </c>
      <c r="D21" s="854" t="str">
        <f>+VLOOKUP("Partida:",'P-44'!$A$7:$G$7,2,FALSE)</f>
        <v>Revoque Grueso impermeable Exterior hasta 3.00 m - Incl. Azotado hidrófugo</v>
      </c>
      <c r="E21" s="855" t="str">
        <f>+'P-44'!$C$9</f>
        <v>m2</v>
      </c>
      <c r="F21" s="854">
        <f>+VLOOKUP(F$7,'P-44'!$F11:$G65540,2,FALSE)</f>
        <v>4009.2266140000002</v>
      </c>
      <c r="G21" s="854"/>
      <c r="H21" s="854"/>
      <c r="I21" s="854">
        <f>+VLOOKUP(I$7,'P-44'!$F11:$G65540,2,FALSE)</f>
        <v>10647.256141088275</v>
      </c>
      <c r="J21" s="854"/>
      <c r="K21" s="854"/>
      <c r="L21" s="854">
        <f>+VLOOKUP(L$7,'P-44'!$F11:$G65540,2,FALSE)</f>
        <v>306.95466841192462</v>
      </c>
      <c r="M21" s="858">
        <f t="shared" si="0"/>
        <v>14963.437423500201</v>
      </c>
      <c r="O21" s="820">
        <f>+'P-44'!$F$9</f>
        <v>11.5</v>
      </c>
    </row>
    <row r="22" spans="1:15" x14ac:dyDescent="0.35">
      <c r="A22" s="853" t="s">
        <v>24</v>
      </c>
      <c r="B22" s="853" t="s">
        <v>23</v>
      </c>
      <c r="C22" s="818">
        <v>45</v>
      </c>
      <c r="D22" s="854" t="str">
        <f>+VLOOKUP("Partida:",'P-45'!$A$7:$G$7,2,FALSE)</f>
        <v>Revoque Grueso impermeable Exterior a mas de 3.00 m - Incl. Azotado hidrófugo</v>
      </c>
      <c r="E22" s="855" t="str">
        <f>+'P-45'!$C$9</f>
        <v>m2</v>
      </c>
      <c r="F22" s="854">
        <f>+VLOOKUP(F$7,'P-45'!$F11:$G65540,2,FALSE)</f>
        <v>4009.2266140000002</v>
      </c>
      <c r="G22" s="854"/>
      <c r="H22" s="854"/>
      <c r="I22" s="854">
        <f>+VLOOKUP(I$7,'P-45'!$F11:$G65540,2,FALSE)</f>
        <v>15305.430702814396</v>
      </c>
      <c r="J22" s="854"/>
      <c r="K22" s="854"/>
      <c r="L22" s="854">
        <f>+VLOOKUP(L$7,'P-45'!$F11:$G65540,2,FALSE)</f>
        <v>769.31526348917725</v>
      </c>
      <c r="M22" s="858">
        <f t="shared" si="0"/>
        <v>20083.972580303573</v>
      </c>
      <c r="O22" s="820">
        <f>+'P-45'!$F$9</f>
        <v>8</v>
      </c>
    </row>
    <row r="23" spans="1:15" x14ac:dyDescent="0.35">
      <c r="A23" s="853" t="s">
        <v>24</v>
      </c>
      <c r="B23" s="859" t="s">
        <v>23</v>
      </c>
      <c r="C23" s="818">
        <v>46</v>
      </c>
      <c r="D23" s="854" t="str">
        <f>+VLOOKUP("Partida:",'P-46'!$A$7:$G$7,2,FALSE)</f>
        <v>Contrapiso HHRP</v>
      </c>
      <c r="E23" s="855" t="str">
        <f>+'P-46'!$C$9</f>
        <v>m3</v>
      </c>
      <c r="F23" s="857">
        <f>+VLOOKUP(F$7,'P-46'!$F11:$G65534,2,FALSE)</f>
        <v>67465.638889000023</v>
      </c>
      <c r="G23" s="857"/>
      <c r="H23" s="857"/>
      <c r="I23" s="857">
        <f>+VLOOKUP(I$7,'P-46'!$F11:$G65534,2,FALSE)</f>
        <v>89504.216888572118</v>
      </c>
      <c r="J23" s="854"/>
      <c r="K23" s="854"/>
      <c r="L23" s="854">
        <f>+VLOOKUP(L$7,'P-46'!$F11:$G65540,2,FALSE)</f>
        <v>2317.4206723191091</v>
      </c>
      <c r="M23" s="858">
        <f t="shared" si="0"/>
        <v>159287.27644989124</v>
      </c>
      <c r="O23" s="820">
        <f>+'P-46'!$F$9</f>
        <v>1.4</v>
      </c>
    </row>
    <row r="24" spans="1:15" x14ac:dyDescent="0.35">
      <c r="A24" s="853" t="s">
        <v>24</v>
      </c>
      <c r="B24" s="853" t="s">
        <v>23</v>
      </c>
      <c r="C24" s="818">
        <v>47</v>
      </c>
      <c r="D24" s="857" t="str">
        <f>+VLOOKUP("Partida:",'P-47'!$A$7:$G$7,2,FALSE)</f>
        <v>Carpeta MC 1:3 (e: 2cm)</v>
      </c>
      <c r="E24" s="855" t="str">
        <f>+'P-47'!$C$9</f>
        <v>m2</v>
      </c>
      <c r="F24" s="854">
        <f>+VLOOKUP(F$7,'P-47'!$F11:$G65533,2,FALSE)</f>
        <v>3388.6079700000005</v>
      </c>
      <c r="G24" s="854"/>
      <c r="H24" s="854"/>
      <c r="I24" s="854">
        <f>+VLOOKUP(I$7,'P-47'!$F11:$G65533,2,FALSE)</f>
        <v>7554.290567068625</v>
      </c>
      <c r="J24" s="854"/>
      <c r="K24" s="854"/>
      <c r="L24" s="854">
        <f>+VLOOKUP(L$7,'P-47'!$F11:$G65533,2,FALSE)</f>
        <v>216.29259608311682</v>
      </c>
      <c r="M24" s="858">
        <f t="shared" si="0"/>
        <v>11159.191133151742</v>
      </c>
      <c r="O24" s="820">
        <f>+'P-47'!$F$9</f>
        <v>15</v>
      </c>
    </row>
    <row r="25" spans="1:15" x14ac:dyDescent="0.35">
      <c r="A25" s="853" t="s">
        <v>24</v>
      </c>
      <c r="B25" s="853" t="s">
        <v>23</v>
      </c>
      <c r="C25" s="818">
        <v>48</v>
      </c>
      <c r="D25" s="854" t="str">
        <f>+VLOOKUP("Partida:",'P-48'!$A$7:$G$7,2,FALSE)</f>
        <v>Carpeta monolítico h = 7 cm</v>
      </c>
      <c r="E25" s="855" t="str">
        <f>+'P-48'!$C$9</f>
        <v>m2</v>
      </c>
      <c r="F25" s="854">
        <f>+VLOOKUP(F$7,'P-48'!$F11:$G65536,2,FALSE)</f>
        <v>6968.0306291446286</v>
      </c>
      <c r="G25" s="854"/>
      <c r="H25" s="854"/>
      <c r="I25" s="854">
        <f>+VLOOKUP(I$7,'P-48'!$F11:$G65536,2,FALSE)</f>
        <v>10126.741046938852</v>
      </c>
      <c r="J25" s="854"/>
      <c r="K25" s="854"/>
      <c r="L25" s="854">
        <f>+VLOOKUP(L$7,'P-48'!$F11:$G65536,2,FALSE)</f>
        <v>120.04691821133424</v>
      </c>
      <c r="M25" s="858">
        <f t="shared" si="0"/>
        <v>17214.818594294815</v>
      </c>
      <c r="O25" s="820">
        <f>+'P-48'!$F$9</f>
        <v>35</v>
      </c>
    </row>
    <row r="26" spans="1:15" x14ac:dyDescent="0.35">
      <c r="A26" s="853" t="s">
        <v>24</v>
      </c>
      <c r="B26" s="853" t="s">
        <v>23</v>
      </c>
      <c r="C26" s="818">
        <v>49</v>
      </c>
      <c r="D26" s="857" t="str">
        <f>+VLOOKUP("Partida:",'P-49'!$A$7:$G$7,2,FALSE)</f>
        <v>Carpeta hidrófuga (e: 2 cm)</v>
      </c>
      <c r="E26" s="855" t="str">
        <f>+'P-49'!$C$9</f>
        <v>m2</v>
      </c>
      <c r="F26" s="854">
        <f>+VLOOKUP(F$7,'P-49'!$F11:$G65537,2,FALSE)</f>
        <v>4048.0751700000005</v>
      </c>
      <c r="G26" s="854"/>
      <c r="H26" s="854"/>
      <c r="I26" s="854">
        <f>+VLOOKUP(I$7,'P-49'!$F11:$G65537,2,FALSE)</f>
        <v>7554.290567068625</v>
      </c>
      <c r="J26" s="854"/>
      <c r="K26" s="854"/>
      <c r="L26" s="854">
        <f>+VLOOKUP(L$7,'P-49'!$F11:$G65537,2,FALSE)</f>
        <v>216.29259608311682</v>
      </c>
      <c r="M26" s="858">
        <f t="shared" si="0"/>
        <v>11818.658333151741</v>
      </c>
      <c r="O26" s="820">
        <f>+'P-49'!$F$9</f>
        <v>15</v>
      </c>
    </row>
    <row r="27" spans="1:15" x14ac:dyDescent="0.35">
      <c r="A27" s="853" t="s">
        <v>24</v>
      </c>
      <c r="B27" s="853" t="s">
        <v>23</v>
      </c>
      <c r="C27" s="818">
        <v>50</v>
      </c>
      <c r="D27" s="857" t="str">
        <f>+VLOOKUP("Partida:",'P-50'!$A$7:$G$7,2,FALSE)</f>
        <v>Cemento alisado o cilindrado (e: 3 cm)</v>
      </c>
      <c r="E27" s="860" t="str">
        <f>+'P-50'!$C$9</f>
        <v>m2</v>
      </c>
      <c r="F27" s="857">
        <f>+VLOOKUP(F$7,'P-50'!$F11:$G65538,2,FALSE)</f>
        <v>4066.3295640000006</v>
      </c>
      <c r="G27" s="857"/>
      <c r="H27" s="857"/>
      <c r="I27" s="857">
        <f>+VLOOKUP(I$7,'P-50'!$F11:$G65538,2,FALSE)</f>
        <v>10118.033699552867</v>
      </c>
      <c r="J27" s="854"/>
      <c r="K27" s="854"/>
      <c r="L27" s="854">
        <f>+VLOOKUP(L$7,'P-50'!$F11:$G65538,2,FALSE)</f>
        <v>282.12077749971758</v>
      </c>
      <c r="M27" s="858">
        <f t="shared" si="0"/>
        <v>14466.484041052585</v>
      </c>
      <c r="O27" s="820">
        <f>+'P-50'!$F$9</f>
        <v>11.5</v>
      </c>
    </row>
    <row r="28" spans="1:15" ht="13.5" customHeight="1" x14ac:dyDescent="0.35">
      <c r="A28" s="859" t="s">
        <v>24</v>
      </c>
      <c r="B28" s="859" t="s">
        <v>23</v>
      </c>
      <c r="C28" s="818">
        <v>51</v>
      </c>
      <c r="D28" s="854" t="str">
        <f>+VLOOKUP("Partida:",'P-51'!$A$7:$G$7,2,FALSE)</f>
        <v>Látex interior para paredes (incl. enduido)</v>
      </c>
      <c r="E28" s="855" t="str">
        <f>+'P-51'!$C$9</f>
        <v>m2</v>
      </c>
      <c r="F28" s="854">
        <f>+VLOOKUP(F$7,'P-51'!$F11:$G65539,2,FALSE)</f>
        <v>2923.7665455000006</v>
      </c>
      <c r="G28" s="854"/>
      <c r="H28" s="854"/>
      <c r="I28" s="861">
        <f>+VLOOKUP(I$7,'P-51'!$F12:$G65539,2,FALSE)</f>
        <v>7626.9743955584972</v>
      </c>
      <c r="J28" s="862"/>
      <c r="K28" s="862"/>
      <c r="L28" s="854">
        <f>+VLOOKUP(L$7,'P-51'!$F11:$G65539,2,FALSE)</f>
        <v>174.89809445631428</v>
      </c>
      <c r="M28" s="858">
        <f t="shared" si="0"/>
        <v>10725.639035514812</v>
      </c>
      <c r="O28" s="820">
        <f>+'P-51'!$F$9</f>
        <v>22</v>
      </c>
    </row>
    <row r="29" spans="1:15" x14ac:dyDescent="0.35">
      <c r="A29" s="859" t="s">
        <v>24</v>
      </c>
      <c r="B29" s="853" t="s">
        <v>23</v>
      </c>
      <c r="C29" s="818">
        <v>52</v>
      </c>
      <c r="D29" s="854" t="str">
        <f>+VLOOKUP("Partida:",'P-52'!$A$7:$G$7,2,FALSE)</f>
        <v>látex para cielorrasos  (incl. enduido)</v>
      </c>
      <c r="E29" s="855" t="str">
        <f>+'P-52'!$C$9</f>
        <v>m2</v>
      </c>
      <c r="F29" s="854">
        <f>+VLOOKUP(F$7,'P-52'!$F11:$G65541,2,FALSE)</f>
        <v>2923.7665455000006</v>
      </c>
      <c r="G29" s="854"/>
      <c r="H29" s="854"/>
      <c r="I29" s="861">
        <f>+VLOOKUP(I$7,'P-52'!$F13:$G65540,2,FALSE)</f>
        <v>8652.5810738939417</v>
      </c>
      <c r="J29" s="862"/>
      <c r="K29" s="862"/>
      <c r="L29" s="854">
        <f>+VLOOKUP(L$7,'P-52'!$F11:$G65541,2,FALSE)</f>
        <v>241.06768511742465</v>
      </c>
      <c r="M29" s="858">
        <f t="shared" si="0"/>
        <v>11817.415304511367</v>
      </c>
      <c r="O29" s="820">
        <f>+'P-52'!$F$9</f>
        <v>17.5</v>
      </c>
    </row>
    <row r="30" spans="1:15" x14ac:dyDescent="0.35">
      <c r="A30" s="859" t="s">
        <v>24</v>
      </c>
      <c r="B30" s="853" t="s">
        <v>23</v>
      </c>
      <c r="C30" s="818">
        <v>53</v>
      </c>
      <c r="D30" s="854" t="str">
        <f>+VLOOKUP("Partida:",'P-53'!$A$7:$G$7,2,FALSE)</f>
        <v>látex exterior para paredes hasta 3.00 m de altura</v>
      </c>
      <c r="E30" s="855" t="str">
        <f>+'P-53'!$C$9</f>
        <v>m2</v>
      </c>
      <c r="F30" s="854">
        <f>+VLOOKUP(F$7,'P-53'!$F11:$G65536,2,FALSE)</f>
        <v>1824.9262730000003</v>
      </c>
      <c r="G30" s="854"/>
      <c r="H30" s="854"/>
      <c r="I30" s="861">
        <f>+VLOOKUP(I$7,'P-53'!$F14:$G65541,2,FALSE)</f>
        <v>5543.6836875207728</v>
      </c>
      <c r="J30" s="862"/>
      <c r="K30" s="862"/>
      <c r="L30" s="854">
        <f>+VLOOKUP(L$7,'P-53'!$F11:$G65536,2,FALSE)</f>
        <v>124.12122832383595</v>
      </c>
      <c r="M30" s="858">
        <f t="shared" si="0"/>
        <v>7492.7311888446084</v>
      </c>
      <c r="O30" s="820">
        <f>+'P-53'!$F$9</f>
        <v>15.5</v>
      </c>
    </row>
    <row r="31" spans="1:15" x14ac:dyDescent="0.35">
      <c r="A31" s="859" t="s">
        <v>24</v>
      </c>
      <c r="B31" s="853" t="s">
        <v>23</v>
      </c>
      <c r="C31" s="818" t="s">
        <v>25</v>
      </c>
      <c r="D31" s="854" t="str">
        <f>+VLOOKUP("Partida:",'P-53 bis'!$A$7:$G$7,2,FALSE)</f>
        <v>látex exterior para paredes a más 3.00 m de altura</v>
      </c>
      <c r="E31" s="855" t="str">
        <f>+'P-53'!$C$9</f>
        <v>m2</v>
      </c>
      <c r="F31" s="854">
        <f>+VLOOKUP(F$7,'P-53 bis'!$F12:$G65537,2,FALSE)</f>
        <v>1824.9262730000003</v>
      </c>
      <c r="G31" s="854"/>
      <c r="H31" s="854"/>
      <c r="I31" s="861">
        <f>+VLOOKUP(I$7,'P-53 bis'!$F15:$G65542,2,FALSE)</f>
        <v>14504.129532884901</v>
      </c>
      <c r="J31" s="862"/>
      <c r="K31" s="862"/>
      <c r="L31" s="854">
        <f>+VLOOKUP(L$7,'P-53 bis'!$F12:$G65537,2,FALSE)</f>
        <v>234.44230749381219</v>
      </c>
      <c r="M31" s="858">
        <f t="shared" ref="M31" si="1">SUM(F31:L31)</f>
        <v>16563.498113378715</v>
      </c>
      <c r="O31" s="820">
        <f>+'P-53 bis'!$F$9</f>
        <v>15.5</v>
      </c>
    </row>
    <row r="32" spans="1:15" ht="13.25" customHeight="1" x14ac:dyDescent="0.35">
      <c r="A32" s="859" t="s">
        <v>24</v>
      </c>
      <c r="B32" s="853" t="s">
        <v>23</v>
      </c>
      <c r="C32" s="818">
        <v>54</v>
      </c>
      <c r="D32" s="854" t="str">
        <f>+VLOOKUP("Partida:",'P-54'!$A$7:$G$7,2,FALSE)</f>
        <v>Esmalte sintético sobre carpintería metálica , herrería (cuando es vacio x lleno contemplar MAT al 60%)</v>
      </c>
      <c r="E32" s="855" t="str">
        <f>+'P-54'!$C$9</f>
        <v>m2</v>
      </c>
      <c r="F32" s="854">
        <f>+VLOOKUP(F$7,'P-54'!$F11:$G65536,2,FALSE)</f>
        <v>2585.0849324999999</v>
      </c>
      <c r="G32" s="854"/>
      <c r="H32" s="854"/>
      <c r="I32" s="861">
        <f>+VLOOKUP(I$7,'P-54'!$F15:$G65542,2,FALSE)</f>
        <v>10740.887144571498</v>
      </c>
      <c r="J32" s="862"/>
      <c r="K32" s="862"/>
      <c r="L32" s="854">
        <f>+VLOOKUP(L$7,'P-54'!$F11:$G65536,2,FALSE)</f>
        <v>240.48487987743215</v>
      </c>
      <c r="M32" s="858">
        <f t="shared" si="0"/>
        <v>13566.45695694893</v>
      </c>
      <c r="O32" s="820">
        <f>+'P-54'!$F$9</f>
        <v>8</v>
      </c>
    </row>
    <row r="33" spans="1:15" x14ac:dyDescent="0.35">
      <c r="A33" s="853" t="s">
        <v>24</v>
      </c>
      <c r="B33" s="853" t="s">
        <v>23</v>
      </c>
      <c r="C33" s="818">
        <v>55</v>
      </c>
      <c r="D33" s="854" t="str">
        <f>+VLOOKUP("Partida:",'P-55'!$A$7:$G$7,2,FALSE)</f>
        <v xml:space="preserve">Revestimiento plastico texturado tipo Quimtex fino </v>
      </c>
      <c r="E33" s="855" t="str">
        <f>+'P-55'!$C$9</f>
        <v>m2</v>
      </c>
      <c r="F33" s="857">
        <f>+VLOOKUP(F$7,'P-55'!$F11:$G65541,2,FALSE)</f>
        <v>6000.92896909091</v>
      </c>
      <c r="G33" s="857"/>
      <c r="H33" s="857"/>
      <c r="I33" s="861">
        <f>+VLOOKUP(I$7,'P-55'!$F16:$G65543,2,FALSE)</f>
        <v>11240.700387985798</v>
      </c>
      <c r="J33" s="862"/>
      <c r="K33" s="862"/>
      <c r="L33" s="854">
        <f>+VLOOKUP(L$7,'P-55'!$F11:$G65541,2,FALSE)</f>
        <v>181.69278830770446</v>
      </c>
      <c r="M33" s="858">
        <f t="shared" si="0"/>
        <v>17423.322145384413</v>
      </c>
      <c r="O33" s="820">
        <f>+'P-55'!$F$9</f>
        <v>20</v>
      </c>
    </row>
    <row r="34" spans="1:15" x14ac:dyDescent="0.35">
      <c r="A34" s="859" t="s">
        <v>24</v>
      </c>
      <c r="B34" s="853" t="s">
        <v>23</v>
      </c>
      <c r="C34" s="818">
        <v>56</v>
      </c>
      <c r="D34" s="854" t="str">
        <f>+VLOOKUP("Partida:",'P-56'!$A$7:$G$7,2,FALSE)</f>
        <v>Colocación porcelanato en pisos (no incluye baños)</v>
      </c>
      <c r="E34" s="855" t="str">
        <f>+'P-56'!$C$9</f>
        <v>m2</v>
      </c>
      <c r="F34" s="854">
        <f>+VLOOKUP(F$7,'P-56'!$F10:$G65540,2,FALSE)</f>
        <v>7156.2986004793383</v>
      </c>
      <c r="G34" s="854"/>
      <c r="H34" s="854"/>
      <c r="I34" s="861">
        <f>+VLOOKUP(I$7,'P-56'!$F18:$G65545,2,FALSE)</f>
        <v>11647.705291780305</v>
      </c>
      <c r="J34" s="862"/>
      <c r="K34" s="862"/>
      <c r="L34" s="854">
        <f>+VLOOKUP(L$7,'P-56'!$F10:$G65540,2,FALSE)</f>
        <v>225.81274523621107</v>
      </c>
      <c r="M34" s="858">
        <f t="shared" si="0"/>
        <v>19029.816637495853</v>
      </c>
      <c r="O34" s="820">
        <f>+'P-56'!$F$9</f>
        <v>13</v>
      </c>
    </row>
    <row r="35" spans="1:15" x14ac:dyDescent="0.35">
      <c r="A35" s="853" t="s">
        <v>24</v>
      </c>
      <c r="B35" s="853" t="s">
        <v>23</v>
      </c>
      <c r="C35" s="818">
        <v>57</v>
      </c>
      <c r="D35" s="854" t="str">
        <f>+VLOOKUP("Partida:",'P-57'!$A$7:$G$7,2,FALSE)</f>
        <v>Revestimiento porcelanato en paredes y piso baños</v>
      </c>
      <c r="E35" s="855" t="str">
        <f>+'P-57'!$C$9</f>
        <v>m2</v>
      </c>
      <c r="F35" s="854">
        <f>+VLOOKUP(F$7,'P-57'!$F10:$G65541,2,FALSE)</f>
        <v>7156.2986004793383</v>
      </c>
      <c r="G35" s="854"/>
      <c r="H35" s="854"/>
      <c r="I35" s="861">
        <f>+VLOOKUP(I$7,'P-57'!$F19:$G65546,2,FALSE)</f>
        <v>15142.016879314397</v>
      </c>
      <c r="J35" s="854"/>
      <c r="K35" s="854"/>
      <c r="L35" s="854">
        <f>+VLOOKUP(L$7,'P-57'!$F10:$G65541,2,FALSE)</f>
        <v>293.55656880707437</v>
      </c>
      <c r="M35" s="858">
        <f t="shared" si="0"/>
        <v>22591.87204860081</v>
      </c>
      <c r="O35" s="820">
        <f>+'P-57'!$F$9</f>
        <v>10</v>
      </c>
    </row>
    <row r="36" spans="1:15" x14ac:dyDescent="0.35">
      <c r="A36" s="853" t="s">
        <v>24</v>
      </c>
      <c r="B36" s="853" t="s">
        <v>23</v>
      </c>
      <c r="C36" s="818">
        <v>58</v>
      </c>
      <c r="D36" s="854" t="str">
        <f>+VLOOKUP("Partida:",'P-58'!$A$7:$G$7,2,FALSE)</f>
        <v>Colocacion de zocalo porcelanato</v>
      </c>
      <c r="E36" s="855" t="str">
        <f>+'P-58'!$C$9</f>
        <v>ml</v>
      </c>
      <c r="F36" s="854">
        <f>+VLOOKUP(F$7,'P-58'!$F11:$G65541,2,FALSE)</f>
        <v>1066.3432439999999</v>
      </c>
      <c r="G36" s="854"/>
      <c r="H36" s="854"/>
      <c r="I36" s="861">
        <f>+VLOOKUP(I$7,'P-58'!$F11:$G65541,2,FALSE)</f>
        <v>5047.3389597714659</v>
      </c>
      <c r="J36" s="854"/>
      <c r="K36" s="854"/>
      <c r="L36" s="854">
        <f>+VLOOKUP(L$7,'P-58'!$F11:$G65541,2,FALSE)</f>
        <v>97.852189602358123</v>
      </c>
      <c r="M36" s="858">
        <f t="shared" si="0"/>
        <v>6211.5343933738241</v>
      </c>
      <c r="O36" s="820">
        <f>+'P-58'!$F$9</f>
        <v>30</v>
      </c>
    </row>
    <row r="37" spans="1:15" x14ac:dyDescent="0.35">
      <c r="A37" s="859" t="s">
        <v>26</v>
      </c>
      <c r="B37" s="853" t="s">
        <v>23</v>
      </c>
      <c r="C37" s="818">
        <v>59</v>
      </c>
      <c r="D37" s="854" t="str">
        <f>+VLOOKUP("Partida:",'P-59'!$A$7:$G$7,2,FALSE)</f>
        <v>Látex interior satinado para paredes</v>
      </c>
      <c r="E37" s="855" t="str">
        <f>+'P-59'!$C$9</f>
        <v>m2</v>
      </c>
      <c r="F37" s="857">
        <f>+VLOOKUP(F$7,'P-59'!$F11:$G65536,2,FALSE)</f>
        <v>5093.0550275454552</v>
      </c>
      <c r="G37" s="857"/>
      <c r="H37" s="857"/>
      <c r="I37" s="861">
        <f>+VLOOKUP(I$7,'P-59'!$F12:$G65542,2,FALSE)</f>
        <v>13765.469890285814</v>
      </c>
      <c r="J37" s="862"/>
      <c r="K37" s="862"/>
      <c r="L37" s="854">
        <f>+VLOOKUP(L$7,'P-59'!$F11:$G65536,2,FALSE)</f>
        <v>331.59136350674265</v>
      </c>
      <c r="M37" s="858">
        <f t="shared" si="0"/>
        <v>19190.116281338011</v>
      </c>
      <c r="O37" s="820">
        <f>+'P-59'!$F$9</f>
        <v>11</v>
      </c>
    </row>
    <row r="38" spans="1:15" x14ac:dyDescent="0.35">
      <c r="A38" s="853" t="s">
        <v>27</v>
      </c>
      <c r="B38" s="853" t="s">
        <v>23</v>
      </c>
      <c r="C38" s="818">
        <v>60</v>
      </c>
      <c r="D38" s="854" t="str">
        <f>+VLOOKUP("Partida:",'P-60'!$A$7:$G$7,2,FALSE)</f>
        <v>Cielorraso Durlock - Junta Tomada STD</v>
      </c>
      <c r="E38" s="855" t="str">
        <f>+'P-60'!$C$9</f>
        <v>m2</v>
      </c>
      <c r="F38" s="857">
        <f>+VLOOKUP(F$7,'P-60'!$F12:$G65537,2,FALSE)</f>
        <v>10671.936802390735</v>
      </c>
      <c r="G38" s="857"/>
      <c r="H38" s="857"/>
      <c r="I38" s="861">
        <f>+VLOOKUP(I$7,'P-60'!$F13:$G65543,2,FALSE)</f>
        <v>15938.965136120418</v>
      </c>
      <c r="J38" s="862"/>
      <c r="K38" s="862"/>
      <c r="L38" s="854">
        <f>+VLOOKUP(L$7,'P-60'!$F12:$G65537,2,FALSE)</f>
        <v>263.73013064992216</v>
      </c>
      <c r="M38" s="858">
        <f t="shared" si="0"/>
        <v>26874.632069161074</v>
      </c>
      <c r="O38" s="820">
        <f>+'P-60'!$F$9</f>
        <v>9.5</v>
      </c>
    </row>
    <row r="39" spans="1:15" x14ac:dyDescent="0.35">
      <c r="A39" s="853" t="s">
        <v>28</v>
      </c>
      <c r="B39" s="853" t="s">
        <v>23</v>
      </c>
      <c r="C39" s="818">
        <v>61</v>
      </c>
      <c r="D39" s="854" t="str">
        <f>+VLOOKUP("Partida:",'P-61'!$A$7:$G$7,2,FALSE)</f>
        <v>Cielorraso Durlock - Junta Tomada RH</v>
      </c>
      <c r="E39" s="855" t="str">
        <f>+'P-61'!$C$9</f>
        <v>m2</v>
      </c>
      <c r="F39" s="857">
        <f>+VLOOKUP(F$7,'P-61'!$F13:$G65538,2,FALSE)</f>
        <v>14660.054765467659</v>
      </c>
      <c r="G39" s="857"/>
      <c r="H39" s="857"/>
      <c r="I39" s="861">
        <f>+VLOOKUP(I$7,'P-61'!$F14:$G65544,2,FALSE)</f>
        <v>15938.965136120418</v>
      </c>
      <c r="J39" s="862"/>
      <c r="K39" s="862"/>
      <c r="L39" s="854">
        <f>+VLOOKUP(L$7,'P-61'!$F13:$G65538,2,FALSE)</f>
        <v>263.73013064992216</v>
      </c>
      <c r="M39" s="858">
        <f t="shared" si="0"/>
        <v>30862.750032238</v>
      </c>
      <c r="O39" s="820">
        <f>+'P-61'!$F$9</f>
        <v>9.5</v>
      </c>
    </row>
    <row r="40" spans="1:15" x14ac:dyDescent="0.35">
      <c r="A40" s="853" t="s">
        <v>29</v>
      </c>
      <c r="B40" s="853" t="s">
        <v>23</v>
      </c>
      <c r="C40" s="818">
        <v>62</v>
      </c>
      <c r="D40" s="854" t="str">
        <f>+VLOOKUP("Partida:",'P-62'!$A$7:$G$7,2,FALSE)</f>
        <v>Cielorraso Durlock - Junta Tomada RF</v>
      </c>
      <c r="E40" s="855" t="str">
        <f>+'P-62'!$C$9</f>
        <v>m2</v>
      </c>
      <c r="F40" s="857">
        <f>+VLOOKUP(F$7,'P-62'!$F14:$G65539,2,FALSE)</f>
        <v>13890.95650256766</v>
      </c>
      <c r="G40" s="857"/>
      <c r="H40" s="857"/>
      <c r="I40" s="861">
        <f>+VLOOKUP(I$7,'P-62'!$F15:$G65545,2,FALSE)</f>
        <v>15938.965136120418</v>
      </c>
      <c r="J40" s="862"/>
      <c r="K40" s="862"/>
      <c r="L40" s="854">
        <f>+VLOOKUP(L$7,'P-62'!$F14:$G65539,2,FALSE)</f>
        <v>263.73013064992216</v>
      </c>
      <c r="M40" s="858">
        <f t="shared" si="0"/>
        <v>30093.651769338001</v>
      </c>
      <c r="O40" s="820">
        <f>+'P-62'!$F$9</f>
        <v>9.5</v>
      </c>
    </row>
    <row r="41" spans="1:15" x14ac:dyDescent="0.35">
      <c r="A41" s="853" t="s">
        <v>30</v>
      </c>
      <c r="B41" s="853" t="s">
        <v>23</v>
      </c>
      <c r="C41" s="818">
        <v>63</v>
      </c>
      <c r="D41" s="854" t="str">
        <f>+VLOOKUP("Partida:",'P-63'!$A$7:$G$7,2,FALSE)</f>
        <v xml:space="preserve">Cielorraso Desmontable 60x60 - sin provision </v>
      </c>
      <c r="E41" s="855" t="str">
        <f>+'P-63'!$C$9</f>
        <v>m2</v>
      </c>
      <c r="F41" s="857">
        <f>+VLOOKUP(F$7,'P-63'!$F15:$G65540,2,FALSE)</f>
        <v>5516.6995661157025</v>
      </c>
      <c r="G41" s="857"/>
      <c r="H41" s="857"/>
      <c r="I41" s="861">
        <f>+VLOOKUP(I$7,'P-63'!$F16:$G65546,2,FALSE)</f>
        <v>15142.016879314397</v>
      </c>
      <c r="J41" s="862"/>
      <c r="K41" s="862"/>
      <c r="L41" s="854">
        <f>+VLOOKUP(L$7,'P-63'!$F15:$G65540,2,FALSE)</f>
        <v>250.54362411742605</v>
      </c>
      <c r="M41" s="858">
        <f t="shared" si="0"/>
        <v>20909.260069547523</v>
      </c>
      <c r="O41" s="820">
        <f>+'P-63'!$F$9</f>
        <v>10</v>
      </c>
    </row>
    <row r="42" spans="1:15" x14ac:dyDescent="0.35">
      <c r="A42" s="853"/>
      <c r="B42" s="853" t="s">
        <v>23</v>
      </c>
      <c r="C42" s="818" t="s">
        <v>31</v>
      </c>
      <c r="D42" s="854" t="str">
        <f>+VLOOKUP("Partida:",'P-63 bis'!$A$7:$G$7,2,FALSE)</f>
        <v>Cielorraso Desmontable 60x60 - incluye placa  Deco Vinyl</v>
      </c>
      <c r="E42" s="855" t="str">
        <f>+'P-63 bis'!$C$9</f>
        <v>m2</v>
      </c>
      <c r="F42" s="857">
        <f>+VLOOKUP(F$7,'P-63 bis'!$F17:$G65542,2,FALSE)</f>
        <v>27431.696363636365</v>
      </c>
      <c r="G42" s="857"/>
      <c r="H42" s="857"/>
      <c r="I42" s="861">
        <f>+VLOOKUP(I$7,'P-63 bis'!$F18:$G65548,2,FALSE)</f>
        <v>15142.016879314397</v>
      </c>
      <c r="J42" s="862"/>
      <c r="K42" s="862"/>
      <c r="L42" s="854">
        <f>+VLOOKUP(L$7,'P-63 bis'!$F17:$G65542,2,FALSE)</f>
        <v>250.54362411742605</v>
      </c>
      <c r="M42" s="858">
        <f t="shared" si="0"/>
        <v>42824.256867068187</v>
      </c>
      <c r="O42" s="820">
        <f>+'P-63 bis'!$F$9</f>
        <v>10</v>
      </c>
    </row>
    <row r="43" spans="1:15" x14ac:dyDescent="0.35">
      <c r="A43" s="853" t="s">
        <v>32</v>
      </c>
      <c r="B43" s="853" t="s">
        <v>23</v>
      </c>
      <c r="C43" s="818">
        <v>64</v>
      </c>
      <c r="D43" s="854" t="str">
        <f>+VLOOKUP("Partida:",'P-64'!$A$7:$G$7,2,FALSE)</f>
        <v>Pared Durlock - Simple</v>
      </c>
      <c r="E43" s="855" t="str">
        <f>+'P-64'!$C$9</f>
        <v>m2</v>
      </c>
      <c r="F43" s="857">
        <f>+VLOOKUP(F$7,'P-64'!$F11:$G65536,2,FALSE)</f>
        <v>16385.364651327334</v>
      </c>
      <c r="G43" s="857"/>
      <c r="H43" s="857"/>
      <c r="I43" s="861">
        <f>+VLOOKUP(I$7,'P-64'!$F18:$G65548,2,FALSE)</f>
        <v>21631.452684734853</v>
      </c>
      <c r="J43" s="862"/>
      <c r="K43" s="862"/>
      <c r="L43" s="854">
        <f>+VLOOKUP(L$7,'P-64'!$F17:$G65542,2,FALSE)</f>
        <v>347.9053135538723</v>
      </c>
      <c r="M43" s="858">
        <f t="shared" si="0"/>
        <v>38364.722649616058</v>
      </c>
      <c r="O43" s="820">
        <f>+'P-64'!$F$9</f>
        <v>7</v>
      </c>
    </row>
    <row r="44" spans="1:15" x14ac:dyDescent="0.35">
      <c r="A44" s="853" t="s">
        <v>33</v>
      </c>
      <c r="B44" s="853" t="s">
        <v>23</v>
      </c>
      <c r="C44" s="818">
        <v>65</v>
      </c>
      <c r="D44" s="854" t="str">
        <f>+VLOOKUP("Partida:",'P-65'!$A$7:$G$7,2,FALSE)</f>
        <v xml:space="preserve">Pared Durlock - Doble placa STD ambas caras y asilación lana de vidrio </v>
      </c>
      <c r="E44" s="855" t="str">
        <f>+'P-65'!$C$9</f>
        <v>m2</v>
      </c>
      <c r="F44" s="857">
        <f>+VLOOKUP(F$7,'P-65'!$F12:$G65538,2,FALSE)</f>
        <v>30235.032862582309</v>
      </c>
      <c r="G44" s="857"/>
      <c r="H44" s="857"/>
      <c r="I44" s="861">
        <f>+VLOOKUP(I$7,'P-65'!$F20:$G65550,2,FALSE)</f>
        <v>25236.694798857327</v>
      </c>
      <c r="J44" s="862"/>
      <c r="K44" s="862"/>
      <c r="L44" s="854">
        <f>+VLOOKUP(L$7,'P-65'!$F19:$G65544,2,FALSE)</f>
        <v>405.88953247951764</v>
      </c>
      <c r="M44" s="858">
        <f t="shared" si="0"/>
        <v>55877.617193919155</v>
      </c>
      <c r="O44" s="820">
        <f>+'P-65'!$F$9</f>
        <v>6</v>
      </c>
    </row>
    <row r="45" spans="1:15" x14ac:dyDescent="0.35">
      <c r="A45" s="853" t="s">
        <v>34</v>
      </c>
      <c r="B45" s="853" t="s">
        <v>23</v>
      </c>
      <c r="C45" s="818">
        <v>66</v>
      </c>
      <c r="D45" s="854" t="str">
        <f>+VLOOKUP("Partida:",'P-66'!$A$7:$G$7,2,FALSE)</f>
        <v xml:space="preserve">Medio tabique espesor total 8,5 cm </v>
      </c>
      <c r="E45" s="855" t="str">
        <f>+'P-66'!$C$9</f>
        <v>m2</v>
      </c>
      <c r="F45" s="857">
        <f>+VLOOKUP(F$7,'P-66'!$F13:$G65539,2,FALSE)</f>
        <v>11458.429155160258</v>
      </c>
      <c r="G45" s="857"/>
      <c r="H45" s="857"/>
      <c r="I45" s="861">
        <f>+VLOOKUP(I$7,'P-66'!$F21:$G65551,2,FALSE)</f>
        <v>13765.469890285814</v>
      </c>
      <c r="J45" s="862"/>
      <c r="K45" s="862"/>
      <c r="L45" s="854">
        <f>+VLOOKUP(L$7,'P-65'!$F20:$G65545,2,FALSE)</f>
        <v>405.88953247951764</v>
      </c>
      <c r="M45" s="858">
        <f t="shared" si="0"/>
        <v>25629.788577925592</v>
      </c>
      <c r="O45" s="820">
        <f>+'P-66'!$F$9</f>
        <v>11</v>
      </c>
    </row>
    <row r="46" spans="1:15" ht="13.5" customHeight="1" x14ac:dyDescent="0.35">
      <c r="A46" s="853" t="s">
        <v>35</v>
      </c>
      <c r="B46" s="853" t="s">
        <v>23</v>
      </c>
      <c r="C46" s="818">
        <v>67</v>
      </c>
      <c r="D46" s="854" t="str">
        <f>+VLOOKUP("Partida:",'P-67'!$A$7:$G$7,2,FALSE)</f>
        <v>Esmalte sintetico para paredes</v>
      </c>
      <c r="E46" s="855" t="str">
        <f>+'P-67'!$C$9</f>
        <v>m2</v>
      </c>
      <c r="F46" s="854">
        <f>+VLOOKUP(F$7,'P-67'!$F11:$G65538,2,FALSE)</f>
        <v>2867.7200015000003</v>
      </c>
      <c r="G46" s="854"/>
      <c r="H46" s="854"/>
      <c r="I46" s="861">
        <f>+VLOOKUP(I$7,'P-67'!$F11:$G65538,2,FALSE)</f>
        <v>7571.0084396571983</v>
      </c>
      <c r="J46" s="854"/>
      <c r="K46" s="854"/>
      <c r="L46" s="854">
        <f>+VLOOKUP(L$7,'P-67'!$F11:$G65538,2,FALSE)</f>
        <v>96.19395195097286</v>
      </c>
      <c r="M46" s="858">
        <f t="shared" si="0"/>
        <v>10534.922393108171</v>
      </c>
      <c r="O46" s="820">
        <f>+'P-67'!$F$9</f>
        <v>20</v>
      </c>
    </row>
    <row r="47" spans="1:15" x14ac:dyDescent="0.35">
      <c r="A47" s="853" t="s">
        <v>36</v>
      </c>
      <c r="B47" s="853" t="s">
        <v>23</v>
      </c>
      <c r="C47" s="818">
        <v>68</v>
      </c>
      <c r="D47" s="854" t="str">
        <f>+VLOOKUP("Partida:",'P-68'!$A$7:$G$7,2,FALSE)</f>
        <v>Ladrillo Klimablock 27 x 19 x 30 cm</v>
      </c>
      <c r="E47" s="855" t="str">
        <f>+'P-68'!$C$9</f>
        <v>m2</v>
      </c>
      <c r="F47" s="854">
        <f>+VLOOKUP(F$7,'P-68'!$F11:$G65538,2,FALSE)</f>
        <v>3673.9149150000003</v>
      </c>
      <c r="G47" s="854"/>
      <c r="H47" s="854"/>
      <c r="I47" s="854">
        <f>+VLOOKUP(I$7,'P-68'!$F11:$G65538,2,FALSE)</f>
        <v>9785.84519554293</v>
      </c>
      <c r="J47" s="854"/>
      <c r="K47" s="854"/>
      <c r="L47" s="854">
        <f>+VLOOKUP(L$7,'P-68'!$F11:$G65538,2,FALSE)</f>
        <v>235.33191244914221</v>
      </c>
      <c r="M47" s="858">
        <f t="shared" si="0"/>
        <v>13695.092022992074</v>
      </c>
      <c r="O47" s="820">
        <f>+'P-68'!$F$9</f>
        <v>15</v>
      </c>
    </row>
    <row r="48" spans="1:15" x14ac:dyDescent="0.35">
      <c r="A48" s="859" t="s">
        <v>37</v>
      </c>
      <c r="B48" s="853" t="s">
        <v>23</v>
      </c>
      <c r="C48" s="818">
        <v>70</v>
      </c>
      <c r="D48" s="854" t="str">
        <f>+VLOOKUP("Partida:",'P-70'!$A$7:$G$7,2,FALSE)</f>
        <v>Impermeabilización de cubierta transitable sobre carpeta horizontal con membrana Geotextil de 4mm, a soplete.</v>
      </c>
      <c r="E48" s="855" t="str">
        <f>+'P-70'!$C$9</f>
        <v>m2</v>
      </c>
      <c r="F48" s="854">
        <f>+VLOOKUP(F$7,'P-70'!$F10:$G65542,2,FALSE)</f>
        <v>9769.1537790679558</v>
      </c>
      <c r="G48" s="854"/>
      <c r="H48" s="854"/>
      <c r="I48" s="854">
        <f>+VLOOKUP(I$7,'P-70'!$F10:$G65542,2,FALSE)</f>
        <v>5871.5071173257575</v>
      </c>
      <c r="J48" s="854"/>
      <c r="K48" s="854"/>
      <c r="L48" s="854">
        <f>+VLOOKUP(L$7,'P-70'!$F10:$G65542,2,FALSE)</f>
        <v>32.180227486448004</v>
      </c>
      <c r="M48" s="858">
        <f t="shared" ref="M48:M53" si="2">SUM(F48:L48)</f>
        <v>15672.841123880162</v>
      </c>
      <c r="O48" s="820">
        <f>+'P-70'!$F$9</f>
        <v>25</v>
      </c>
    </row>
    <row r="49" spans="1:15" x14ac:dyDescent="0.35">
      <c r="A49" s="859" t="s">
        <v>38</v>
      </c>
      <c r="B49" s="853" t="s">
        <v>23</v>
      </c>
      <c r="C49" s="818">
        <v>71</v>
      </c>
      <c r="D49" s="854" t="str">
        <f>+VLOOKUP("Partida:",'P-71'!$A$7:$G$7,2,FALSE)</f>
        <v>Impermeabilización de cubierta con Malla no tejida de poliester y pintura poliuretánica</v>
      </c>
      <c r="E49" s="855" t="str">
        <f>+'P-71'!$C$9</f>
        <v>m2</v>
      </c>
      <c r="F49" s="854">
        <f>+VLOOKUP(F$7,'P-71'!$F10:$G65541,2,FALSE)</f>
        <v>7823.6498845454553</v>
      </c>
      <c r="G49" s="854"/>
      <c r="H49" s="854"/>
      <c r="I49" s="854">
        <f>+VLOOKUP(I$7,'P-71'!$F10:$G65541,2,FALSE)</f>
        <v>2935.7535586628787</v>
      </c>
      <c r="J49" s="854"/>
      <c r="K49" s="854"/>
      <c r="L49" s="854">
        <f>+VLOOKUP(L$7,'P-71'!$F10:$G65541,2,FALSE)</f>
        <v>37.276481042980429</v>
      </c>
      <c r="M49" s="858">
        <f t="shared" si="2"/>
        <v>10796.679924251313</v>
      </c>
      <c r="O49" s="820">
        <f>+'P-71'!$F$9</f>
        <v>50</v>
      </c>
    </row>
    <row r="50" spans="1:15" ht="14.25" customHeight="1" x14ac:dyDescent="0.35">
      <c r="A50" s="853" t="s">
        <v>39</v>
      </c>
      <c r="B50" s="853" t="s">
        <v>23</v>
      </c>
      <c r="C50" s="818">
        <v>72</v>
      </c>
      <c r="D50" s="854" t="str">
        <f>+VLOOKUP("Partida:",'P-72'!$A$7:$G$7,2,FALSE)</f>
        <v>Revoque Exterior 3 en 1 hasta 3,00 m</v>
      </c>
      <c r="E50" s="855" t="str">
        <f>+'P-72'!$C$9</f>
        <v>m2</v>
      </c>
      <c r="F50" s="854">
        <f>+VLOOKUP(F$7,'P-72'!$F11:$G65534,2,FALSE)</f>
        <v>12898.270000000002</v>
      </c>
      <c r="G50" s="854"/>
      <c r="H50" s="854"/>
      <c r="I50" s="854">
        <f>+VLOOKUP(I$7,'P-72'!$F11:$G65534,2,FALSE)</f>
        <v>6934.6011416571973</v>
      </c>
      <c r="J50" s="854"/>
      <c r="K50" s="854"/>
      <c r="L50" s="854">
        <f>+VLOOKUP(L$7,'P-72'!$F11:$G65534,2,FALSE)</f>
        <v>1253.0947210307875</v>
      </c>
      <c r="M50" s="858">
        <f t="shared" si="2"/>
        <v>21085.965862687986</v>
      </c>
      <c r="O50" s="820">
        <f>+'P-72'!$F$9</f>
        <v>35</v>
      </c>
    </row>
    <row r="51" spans="1:15" x14ac:dyDescent="0.35">
      <c r="A51" s="853" t="s">
        <v>40</v>
      </c>
      <c r="B51" s="853" t="s">
        <v>23</v>
      </c>
      <c r="C51" s="818">
        <v>73</v>
      </c>
      <c r="D51" s="854" t="str">
        <f>+VLOOKUP("Partida:",'P-73'!$A$7:$G$7,2,FALSE)</f>
        <v>Pintura sobre pared existente</v>
      </c>
      <c r="E51" s="855" t="str">
        <f>+'P-73'!$C$9</f>
        <v>m2</v>
      </c>
      <c r="F51" s="857">
        <f>+VLOOKUP(F$7,'P-73'!$F11:$G65535,2,FALSE)</f>
        <v>2207.5712525000004</v>
      </c>
      <c r="G51" s="857"/>
      <c r="H51" s="857"/>
      <c r="I51" s="861">
        <f>+VLOOKUP(I$7,'P-73'!$F12:$G65535,2,FALSE)</f>
        <v>4296.3548578285991</v>
      </c>
      <c r="J51" s="854"/>
      <c r="K51" s="854"/>
      <c r="L51" s="854">
        <f>+VLOOKUP(L$7,'P-73'!$F11:$G65535,2,FALSE)</f>
        <v>96.19395195097286</v>
      </c>
      <c r="M51" s="858">
        <f t="shared" si="2"/>
        <v>6600.1200622795714</v>
      </c>
      <c r="O51" s="820">
        <f>+'P-73'!$F$9</f>
        <v>20</v>
      </c>
    </row>
    <row r="52" spans="1:15" ht="13.5" customHeight="1" x14ac:dyDescent="0.35">
      <c r="A52" s="853" t="s">
        <v>41</v>
      </c>
      <c r="B52" s="853" t="s">
        <v>23</v>
      </c>
      <c r="C52" s="818">
        <v>74</v>
      </c>
      <c r="D52" s="854" t="str">
        <f>+VLOOKUP("Partida:",'P-74'!$A$7:$G$7,2,FALSE)</f>
        <v>Impermeabilizacion sobre ladrillo</v>
      </c>
      <c r="E52" s="855" t="str">
        <f>+'P-74'!$C$9</f>
        <v>m2</v>
      </c>
      <c r="F52" s="854">
        <f>+VLOOKUP(F$7,'P-74'!$F11:$G65533,2,FALSE)</f>
        <v>2089.0826265909095</v>
      </c>
      <c r="G52" s="854"/>
      <c r="H52" s="854"/>
      <c r="I52" s="861">
        <f>+VLOOKUP(I$7,'P-74'!$F13:$G65536,2,FALSE)</f>
        <v>5047.3389597714659</v>
      </c>
      <c r="J52" s="854"/>
      <c r="K52" s="854"/>
      <c r="L52" s="854">
        <f>+VLOOKUP(L$7,'P-74'!$F11:$G65533,2,FALSE)</f>
        <v>62.127468404967381</v>
      </c>
      <c r="M52" s="858">
        <f t="shared" si="2"/>
        <v>7198.5490547673435</v>
      </c>
      <c r="O52" s="820">
        <f>+'P-74'!$F$9</f>
        <v>30</v>
      </c>
    </row>
    <row r="53" spans="1:15" x14ac:dyDescent="0.35">
      <c r="A53" s="853" t="s">
        <v>42</v>
      </c>
      <c r="B53" s="853" t="s">
        <v>23</v>
      </c>
      <c r="C53" s="818">
        <v>75</v>
      </c>
      <c r="D53" s="854" t="s">
        <v>43</v>
      </c>
      <c r="E53" s="855" t="str">
        <f>+'P-74'!$C$9</f>
        <v>m2</v>
      </c>
      <c r="F53" s="854">
        <f>+VLOOKUP(F$7,'P-75'!$F11:$G65539,2,FALSE)</f>
        <v>14279.3074573914</v>
      </c>
      <c r="G53" s="854"/>
      <c r="H53" s="854"/>
      <c r="I53" s="854">
        <f>+VLOOKUP(I$7,'P-75'!$F11:$G65539,2,FALSE)</f>
        <v>10094.677919542932</v>
      </c>
      <c r="J53" s="854"/>
      <c r="K53" s="854"/>
      <c r="L53" s="854">
        <f>+VLOOKUP(L$7,'P-75'!$F11:$G65539,2,FALSE)</f>
        <v>235.33191244914221</v>
      </c>
      <c r="M53" s="858">
        <f t="shared" si="2"/>
        <v>24609.317289383474</v>
      </c>
      <c r="O53" s="820">
        <f>+'P-75'!$F$9</f>
        <v>15</v>
      </c>
    </row>
    <row r="54" spans="1:15" x14ac:dyDescent="0.35">
      <c r="A54" s="853" t="s">
        <v>44</v>
      </c>
      <c r="B54" s="853" t="s">
        <v>23</v>
      </c>
      <c r="C54" s="818">
        <v>113</v>
      </c>
      <c r="D54" s="854" t="str">
        <f>+VLOOKUP("Partida:",'P-113'!$A$7:$G$7,2,FALSE)</f>
        <v>Impermeabilizacion de azotea con pintura asfaltica / Barrera de vapor</v>
      </c>
      <c r="E54" s="855" t="s">
        <v>45</v>
      </c>
      <c r="F54" s="857">
        <f>+VLOOKUP(F$7,'P-113'!$F11:$G65539,2,FALSE)</f>
        <v>1256.6125285555554</v>
      </c>
      <c r="G54" s="857"/>
      <c r="H54" s="857"/>
      <c r="I54" s="857">
        <f>+VLOOKUP(I$7,'P-113'!$F11:$G65539,2,FALSE)</f>
        <v>1834.8459741642994</v>
      </c>
      <c r="J54" s="854"/>
      <c r="K54" s="854"/>
      <c r="L54" s="854">
        <f>+VLOOKUP(L$7,'P-113'!$F11:$G65539,2,FALSE)</f>
        <v>10.056321089515</v>
      </c>
      <c r="M54" s="858">
        <f>SUM(F54:L54)</f>
        <v>3101.5148238093698</v>
      </c>
      <c r="O54" s="820">
        <f>+'P-113'!$F$9</f>
        <v>80</v>
      </c>
    </row>
    <row r="55" spans="1:15" x14ac:dyDescent="0.35">
      <c r="A55" s="853" t="s">
        <v>46</v>
      </c>
      <c r="B55" s="853" t="s">
        <v>23</v>
      </c>
      <c r="C55" s="818">
        <v>114</v>
      </c>
      <c r="D55" s="854" t="str">
        <f>+VLOOKUP("Partida:",'P-114'!$A$7:$G$7,2,FALSE)</f>
        <v>Babeta en Azotea con membrana Geotextil Ormiflex de 4mm, a soplete.</v>
      </c>
      <c r="E55" s="855" t="s">
        <v>47</v>
      </c>
      <c r="F55" s="854">
        <f>+VLOOKUP(F$7,'P-114'!$F11:$G65542,2,FALSE)</f>
        <v>4402.5269200000012</v>
      </c>
      <c r="G55" s="854"/>
      <c r="H55" s="854"/>
      <c r="I55" s="854">
        <f>+VLOOKUP(I$7,'P-114'!$F11:$G65542,2,FALSE)</f>
        <v>2446.4612988857325</v>
      </c>
      <c r="J55" s="854"/>
      <c r="K55" s="854"/>
      <c r="L55" s="854">
        <f>+VLOOKUP(L$7,'P-114'!$F11:$G65542,2,FALSE)</f>
        <v>13.408428119353335</v>
      </c>
      <c r="M55" s="858">
        <f>SUM(F55:L55)</f>
        <v>6862.3966470050873</v>
      </c>
      <c r="O55" s="820">
        <f>+'P-114'!$F$9</f>
        <v>60</v>
      </c>
    </row>
    <row r="56" spans="1:15" ht="14.25" customHeight="1" x14ac:dyDescent="0.35">
      <c r="A56" s="853" t="s">
        <v>48</v>
      </c>
      <c r="B56" s="853" t="s">
        <v>49</v>
      </c>
      <c r="C56" s="818">
        <v>115</v>
      </c>
      <c r="D56" s="854" t="str">
        <f>+VLOOKUP("Partida:",'P-115'!$A$7:$G$7,2,FALSE)</f>
        <v>Revoque Grueso Exterior S/hidrofugo hasta 3.00 m</v>
      </c>
      <c r="E56" s="855" t="s">
        <v>45</v>
      </c>
      <c r="F56" s="854">
        <f>+VLOOKUP(F$7,'P-115'!$F11:$G65536,2,FALSE)</f>
        <v>2919.7377999999999</v>
      </c>
      <c r="G56" s="854"/>
      <c r="H56" s="854"/>
      <c r="I56" s="854">
        <f>+VLOOKUP(I$7,'P-115'!$F11:$G65536,2,FALSE)</f>
        <v>9785.84519554293</v>
      </c>
      <c r="J56" s="854"/>
      <c r="K56" s="854"/>
      <c r="L56" s="854">
        <f>+VLOOKUP(L$7,'P-115'!$F11:$G65536,2,FALSE)</f>
        <v>0</v>
      </c>
      <c r="M56" s="858">
        <f>SUM(F56:L56)</f>
        <v>12705.582995542929</v>
      </c>
      <c r="O56" s="820">
        <f>+'P-115'!$F$9</f>
        <v>15</v>
      </c>
    </row>
    <row r="57" spans="1:15" x14ac:dyDescent="0.35">
      <c r="A57" s="853" t="s">
        <v>50</v>
      </c>
      <c r="B57" s="853" t="s">
        <v>23</v>
      </c>
      <c r="C57" s="818">
        <v>116</v>
      </c>
      <c r="D57" s="854" t="str">
        <f>+VLOOKUP("Partida:",'P-116'!$A$7:$G$7,2,FALSE)</f>
        <v>Cielorraso Desmontable 120x60 - incluye placa</v>
      </c>
      <c r="E57" s="855" t="s">
        <v>45</v>
      </c>
      <c r="F57" s="854">
        <f>+VLOOKUP(F$7,'P-116'!$F11:$G65537,2,FALSE)</f>
        <v>14768.588519524143</v>
      </c>
      <c r="G57" s="854"/>
      <c r="H57" s="854"/>
      <c r="I57" s="854">
        <f>+VLOOKUP(I$7,'P-116'!$F11:$G65537,2,FALSE)</f>
        <v>12618.347399428663</v>
      </c>
      <c r="J57" s="854"/>
      <c r="K57" s="854"/>
      <c r="L57" s="854">
        <f>+VLOOKUP(L$7,'P-116'!$F12:$G65537,2,FALSE)</f>
        <v>208.78635343118836</v>
      </c>
      <c r="M57" s="858">
        <f>SUM(F57:L57)</f>
        <v>27595.722272383991</v>
      </c>
      <c r="O57" s="820">
        <f>+'P-116'!$F$9</f>
        <v>12</v>
      </c>
    </row>
    <row r="58" spans="1:15" x14ac:dyDescent="0.35">
      <c r="A58" s="853" t="s">
        <v>51</v>
      </c>
      <c r="B58" s="853" t="s">
        <v>23</v>
      </c>
      <c r="C58" s="818">
        <v>117</v>
      </c>
      <c r="D58" s="854" t="str">
        <f>+VLOOKUP("Partida:",'P-117'!$A$7:$G$7,2,FALSE)</f>
        <v>Perfil buña Z / Cantonera</v>
      </c>
      <c r="E58" s="855" t="s">
        <v>52</v>
      </c>
      <c r="F58" s="854">
        <f>+VLOOKUP(F$7,'P-117'!$F11:$G65536,2,FALSE)</f>
        <v>1062.8718108264463</v>
      </c>
      <c r="G58" s="854"/>
      <c r="H58" s="854"/>
      <c r="I58" s="854">
        <f>+VLOOKUP(I$7,'P-117'!$F11:$G65536,2,FALSE)</f>
        <v>5728.4731437714654</v>
      </c>
      <c r="J58" s="854"/>
      <c r="K58" s="854"/>
      <c r="L58" s="854">
        <f>+VLOOKUP(L$7,'P-117'!$F13:$G65538,2,FALSE)</f>
        <v>167.0290827449507</v>
      </c>
      <c r="M58" s="858">
        <f t="shared" ref="M58:M78" si="3">SUM(F58:L58)</f>
        <v>6958.3740373428627</v>
      </c>
      <c r="O58" s="820">
        <f>+'P-117'!$F$9</f>
        <v>15</v>
      </c>
    </row>
    <row r="59" spans="1:15" x14ac:dyDescent="0.35">
      <c r="A59" s="853" t="s">
        <v>53</v>
      </c>
      <c r="B59" s="853" t="s">
        <v>23</v>
      </c>
      <c r="C59" s="818">
        <v>118</v>
      </c>
      <c r="D59" s="854" t="str">
        <f>+VLOOKUP("Partida:",'P-118'!$A$7:$G$7,2,FALSE)</f>
        <v>Bloque de Hormigon 10 x 19 x 39</v>
      </c>
      <c r="E59" s="855" t="s">
        <v>45</v>
      </c>
      <c r="F59" s="854">
        <f>+VLOOKUP(F$7,'P-118'!$F11:$G65537,2,FALSE)</f>
        <v>11007.235604379002</v>
      </c>
      <c r="G59" s="854"/>
      <c r="H59" s="854"/>
      <c r="I59" s="854">
        <f>+VLOOKUP(I$7,'P-118'!$F11:$G65537,2,FALSE)</f>
        <v>11441.089803391387</v>
      </c>
      <c r="J59" s="854"/>
      <c r="K59" s="854"/>
      <c r="L59" s="854">
        <f>+VLOOKUP(L$7,'P-118'!$F11:$G65537,2,FALSE)</f>
        <v>306.95466841192462</v>
      </c>
      <c r="M59" s="858">
        <f t="shared" si="3"/>
        <v>22755.280076182313</v>
      </c>
      <c r="O59" s="820">
        <f>+'P-118'!$F$9</f>
        <v>11.5</v>
      </c>
    </row>
    <row r="60" spans="1:15" x14ac:dyDescent="0.35">
      <c r="A60" s="853" t="s">
        <v>54</v>
      </c>
      <c r="B60" s="853" t="s">
        <v>23</v>
      </c>
      <c r="C60" s="818">
        <v>119</v>
      </c>
      <c r="D60" s="854" t="str">
        <f>+VLOOKUP("Partida:",'P-119'!$A$7:$G$7,2,FALSE)</f>
        <v>Bloque de Hormigon 19 x 19 x 39</v>
      </c>
      <c r="E60" s="855" t="s">
        <v>45</v>
      </c>
      <c r="F60" s="854">
        <f>+VLOOKUP(F$7,'P-119'!$F12:$G65538,2,FALSE)</f>
        <v>15699.180911308202</v>
      </c>
      <c r="G60" s="854"/>
      <c r="H60" s="854"/>
      <c r="I60" s="854">
        <f>+VLOOKUP(I$7,'P-119'!$F12:$G65538,2,FALSE)</f>
        <v>11441.089803391387</v>
      </c>
      <c r="J60" s="854"/>
      <c r="K60" s="854"/>
      <c r="L60" s="854">
        <f>+VLOOKUP(L$7,'P-119'!$F12:$G65538,2,FALSE)</f>
        <v>306.95466841192462</v>
      </c>
      <c r="M60" s="858">
        <f t="shared" si="3"/>
        <v>27447.225383111512</v>
      </c>
      <c r="O60" s="820">
        <f>+'P-119'!$F$9</f>
        <v>11.5</v>
      </c>
    </row>
    <row r="61" spans="1:15" x14ac:dyDescent="0.35">
      <c r="A61" s="853" t="s">
        <v>55</v>
      </c>
      <c r="B61" s="853" t="s">
        <v>23</v>
      </c>
      <c r="C61" s="818">
        <v>120</v>
      </c>
      <c r="D61" s="854" t="str">
        <f>+VLOOKUP("Partida:",'P-120'!$A$7:$G$7,2,FALSE)</f>
        <v>BOCA ILUMINACIÓN</v>
      </c>
      <c r="E61" s="855" t="s">
        <v>52</v>
      </c>
      <c r="F61" s="854">
        <f>+VLOOKUP(F$7,'P-120'!$F13:$G65540,2,FALSE)</f>
        <v>17867.355495</v>
      </c>
      <c r="G61" s="854"/>
      <c r="H61" s="854"/>
      <c r="I61" s="854">
        <f>+VLOOKUP(I$7,'P-120'!$F13:$G65540,2,FALSE)</f>
        <v>45165.439364044294</v>
      </c>
      <c r="J61" s="854"/>
      <c r="K61" s="854"/>
      <c r="L61" s="854">
        <f>+VLOOKUP(L$7,'P-120'!$F13:$G65541,2,FALSE)</f>
        <v>1667.3180256186997</v>
      </c>
      <c r="M61" s="858">
        <f t="shared" si="3"/>
        <v>64700.112884662994</v>
      </c>
      <c r="O61" s="820">
        <f>+'P-120'!$F$9</f>
        <v>3.25</v>
      </c>
    </row>
    <row r="62" spans="1:15" x14ac:dyDescent="0.35">
      <c r="A62" s="853" t="s">
        <v>56</v>
      </c>
      <c r="B62" s="853" t="s">
        <v>23</v>
      </c>
      <c r="C62" s="818">
        <v>121</v>
      </c>
      <c r="D62" s="854" t="str">
        <f>+VLOOKUP("Partida:",'P-121'!$A$7:$G$7,2,FALSE)</f>
        <v>BOCA TOMACORRIENTE</v>
      </c>
      <c r="E62" s="855" t="s">
        <v>52</v>
      </c>
      <c r="F62" s="854">
        <f>+VLOOKUP(F$7,'P-121'!$F14:$G65544,2,FALSE)</f>
        <v>14804.6642249</v>
      </c>
      <c r="G62" s="854"/>
      <c r="H62" s="854"/>
      <c r="I62" s="854">
        <f>+VLOOKUP(I$7,'P-121'!$F14:$G65541,2,FALSE)</f>
        <v>45165.439364044294</v>
      </c>
      <c r="J62" s="854"/>
      <c r="K62" s="854"/>
      <c r="L62" s="854">
        <f>+VLOOKUP(L$7,'P-121'!$F14:$G65542,2,FALSE)</f>
        <v>1667.3180256186997</v>
      </c>
      <c r="M62" s="858">
        <f t="shared" si="3"/>
        <v>61637.421614562991</v>
      </c>
      <c r="O62" s="820">
        <f>+'P-121'!$F$9</f>
        <v>3.25</v>
      </c>
    </row>
    <row r="63" spans="1:15" x14ac:dyDescent="0.35">
      <c r="A63" s="853" t="s">
        <v>57</v>
      </c>
      <c r="B63" s="853" t="s">
        <v>23</v>
      </c>
      <c r="C63" s="818">
        <v>122</v>
      </c>
      <c r="D63" s="854" t="str">
        <f>+VLOOKUP("Partida:",'P-122'!$A$7:$G$7,2,FALSE)</f>
        <v>BANDEJA PORTACABLES 200</v>
      </c>
      <c r="E63" s="855" t="s">
        <v>52</v>
      </c>
      <c r="F63" s="854">
        <f>+VLOOKUP(F$7,'P-122'!$F15:$G65543,2,FALSE)</f>
        <v>17891.690924999999</v>
      </c>
      <c r="G63" s="854"/>
      <c r="H63" s="854"/>
      <c r="I63" s="854">
        <f>+'Sub CONTRATOS'!E44</f>
        <v>9545.7248848822874</v>
      </c>
      <c r="J63" s="854"/>
      <c r="K63" s="854"/>
      <c r="L63" s="854">
        <f>+VLOOKUP(L$7,'P-122'!$F15:$G65541,2,FALSE)</f>
        <v>0</v>
      </c>
      <c r="M63" s="858">
        <f t="shared" si="3"/>
        <v>27437.415809882288</v>
      </c>
      <c r="O63" s="820">
        <f>+'P-122'!$F$9</f>
        <v>12</v>
      </c>
    </row>
    <row r="64" spans="1:15" x14ac:dyDescent="0.35">
      <c r="A64" s="853" t="s">
        <v>58</v>
      </c>
      <c r="B64" s="853" t="s">
        <v>49</v>
      </c>
      <c r="C64" s="818">
        <v>123</v>
      </c>
      <c r="D64" s="854" t="str">
        <f>+VLOOKUP("Partida:",'P-123'!$A$7:$G$7,2,FALSE)</f>
        <v>COLUMNA HORMIGÓN RÚSTICO 85 kg/m3</v>
      </c>
      <c r="E64" s="855" t="s">
        <v>59</v>
      </c>
      <c r="F64" s="854"/>
      <c r="G64" s="854"/>
      <c r="H64" s="854"/>
      <c r="I64" s="854"/>
      <c r="J64" s="854"/>
      <c r="K64" s="854"/>
      <c r="L64" s="854"/>
      <c r="M64" s="858">
        <f t="shared" si="3"/>
        <v>0</v>
      </c>
    </row>
    <row r="65" spans="1:15" x14ac:dyDescent="0.35">
      <c r="A65" s="853" t="s">
        <v>60</v>
      </c>
      <c r="B65" s="853" t="s">
        <v>49</v>
      </c>
      <c r="C65" s="818">
        <v>124</v>
      </c>
      <c r="D65" s="854" t="str">
        <f>+VLOOKUP("Partida:",'P-124'!$A$7:$G$7,2,FALSE)</f>
        <v>COLUMNA HORMIGÓN VISTO</v>
      </c>
      <c r="E65" s="855" t="s">
        <v>59</v>
      </c>
      <c r="F65" s="854"/>
      <c r="G65" s="854"/>
      <c r="H65" s="854"/>
      <c r="I65" s="854"/>
      <c r="J65" s="854"/>
      <c r="K65" s="854"/>
      <c r="L65" s="854"/>
      <c r="M65" s="858">
        <f t="shared" si="3"/>
        <v>0</v>
      </c>
    </row>
    <row r="66" spans="1:15" x14ac:dyDescent="0.35">
      <c r="A66" s="855"/>
      <c r="B66" s="853" t="s">
        <v>49</v>
      </c>
      <c r="C66" s="818">
        <v>125</v>
      </c>
      <c r="D66" s="863" t="s">
        <v>61</v>
      </c>
      <c r="E66" s="855"/>
      <c r="F66" s="854"/>
      <c r="G66" s="854"/>
      <c r="H66" s="854"/>
      <c r="I66" s="854"/>
      <c r="J66" s="854"/>
      <c r="K66" s="854"/>
      <c r="L66" s="854"/>
      <c r="M66" s="858">
        <f t="shared" si="3"/>
        <v>0</v>
      </c>
    </row>
    <row r="67" spans="1:15" x14ac:dyDescent="0.35">
      <c r="A67" s="855"/>
      <c r="B67" s="853" t="s">
        <v>49</v>
      </c>
      <c r="C67" s="818">
        <v>126</v>
      </c>
      <c r="D67" s="863" t="s">
        <v>62</v>
      </c>
      <c r="E67" s="855"/>
      <c r="F67" s="854"/>
      <c r="G67" s="854"/>
      <c r="H67" s="854"/>
      <c r="I67" s="854"/>
      <c r="J67" s="854"/>
      <c r="K67" s="854"/>
      <c r="L67" s="854"/>
      <c r="M67" s="858">
        <f t="shared" si="3"/>
        <v>0</v>
      </c>
    </row>
    <row r="68" spans="1:15" x14ac:dyDescent="0.35">
      <c r="A68" s="855"/>
      <c r="B68" s="853" t="s">
        <v>49</v>
      </c>
      <c r="C68" s="818">
        <v>127</v>
      </c>
      <c r="D68" s="863" t="s">
        <v>63</v>
      </c>
      <c r="E68" s="855"/>
      <c r="F68" s="854"/>
      <c r="G68" s="854"/>
      <c r="H68" s="854"/>
      <c r="I68" s="854"/>
      <c r="J68" s="854"/>
      <c r="K68" s="854"/>
      <c r="L68" s="854"/>
      <c r="M68" s="858">
        <f t="shared" si="3"/>
        <v>0</v>
      </c>
    </row>
    <row r="69" spans="1:15" x14ac:dyDescent="0.35">
      <c r="A69" s="855"/>
      <c r="B69" s="853" t="s">
        <v>49</v>
      </c>
      <c r="C69" s="818">
        <v>128</v>
      </c>
      <c r="D69" s="863" t="s">
        <v>64</v>
      </c>
      <c r="E69" s="855"/>
      <c r="F69" s="854"/>
      <c r="G69" s="854"/>
      <c r="H69" s="854"/>
      <c r="I69" s="854"/>
      <c r="J69" s="854"/>
      <c r="K69" s="854"/>
      <c r="L69" s="854"/>
      <c r="M69" s="858">
        <f t="shared" si="3"/>
        <v>0</v>
      </c>
    </row>
    <row r="70" spans="1:15" x14ac:dyDescent="0.35">
      <c r="A70" s="855"/>
      <c r="B70" s="853" t="s">
        <v>49</v>
      </c>
      <c r="C70" s="818">
        <v>129</v>
      </c>
      <c r="D70" s="863" t="s">
        <v>65</v>
      </c>
      <c r="E70" s="855"/>
      <c r="F70" s="854"/>
      <c r="G70" s="854"/>
      <c r="H70" s="854"/>
      <c r="I70" s="854"/>
      <c r="J70" s="854"/>
      <c r="K70" s="854"/>
      <c r="L70" s="854"/>
      <c r="M70" s="858">
        <f t="shared" si="3"/>
        <v>0</v>
      </c>
    </row>
    <row r="71" spans="1:15" x14ac:dyDescent="0.35">
      <c r="A71" s="855"/>
      <c r="B71" s="853" t="s">
        <v>49</v>
      </c>
      <c r="C71" s="818">
        <v>130</v>
      </c>
      <c r="D71" s="863" t="s">
        <v>66</v>
      </c>
      <c r="E71" s="855"/>
      <c r="F71" s="854"/>
      <c r="G71" s="854"/>
      <c r="H71" s="854"/>
      <c r="I71" s="854"/>
      <c r="J71" s="854"/>
      <c r="K71" s="854"/>
      <c r="L71" s="854"/>
      <c r="M71" s="858">
        <f t="shared" si="3"/>
        <v>0</v>
      </c>
    </row>
    <row r="72" spans="1:15" x14ac:dyDescent="0.35">
      <c r="A72" s="855"/>
      <c r="B72" s="853" t="s">
        <v>49</v>
      </c>
      <c r="C72" s="818">
        <v>131</v>
      </c>
      <c r="D72" s="863" t="s">
        <v>67</v>
      </c>
      <c r="E72" s="855"/>
      <c r="F72" s="854"/>
      <c r="G72" s="854"/>
      <c r="H72" s="854"/>
      <c r="I72" s="854"/>
      <c r="J72" s="854"/>
      <c r="K72" s="854"/>
      <c r="L72" s="854"/>
      <c r="M72" s="858">
        <f t="shared" si="3"/>
        <v>0</v>
      </c>
    </row>
    <row r="73" spans="1:15" x14ac:dyDescent="0.35">
      <c r="A73" s="855"/>
      <c r="B73" s="853" t="s">
        <v>49</v>
      </c>
      <c r="C73" s="818">
        <v>132</v>
      </c>
      <c r="D73" s="863" t="s">
        <v>68</v>
      </c>
      <c r="E73" s="855"/>
      <c r="F73" s="854"/>
      <c r="G73" s="854"/>
      <c r="H73" s="854"/>
      <c r="I73" s="854"/>
      <c r="J73" s="854"/>
      <c r="K73" s="854"/>
      <c r="L73" s="854"/>
      <c r="M73" s="858">
        <f t="shared" si="3"/>
        <v>0</v>
      </c>
    </row>
    <row r="74" spans="1:15" x14ac:dyDescent="0.35">
      <c r="A74" s="854"/>
      <c r="B74" s="853" t="s">
        <v>49</v>
      </c>
      <c r="C74" s="818">
        <v>133</v>
      </c>
      <c r="D74" s="864" t="s">
        <v>69</v>
      </c>
      <c r="E74" s="855"/>
      <c r="F74" s="854"/>
      <c r="G74" s="854"/>
      <c r="H74" s="854"/>
      <c r="I74" s="854"/>
      <c r="J74" s="854"/>
      <c r="K74" s="854"/>
      <c r="L74" s="854"/>
      <c r="M74" s="858">
        <f t="shared" si="3"/>
        <v>0</v>
      </c>
    </row>
    <row r="75" spans="1:15" x14ac:dyDescent="0.35">
      <c r="A75" s="854"/>
      <c r="B75" s="853" t="s">
        <v>23</v>
      </c>
      <c r="C75" s="818">
        <v>134</v>
      </c>
      <c r="D75" s="854" t="str">
        <f>+VLOOKUP("Partida:",'P-134'!$A$7:$G$7,2,FALSE)</f>
        <v>Revoque grueso para interiores</v>
      </c>
      <c r="E75" s="855" t="s">
        <v>45</v>
      </c>
      <c r="F75" s="854">
        <f>+VLOOKUP(F$7,'P-134'!$F10:$G65555,2,FALSE)</f>
        <v>1531.654399</v>
      </c>
      <c r="G75" s="854"/>
      <c r="H75" s="854"/>
      <c r="I75" s="854">
        <f>+VLOOKUP(I$7,'P-134'!$F10:$G65552,2,FALSE)</f>
        <v>7309.5851521667191</v>
      </c>
      <c r="J75" s="854"/>
      <c r="K75" s="854"/>
      <c r="L75" s="854">
        <f>+VLOOKUP(L$7,'P-134'!$F10:$G65555,2,FALSE)</f>
        <v>158.79529089319814</v>
      </c>
      <c r="M75" s="858">
        <f t="shared" si="3"/>
        <v>9000.0348420599184</v>
      </c>
      <c r="O75" s="820">
        <f>+'P-134'!$F$9</f>
        <v>18</v>
      </c>
    </row>
    <row r="76" spans="1:15" x14ac:dyDescent="0.35">
      <c r="A76" s="854"/>
      <c r="B76" s="853" t="s">
        <v>23</v>
      </c>
      <c r="C76" s="818">
        <v>135</v>
      </c>
      <c r="D76" s="854" t="s">
        <v>70</v>
      </c>
      <c r="E76" s="855" t="s">
        <v>45</v>
      </c>
      <c r="F76" s="854">
        <f>+VLOOKUP(F$7,'P-135'!$F11:$G65556,2,FALSE)</f>
        <v>1203.6620420000002</v>
      </c>
      <c r="G76" s="854"/>
      <c r="H76" s="854"/>
      <c r="I76" s="854">
        <f>+VLOOKUP(I$7,'P-135'!$F11:$G65553,2,FALSE)</f>
        <v>13604.827291390575</v>
      </c>
      <c r="J76" s="854"/>
      <c r="K76" s="854"/>
      <c r="L76" s="854">
        <f>+VLOOKUP(L$7,'P-135'!$F11:$G65556,2,FALSE)</f>
        <v>423.95204802527928</v>
      </c>
      <c r="M76" s="858">
        <f t="shared" si="3"/>
        <v>15232.441381415854</v>
      </c>
      <c r="O76" s="820">
        <f>+'P-135'!$F$9</f>
        <v>9</v>
      </c>
    </row>
    <row r="77" spans="1:15" x14ac:dyDescent="0.35">
      <c r="A77" s="854"/>
      <c r="B77" s="853" t="s">
        <v>23</v>
      </c>
      <c r="C77" s="818">
        <v>136</v>
      </c>
      <c r="D77" s="854" t="str">
        <f>+VLOOKUP("Partida:",'P-136'!$A$7:$G$7,2,FALSE)</f>
        <v>Carpeta cal reforzada (e: 1,5 cm)</v>
      </c>
      <c r="E77" s="855" t="s">
        <v>45</v>
      </c>
      <c r="F77" s="854">
        <f>+VLOOKUP(F$7,'P-136'!$F12:$G65554,2,FALSE)</f>
        <v>2717.5178580000002</v>
      </c>
      <c r="G77" s="854"/>
      <c r="H77" s="854"/>
      <c r="I77" s="854">
        <f>+VLOOKUP(I$7,'P-136'!$F12:$G65554,2,FALSE)</f>
        <v>7814.7833452434052</v>
      </c>
      <c r="J77" s="854"/>
      <c r="K77" s="854"/>
      <c r="L77" s="854">
        <f>+VLOOKUP(L$7,'P-136'!$F12:$G65554,2,FALSE)</f>
        <v>223.75096146529327</v>
      </c>
      <c r="M77" s="858">
        <f t="shared" si="3"/>
        <v>10756.052164708699</v>
      </c>
      <c r="O77" s="820">
        <f>+'P-136'!$F$9</f>
        <v>14.5</v>
      </c>
    </row>
    <row r="78" spans="1:15" x14ac:dyDescent="0.35">
      <c r="A78" s="854"/>
      <c r="B78" s="853" t="s">
        <v>23</v>
      </c>
      <c r="C78" s="818">
        <v>137</v>
      </c>
      <c r="D78" s="854" t="str">
        <f>+VLOOKUP("Partida:",'P-137'!$A$7:$G$7,2,FALSE)</f>
        <v>Látex interior para paredes (enduido parcial)</v>
      </c>
      <c r="E78" s="855" t="s">
        <v>45</v>
      </c>
      <c r="F78" s="854">
        <f>+VLOOKUP(F$7,'P-137'!$F13:$G65560,2,FALSE)</f>
        <v>2272.0787045000002</v>
      </c>
      <c r="G78" s="854"/>
      <c r="H78" s="854"/>
      <c r="I78" s="854">
        <f>+VLOOKUP(I$7,'P-137'!$F13:$G65560,2,FALSE)</f>
        <v>4296.3548578285991</v>
      </c>
      <c r="J78" s="854"/>
      <c r="K78" s="854"/>
      <c r="L78" s="854">
        <f>+VLOOKUP(L$7,'P-137'!$F13:$G65560,2,FALSE)</f>
        <v>96.19395195097286</v>
      </c>
      <c r="M78" s="858">
        <f t="shared" si="3"/>
        <v>6664.6275142795712</v>
      </c>
      <c r="O78" s="820">
        <f>+'P-137'!$F$9</f>
        <v>20</v>
      </c>
    </row>
    <row r="79" spans="1:15" x14ac:dyDescent="0.35">
      <c r="A79" s="854"/>
      <c r="B79" s="853" t="s">
        <v>49</v>
      </c>
      <c r="C79" s="818">
        <v>138</v>
      </c>
      <c r="D79" s="863" t="s">
        <v>71</v>
      </c>
      <c r="E79" s="854"/>
      <c r="F79" s="854"/>
      <c r="G79" s="854"/>
      <c r="H79" s="854"/>
      <c r="I79" s="854"/>
      <c r="J79" s="854"/>
      <c r="K79" s="854"/>
      <c r="L79" s="854"/>
      <c r="M79" s="854"/>
    </row>
    <row r="80" spans="1:15" x14ac:dyDescent="0.35">
      <c r="A80" s="854"/>
      <c r="B80" s="853" t="s">
        <v>49</v>
      </c>
      <c r="C80" s="818">
        <v>139</v>
      </c>
      <c r="D80" s="854" t="s">
        <v>72</v>
      </c>
      <c r="E80" s="854"/>
      <c r="F80" s="854"/>
      <c r="G80" s="854"/>
      <c r="H80" s="854"/>
      <c r="I80" s="854"/>
      <c r="J80" s="854"/>
      <c r="K80" s="854"/>
      <c r="L80" s="854"/>
      <c r="M80" s="854"/>
    </row>
    <row r="81" spans="1:15" x14ac:dyDescent="0.35">
      <c r="A81" s="854"/>
      <c r="B81" s="853" t="s">
        <v>49</v>
      </c>
      <c r="C81" s="818">
        <v>140</v>
      </c>
      <c r="D81" s="854" t="s">
        <v>73</v>
      </c>
      <c r="E81" s="854"/>
      <c r="F81" s="854"/>
      <c r="G81" s="854"/>
      <c r="H81" s="854"/>
      <c r="I81" s="854"/>
      <c r="J81" s="854"/>
      <c r="K81" s="854"/>
      <c r="L81" s="854"/>
      <c r="M81" s="854"/>
    </row>
    <row r="82" spans="1:15" x14ac:dyDescent="0.35">
      <c r="A82" s="854"/>
      <c r="B82" s="853" t="s">
        <v>49</v>
      </c>
      <c r="C82" s="818">
        <v>141</v>
      </c>
      <c r="D82" s="854" t="s">
        <v>74</v>
      </c>
      <c r="E82" s="854"/>
      <c r="F82" s="854"/>
      <c r="G82" s="854"/>
      <c r="H82" s="854"/>
      <c r="I82" s="854"/>
      <c r="J82" s="854"/>
      <c r="K82" s="854"/>
      <c r="L82" s="854"/>
      <c r="M82" s="854"/>
    </row>
    <row r="83" spans="1:15" x14ac:dyDescent="0.35">
      <c r="A83" s="854"/>
      <c r="B83" s="853" t="s">
        <v>49</v>
      </c>
      <c r="C83" s="818">
        <v>142</v>
      </c>
      <c r="D83" s="854" t="str">
        <f>+VLOOKUP("Partida:",'P-72'!$A$7:$G$7,2,FALSE)</f>
        <v>Revoque Exterior 3 en 1 hasta 3,00 m</v>
      </c>
      <c r="E83" s="854"/>
      <c r="F83" s="854"/>
      <c r="G83" s="854"/>
      <c r="H83" s="854"/>
      <c r="I83" s="854"/>
      <c r="J83" s="854"/>
      <c r="K83" s="854"/>
      <c r="L83" s="854"/>
      <c r="M83" s="854"/>
    </row>
    <row r="84" spans="1:15" x14ac:dyDescent="0.35">
      <c r="A84" s="854"/>
      <c r="B84" s="853" t="s">
        <v>49</v>
      </c>
      <c r="C84" s="818">
        <v>143</v>
      </c>
      <c r="D84" s="854" t="s">
        <v>75</v>
      </c>
      <c r="E84" s="854"/>
      <c r="F84" s="854"/>
      <c r="G84" s="854"/>
      <c r="H84" s="854"/>
      <c r="I84" s="854"/>
      <c r="J84" s="854"/>
      <c r="K84" s="854"/>
      <c r="L84" s="854"/>
      <c r="M84" s="854"/>
    </row>
    <row r="85" spans="1:15" x14ac:dyDescent="0.35">
      <c r="A85" s="854"/>
      <c r="B85" s="853" t="s">
        <v>49</v>
      </c>
      <c r="C85" s="818">
        <v>144</v>
      </c>
      <c r="D85" s="854" t="s">
        <v>76</v>
      </c>
      <c r="E85" s="854"/>
      <c r="F85" s="854"/>
      <c r="G85" s="854"/>
      <c r="H85" s="854"/>
      <c r="I85" s="854"/>
      <c r="J85" s="854"/>
      <c r="K85" s="854"/>
      <c r="L85" s="854"/>
      <c r="M85" s="854"/>
    </row>
    <row r="86" spans="1:15" x14ac:dyDescent="0.35">
      <c r="A86" s="854"/>
      <c r="B86" s="853" t="s">
        <v>49</v>
      </c>
      <c r="C86" s="818">
        <v>145</v>
      </c>
      <c r="D86" s="854" t="s">
        <v>77</v>
      </c>
      <c r="E86" s="854"/>
      <c r="F86" s="854"/>
      <c r="G86" s="854"/>
      <c r="H86" s="854"/>
      <c r="I86" s="854"/>
      <c r="J86" s="854"/>
      <c r="K86" s="854"/>
      <c r="L86" s="854"/>
      <c r="M86" s="854"/>
    </row>
    <row r="87" spans="1:15" x14ac:dyDescent="0.35">
      <c r="A87" s="854"/>
      <c r="B87" s="855" t="s">
        <v>23</v>
      </c>
      <c r="C87" s="818">
        <v>146</v>
      </c>
      <c r="D87" s="854" t="str">
        <f>+VLOOKUP("Partida:",'P-146'!$A$7:$G$7,2,FALSE)</f>
        <v>Látex interior para paredes (s/enduido)</v>
      </c>
      <c r="E87" s="855" t="s">
        <v>45</v>
      </c>
      <c r="F87" s="854">
        <f>+VLOOKUP(F$7,'P-146'!$F13:$G65569,2,FALSE)</f>
        <v>2141.6929605000005</v>
      </c>
      <c r="G87" s="854"/>
      <c r="H87" s="854"/>
      <c r="I87" s="854">
        <f>+VLOOKUP(I$7,'P-146'!$F19:$G65569,2,FALSE)</f>
        <v>3437.0838862628793</v>
      </c>
      <c r="J87" s="854"/>
      <c r="K87" s="854"/>
      <c r="L87" s="854">
        <f>+VLOOKUP(L$7,'P-146'!$F11:$G65569,2,FALSE)</f>
        <v>76.955161560778294</v>
      </c>
      <c r="M87" s="858">
        <f t="shared" ref="M87:M88" si="4">SUM(F87:L87)</f>
        <v>5655.7320083236573</v>
      </c>
      <c r="O87" s="820">
        <f>+'P-146'!$F$9</f>
        <v>25</v>
      </c>
    </row>
    <row r="88" spans="1:15" x14ac:dyDescent="0.35">
      <c r="A88" s="853" t="s">
        <v>56</v>
      </c>
      <c r="B88" s="853" t="s">
        <v>23</v>
      </c>
      <c r="C88" s="818">
        <v>147</v>
      </c>
      <c r="D88" s="854" t="str">
        <f>+VLOOKUP("Partida:",'P-147'!$A$7:$G$7,2,FALSE)</f>
        <v>BOCA ILUMINACIÓN LOSA (Profunda)</v>
      </c>
      <c r="E88" s="855" t="s">
        <v>17</v>
      </c>
      <c r="F88" s="854">
        <f>+VLOOKUP(F$7,'P-147'!$F11:$G65570,2,FALSE)</f>
        <v>20340.180885000002</v>
      </c>
      <c r="G88" s="854"/>
      <c r="H88" s="854"/>
      <c r="I88" s="854">
        <f>+VLOOKUP(I$7,'P-147'!$F11:$G65567,2,FALSE)</f>
        <v>45165.439364044294</v>
      </c>
      <c r="J88" s="854"/>
      <c r="K88" s="854"/>
      <c r="L88" s="854">
        <f>+VLOOKUP(L$7,'P-147'!$F11:$G65568,2,FALSE)</f>
        <v>1667.3180256186997</v>
      </c>
      <c r="M88" s="858">
        <f t="shared" si="4"/>
        <v>67172.938274663</v>
      </c>
      <c r="O88" s="820">
        <f>+'P-147'!$F$9</f>
        <v>3.25</v>
      </c>
    </row>
    <row r="89" spans="1:15" x14ac:dyDescent="0.35">
      <c r="A89" s="853" t="s">
        <v>56</v>
      </c>
      <c r="B89" s="853" t="s">
        <v>23</v>
      </c>
      <c r="C89" s="818">
        <v>148</v>
      </c>
      <c r="D89" s="854" t="str">
        <f>+VLOOKUP("Partida:",'P-148'!$A$7:$G$7,2,FALSE)</f>
        <v xml:space="preserve">BOCA TOMACORRIENTE ESPECIAL </v>
      </c>
      <c r="E89" s="855" t="s">
        <v>17</v>
      </c>
      <c r="F89" s="854">
        <f>+VLOOKUP(F$7,'P-148'!$F11:$G65571,2,FALSE)</f>
        <v>34429.494880000006</v>
      </c>
      <c r="G89" s="854"/>
      <c r="H89" s="854"/>
      <c r="I89" s="854">
        <f>+VLOOKUP(I$7,'P-148'!$F11:$G65568,2,FALSE)</f>
        <v>45165.439364044294</v>
      </c>
      <c r="J89" s="854"/>
      <c r="K89" s="854"/>
      <c r="L89" s="854">
        <f>+VLOOKUP(L$7,'P-147'!$F11:$G65569,2,FALSE)</f>
        <v>1667.3180256186997</v>
      </c>
      <c r="M89" s="858">
        <f t="shared" ref="M89" si="5">SUM(F89:L89)</f>
        <v>81262.252269663004</v>
      </c>
      <c r="O89" s="820">
        <f>+'P-148'!$F$9</f>
        <v>3.25</v>
      </c>
    </row>
    <row r="90" spans="1:15" x14ac:dyDescent="0.35">
      <c r="A90" s="865" t="s">
        <v>56</v>
      </c>
      <c r="B90" s="865" t="s">
        <v>23</v>
      </c>
      <c r="C90" s="819">
        <v>148</v>
      </c>
      <c r="D90" s="866" t="str">
        <f>+VLOOKUP("Partida:",'P-149'!$A$7:$G$7,2,FALSE)</f>
        <v>BOCA VACIA C/CABLE TESTIGO</v>
      </c>
      <c r="E90" s="867" t="s">
        <v>17</v>
      </c>
      <c r="F90" s="866">
        <f>+VLOOKUP(F$7,'P-149'!$F11:$G65572,2,FALSE)</f>
        <v>12087.90438625</v>
      </c>
      <c r="G90" s="866"/>
      <c r="H90" s="866"/>
      <c r="I90" s="866">
        <f>+VLOOKUP(I$7,'P-149'!$F11:$G65569,2,FALSE)</f>
        <v>29357.53558662879</v>
      </c>
      <c r="J90" s="866"/>
      <c r="K90" s="866"/>
      <c r="L90" s="866">
        <f>+VLOOKUP(L$7,'P-149'!$F11:$G65570,2,FALSE)</f>
        <v>1083.7567166521549</v>
      </c>
      <c r="M90" s="868">
        <f t="shared" ref="M90" si="6">SUM(F90:L90)</f>
        <v>42529.196689530945</v>
      </c>
      <c r="O90" s="820">
        <f>+'P-149'!$F$9</f>
        <v>5</v>
      </c>
    </row>
  </sheetData>
  <autoFilter ref="D20:D27" xr:uid="{00000000-0001-0000-0000-000000000000}"/>
  <mergeCells count="1">
    <mergeCell ref="F6:L6"/>
  </mergeCells>
  <phoneticPr fontId="8" type="noConversion"/>
  <conditionalFormatting sqref="B1:B1048576">
    <cfRule type="cellIs" dxfId="1" priority="41" operator="equal">
      <formula>"SI"</formula>
    </cfRule>
    <cfRule type="cellIs" dxfId="0" priority="42" operator="equal">
      <formula>"NO"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66"/>
  <sheetViews>
    <sheetView workbookViewId="0">
      <selection activeCell="B5" sqref="B5"/>
    </sheetView>
  </sheetViews>
  <sheetFormatPr defaultColWidth="11.453125" defaultRowHeight="13" x14ac:dyDescent="0.3"/>
  <cols>
    <col min="1" max="1" width="12.36328125" style="4" bestFit="1" customWidth="1"/>
    <col min="2" max="2" width="80.36328125" style="4" bestFit="1" customWidth="1"/>
    <col min="3" max="3" width="13.453125" style="4" bestFit="1" customWidth="1"/>
    <col min="4" max="4" width="7.36328125" style="4" bestFit="1" customWidth="1"/>
    <col min="5" max="5" width="16.6328125" style="4" bestFit="1" customWidth="1"/>
    <col min="6" max="6" width="2.36328125" style="291" customWidth="1"/>
    <col min="7" max="7" width="6" style="408" bestFit="1" customWidth="1"/>
    <col min="8" max="8" width="9" style="354" bestFit="1" customWidth="1"/>
    <col min="9" max="9" width="12.6328125" style="354" bestFit="1" customWidth="1"/>
    <col min="10" max="10" width="9" style="4" bestFit="1" customWidth="1"/>
    <col min="11" max="11" width="7.54296875" style="4" bestFit="1" customWidth="1"/>
    <col min="12" max="12" width="11.453125" style="4"/>
    <col min="13" max="13" width="12.453125" style="4" bestFit="1" customWidth="1"/>
    <col min="14" max="16384" width="11.453125" style="4"/>
  </cols>
  <sheetData>
    <row r="1" spans="1:10" ht="3.75" customHeight="1" x14ac:dyDescent="0.3">
      <c r="A1" s="877"/>
      <c r="B1" s="877"/>
      <c r="C1" s="877"/>
      <c r="D1" s="877"/>
      <c r="E1" s="877"/>
      <c r="F1" s="355"/>
      <c r="G1" s="405"/>
      <c r="H1" s="352"/>
      <c r="I1" s="352"/>
    </row>
    <row r="2" spans="1:10" x14ac:dyDescent="0.3">
      <c r="A2" s="625" t="s">
        <v>20</v>
      </c>
      <c r="B2" s="626"/>
      <c r="C2" s="626"/>
      <c r="D2" s="626"/>
      <c r="E2" s="626"/>
      <c r="F2" s="353"/>
      <c r="G2" s="406"/>
      <c r="H2" s="353"/>
      <c r="I2" s="353"/>
      <c r="J2" s="47"/>
    </row>
    <row r="3" spans="1:10" x14ac:dyDescent="0.3">
      <c r="A3" s="11"/>
      <c r="B3" s="14" t="s">
        <v>78</v>
      </c>
      <c r="C3" s="655">
        <v>45631</v>
      </c>
      <c r="D3" s="14"/>
      <c r="E3" s="50"/>
      <c r="F3" s="50"/>
      <c r="G3" s="407"/>
      <c r="H3" s="50"/>
      <c r="I3" s="50"/>
      <c r="J3" s="50"/>
    </row>
    <row r="4" spans="1:10" x14ac:dyDescent="0.3">
      <c r="A4" s="43"/>
    </row>
    <row r="5" spans="1:10" s="45" customFormat="1" x14ac:dyDescent="0.3">
      <c r="A5" s="44"/>
      <c r="E5" s="46"/>
      <c r="F5" s="355"/>
      <c r="G5" s="405"/>
      <c r="H5" s="355">
        <v>360</v>
      </c>
      <c r="I5" s="355"/>
      <c r="J5" s="48"/>
    </row>
    <row r="6" spans="1:10" ht="16.5" customHeight="1" x14ac:dyDescent="0.3">
      <c r="A6" s="395" t="s">
        <v>79</v>
      </c>
      <c r="B6" s="395" t="s">
        <v>80</v>
      </c>
      <c r="C6" s="395" t="s">
        <v>81</v>
      </c>
      <c r="D6" s="395" t="s">
        <v>82</v>
      </c>
      <c r="E6" s="396" t="s">
        <v>83</v>
      </c>
      <c r="F6" s="362"/>
      <c r="G6" s="627" t="s">
        <v>84</v>
      </c>
      <c r="H6" s="628" t="s">
        <v>85</v>
      </c>
      <c r="I6" s="628" t="s">
        <v>86</v>
      </c>
      <c r="J6" s="629" t="s">
        <v>87</v>
      </c>
    </row>
    <row r="7" spans="1:10" s="5" customFormat="1" ht="12.75" customHeight="1" x14ac:dyDescent="0.3">
      <c r="A7" s="631" t="s">
        <v>88</v>
      </c>
      <c r="B7" s="495" t="s">
        <v>89</v>
      </c>
      <c r="C7" s="371"/>
      <c r="D7" s="371"/>
      <c r="E7" s="371">
        <f>+SUM(E8:E10)</f>
        <v>1028123.0837653707</v>
      </c>
      <c r="F7" s="371"/>
      <c r="G7" s="632">
        <v>5</v>
      </c>
      <c r="H7" s="371">
        <f>+G7*$H$5</f>
        <v>1800</v>
      </c>
      <c r="I7" s="371">
        <f>+E7/H7</f>
        <v>571.17949098076144</v>
      </c>
      <c r="J7" s="633">
        <f>+I7/E7</f>
        <v>5.5555555555555556E-4</v>
      </c>
    </row>
    <row r="8" spans="1:10" s="5" customFormat="1" ht="12.75" customHeight="1" x14ac:dyDescent="0.3">
      <c r="A8" s="630"/>
      <c r="B8" s="416" t="s">
        <v>90</v>
      </c>
      <c r="C8" s="416">
        <f>VLOOKUP(B8,'Precio Equipos'!B:C,2,0)</f>
        <v>237068.27093667444</v>
      </c>
      <c r="D8" s="416">
        <v>3</v>
      </c>
      <c r="E8" s="416">
        <f>+C8*D8</f>
        <v>711204.81281002332</v>
      </c>
      <c r="F8" s="293"/>
      <c r="G8" s="409"/>
      <c r="H8" s="293"/>
      <c r="I8" s="293"/>
      <c r="J8" s="394"/>
    </row>
    <row r="9" spans="1:10" s="5" customFormat="1" ht="12.75" customHeight="1" x14ac:dyDescent="0.3">
      <c r="A9" s="60"/>
      <c r="B9" s="369" t="s">
        <v>91</v>
      </c>
      <c r="C9" s="369">
        <f>VLOOKUP(B9,'Precio Equipos'!B:C,2,0)</f>
        <v>94209.624794770236</v>
      </c>
      <c r="D9" s="369">
        <v>2</v>
      </c>
      <c r="E9" s="369">
        <f>+C9*D9</f>
        <v>188419.24958954047</v>
      </c>
      <c r="F9" s="293"/>
      <c r="G9" s="409"/>
      <c r="H9" s="293"/>
      <c r="I9" s="293"/>
      <c r="J9" s="394"/>
    </row>
    <row r="10" spans="1:10" s="5" customFormat="1" ht="12.75" customHeight="1" x14ac:dyDescent="0.3">
      <c r="A10" s="87"/>
      <c r="B10" s="370" t="s">
        <v>92</v>
      </c>
      <c r="C10" s="370">
        <f>VLOOKUP(B10,'Precio Equipos'!B:C,2,0)</f>
        <v>32124.755341451695</v>
      </c>
      <c r="D10" s="370">
        <v>4</v>
      </c>
      <c r="E10" s="370">
        <f>+C10*D10</f>
        <v>128499.02136580678</v>
      </c>
      <c r="F10" s="293"/>
      <c r="G10" s="409"/>
      <c r="H10" s="397"/>
      <c r="I10" s="397"/>
      <c r="J10" s="398"/>
    </row>
    <row r="11" spans="1:10" x14ac:dyDescent="0.3">
      <c r="A11" s="631" t="s">
        <v>93</v>
      </c>
      <c r="B11" s="495" t="s">
        <v>94</v>
      </c>
      <c r="C11" s="371"/>
      <c r="D11" s="371"/>
      <c r="E11" s="371">
        <f>+SUM(E12:E31)</f>
        <v>2470106.6047045495</v>
      </c>
      <c r="F11" s="371"/>
      <c r="G11" s="632">
        <v>3</v>
      </c>
      <c r="H11" s="371">
        <f>+G11*$H$5</f>
        <v>1080</v>
      </c>
      <c r="I11" s="371">
        <f>+E11/H11</f>
        <v>2287.1357450968053</v>
      </c>
      <c r="J11" s="633">
        <f>+I11/E11</f>
        <v>9.2592592592592596E-4</v>
      </c>
    </row>
    <row r="12" spans="1:10" x14ac:dyDescent="0.3">
      <c r="A12" s="9"/>
      <c r="B12" s="369" t="s">
        <v>95</v>
      </c>
      <c r="C12" s="369">
        <f>VLOOKUP(B12,'Precio Equipos'!B:C,2,0)</f>
        <v>238945.45686299971</v>
      </c>
      <c r="D12" s="369">
        <v>2</v>
      </c>
      <c r="E12" s="369">
        <f t="shared" ref="E12:E14" si="0">+C12*D12</f>
        <v>477890.91372599942</v>
      </c>
      <c r="F12" s="293"/>
      <c r="G12" s="404"/>
      <c r="H12" s="293"/>
      <c r="I12" s="293"/>
      <c r="J12" s="394"/>
    </row>
    <row r="13" spans="1:10" x14ac:dyDescent="0.3">
      <c r="A13" s="9"/>
      <c r="B13" s="351" t="s">
        <v>96</v>
      </c>
      <c r="C13" s="369">
        <f>VLOOKUP(B13,'Precio Equipos'!B:C,2,0)</f>
        <v>137903.31124555261</v>
      </c>
      <c r="D13" s="351">
        <v>1</v>
      </c>
      <c r="E13" s="369">
        <f t="shared" si="0"/>
        <v>137903.31124555261</v>
      </c>
      <c r="F13" s="293"/>
      <c r="G13" s="404"/>
      <c r="H13" s="293"/>
      <c r="I13" s="293"/>
      <c r="J13" s="394"/>
    </row>
    <row r="14" spans="1:10" x14ac:dyDescent="0.3">
      <c r="A14" s="9"/>
      <c r="B14" s="351" t="s">
        <v>97</v>
      </c>
      <c r="C14" s="369">
        <f>VLOOKUP(B14,'Precio Equipos'!B:C,2,0)</f>
        <v>180879.67774669934</v>
      </c>
      <c r="D14" s="351">
        <v>1</v>
      </c>
      <c r="E14" s="369">
        <f t="shared" si="0"/>
        <v>180879.67774669934</v>
      </c>
      <c r="F14" s="293"/>
      <c r="G14" s="404"/>
      <c r="H14" s="293"/>
      <c r="I14" s="293"/>
      <c r="J14" s="394"/>
    </row>
    <row r="15" spans="1:10" x14ac:dyDescent="0.3">
      <c r="A15" s="9"/>
      <c r="B15" s="351" t="s">
        <v>98</v>
      </c>
      <c r="C15" s="369">
        <f>VLOOKUP(B15,'Precio Equipos'!B:C,2,0)</f>
        <v>396998.40387472091</v>
      </c>
      <c r="D15" s="351">
        <v>1</v>
      </c>
      <c r="E15" s="369">
        <f>+C15*D15</f>
        <v>396998.40387472091</v>
      </c>
      <c r="F15" s="293"/>
      <c r="G15" s="404"/>
      <c r="H15" s="293"/>
      <c r="I15" s="293"/>
      <c r="J15" s="394"/>
    </row>
    <row r="16" spans="1:10" x14ac:dyDescent="0.3">
      <c r="A16" s="9"/>
      <c r="B16" s="351" t="s">
        <v>99</v>
      </c>
      <c r="C16" s="369">
        <f>VLOOKUP(B16,'Precio Equipos'!B:C,2,0)</f>
        <v>832041.7610496066</v>
      </c>
      <c r="D16" s="351">
        <v>0.5</v>
      </c>
      <c r="E16" s="369">
        <f t="shared" ref="E16:E19" si="1">+C16*D16</f>
        <v>416020.8805248033</v>
      </c>
      <c r="F16" s="293"/>
      <c r="G16" s="404"/>
      <c r="H16" s="293"/>
      <c r="I16" s="293"/>
      <c r="J16" s="394"/>
    </row>
    <row r="17" spans="1:10" x14ac:dyDescent="0.3">
      <c r="A17" s="9"/>
      <c r="B17" s="369" t="s">
        <v>100</v>
      </c>
      <c r="C17" s="369">
        <f>VLOOKUP(B17,'Precio Equipos'!B:C,2,0)</f>
        <v>53370.690062477996</v>
      </c>
      <c r="D17" s="369">
        <v>2</v>
      </c>
      <c r="E17" s="369">
        <f t="shared" si="1"/>
        <v>106741.38012495599</v>
      </c>
      <c r="F17" s="293"/>
      <c r="G17" s="409"/>
      <c r="H17" s="293"/>
      <c r="I17" s="293"/>
    </row>
    <row r="18" spans="1:10" x14ac:dyDescent="0.3">
      <c r="A18" s="9"/>
      <c r="B18" s="369" t="s">
        <v>101</v>
      </c>
      <c r="C18" s="369">
        <f>VLOOKUP(B18,'Precio Equipos'!B:C,2,0)</f>
        <v>53370.690062477996</v>
      </c>
      <c r="D18" s="369">
        <v>2</v>
      </c>
      <c r="E18" s="369">
        <f t="shared" si="1"/>
        <v>106741.38012495599</v>
      </c>
      <c r="F18" s="293"/>
      <c r="G18" s="409"/>
      <c r="H18" s="293"/>
      <c r="I18" s="293"/>
    </row>
    <row r="19" spans="1:10" x14ac:dyDescent="0.3">
      <c r="A19" s="9"/>
      <c r="B19" s="369" t="s">
        <v>102</v>
      </c>
      <c r="C19" s="369">
        <f>VLOOKUP(B19,'Precio Equipos'!B:C,2,0)</f>
        <v>107853.3386635295</v>
      </c>
      <c r="D19" s="369">
        <v>1</v>
      </c>
      <c r="E19" s="369">
        <f t="shared" si="1"/>
        <v>107853.3386635295</v>
      </c>
      <c r="F19" s="293"/>
      <c r="G19" s="409"/>
      <c r="H19" s="293"/>
      <c r="I19" s="293"/>
    </row>
    <row r="20" spans="1:10" x14ac:dyDescent="0.3">
      <c r="A20" s="9"/>
      <c r="B20" s="369" t="s">
        <v>103</v>
      </c>
      <c r="C20" s="369">
        <f>VLOOKUP(B20,'Precio Equipos'!B:C,2,0)</f>
        <v>15556.499462222971</v>
      </c>
      <c r="D20" s="369">
        <v>1</v>
      </c>
      <c r="E20" s="369">
        <f t="shared" ref="E20:E28" si="2">+C20*D20</f>
        <v>15556.499462222971</v>
      </c>
      <c r="F20" s="293"/>
      <c r="G20" s="409"/>
      <c r="H20" s="293"/>
      <c r="I20" s="293"/>
    </row>
    <row r="21" spans="1:10" x14ac:dyDescent="0.3">
      <c r="A21" s="9"/>
      <c r="B21" s="369" t="s">
        <v>104</v>
      </c>
      <c r="C21" s="369">
        <f>VLOOKUP(B21,'Precio Equipos'!B:C,2,0)</f>
        <v>4646.2849524260291</v>
      </c>
      <c r="D21" s="369">
        <v>6</v>
      </c>
      <c r="E21" s="369">
        <f t="shared" si="2"/>
        <v>27877.709714556175</v>
      </c>
      <c r="F21" s="293"/>
      <c r="G21" s="409"/>
      <c r="H21" s="293"/>
      <c r="I21" s="293"/>
    </row>
    <row r="22" spans="1:10" x14ac:dyDescent="0.3">
      <c r="A22" s="9"/>
      <c r="B22" s="351" t="s">
        <v>105</v>
      </c>
      <c r="C22" s="369">
        <f>VLOOKUP(B22,'Precio Equipos'!B:C,2,0)</f>
        <v>13904.258599048509</v>
      </c>
      <c r="D22" s="369">
        <v>2</v>
      </c>
      <c r="E22" s="369">
        <f t="shared" si="2"/>
        <v>27808.517198097019</v>
      </c>
      <c r="F22" s="293"/>
      <c r="G22" s="409"/>
      <c r="H22" s="293"/>
      <c r="I22" s="293"/>
    </row>
    <row r="23" spans="1:10" x14ac:dyDescent="0.3">
      <c r="A23" s="9"/>
      <c r="B23" s="351" t="s">
        <v>106</v>
      </c>
      <c r="C23" s="369">
        <f>VLOOKUP(B23,'Precio Equipos'!B:C,2,0)</f>
        <v>18146.756862165636</v>
      </c>
      <c r="D23" s="351">
        <v>2</v>
      </c>
      <c r="E23" s="369">
        <f t="shared" si="2"/>
        <v>36293.513724331271</v>
      </c>
      <c r="F23" s="293"/>
      <c r="G23" s="409"/>
      <c r="H23" s="293"/>
      <c r="I23" s="293"/>
    </row>
    <row r="24" spans="1:10" x14ac:dyDescent="0.3">
      <c r="A24" s="9"/>
      <c r="B24" s="369" t="s">
        <v>107</v>
      </c>
      <c r="C24" s="369">
        <f>VLOOKUP(B24,'Precio Equipos'!B:C,2,0)</f>
        <v>5823.7319341462153</v>
      </c>
      <c r="D24" s="369">
        <v>1</v>
      </c>
      <c r="E24" s="369">
        <f t="shared" si="2"/>
        <v>5823.7319341462153</v>
      </c>
      <c r="F24" s="293"/>
      <c r="G24" s="409"/>
      <c r="H24" s="293"/>
      <c r="I24" s="293"/>
    </row>
    <row r="25" spans="1:10" x14ac:dyDescent="0.3">
      <c r="A25" s="9"/>
      <c r="B25" s="351" t="s">
        <v>108</v>
      </c>
      <c r="C25" s="369">
        <f>VLOOKUP(B25,'Precio Equipos'!B:C,2,0)</f>
        <v>4206.1727257042112</v>
      </c>
      <c r="D25" s="351">
        <v>1</v>
      </c>
      <c r="E25" s="369">
        <f t="shared" si="2"/>
        <v>4206.1727257042112</v>
      </c>
      <c r="F25" s="293"/>
      <c r="G25" s="409"/>
      <c r="H25" s="293"/>
      <c r="I25" s="293"/>
    </row>
    <row r="26" spans="1:10" x14ac:dyDescent="0.3">
      <c r="A26" s="9"/>
      <c r="B26" s="369" t="s">
        <v>109</v>
      </c>
      <c r="C26" s="369">
        <f>VLOOKUP(B26,'Precio Equipos'!B:C,2,0)</f>
        <v>19515.278519081567</v>
      </c>
      <c r="D26" s="369">
        <v>2</v>
      </c>
      <c r="E26" s="369">
        <f t="shared" si="2"/>
        <v>39030.557038163133</v>
      </c>
      <c r="F26" s="293"/>
      <c r="G26" s="409"/>
      <c r="H26" s="293"/>
      <c r="I26" s="293"/>
    </row>
    <row r="27" spans="1:10" x14ac:dyDescent="0.3">
      <c r="A27" s="9"/>
      <c r="B27" s="369" t="s">
        <v>110</v>
      </c>
      <c r="C27" s="369">
        <f>VLOOKUP(B27,'Precio Equipos'!B:C,2,0)</f>
        <v>8539.6502880779444</v>
      </c>
      <c r="D27" s="369">
        <v>2</v>
      </c>
      <c r="E27" s="369">
        <f t="shared" si="2"/>
        <v>17079.300576155889</v>
      </c>
      <c r="F27" s="293"/>
      <c r="G27" s="409"/>
      <c r="H27" s="293"/>
      <c r="I27" s="293"/>
    </row>
    <row r="28" spans="1:10" x14ac:dyDescent="0.3">
      <c r="A28" s="9"/>
      <c r="B28" s="351" t="s">
        <v>111</v>
      </c>
      <c r="C28" s="369">
        <f>VLOOKUP(B28,'Precio Equipos'!B:C,2,0)</f>
        <v>2097.2847379376426</v>
      </c>
      <c r="D28" s="351">
        <v>6</v>
      </c>
      <c r="E28" s="369">
        <f t="shared" si="2"/>
        <v>12583.708427625856</v>
      </c>
      <c r="F28" s="293"/>
      <c r="G28" s="409"/>
      <c r="H28" s="293"/>
      <c r="I28" s="293"/>
    </row>
    <row r="29" spans="1:10" x14ac:dyDescent="0.3">
      <c r="A29" s="9"/>
      <c r="B29" s="351" t="s">
        <v>112</v>
      </c>
      <c r="C29" s="369">
        <f>VLOOKUP(B29,'Precio Equipos'!B:C,2,0)</f>
        <v>248336.43556285903</v>
      </c>
      <c r="D29" s="351">
        <v>1</v>
      </c>
      <c r="E29" s="369">
        <f t="shared" ref="E29:E31" si="3">+C29*D29</f>
        <v>248336.43556285903</v>
      </c>
      <c r="F29" s="293"/>
      <c r="G29" s="409"/>
      <c r="H29" s="293"/>
      <c r="I29" s="293"/>
    </row>
    <row r="30" spans="1:10" x14ac:dyDescent="0.3">
      <c r="A30" s="9"/>
      <c r="B30" s="351" t="s">
        <v>113</v>
      </c>
      <c r="C30" s="369">
        <f>VLOOKUP(B30,'Precio Equipos'!B:C,2,0)</f>
        <v>32054.263303709959</v>
      </c>
      <c r="D30" s="351">
        <v>1</v>
      </c>
      <c r="E30" s="369">
        <f t="shared" si="3"/>
        <v>32054.263303709959</v>
      </c>
      <c r="F30" s="293"/>
      <c r="G30" s="409"/>
      <c r="H30" s="293"/>
      <c r="I30" s="293"/>
    </row>
    <row r="31" spans="1:10" x14ac:dyDescent="0.3">
      <c r="A31" s="59"/>
      <c r="B31" s="365" t="s">
        <v>114</v>
      </c>
      <c r="C31" s="370">
        <f>VLOOKUP(B31,'Precio Equipos'!B:C,2,0)</f>
        <v>72426.909005761074</v>
      </c>
      <c r="D31" s="365">
        <v>1</v>
      </c>
      <c r="E31" s="370">
        <f t="shared" si="3"/>
        <v>72426.909005761074</v>
      </c>
      <c r="F31" s="293"/>
      <c r="G31" s="409"/>
      <c r="H31" s="293"/>
      <c r="I31" s="293"/>
    </row>
    <row r="32" spans="1:10" x14ac:dyDescent="0.3">
      <c r="A32" s="631" t="s">
        <v>115</v>
      </c>
      <c r="B32" s="495" t="s">
        <v>116</v>
      </c>
      <c r="C32" s="371"/>
      <c r="D32" s="371"/>
      <c r="E32" s="371">
        <f>+SUM(E33:E46)</f>
        <v>1424056.5960245545</v>
      </c>
      <c r="F32" s="371"/>
      <c r="G32" s="632">
        <v>1.5</v>
      </c>
      <c r="H32" s="371">
        <f>+G32*$H$5</f>
        <v>540</v>
      </c>
      <c r="I32" s="371">
        <f>+E32/H32</f>
        <v>2637.1418444899155</v>
      </c>
      <c r="J32" s="633">
        <f>+I32/E32</f>
        <v>1.8518518518518517E-3</v>
      </c>
    </row>
    <row r="33" spans="1:10" x14ac:dyDescent="0.3">
      <c r="A33" s="9"/>
      <c r="B33" s="351" t="s">
        <v>96</v>
      </c>
      <c r="C33" s="369">
        <f>VLOOKUP(B33,'Precio Equipos'!B:C,2,0)</f>
        <v>137903.31124555261</v>
      </c>
      <c r="D33" s="351">
        <v>1</v>
      </c>
      <c r="E33" s="369">
        <f t="shared" ref="E33:E46" si="4">+C33*D33</f>
        <v>137903.31124555261</v>
      </c>
      <c r="F33" s="293"/>
      <c r="G33" s="409"/>
      <c r="H33" s="293"/>
      <c r="I33" s="293"/>
    </row>
    <row r="34" spans="1:10" x14ac:dyDescent="0.3">
      <c r="A34" s="9"/>
      <c r="B34" s="351" t="s">
        <v>117</v>
      </c>
      <c r="C34" s="369">
        <f>VLOOKUP(B34,'Precio Equipos'!B:C,2,0)</f>
        <v>143732.28439006314</v>
      </c>
      <c r="D34" s="351">
        <v>1</v>
      </c>
      <c r="E34" s="369">
        <f>+C34*D34</f>
        <v>143732.28439006314</v>
      </c>
      <c r="F34" s="293"/>
      <c r="G34" s="409"/>
      <c r="H34" s="293"/>
      <c r="I34" s="293"/>
    </row>
    <row r="35" spans="1:10" x14ac:dyDescent="0.3">
      <c r="A35" s="9"/>
      <c r="B35" s="351" t="s">
        <v>99</v>
      </c>
      <c r="C35" s="369">
        <f>VLOOKUP(B35,'Precio Equipos'!B:C,2,0)</f>
        <v>832041.7610496066</v>
      </c>
      <c r="D35" s="351">
        <v>1</v>
      </c>
      <c r="E35" s="369">
        <f>+C35*D35</f>
        <v>832041.7610496066</v>
      </c>
      <c r="F35" s="293"/>
      <c r="G35" s="409"/>
      <c r="H35" s="293"/>
      <c r="I35" s="293"/>
    </row>
    <row r="36" spans="1:10" x14ac:dyDescent="0.3">
      <c r="A36" s="9"/>
      <c r="B36" s="351" t="s">
        <v>118</v>
      </c>
      <c r="C36" s="369">
        <f>VLOOKUP(B36,'Precio Equipos'!B:C,2,0)</f>
        <v>6903.8055534565947</v>
      </c>
      <c r="D36" s="351">
        <v>3</v>
      </c>
      <c r="E36" s="369">
        <f t="shared" si="4"/>
        <v>20711.416660369785</v>
      </c>
      <c r="F36" s="293"/>
      <c r="G36" s="409"/>
      <c r="H36" s="293"/>
      <c r="I36" s="293"/>
    </row>
    <row r="37" spans="1:10" x14ac:dyDescent="0.3">
      <c r="A37" s="9"/>
      <c r="B37" s="351" t="s">
        <v>119</v>
      </c>
      <c r="C37" s="369">
        <f>VLOOKUP(B37,'Precio Equipos'!B:C,2,0)</f>
        <v>8898.8920265716642</v>
      </c>
      <c r="D37" s="351">
        <v>1</v>
      </c>
      <c r="E37" s="369">
        <f t="shared" si="4"/>
        <v>8898.8920265716642</v>
      </c>
      <c r="F37" s="293"/>
      <c r="G37" s="409"/>
      <c r="H37" s="293"/>
      <c r="I37" s="293"/>
    </row>
    <row r="38" spans="1:10" x14ac:dyDescent="0.3">
      <c r="A38" s="9"/>
      <c r="B38" s="351" t="s">
        <v>120</v>
      </c>
      <c r="C38" s="369">
        <f>VLOOKUP(B38,'Precio Equipos'!B:C,2,0)</f>
        <v>13983.677346727634</v>
      </c>
      <c r="D38" s="351">
        <v>2</v>
      </c>
      <c r="E38" s="369">
        <f t="shared" si="4"/>
        <v>27967.354693455269</v>
      </c>
      <c r="F38" s="293"/>
      <c r="G38" s="409"/>
      <c r="H38" s="293"/>
      <c r="I38" s="293"/>
    </row>
    <row r="39" spans="1:10" x14ac:dyDescent="0.3">
      <c r="A39" s="9"/>
      <c r="B39" s="351" t="s">
        <v>106</v>
      </c>
      <c r="C39" s="369">
        <f>VLOOKUP(B39,'Precio Equipos'!B:C,2,0)</f>
        <v>18146.756862165636</v>
      </c>
      <c r="D39" s="351">
        <v>2</v>
      </c>
      <c r="E39" s="369">
        <f t="shared" si="4"/>
        <v>36293.513724331271</v>
      </c>
      <c r="F39" s="293"/>
      <c r="G39" s="409"/>
      <c r="H39" s="293"/>
      <c r="I39" s="293"/>
    </row>
    <row r="40" spans="1:10" x14ac:dyDescent="0.3">
      <c r="A40" s="9"/>
      <c r="B40" s="351" t="s">
        <v>111</v>
      </c>
      <c r="C40" s="369">
        <f>VLOOKUP(B40,'Precio Equipos'!B:C,2,0)</f>
        <v>2097.2847379376426</v>
      </c>
      <c r="D40" s="351">
        <v>6</v>
      </c>
      <c r="E40" s="369">
        <f t="shared" si="4"/>
        <v>12583.708427625856</v>
      </c>
      <c r="F40" s="293"/>
      <c r="G40" s="409"/>
      <c r="H40" s="293"/>
      <c r="I40" s="293"/>
    </row>
    <row r="41" spans="1:10" x14ac:dyDescent="0.3">
      <c r="A41" s="9"/>
      <c r="B41" s="351" t="s">
        <v>121</v>
      </c>
      <c r="C41" s="369">
        <f>VLOOKUP(B41,'Precio Equipos'!B:C,2,0)</f>
        <v>1387.6931718126662</v>
      </c>
      <c r="D41" s="351">
        <v>12</v>
      </c>
      <c r="E41" s="369">
        <f t="shared" si="4"/>
        <v>16652.318061751994</v>
      </c>
      <c r="F41" s="293"/>
      <c r="G41" s="409"/>
      <c r="H41" s="293"/>
      <c r="I41" s="293"/>
    </row>
    <row r="42" spans="1:10" x14ac:dyDescent="0.3">
      <c r="A42" s="9"/>
      <c r="B42" s="351" t="s">
        <v>108</v>
      </c>
      <c r="C42" s="369">
        <f>VLOOKUP(B42,'Precio Equipos'!B:C,2,0)</f>
        <v>4206.1727257042112</v>
      </c>
      <c r="D42" s="351">
        <v>1</v>
      </c>
      <c r="E42" s="369">
        <f t="shared" si="4"/>
        <v>4206.1727257042112</v>
      </c>
      <c r="F42" s="293"/>
      <c r="G42" s="409"/>
      <c r="H42" s="293"/>
      <c r="I42" s="293"/>
    </row>
    <row r="43" spans="1:10" x14ac:dyDescent="0.3">
      <c r="A43" s="9"/>
      <c r="B43" s="351" t="s">
        <v>122</v>
      </c>
      <c r="C43" s="369">
        <f>VLOOKUP(B43,'Precio Equipos'!B:C,2,0)</f>
        <v>26993.866584302963</v>
      </c>
      <c r="D43" s="351">
        <v>1</v>
      </c>
      <c r="E43" s="369">
        <f t="shared" si="4"/>
        <v>26993.866584302963</v>
      </c>
      <c r="F43" s="293"/>
      <c r="G43" s="409"/>
      <c r="H43" s="293"/>
      <c r="I43" s="293"/>
    </row>
    <row r="44" spans="1:10" x14ac:dyDescent="0.3">
      <c r="A44" s="9"/>
      <c r="B44" s="351" t="s">
        <v>123</v>
      </c>
      <c r="C44" s="369">
        <f>VLOOKUP(B44,'Precio Equipos'!B:C,2,0)</f>
        <v>4852.6242525117123</v>
      </c>
      <c r="D44" s="351">
        <v>1</v>
      </c>
      <c r="E44" s="369">
        <f t="shared" si="4"/>
        <v>4852.6242525117123</v>
      </c>
      <c r="F44" s="293"/>
      <c r="G44" s="409"/>
      <c r="H44" s="293"/>
      <c r="I44" s="293"/>
    </row>
    <row r="45" spans="1:10" x14ac:dyDescent="0.3">
      <c r="A45" s="9"/>
      <c r="B45" s="351" t="s">
        <v>113</v>
      </c>
      <c r="C45" s="369">
        <f>VLOOKUP(B45,'Precio Equipos'!B:C,2,0)</f>
        <v>32054.263303709959</v>
      </c>
      <c r="D45" s="351">
        <v>1</v>
      </c>
      <c r="E45" s="369">
        <f t="shared" si="4"/>
        <v>32054.263303709959</v>
      </c>
      <c r="F45" s="293"/>
      <c r="G45" s="409"/>
      <c r="H45" s="293"/>
      <c r="I45" s="293"/>
    </row>
    <row r="46" spans="1:10" x14ac:dyDescent="0.3">
      <c r="A46" s="59"/>
      <c r="B46" s="365" t="s">
        <v>124</v>
      </c>
      <c r="C46" s="370">
        <f>VLOOKUP(B46,'Precio Equipos'!B:C,2,0)</f>
        <v>39721.702959665861</v>
      </c>
      <c r="D46" s="365">
        <v>3</v>
      </c>
      <c r="E46" s="370">
        <f t="shared" si="4"/>
        <v>119165.10887899759</v>
      </c>
      <c r="F46" s="293"/>
      <c r="G46" s="409"/>
      <c r="H46" s="293"/>
      <c r="I46" s="293"/>
    </row>
    <row r="47" spans="1:10" x14ac:dyDescent="0.3">
      <c r="A47" s="631" t="s">
        <v>125</v>
      </c>
      <c r="B47" s="495" t="s">
        <v>126</v>
      </c>
      <c r="C47" s="371"/>
      <c r="D47" s="371"/>
      <c r="E47" s="371">
        <f>+SUM(E48:E61)</f>
        <v>2734071.1873955494</v>
      </c>
      <c r="F47" s="371"/>
      <c r="G47" s="632">
        <v>1.5</v>
      </c>
      <c r="H47" s="371">
        <f>+G47*$H$5</f>
        <v>540</v>
      </c>
      <c r="I47" s="371">
        <f>+E47/H47</f>
        <v>5063.0947914732396</v>
      </c>
      <c r="J47" s="633">
        <f>+I47/E47</f>
        <v>1.8518518518518519E-3</v>
      </c>
    </row>
    <row r="48" spans="1:10" x14ac:dyDescent="0.3">
      <c r="A48" s="7"/>
      <c r="B48" s="634" t="s">
        <v>96</v>
      </c>
      <c r="C48" s="613">
        <f>VLOOKUP(B48,'Precio Equipos'!B:C,2,0)</f>
        <v>137903.31124555261</v>
      </c>
      <c r="D48" s="634">
        <v>1</v>
      </c>
      <c r="E48" s="613">
        <f t="shared" ref="E48:E61" si="5">+C48*D48</f>
        <v>137903.31124555261</v>
      </c>
      <c r="F48" s="293"/>
      <c r="G48" s="409"/>
      <c r="H48" s="293"/>
      <c r="I48" s="293"/>
    </row>
    <row r="49" spans="1:10" x14ac:dyDescent="0.3">
      <c r="A49" s="9"/>
      <c r="B49" s="351" t="s">
        <v>97</v>
      </c>
      <c r="C49" s="369">
        <f>VLOOKUP(B49,'Precio Equipos'!B:C,2,0)</f>
        <v>180879.67774669934</v>
      </c>
      <c r="D49" s="351">
        <v>1</v>
      </c>
      <c r="E49" s="369">
        <f t="shared" si="5"/>
        <v>180879.67774669934</v>
      </c>
      <c r="F49" s="293"/>
      <c r="G49" s="409"/>
      <c r="H49" s="293"/>
      <c r="I49" s="293"/>
    </row>
    <row r="50" spans="1:10" x14ac:dyDescent="0.3">
      <c r="A50" s="9"/>
      <c r="B50" s="351" t="s">
        <v>127</v>
      </c>
      <c r="C50" s="369">
        <f>VLOOKUP(B50,'Precio Equipos'!B:C,2,0)</f>
        <v>555610.99686807126</v>
      </c>
      <c r="D50" s="351">
        <v>1</v>
      </c>
      <c r="E50" s="369">
        <f>+C50*D50</f>
        <v>555610.99686807126</v>
      </c>
      <c r="F50" s="293"/>
      <c r="G50" s="409"/>
      <c r="H50" s="293"/>
      <c r="I50" s="293"/>
    </row>
    <row r="51" spans="1:10" x14ac:dyDescent="0.3">
      <c r="A51" s="9"/>
      <c r="B51" s="351" t="s">
        <v>99</v>
      </c>
      <c r="C51" s="369">
        <f>VLOOKUP(B51,'Precio Equipos'!B:C,2,0)</f>
        <v>832041.7610496066</v>
      </c>
      <c r="D51" s="351">
        <v>1</v>
      </c>
      <c r="E51" s="369">
        <f>+C51*D51</f>
        <v>832041.7610496066</v>
      </c>
      <c r="F51" s="293"/>
      <c r="G51" s="409"/>
      <c r="H51" s="293"/>
      <c r="I51" s="293"/>
    </row>
    <row r="52" spans="1:10" x14ac:dyDescent="0.3">
      <c r="A52" s="9"/>
      <c r="B52" s="351" t="s">
        <v>112</v>
      </c>
      <c r="C52" s="369">
        <f>VLOOKUP(B52,'Precio Equipos'!B:C,2,0)</f>
        <v>248336.43556285903</v>
      </c>
      <c r="D52" s="351">
        <v>1</v>
      </c>
      <c r="E52" s="369">
        <f t="shared" si="5"/>
        <v>248336.43556285903</v>
      </c>
      <c r="F52" s="293"/>
      <c r="G52" s="409"/>
      <c r="H52" s="293"/>
      <c r="I52" s="293"/>
    </row>
    <row r="53" spans="1:10" x14ac:dyDescent="0.3">
      <c r="A53" s="9"/>
      <c r="B53" s="351" t="s">
        <v>128</v>
      </c>
      <c r="C53" s="369">
        <f>VLOOKUP(B53,'Precio Equipos'!B:C,2,0)</f>
        <v>12314.378532102739</v>
      </c>
      <c r="D53" s="351">
        <v>1</v>
      </c>
      <c r="E53" s="369">
        <f t="shared" si="5"/>
        <v>12314.378532102739</v>
      </c>
      <c r="F53" s="293"/>
      <c r="G53" s="409"/>
      <c r="H53" s="293"/>
      <c r="I53" s="293"/>
    </row>
    <row r="54" spans="1:10" x14ac:dyDescent="0.3">
      <c r="A54" s="9"/>
      <c r="B54" s="351" t="s">
        <v>129</v>
      </c>
      <c r="C54" s="369">
        <f>VLOOKUP(B54,'Precio Equipos'!B:C,2,0)</f>
        <v>14574.46102821973</v>
      </c>
      <c r="D54" s="351">
        <v>1</v>
      </c>
      <c r="E54" s="369">
        <f t="shared" si="5"/>
        <v>14574.46102821973</v>
      </c>
      <c r="F54" s="293"/>
      <c r="G54" s="409"/>
      <c r="H54" s="293"/>
      <c r="I54" s="293"/>
    </row>
    <row r="55" spans="1:10" x14ac:dyDescent="0.3">
      <c r="A55" s="9"/>
      <c r="B55" s="351" t="s">
        <v>130</v>
      </c>
      <c r="C55" s="369">
        <f>VLOOKUP(B55,'Precio Equipos'!B:C,2,0)</f>
        <v>6946.8560654713674</v>
      </c>
      <c r="D55" s="351">
        <v>1</v>
      </c>
      <c r="E55" s="369">
        <f t="shared" si="5"/>
        <v>6946.8560654713674</v>
      </c>
      <c r="F55" s="293"/>
      <c r="G55" s="409"/>
      <c r="H55" s="293"/>
      <c r="I55" s="293"/>
    </row>
    <row r="56" spans="1:10" x14ac:dyDescent="0.3">
      <c r="A56" s="9"/>
      <c r="B56" s="351" t="s">
        <v>131</v>
      </c>
      <c r="C56" s="369">
        <f>VLOOKUP(B56,'Precio Equipos'!B:C,2,0)</f>
        <v>9385.705465806408</v>
      </c>
      <c r="D56" s="351">
        <v>1</v>
      </c>
      <c r="E56" s="369">
        <f t="shared" si="5"/>
        <v>9385.705465806408</v>
      </c>
      <c r="F56" s="293"/>
      <c r="G56" s="409"/>
      <c r="H56" s="293"/>
      <c r="I56" s="293"/>
    </row>
    <row r="57" spans="1:10" x14ac:dyDescent="0.3">
      <c r="A57" s="9"/>
      <c r="B57" s="351" t="s">
        <v>122</v>
      </c>
      <c r="C57" s="369">
        <f>VLOOKUP(B57,'Precio Equipos'!B:C,2,0)</f>
        <v>26993.866584302963</v>
      </c>
      <c r="D57" s="351">
        <v>2</v>
      </c>
      <c r="E57" s="369">
        <f t="shared" ref="E57:E58" si="6">+C57*D57</f>
        <v>53987.733168605926</v>
      </c>
      <c r="F57" s="293"/>
      <c r="G57" s="409"/>
      <c r="H57" s="293"/>
      <c r="I57" s="293"/>
    </row>
    <row r="58" spans="1:10" x14ac:dyDescent="0.3">
      <c r="A58" s="9"/>
      <c r="B58" s="351" t="s">
        <v>132</v>
      </c>
      <c r="C58" s="369">
        <f>VLOOKUP(B58,'Precio Equipos'!B:C,2,0)</f>
        <v>58068.714621086925</v>
      </c>
      <c r="D58" s="351">
        <v>3</v>
      </c>
      <c r="E58" s="369">
        <f t="shared" si="6"/>
        <v>174206.14386326078</v>
      </c>
      <c r="F58" s="293"/>
      <c r="G58" s="409"/>
      <c r="H58" s="293"/>
      <c r="I58" s="293"/>
    </row>
    <row r="59" spans="1:10" x14ac:dyDescent="0.3">
      <c r="A59" s="9"/>
      <c r="B59" s="351" t="s">
        <v>113</v>
      </c>
      <c r="C59" s="369">
        <f>VLOOKUP(B59,'Precio Equipos'!B:C,2,0)</f>
        <v>32054.263303709959</v>
      </c>
      <c r="D59" s="351">
        <v>1</v>
      </c>
      <c r="E59" s="369">
        <f t="shared" ref="E59" si="7">+C59*D59</f>
        <v>32054.263303709959</v>
      </c>
      <c r="F59" s="293"/>
      <c r="G59" s="409"/>
      <c r="H59" s="293"/>
      <c r="I59" s="293"/>
    </row>
    <row r="60" spans="1:10" x14ac:dyDescent="0.3">
      <c r="A60" s="9"/>
      <c r="B60" s="351" t="s">
        <v>133</v>
      </c>
      <c r="C60" s="369">
        <f>VLOOKUP(B60,'Precio Equipos'!B:C,2,0)</f>
        <v>119810.18338719613</v>
      </c>
      <c r="D60" s="351">
        <v>2</v>
      </c>
      <c r="E60" s="369">
        <f t="shared" si="5"/>
        <v>239620.36677439226</v>
      </c>
      <c r="F60" s="293"/>
      <c r="G60" s="409"/>
      <c r="H60" s="293"/>
      <c r="I60" s="293"/>
    </row>
    <row r="61" spans="1:10" x14ac:dyDescent="0.3">
      <c r="A61" s="59"/>
      <c r="B61" s="351" t="s">
        <v>134</v>
      </c>
      <c r="C61" s="370">
        <f>VLOOKUP(B61,'Precio Equipos'!B:C,2,0)</f>
        <v>118104.54836059545</v>
      </c>
      <c r="D61" s="365">
        <v>2</v>
      </c>
      <c r="E61" s="370">
        <f t="shared" si="5"/>
        <v>236209.0967211909</v>
      </c>
      <c r="F61" s="293"/>
      <c r="G61" s="409"/>
      <c r="H61" s="293"/>
      <c r="I61" s="293"/>
    </row>
    <row r="62" spans="1:10" x14ac:dyDescent="0.3">
      <c r="A62" s="631" t="s">
        <v>135</v>
      </c>
      <c r="B62" s="495" t="s">
        <v>136</v>
      </c>
      <c r="C62" s="371"/>
      <c r="D62" s="371"/>
      <c r="E62" s="371">
        <f>+SUM(E63:E70)</f>
        <v>1241010.6908793931</v>
      </c>
      <c r="F62" s="371"/>
      <c r="G62" s="632">
        <v>2</v>
      </c>
      <c r="H62" s="371">
        <f>+G62*$H$5</f>
        <v>720</v>
      </c>
      <c r="I62" s="371">
        <f>+E62/H62</f>
        <v>1723.6259595547126</v>
      </c>
      <c r="J62" s="633">
        <f>+I62/E62</f>
        <v>1.3888888888888887E-3</v>
      </c>
    </row>
    <row r="63" spans="1:10" x14ac:dyDescent="0.3">
      <c r="A63" s="7"/>
      <c r="B63" s="351" t="s">
        <v>137</v>
      </c>
      <c r="C63" s="369">
        <f>VLOOKUP(B63,'Precio Equipos'!B:C,2,0)</f>
        <v>220003.08213261957</v>
      </c>
      <c r="D63" s="351">
        <v>3</v>
      </c>
      <c r="E63" s="369">
        <f t="shared" ref="E63:E70" si="8">+C63*D63</f>
        <v>660009.24639785872</v>
      </c>
      <c r="F63" s="403"/>
      <c r="G63" s="409"/>
      <c r="H63" s="293"/>
      <c r="I63" s="293"/>
      <c r="J63" s="394"/>
    </row>
    <row r="64" spans="1:10" x14ac:dyDescent="0.3">
      <c r="A64" s="9"/>
      <c r="B64" s="351" t="s">
        <v>138</v>
      </c>
      <c r="C64" s="369">
        <f>VLOOKUP(B64,'Precio Equipos'!B:C,2,0)</f>
        <v>222728.18061061099</v>
      </c>
      <c r="D64" s="351">
        <v>1</v>
      </c>
      <c r="E64" s="369">
        <f t="shared" si="8"/>
        <v>222728.18061061099</v>
      </c>
      <c r="F64" s="403"/>
      <c r="G64" s="409"/>
      <c r="H64" s="293"/>
      <c r="I64" s="293"/>
      <c r="J64" s="394"/>
    </row>
    <row r="65" spans="1:10" x14ac:dyDescent="0.3">
      <c r="A65" s="9"/>
      <c r="B65" s="351" t="s">
        <v>139</v>
      </c>
      <c r="C65" s="369">
        <f>VLOOKUP(B65,'Precio Equipos'!B:C,2,0)</f>
        <v>401156.66916230897</v>
      </c>
      <c r="D65" s="351">
        <v>0.33333333333333331</v>
      </c>
      <c r="E65" s="369">
        <f t="shared" si="8"/>
        <v>133718.88972076966</v>
      </c>
      <c r="F65" s="403"/>
      <c r="G65" s="409"/>
      <c r="H65" s="293"/>
      <c r="I65" s="293"/>
      <c r="J65" s="394"/>
    </row>
    <row r="66" spans="1:10" x14ac:dyDescent="0.3">
      <c r="A66" s="9"/>
      <c r="B66" s="351" t="s">
        <v>140</v>
      </c>
      <c r="C66" s="369">
        <f>VLOOKUP(B66,'Precio Equipos'!B:C,2,0)</f>
        <v>12916.221060717891</v>
      </c>
      <c r="D66" s="351">
        <v>5</v>
      </c>
      <c r="E66" s="369">
        <f t="shared" si="8"/>
        <v>64581.105303589458</v>
      </c>
      <c r="F66" s="403"/>
      <c r="G66" s="409"/>
      <c r="H66" s="293"/>
      <c r="I66" s="293"/>
      <c r="J66" s="394"/>
    </row>
    <row r="67" spans="1:10" x14ac:dyDescent="0.3">
      <c r="A67" s="9"/>
      <c r="B67" s="351" t="s">
        <v>105</v>
      </c>
      <c r="C67" s="369">
        <f>VLOOKUP(B67,'Precio Equipos'!B:C,2,0)</f>
        <v>13904.258599048509</v>
      </c>
      <c r="D67" s="351">
        <v>5</v>
      </c>
      <c r="E67" s="369">
        <f t="shared" si="8"/>
        <v>69521.292995242547</v>
      </c>
      <c r="F67" s="640"/>
      <c r="G67" s="410"/>
      <c r="H67" s="361"/>
      <c r="I67" s="356"/>
      <c r="J67" s="45"/>
    </row>
    <row r="68" spans="1:10" x14ac:dyDescent="0.3">
      <c r="A68" s="9"/>
      <c r="B68" s="351" t="s">
        <v>141</v>
      </c>
      <c r="C68" s="369">
        <f>VLOOKUP(B68,'Precio Equipos'!B:C,2,0)</f>
        <v>5933.3490201565564</v>
      </c>
      <c r="D68" s="351">
        <v>10</v>
      </c>
      <c r="E68" s="369">
        <f t="shared" si="8"/>
        <v>59333.490201565568</v>
      </c>
      <c r="F68" s="640"/>
      <c r="G68" s="410"/>
      <c r="H68" s="361"/>
      <c r="I68" s="356"/>
      <c r="J68" s="45"/>
    </row>
    <row r="69" spans="1:10" x14ac:dyDescent="0.3">
      <c r="A69" s="9"/>
      <c r="B69" s="351" t="s">
        <v>142</v>
      </c>
      <c r="C69" s="369">
        <f>VLOOKUP(B69,'Precio Equipos'!B:C,2,0)</f>
        <v>8660.9133221686516</v>
      </c>
      <c r="D69" s="351">
        <v>1</v>
      </c>
      <c r="E69" s="369">
        <f t="shared" si="8"/>
        <v>8660.9133221686516</v>
      </c>
      <c r="F69" s="640"/>
      <c r="G69" s="410"/>
      <c r="H69" s="361"/>
      <c r="I69" s="356"/>
      <c r="J69" s="45"/>
    </row>
    <row r="70" spans="1:10" x14ac:dyDescent="0.3">
      <c r="A70" s="59"/>
      <c r="B70" s="365" t="s">
        <v>143</v>
      </c>
      <c r="C70" s="369">
        <f>VLOOKUP(B70,'Precio Equipos'!B:C,2,0)</f>
        <v>11228.786163793691</v>
      </c>
      <c r="D70" s="365">
        <v>2</v>
      </c>
      <c r="E70" s="370">
        <f t="shared" si="8"/>
        <v>22457.572327587382</v>
      </c>
      <c r="F70" s="641"/>
      <c r="G70" s="642"/>
      <c r="H70" s="366"/>
      <c r="I70" s="367"/>
      <c r="J70" s="368"/>
    </row>
    <row r="71" spans="1:10" x14ac:dyDescent="0.3">
      <c r="A71" s="631" t="s">
        <v>144</v>
      </c>
      <c r="B71" s="495" t="s">
        <v>145</v>
      </c>
      <c r="C71" s="371"/>
      <c r="D71" s="371"/>
      <c r="E71" s="371">
        <f>+SUM(E72:E83)</f>
        <v>2058253.9915327341</v>
      </c>
      <c r="F71" s="371"/>
      <c r="G71" s="632">
        <v>2</v>
      </c>
      <c r="H71" s="371">
        <f>+G71*$H$5</f>
        <v>720</v>
      </c>
      <c r="I71" s="371">
        <f>+E71/H71</f>
        <v>2858.6860993510195</v>
      </c>
      <c r="J71" s="633">
        <f>+I71/E71</f>
        <v>1.3888888888888887E-3</v>
      </c>
    </row>
    <row r="72" spans="1:10" x14ac:dyDescent="0.3">
      <c r="A72" s="7"/>
      <c r="B72" s="634" t="s">
        <v>146</v>
      </c>
      <c r="C72" s="613">
        <f>VLOOKUP(B72,'Precio Equipos'!B:C,2,0)</f>
        <v>294158.54445144197</v>
      </c>
      <c r="D72" s="634">
        <v>1</v>
      </c>
      <c r="E72" s="613">
        <f>+C72*D72</f>
        <v>294158.54445144197</v>
      </c>
      <c r="F72" s="636"/>
      <c r="G72" s="637"/>
      <c r="H72" s="309"/>
      <c r="I72" s="309"/>
      <c r="J72" s="363"/>
    </row>
    <row r="73" spans="1:10" x14ac:dyDescent="0.3">
      <c r="A73" s="9"/>
      <c r="B73" s="351" t="s">
        <v>96</v>
      </c>
      <c r="C73" s="369">
        <f>VLOOKUP(B73,'Precio Equipos'!B:C,2,0)</f>
        <v>137903.31124555261</v>
      </c>
      <c r="D73" s="351">
        <v>1</v>
      </c>
      <c r="E73" s="369">
        <f t="shared" ref="E73" si="9">+C73*D73</f>
        <v>137903.31124555261</v>
      </c>
      <c r="F73" s="403"/>
      <c r="G73" s="409"/>
      <c r="H73" s="293"/>
      <c r="I73" s="293"/>
      <c r="J73" s="394"/>
    </row>
    <row r="74" spans="1:10" x14ac:dyDescent="0.3">
      <c r="A74" s="9"/>
      <c r="B74" s="351" t="s">
        <v>97</v>
      </c>
      <c r="C74" s="369">
        <f>VLOOKUP(B74,'Precio Equipos'!B:C,2,0)</f>
        <v>180879.67774669934</v>
      </c>
      <c r="D74" s="351">
        <v>1</v>
      </c>
      <c r="E74" s="369">
        <f>+C74*D74</f>
        <v>180879.67774669934</v>
      </c>
      <c r="F74" s="403"/>
      <c r="G74" s="409"/>
      <c r="H74" s="293"/>
      <c r="I74" s="293"/>
      <c r="J74" s="394"/>
    </row>
    <row r="75" spans="1:10" x14ac:dyDescent="0.3">
      <c r="A75" s="9"/>
      <c r="B75" s="351" t="s">
        <v>99</v>
      </c>
      <c r="C75" s="369">
        <f>VLOOKUP(B75,'Precio Equipos'!B:C,2,0)</f>
        <v>832041.7610496066</v>
      </c>
      <c r="D75" s="351">
        <v>1</v>
      </c>
      <c r="E75" s="369">
        <f t="shared" ref="E75:E77" si="10">+C75*D75</f>
        <v>832041.7610496066</v>
      </c>
      <c r="F75" s="403"/>
      <c r="G75" s="409"/>
      <c r="H75" s="293"/>
      <c r="I75" s="293"/>
      <c r="J75" s="394"/>
    </row>
    <row r="76" spans="1:10" x14ac:dyDescent="0.3">
      <c r="A76" s="9"/>
      <c r="B76" s="351" t="s">
        <v>100</v>
      </c>
      <c r="C76" s="369">
        <f>VLOOKUP(B76,'Precio Equipos'!B:C,2,0)</f>
        <v>53370.690062477996</v>
      </c>
      <c r="D76" s="351">
        <v>2</v>
      </c>
      <c r="E76" s="369">
        <f t="shared" si="10"/>
        <v>106741.38012495599</v>
      </c>
      <c r="F76" s="403"/>
      <c r="G76" s="409"/>
      <c r="H76" s="293"/>
      <c r="I76" s="293"/>
      <c r="J76" s="476"/>
    </row>
    <row r="77" spans="1:10" x14ac:dyDescent="0.3">
      <c r="A77" s="9"/>
      <c r="B77" s="351" t="s">
        <v>101</v>
      </c>
      <c r="C77" s="369">
        <f>VLOOKUP(B77,'Precio Equipos'!B:C,2,0)</f>
        <v>53370.690062477996</v>
      </c>
      <c r="D77" s="351">
        <v>2</v>
      </c>
      <c r="E77" s="369">
        <f t="shared" si="10"/>
        <v>106741.38012495599</v>
      </c>
      <c r="F77" s="403"/>
      <c r="G77" s="409"/>
      <c r="H77" s="293"/>
      <c r="I77" s="293"/>
      <c r="J77" s="476"/>
    </row>
    <row r="78" spans="1:10" x14ac:dyDescent="0.3">
      <c r="A78" s="9"/>
      <c r="B78" s="351" t="s">
        <v>109</v>
      </c>
      <c r="C78" s="369">
        <f>VLOOKUP(B78,'Precio Equipos'!B:C,2,0)</f>
        <v>19515.278519081567</v>
      </c>
      <c r="D78" s="351">
        <v>2</v>
      </c>
      <c r="E78" s="369">
        <f t="shared" ref="E78:E80" si="11">+C78*D78</f>
        <v>39030.557038163133</v>
      </c>
      <c r="F78" s="403"/>
      <c r="G78" s="409"/>
      <c r="H78" s="293"/>
      <c r="I78" s="293"/>
      <c r="J78" s="476"/>
    </row>
    <row r="79" spans="1:10" x14ac:dyDescent="0.3">
      <c r="A79" s="9"/>
      <c r="B79" s="351" t="s">
        <v>110</v>
      </c>
      <c r="C79" s="369">
        <f>VLOOKUP(B79,'Precio Equipos'!B:C,2,0)</f>
        <v>8539.6502880779444</v>
      </c>
      <c r="D79" s="351">
        <v>2</v>
      </c>
      <c r="E79" s="369">
        <f t="shared" si="11"/>
        <v>17079.300576155889</v>
      </c>
      <c r="F79" s="403"/>
      <c r="G79" s="409"/>
      <c r="H79" s="293"/>
      <c r="I79" s="293"/>
      <c r="J79" s="476"/>
    </row>
    <row r="80" spans="1:10" x14ac:dyDescent="0.3">
      <c r="A80" s="350"/>
      <c r="B80" s="351" t="s">
        <v>106</v>
      </c>
      <c r="C80" s="369">
        <f>VLOOKUP(B80,'Precio Equipos'!B:C,2,0)</f>
        <v>18146.756862165636</v>
      </c>
      <c r="D80" s="351">
        <v>2</v>
      </c>
      <c r="E80" s="369">
        <f t="shared" si="11"/>
        <v>36293.513724331271</v>
      </c>
      <c r="F80" s="403"/>
      <c r="G80" s="409"/>
      <c r="H80" s="293"/>
      <c r="I80" s="293"/>
      <c r="J80" s="476"/>
    </row>
    <row r="81" spans="1:10" x14ac:dyDescent="0.3">
      <c r="A81" s="350"/>
      <c r="B81" s="351" t="s">
        <v>122</v>
      </c>
      <c r="C81" s="369">
        <f>VLOOKUP(B81,'Precio Equipos'!B:C,2,0)</f>
        <v>26993.866584302963</v>
      </c>
      <c r="D81" s="351">
        <v>1</v>
      </c>
      <c r="E81" s="369">
        <f t="shared" ref="E81:E83" si="12">+C81*D81</f>
        <v>26993.866584302963</v>
      </c>
      <c r="F81" s="403"/>
      <c r="G81" s="409"/>
      <c r="H81" s="293"/>
      <c r="I81" s="293"/>
      <c r="J81" s="476"/>
    </row>
    <row r="82" spans="1:10" x14ac:dyDescent="0.3">
      <c r="A82" s="350"/>
      <c r="B82" s="351" t="s">
        <v>113</v>
      </c>
      <c r="C82" s="369">
        <f>VLOOKUP(B82,'Precio Equipos'!B:C,2,0)</f>
        <v>32054.263303709959</v>
      </c>
      <c r="D82" s="351">
        <v>1</v>
      </c>
      <c r="E82" s="369">
        <f t="shared" si="12"/>
        <v>32054.263303709959</v>
      </c>
      <c r="F82" s="403"/>
      <c r="G82" s="409"/>
      <c r="H82" s="293"/>
      <c r="I82" s="293"/>
      <c r="J82" s="476"/>
    </row>
    <row r="83" spans="1:10" x14ac:dyDescent="0.3">
      <c r="A83" s="59"/>
      <c r="B83" s="365" t="s">
        <v>112</v>
      </c>
      <c r="C83" s="370">
        <f>VLOOKUP(B83,'Precio Equipos'!B:C,2,0)</f>
        <v>248336.43556285903</v>
      </c>
      <c r="D83" s="365">
        <v>1</v>
      </c>
      <c r="E83" s="369">
        <f t="shared" si="12"/>
        <v>248336.43556285903</v>
      </c>
      <c r="F83" s="638"/>
      <c r="G83" s="639"/>
      <c r="H83" s="397"/>
      <c r="I83" s="397"/>
      <c r="J83" s="368"/>
    </row>
    <row r="84" spans="1:10" x14ac:dyDescent="0.3">
      <c r="A84" s="631"/>
      <c r="B84" s="495" t="s">
        <v>147</v>
      </c>
      <c r="C84" s="371"/>
      <c r="D84" s="371"/>
      <c r="E84" s="371">
        <f>+SUM(E85:E90)</f>
        <v>823493.8486498748</v>
      </c>
      <c r="F84" s="371"/>
      <c r="G84" s="632">
        <v>1</v>
      </c>
      <c r="H84" s="371">
        <f>+G84*$H$5</f>
        <v>360</v>
      </c>
      <c r="I84" s="371">
        <f>+E84/H84</f>
        <v>2287.482912916319</v>
      </c>
      <c r="J84" s="633">
        <f>+I84/E84</f>
        <v>2.7777777777777779E-3</v>
      </c>
    </row>
    <row r="85" spans="1:10" x14ac:dyDescent="0.3">
      <c r="A85" s="7"/>
      <c r="B85" s="634" t="s">
        <v>102</v>
      </c>
      <c r="C85" s="369">
        <f>VLOOKUP(B85,'Precio Equipos'!B:C,2,0)</f>
        <v>107853.3386635295</v>
      </c>
      <c r="D85" s="634">
        <v>3</v>
      </c>
      <c r="E85" s="369">
        <f t="shared" ref="E85:E89" si="13">+C85*D85</f>
        <v>323560.01599058852</v>
      </c>
      <c r="F85" s="636"/>
      <c r="G85" s="637"/>
      <c r="H85" s="309"/>
      <c r="I85" s="309"/>
      <c r="J85" s="364"/>
    </row>
    <row r="86" spans="1:10" x14ac:dyDescent="0.3">
      <c r="A86" s="9"/>
      <c r="B86" s="351" t="s">
        <v>103</v>
      </c>
      <c r="C86" s="369">
        <f>VLOOKUP(B86,'Precio Equipos'!B:C,2,0)</f>
        <v>15556.499462222971</v>
      </c>
      <c r="D86" s="351">
        <v>3</v>
      </c>
      <c r="E86" s="369">
        <f t="shared" si="13"/>
        <v>46669.498386668914</v>
      </c>
      <c r="F86" s="403"/>
      <c r="G86" s="409"/>
      <c r="H86" s="293"/>
      <c r="I86" s="293"/>
      <c r="J86" s="45"/>
    </row>
    <row r="87" spans="1:10" x14ac:dyDescent="0.3">
      <c r="A87" s="9"/>
      <c r="B87" s="351" t="s">
        <v>100</v>
      </c>
      <c r="C87" s="369">
        <f>VLOOKUP(B87,'Precio Equipos'!B:C,2,0)</f>
        <v>53370.690062477996</v>
      </c>
      <c r="D87" s="351">
        <v>3</v>
      </c>
      <c r="E87" s="369">
        <f t="shared" si="13"/>
        <v>160112.07018743397</v>
      </c>
      <c r="F87" s="403"/>
      <c r="G87" s="409"/>
      <c r="H87" s="293"/>
      <c r="I87" s="293"/>
      <c r="J87" s="45"/>
    </row>
    <row r="88" spans="1:10" x14ac:dyDescent="0.3">
      <c r="A88" s="9"/>
      <c r="B88" s="351" t="s">
        <v>101</v>
      </c>
      <c r="C88" s="369">
        <f>VLOOKUP(B88,'Precio Equipos'!B:C,2,0)</f>
        <v>53370.690062477996</v>
      </c>
      <c r="D88" s="351">
        <v>3</v>
      </c>
      <c r="E88" s="369">
        <f t="shared" si="13"/>
        <v>160112.07018743397</v>
      </c>
      <c r="F88" s="403"/>
      <c r="G88" s="409"/>
      <c r="H88" s="293"/>
      <c r="I88" s="293"/>
      <c r="J88" s="45"/>
    </row>
    <row r="89" spans="1:10" x14ac:dyDescent="0.3">
      <c r="A89" s="9"/>
      <c r="B89" s="351" t="s">
        <v>148</v>
      </c>
      <c r="C89" s="369">
        <f>VLOOKUP(B89,'Precio Equipos'!B:C,2,0)</f>
        <v>53690.724131586583</v>
      </c>
      <c r="D89" s="351">
        <v>2</v>
      </c>
      <c r="E89" s="369">
        <f t="shared" si="13"/>
        <v>107381.44826317317</v>
      </c>
      <c r="F89" s="403"/>
      <c r="G89" s="409"/>
      <c r="H89" s="293"/>
      <c r="I89" s="293"/>
      <c r="J89" s="45"/>
    </row>
    <row r="90" spans="1:10" x14ac:dyDescent="0.3">
      <c r="A90" s="658"/>
      <c r="B90" s="351" t="s">
        <v>149</v>
      </c>
      <c r="C90" s="369">
        <f>VLOOKUP(B90,'Precio Equipos'!B:C,2,0)</f>
        <v>3207.3432043220346</v>
      </c>
      <c r="D90" s="351">
        <f>+SUM(D87:D89)</f>
        <v>8</v>
      </c>
      <c r="E90" s="369">
        <f t="shared" ref="E90" si="14">+C90*D90</f>
        <v>25658.745634576277</v>
      </c>
      <c r="F90" s="293"/>
      <c r="G90" s="409"/>
      <c r="H90" s="293"/>
      <c r="I90" s="293"/>
      <c r="J90" s="45"/>
    </row>
    <row r="91" spans="1:10" x14ac:dyDescent="0.3">
      <c r="A91" s="631" t="s">
        <v>150</v>
      </c>
      <c r="B91" s="495" t="s">
        <v>151</v>
      </c>
      <c r="C91" s="371"/>
      <c r="D91" s="371"/>
      <c r="E91" s="371">
        <f>+SUM(E92:E112)</f>
        <v>3739856.6524543785</v>
      </c>
      <c r="F91" s="371"/>
      <c r="G91" s="632">
        <v>1.5</v>
      </c>
      <c r="H91" s="371">
        <f>+G91*$H$5</f>
        <v>540</v>
      </c>
      <c r="I91" s="371">
        <f>+E91/H91</f>
        <v>6925.660467508108</v>
      </c>
      <c r="J91" s="633">
        <f>+I91/E91</f>
        <v>1.8518518518518517E-3</v>
      </c>
    </row>
    <row r="92" spans="1:10" x14ac:dyDescent="0.3">
      <c r="A92" s="9"/>
      <c r="B92" s="351" t="s">
        <v>96</v>
      </c>
      <c r="C92" s="369">
        <f>VLOOKUP(B92,'Precio Equipos'!B:C,2,0)</f>
        <v>137903.31124555261</v>
      </c>
      <c r="D92" s="351">
        <v>1</v>
      </c>
      <c r="E92" s="369">
        <f t="shared" ref="E92:E112" si="15">+C92*D92</f>
        <v>137903.31124555261</v>
      </c>
      <c r="F92" s="636"/>
      <c r="G92" s="637"/>
      <c r="H92" s="309"/>
      <c r="I92" s="309"/>
      <c r="J92" s="364"/>
    </row>
    <row r="93" spans="1:10" x14ac:dyDescent="0.3">
      <c r="A93" s="9"/>
      <c r="B93" s="351" t="s">
        <v>98</v>
      </c>
      <c r="C93" s="369">
        <f>VLOOKUP(B93,'Precio Equipos'!B:C,2,0)</f>
        <v>396998.40387472091</v>
      </c>
      <c r="D93" s="351">
        <v>1</v>
      </c>
      <c r="E93" s="369">
        <f t="shared" si="15"/>
        <v>396998.40387472091</v>
      </c>
      <c r="F93" s="403"/>
      <c r="G93" s="409"/>
      <c r="H93" s="293"/>
      <c r="I93" s="293"/>
      <c r="J93" s="45"/>
    </row>
    <row r="94" spans="1:10" x14ac:dyDescent="0.3">
      <c r="A94" s="9"/>
      <c r="B94" s="351" t="s">
        <v>97</v>
      </c>
      <c r="C94" s="369">
        <f>VLOOKUP(B94,'Precio Equipos'!B:C,2,0)</f>
        <v>180879.67774669934</v>
      </c>
      <c r="D94" s="351">
        <v>1</v>
      </c>
      <c r="E94" s="369">
        <f t="shared" si="15"/>
        <v>180879.67774669934</v>
      </c>
      <c r="F94" s="403"/>
      <c r="G94" s="409"/>
      <c r="H94" s="293"/>
      <c r="I94" s="293"/>
      <c r="J94" s="45"/>
    </row>
    <row r="95" spans="1:10" x14ac:dyDescent="0.3">
      <c r="A95" s="9"/>
      <c r="B95" s="351" t="s">
        <v>152</v>
      </c>
      <c r="C95" s="369">
        <f>VLOOKUP(B95,'Precio Equipos'!B:C,2,0)</f>
        <v>1090691.0412354856</v>
      </c>
      <c r="D95" s="351">
        <f>1/3</f>
        <v>0.33333333333333331</v>
      </c>
      <c r="E95" s="369">
        <f>+C95*D95</f>
        <v>363563.68041182851</v>
      </c>
      <c r="F95" s="403"/>
      <c r="G95" s="409"/>
      <c r="H95" s="293"/>
      <c r="I95" s="293"/>
      <c r="J95" s="45"/>
    </row>
    <row r="96" spans="1:10" x14ac:dyDescent="0.3">
      <c r="A96" s="9"/>
      <c r="B96" s="351" t="s">
        <v>99</v>
      </c>
      <c r="C96" s="369">
        <f>VLOOKUP(B96,'Precio Equipos'!B:C,2,0)</f>
        <v>832041.7610496066</v>
      </c>
      <c r="D96" s="351">
        <v>1</v>
      </c>
      <c r="E96" s="369">
        <f t="shared" ref="E96:E98" si="16">+C96*D96</f>
        <v>832041.7610496066</v>
      </c>
      <c r="F96" s="403"/>
      <c r="G96" s="409"/>
      <c r="H96" s="293"/>
      <c r="I96" s="293"/>
      <c r="J96" s="45"/>
    </row>
    <row r="97" spans="1:5" x14ac:dyDescent="0.3">
      <c r="A97" s="9"/>
      <c r="B97" s="351" t="s">
        <v>109</v>
      </c>
      <c r="C97" s="369">
        <f>VLOOKUP(B97,'Precio Equipos'!B:C,2,0)</f>
        <v>19515.278519081567</v>
      </c>
      <c r="D97" s="351">
        <v>1</v>
      </c>
      <c r="E97" s="369">
        <f t="shared" si="16"/>
        <v>19515.278519081567</v>
      </c>
    </row>
    <row r="98" spans="1:5" x14ac:dyDescent="0.3">
      <c r="A98" s="9"/>
      <c r="B98" s="351" t="s">
        <v>110</v>
      </c>
      <c r="C98" s="369">
        <f>VLOOKUP(B98,'Precio Equipos'!B:C,2,0)</f>
        <v>8539.6502880779444</v>
      </c>
      <c r="D98" s="351">
        <v>1</v>
      </c>
      <c r="E98" s="369">
        <f t="shared" si="16"/>
        <v>8539.6502880779444</v>
      </c>
    </row>
    <row r="99" spans="1:5" x14ac:dyDescent="0.3">
      <c r="A99" s="9"/>
      <c r="B99" s="351" t="s">
        <v>153</v>
      </c>
      <c r="C99" s="369">
        <f>VLOOKUP(B99,'Precio Equipos'!B:C,2,0)</f>
        <v>16440.929693433482</v>
      </c>
      <c r="D99" s="351">
        <v>1</v>
      </c>
      <c r="E99" s="369">
        <f t="shared" ref="E99:E105" si="17">+C99*D99</f>
        <v>16440.929693433482</v>
      </c>
    </row>
    <row r="100" spans="1:5" x14ac:dyDescent="0.3">
      <c r="A100" s="9"/>
      <c r="B100" s="351" t="s">
        <v>154</v>
      </c>
      <c r="C100" s="369">
        <f>VLOOKUP(B100,'Precio Equipos'!B:C,2,0)</f>
        <v>51198.256402005267</v>
      </c>
      <c r="D100" s="351">
        <v>1</v>
      </c>
      <c r="E100" s="369">
        <f t="shared" si="17"/>
        <v>51198.256402005267</v>
      </c>
    </row>
    <row r="101" spans="1:5" x14ac:dyDescent="0.3">
      <c r="A101" s="9"/>
      <c r="B101" s="635" t="s">
        <v>155</v>
      </c>
      <c r="C101" s="369">
        <f>VLOOKUP(B101,'Precio Equipos'!B:C,2,0)</f>
        <v>65209.346026157633</v>
      </c>
      <c r="D101" s="351">
        <v>1</v>
      </c>
      <c r="E101" s="369">
        <f t="shared" si="17"/>
        <v>65209.346026157633</v>
      </c>
    </row>
    <row r="102" spans="1:5" x14ac:dyDescent="0.3">
      <c r="A102" s="9"/>
      <c r="B102" s="635" t="s">
        <v>156</v>
      </c>
      <c r="C102" s="369">
        <f>VLOOKUP(B102,'Precio Equipos'!B:C,2,0)</f>
        <v>88032.831694026303</v>
      </c>
      <c r="D102" s="351">
        <v>1</v>
      </c>
      <c r="E102" s="369">
        <f t="shared" si="17"/>
        <v>88032.831694026303</v>
      </c>
    </row>
    <row r="103" spans="1:5" x14ac:dyDescent="0.3">
      <c r="A103" s="9"/>
      <c r="B103" s="635" t="s">
        <v>157</v>
      </c>
      <c r="C103" s="369">
        <f>VLOOKUP(B103,'Precio Equipos'!B:C,2,0)</f>
        <v>119763.33273080316</v>
      </c>
      <c r="D103" s="351">
        <v>1</v>
      </c>
      <c r="E103" s="369">
        <f t="shared" si="17"/>
        <v>119763.33273080316</v>
      </c>
    </row>
    <row r="104" spans="1:5" x14ac:dyDescent="0.3">
      <c r="A104" s="9"/>
      <c r="B104" s="635" t="s">
        <v>158</v>
      </c>
      <c r="C104" s="369">
        <f>VLOOKUP(B104,'Precio Equipos'!B:C,2,0)</f>
        <v>53027.865801663109</v>
      </c>
      <c r="D104" s="369">
        <v>1</v>
      </c>
      <c r="E104" s="369">
        <f t="shared" si="17"/>
        <v>53027.865801663109</v>
      </c>
    </row>
    <row r="105" spans="1:5" x14ac:dyDescent="0.3">
      <c r="A105" s="9"/>
      <c r="B105" s="635" t="s">
        <v>159</v>
      </c>
      <c r="C105" s="369">
        <f>VLOOKUP(B105,'Precio Equipos'!B:C,2,0)</f>
        <v>1002877.3156187256</v>
      </c>
      <c r="D105" s="369">
        <v>1</v>
      </c>
      <c r="E105" s="369">
        <f t="shared" si="17"/>
        <v>1002877.3156187256</v>
      </c>
    </row>
    <row r="106" spans="1:5" x14ac:dyDescent="0.3">
      <c r="A106" s="9"/>
      <c r="B106" s="369" t="s">
        <v>160</v>
      </c>
      <c r="C106" s="369">
        <f>VLOOKUP(B106,'Precio Equipos'!B:C,2,0)</f>
        <v>24263.28138100146</v>
      </c>
      <c r="D106" s="369">
        <v>3</v>
      </c>
      <c r="E106" s="369">
        <f t="shared" si="15"/>
        <v>72789.844143004375</v>
      </c>
    </row>
    <row r="107" spans="1:5" x14ac:dyDescent="0.3">
      <c r="A107" s="9"/>
      <c r="B107" s="369" t="s">
        <v>161</v>
      </c>
      <c r="C107" s="369">
        <f>VLOOKUP(B107,'Precio Equipos'!B:C,2,0)</f>
        <v>47886.088990397082</v>
      </c>
      <c r="D107" s="369">
        <v>3</v>
      </c>
      <c r="E107" s="369">
        <f t="shared" si="15"/>
        <v>143658.26697119125</v>
      </c>
    </row>
    <row r="108" spans="1:5" x14ac:dyDescent="0.3">
      <c r="A108" s="9"/>
      <c r="B108" s="369" t="s">
        <v>162</v>
      </c>
      <c r="C108" s="369">
        <f>VLOOKUP(B108,'Precio Equipos'!B:C,2,0)</f>
        <v>21774.080067655341</v>
      </c>
      <c r="D108" s="369">
        <v>3</v>
      </c>
      <c r="E108" s="369">
        <f t="shared" si="15"/>
        <v>65322.240202966022</v>
      </c>
    </row>
    <row r="109" spans="1:5" x14ac:dyDescent="0.3">
      <c r="A109" s="9"/>
      <c r="B109" s="369" t="s">
        <v>123</v>
      </c>
      <c r="C109" s="369">
        <f>VLOOKUP(B109,'Precio Equipos'!B:C,2,0)</f>
        <v>4852.6242525117123</v>
      </c>
      <c r="D109" s="369">
        <v>1</v>
      </c>
      <c r="E109" s="369">
        <f t="shared" si="15"/>
        <v>4852.6242525117123</v>
      </c>
    </row>
    <row r="110" spans="1:5" x14ac:dyDescent="0.3">
      <c r="A110" s="9"/>
      <c r="B110" s="369" t="s">
        <v>122</v>
      </c>
      <c r="C110" s="369">
        <f>VLOOKUP(B110,'Precio Equipos'!B:C,2,0)</f>
        <v>26993.866584302963</v>
      </c>
      <c r="D110" s="369">
        <v>3</v>
      </c>
      <c r="E110" s="369">
        <f t="shared" si="15"/>
        <v>80981.599752908893</v>
      </c>
    </row>
    <row r="111" spans="1:5" x14ac:dyDescent="0.3">
      <c r="A111" s="28"/>
      <c r="B111" s="369" t="s">
        <v>108</v>
      </c>
      <c r="C111" s="369">
        <f>VLOOKUP(B111,'Precio Equipos'!B:C,2,0)</f>
        <v>4206.1727257042112</v>
      </c>
      <c r="D111" s="369">
        <v>1</v>
      </c>
      <c r="E111" s="369">
        <f t="shared" si="15"/>
        <v>4206.1727257042112</v>
      </c>
    </row>
    <row r="112" spans="1:5" x14ac:dyDescent="0.3">
      <c r="A112" s="350"/>
      <c r="B112" s="401" t="s">
        <v>113</v>
      </c>
      <c r="C112" s="401">
        <f>VLOOKUP(B112,'Precio Equipos'!B:C,2,0)</f>
        <v>32054.263303709959</v>
      </c>
      <c r="D112" s="401">
        <v>1</v>
      </c>
      <c r="E112" s="401">
        <f t="shared" si="15"/>
        <v>32054.263303709959</v>
      </c>
    </row>
    <row r="113" spans="1:10" x14ac:dyDescent="0.3">
      <c r="A113" s="631" t="s">
        <v>163</v>
      </c>
      <c r="B113" s="495" t="s">
        <v>164</v>
      </c>
      <c r="C113" s="371"/>
      <c r="D113" s="371"/>
      <c r="E113" s="371">
        <f>+SUM(E114:E116)</f>
        <v>689222.30122796178</v>
      </c>
      <c r="F113" s="371"/>
      <c r="G113" s="632">
        <v>2</v>
      </c>
      <c r="H113" s="371">
        <f>+G113*$H$5</f>
        <v>720</v>
      </c>
      <c r="I113" s="371">
        <f>+E113/H113</f>
        <v>957.25319614994692</v>
      </c>
      <c r="J113" s="633">
        <f>+I113/E113</f>
        <v>1.3888888888888889E-3</v>
      </c>
    </row>
    <row r="114" spans="1:10" x14ac:dyDescent="0.3">
      <c r="A114" s="7"/>
      <c r="B114" s="634" t="s">
        <v>164</v>
      </c>
      <c r="C114" s="613">
        <f>VLOOKUP(B114,'Precio Equipos'!B:C,2,0)</f>
        <v>499025.6942239636</v>
      </c>
      <c r="D114" s="634">
        <v>1</v>
      </c>
      <c r="E114" s="613">
        <f t="shared" ref="E114:E145" si="18">+C114*D114</f>
        <v>499025.6942239636</v>
      </c>
      <c r="F114" s="293"/>
      <c r="G114" s="409"/>
      <c r="H114" s="293"/>
      <c r="I114" s="293"/>
      <c r="J114" s="476"/>
    </row>
    <row r="115" spans="1:10" x14ac:dyDescent="0.3">
      <c r="A115" s="9"/>
      <c r="B115" s="351" t="s">
        <v>165</v>
      </c>
      <c r="C115" s="369">
        <f>VLOOKUP(B115,'Precio Equipos'!B:C,2,0)</f>
        <v>151447.94382184447</v>
      </c>
      <c r="D115" s="351">
        <v>1</v>
      </c>
      <c r="E115" s="369">
        <f t="shared" si="18"/>
        <v>151447.94382184447</v>
      </c>
      <c r="F115" s="293"/>
      <c r="G115" s="409"/>
      <c r="H115" s="293"/>
      <c r="I115" s="293"/>
      <c r="J115" s="476"/>
    </row>
    <row r="116" spans="1:10" x14ac:dyDescent="0.3">
      <c r="A116" s="59"/>
      <c r="B116" s="365" t="s">
        <v>166</v>
      </c>
      <c r="C116" s="370">
        <f>VLOOKUP(B116,'Precio Equipos'!B:C,2,0)</f>
        <v>12916.221060717891</v>
      </c>
      <c r="D116" s="365">
        <v>3</v>
      </c>
      <c r="E116" s="370">
        <f t="shared" si="18"/>
        <v>38748.663182153672</v>
      </c>
      <c r="F116" s="293"/>
      <c r="G116" s="409"/>
      <c r="H116" s="293"/>
      <c r="I116" s="293"/>
      <c r="J116" s="476"/>
    </row>
    <row r="117" spans="1:10" x14ac:dyDescent="0.3">
      <c r="A117" s="631" t="s">
        <v>167</v>
      </c>
      <c r="B117" s="495" t="s">
        <v>168</v>
      </c>
      <c r="C117" s="371"/>
      <c r="D117" s="371"/>
      <c r="E117" s="371">
        <f>+SUM(E118:E121)</f>
        <v>579244.09475606401</v>
      </c>
      <c r="F117" s="371"/>
      <c r="G117" s="632">
        <v>2</v>
      </c>
      <c r="H117" s="371">
        <f>+G117*$H$5</f>
        <v>720</v>
      </c>
      <c r="I117" s="371">
        <f>+E117/H117</f>
        <v>804.50568716120006</v>
      </c>
      <c r="J117" s="633">
        <f>+I117/E117</f>
        <v>1.3888888888888889E-3</v>
      </c>
    </row>
    <row r="118" spans="1:10" x14ac:dyDescent="0.3">
      <c r="A118" s="477"/>
      <c r="B118" s="351" t="s">
        <v>169</v>
      </c>
      <c r="C118" s="369">
        <f>VLOOKUP(B118,'Precio Equipos'!B:C,2,0)</f>
        <v>80059.221450730736</v>
      </c>
      <c r="D118" s="351">
        <v>3</v>
      </c>
      <c r="E118" s="369">
        <f t="shared" si="18"/>
        <v>240177.66435219219</v>
      </c>
      <c r="H118" s="291"/>
      <c r="I118" s="291"/>
    </row>
    <row r="119" spans="1:10" x14ac:dyDescent="0.3">
      <c r="A119" s="477"/>
      <c r="B119" s="351" t="s">
        <v>170</v>
      </c>
      <c r="C119" s="369">
        <f>VLOOKUP(B119,'Precio Equipos'!B:C,2,0)</f>
        <v>22416.582006204604</v>
      </c>
      <c r="D119" s="400">
        <v>3</v>
      </c>
      <c r="E119" s="369">
        <f t="shared" si="18"/>
        <v>67249.746018613805</v>
      </c>
      <c r="H119" s="291"/>
      <c r="I119" s="291"/>
    </row>
    <row r="120" spans="1:10" x14ac:dyDescent="0.3">
      <c r="A120" s="477"/>
      <c r="B120" s="351" t="s">
        <v>171</v>
      </c>
      <c r="C120" s="369">
        <f>VLOOKUP(B120,'Precio Equipos'!B:C,2,0)</f>
        <v>4504.6335032725356</v>
      </c>
      <c r="D120" s="400">
        <v>12</v>
      </c>
      <c r="E120" s="401">
        <f t="shared" si="18"/>
        <v>54055.602039270423</v>
      </c>
      <c r="H120" s="291"/>
      <c r="I120" s="291"/>
    </row>
    <row r="121" spans="1:10" x14ac:dyDescent="0.3">
      <c r="A121" s="477"/>
      <c r="B121" s="351" t="s">
        <v>106</v>
      </c>
      <c r="C121" s="369">
        <f>VLOOKUP(B121,'Precio Equipos'!B:C,2,0)</f>
        <v>18146.756862165636</v>
      </c>
      <c r="D121" s="365">
        <v>12</v>
      </c>
      <c r="E121" s="370">
        <f t="shared" si="18"/>
        <v>217761.08234598761</v>
      </c>
      <c r="H121" s="291"/>
      <c r="I121" s="291"/>
    </row>
    <row r="122" spans="1:10" x14ac:dyDescent="0.3">
      <c r="A122" s="631"/>
      <c r="B122" s="495" t="s">
        <v>172</v>
      </c>
      <c r="C122" s="371"/>
      <c r="D122" s="371"/>
      <c r="E122" s="371">
        <f>+SUM(E123:E134)</f>
        <v>3898663.8257205323</v>
      </c>
      <c r="F122" s="371"/>
      <c r="G122" s="632">
        <v>3</v>
      </c>
      <c r="H122" s="371">
        <f>+G122*$H$5</f>
        <v>1080</v>
      </c>
      <c r="I122" s="371">
        <f>+E122/H122</f>
        <v>3609.8739127041968</v>
      </c>
      <c r="J122" s="633">
        <f>+I122/E122</f>
        <v>9.2592592592592596E-4</v>
      </c>
    </row>
    <row r="123" spans="1:10" x14ac:dyDescent="0.3">
      <c r="A123" s="402"/>
      <c r="B123" s="634" t="s">
        <v>96</v>
      </c>
      <c r="C123" s="613">
        <f>VLOOKUP(B123,'Precio Equipos'!B:C,2,0)</f>
        <v>137903.31124555261</v>
      </c>
      <c r="D123" s="634">
        <v>1</v>
      </c>
      <c r="E123" s="613">
        <f t="shared" si="18"/>
        <v>137903.31124555261</v>
      </c>
      <c r="H123" s="291"/>
      <c r="I123" s="291"/>
    </row>
    <row r="124" spans="1:10" x14ac:dyDescent="0.3">
      <c r="A124" s="28"/>
      <c r="B124" s="351" t="s">
        <v>173</v>
      </c>
      <c r="C124" s="369">
        <f>VLOOKUP(B124,'Precio Equipos'!B:C,2,0)</f>
        <v>452946.11487919505</v>
      </c>
      <c r="D124" s="351">
        <v>1</v>
      </c>
      <c r="E124" s="369">
        <f t="shared" si="18"/>
        <v>452946.11487919505</v>
      </c>
      <c r="H124" s="291"/>
      <c r="I124" s="291"/>
    </row>
    <row r="125" spans="1:10" x14ac:dyDescent="0.3">
      <c r="A125" s="28"/>
      <c r="B125" s="351" t="s">
        <v>127</v>
      </c>
      <c r="C125" s="369">
        <f>VLOOKUP(B125,'Precio Equipos'!B:C,2,0)</f>
        <v>555610.99686807126</v>
      </c>
      <c r="D125" s="351">
        <v>1</v>
      </c>
      <c r="E125" s="369">
        <f t="shared" si="18"/>
        <v>555610.99686807126</v>
      </c>
      <c r="H125" s="291"/>
      <c r="I125" s="291"/>
    </row>
    <row r="126" spans="1:10" x14ac:dyDescent="0.3">
      <c r="A126" s="28"/>
      <c r="B126" s="351" t="s">
        <v>97</v>
      </c>
      <c r="C126" s="369">
        <f>VLOOKUP(B126,'Precio Equipos'!B:C,2,0)</f>
        <v>180879.67774669934</v>
      </c>
      <c r="D126" s="351">
        <v>1</v>
      </c>
      <c r="E126" s="369">
        <f t="shared" si="18"/>
        <v>180879.67774669934</v>
      </c>
      <c r="H126" s="291"/>
      <c r="I126" s="291"/>
    </row>
    <row r="127" spans="1:10" x14ac:dyDescent="0.3">
      <c r="A127" s="28"/>
      <c r="B127" s="351" t="s">
        <v>159</v>
      </c>
      <c r="C127" s="369">
        <f>VLOOKUP(B127,'Precio Equipos'!B:C,2,0)</f>
        <v>1002877.3156187256</v>
      </c>
      <c r="D127" s="351">
        <v>1</v>
      </c>
      <c r="E127" s="369">
        <f t="shared" si="18"/>
        <v>1002877.3156187256</v>
      </c>
      <c r="H127" s="291"/>
      <c r="I127" s="291"/>
    </row>
    <row r="128" spans="1:10" x14ac:dyDescent="0.3">
      <c r="A128" s="28"/>
      <c r="B128" s="351" t="s">
        <v>158</v>
      </c>
      <c r="C128" s="369">
        <f>VLOOKUP(B128,'Precio Equipos'!B:C,2,0)</f>
        <v>53027.865801663109</v>
      </c>
      <c r="D128" s="351">
        <v>2</v>
      </c>
      <c r="E128" s="369">
        <f t="shared" si="18"/>
        <v>106055.73160332622</v>
      </c>
      <c r="H128" s="291"/>
      <c r="I128" s="291"/>
    </row>
    <row r="129" spans="1:10" x14ac:dyDescent="0.3">
      <c r="A129" s="28"/>
      <c r="B129" s="351" t="s">
        <v>174</v>
      </c>
      <c r="C129" s="369">
        <f>VLOOKUP(B129,'Precio Equipos'!B:C,2,0)</f>
        <v>549290.38538191328</v>
      </c>
      <c r="D129" s="351">
        <v>1</v>
      </c>
      <c r="E129" s="369">
        <f t="shared" si="18"/>
        <v>549290.38538191328</v>
      </c>
      <c r="H129" s="291"/>
      <c r="I129" s="291"/>
    </row>
    <row r="130" spans="1:10" x14ac:dyDescent="0.3">
      <c r="A130" s="576"/>
      <c r="B130" s="351" t="s">
        <v>99</v>
      </c>
      <c r="C130" s="369">
        <f>VLOOKUP(B130,'Precio Equipos'!B:C,2,0)</f>
        <v>832041.7610496066</v>
      </c>
      <c r="D130" s="351">
        <v>1</v>
      </c>
      <c r="E130" s="369">
        <f t="shared" si="18"/>
        <v>832041.7610496066</v>
      </c>
      <c r="H130" s="291"/>
      <c r="I130" s="291"/>
    </row>
    <row r="131" spans="1:10" x14ac:dyDescent="0.3">
      <c r="A131" s="576"/>
      <c r="B131" s="351" t="s">
        <v>175</v>
      </c>
      <c r="C131" s="369">
        <f>VLOOKUP(B131,'Precio Equipos'!B:C,2,0)</f>
        <v>10408.766244881006</v>
      </c>
      <c r="D131" s="351">
        <v>2</v>
      </c>
      <c r="E131" s="369">
        <f t="shared" si="18"/>
        <v>20817.532489762012</v>
      </c>
      <c r="H131" s="291"/>
      <c r="I131" s="291"/>
    </row>
    <row r="132" spans="1:10" x14ac:dyDescent="0.3">
      <c r="A132" s="576"/>
      <c r="B132" s="369" t="s">
        <v>122</v>
      </c>
      <c r="C132" s="369">
        <f>VLOOKUP(B132,'Precio Equipos'!B:C,2,0)</f>
        <v>26993.866584302963</v>
      </c>
      <c r="D132" s="400">
        <v>1</v>
      </c>
      <c r="E132" s="369">
        <f t="shared" si="18"/>
        <v>26993.866584302963</v>
      </c>
      <c r="H132" s="291"/>
      <c r="I132" s="291"/>
    </row>
    <row r="133" spans="1:10" x14ac:dyDescent="0.3">
      <c r="A133" s="576"/>
      <c r="B133" s="400" t="s">
        <v>123</v>
      </c>
      <c r="C133" s="369">
        <f>VLOOKUP(B133,'Precio Equipos'!B:C,2,0)</f>
        <v>4852.6242525117123</v>
      </c>
      <c r="D133" s="400">
        <v>1</v>
      </c>
      <c r="E133" s="369">
        <f t="shared" si="18"/>
        <v>4852.6242525117123</v>
      </c>
      <c r="H133" s="291"/>
      <c r="I133" s="291"/>
    </row>
    <row r="134" spans="1:10" x14ac:dyDescent="0.3">
      <c r="A134" s="31"/>
      <c r="B134" s="365" t="s">
        <v>176</v>
      </c>
      <c r="C134" s="369">
        <f>VLOOKUP(B134,'Precio Equipos'!B:C,2,0)</f>
        <v>28394.508000864927</v>
      </c>
      <c r="D134" s="365">
        <v>1</v>
      </c>
      <c r="E134" s="401">
        <f t="shared" ref="E134" si="19">+C134*D134</f>
        <v>28394.508000864927</v>
      </c>
      <c r="H134" s="291"/>
      <c r="I134" s="291"/>
    </row>
    <row r="135" spans="1:10" x14ac:dyDescent="0.3">
      <c r="A135" s="631"/>
      <c r="B135" s="495" t="s">
        <v>177</v>
      </c>
      <c r="C135" s="371"/>
      <c r="D135" s="371"/>
      <c r="E135" s="371">
        <f>+SUM(E136:E145)</f>
        <v>1702971.4669775651</v>
      </c>
      <c r="F135" s="371"/>
      <c r="G135" s="632">
        <v>2</v>
      </c>
      <c r="H135" s="371">
        <f>+G135*$H$5</f>
        <v>720</v>
      </c>
      <c r="I135" s="371">
        <f>+E135/H135</f>
        <v>2365.2381485799515</v>
      </c>
      <c r="J135" s="633">
        <f>+I135/E135</f>
        <v>1.3888888888888889E-3</v>
      </c>
    </row>
    <row r="136" spans="1:10" x14ac:dyDescent="0.3">
      <c r="A136" s="28"/>
      <c r="B136" s="351" t="s">
        <v>127</v>
      </c>
      <c r="C136" s="369">
        <f>VLOOKUP(B136,'Precio Equipos'!B:C,2,0)</f>
        <v>555610.99686807126</v>
      </c>
      <c r="D136" s="351">
        <v>1</v>
      </c>
      <c r="E136" s="369">
        <f t="shared" si="18"/>
        <v>555610.99686807126</v>
      </c>
      <c r="H136" s="291"/>
      <c r="I136" s="291"/>
    </row>
    <row r="137" spans="1:10" x14ac:dyDescent="0.3">
      <c r="A137" s="28"/>
      <c r="B137" s="351" t="s">
        <v>97</v>
      </c>
      <c r="C137" s="369">
        <f>VLOOKUP(B137,'Precio Equipos'!B:C,2,0)</f>
        <v>180879.67774669934</v>
      </c>
      <c r="D137" s="351">
        <v>1</v>
      </c>
      <c r="E137" s="369">
        <f t="shared" si="18"/>
        <v>180879.67774669934</v>
      </c>
      <c r="H137" s="291"/>
      <c r="I137" s="291"/>
    </row>
    <row r="138" spans="1:10" x14ac:dyDescent="0.3">
      <c r="A138" s="28"/>
      <c r="B138" s="351" t="s">
        <v>99</v>
      </c>
      <c r="C138" s="369">
        <f>VLOOKUP(B138,'Precio Equipos'!B:C,2,0)</f>
        <v>832041.7610496066</v>
      </c>
      <c r="D138" s="351">
        <v>1</v>
      </c>
      <c r="E138" s="369">
        <f t="shared" si="18"/>
        <v>832041.7610496066</v>
      </c>
      <c r="H138" s="291"/>
      <c r="I138" s="291"/>
    </row>
    <row r="139" spans="1:10" x14ac:dyDescent="0.3">
      <c r="A139" s="28"/>
      <c r="B139" s="351" t="s">
        <v>178</v>
      </c>
      <c r="C139" s="369">
        <f>VLOOKUP(B139,'Precio Equipos'!B:C,2,0)</f>
        <v>6232.1407091735437</v>
      </c>
      <c r="D139" s="351">
        <v>2</v>
      </c>
      <c r="E139" s="369">
        <f t="shared" si="18"/>
        <v>12464.281418347087</v>
      </c>
      <c r="H139" s="291"/>
      <c r="I139" s="291"/>
    </row>
    <row r="140" spans="1:10" x14ac:dyDescent="0.3">
      <c r="A140" s="28"/>
      <c r="B140" s="369" t="s">
        <v>108</v>
      </c>
      <c r="C140" s="369">
        <f>VLOOKUP(B140,'Precio Equipos'!B:C,2,0)</f>
        <v>4206.1727257042112</v>
      </c>
      <c r="D140" s="351">
        <v>1</v>
      </c>
      <c r="E140" s="369">
        <f t="shared" si="18"/>
        <v>4206.1727257042112</v>
      </c>
      <c r="H140" s="291"/>
      <c r="I140" s="291"/>
    </row>
    <row r="141" spans="1:10" x14ac:dyDescent="0.3">
      <c r="A141" s="28"/>
      <c r="B141" s="351" t="s">
        <v>175</v>
      </c>
      <c r="C141" s="369">
        <f>VLOOKUP(B141,'Precio Equipos'!B:C,2,0)</f>
        <v>10408.766244881006</v>
      </c>
      <c r="D141" s="351">
        <v>1</v>
      </c>
      <c r="E141" s="369">
        <f t="shared" si="18"/>
        <v>10408.766244881006</v>
      </c>
      <c r="H141" s="291"/>
      <c r="I141" s="291"/>
    </row>
    <row r="142" spans="1:10" x14ac:dyDescent="0.3">
      <c r="A142" s="28"/>
      <c r="B142" s="351" t="s">
        <v>171</v>
      </c>
      <c r="C142" s="369">
        <f>VLOOKUP(B142,'Precio Equipos'!B:C,2,0)</f>
        <v>4504.6335032725356</v>
      </c>
      <c r="D142" s="351">
        <v>2</v>
      </c>
      <c r="E142" s="369">
        <f t="shared" si="18"/>
        <v>9009.2670065450711</v>
      </c>
      <c r="H142" s="291"/>
      <c r="I142" s="291"/>
    </row>
    <row r="143" spans="1:10" x14ac:dyDescent="0.3">
      <c r="A143" s="576"/>
      <c r="B143" s="369" t="s">
        <v>122</v>
      </c>
      <c r="C143" s="369">
        <f>VLOOKUP(B143,'Precio Equipos'!B:C,2,0)</f>
        <v>26993.866584302963</v>
      </c>
      <c r="D143" s="400">
        <v>1</v>
      </c>
      <c r="E143" s="369">
        <f t="shared" si="18"/>
        <v>26993.866584302963</v>
      </c>
      <c r="H143" s="291"/>
      <c r="I143" s="291"/>
    </row>
    <row r="144" spans="1:10" x14ac:dyDescent="0.3">
      <c r="A144" s="576"/>
      <c r="B144" s="400" t="s">
        <v>162</v>
      </c>
      <c r="C144" s="369">
        <f>VLOOKUP(B144,'Precio Equipos'!B:C,2,0)</f>
        <v>21774.080067655341</v>
      </c>
      <c r="D144" s="400">
        <v>2</v>
      </c>
      <c r="E144" s="369">
        <f t="shared" si="18"/>
        <v>43548.160135310682</v>
      </c>
      <c r="H144" s="291"/>
      <c r="I144" s="291"/>
    </row>
    <row r="145" spans="1:10" x14ac:dyDescent="0.3">
      <c r="A145" s="31"/>
      <c r="B145" s="365" t="s">
        <v>105</v>
      </c>
      <c r="C145" s="369">
        <f>VLOOKUP(B145,'Precio Equipos'!B:C,2,0)</f>
        <v>13904.258599048509</v>
      </c>
      <c r="D145" s="365">
        <v>2</v>
      </c>
      <c r="E145" s="369">
        <f t="shared" si="18"/>
        <v>27808.517198097019</v>
      </c>
      <c r="H145" s="291"/>
      <c r="I145" s="291"/>
    </row>
    <row r="146" spans="1:10" x14ac:dyDescent="0.3">
      <c r="A146" s="631" t="s">
        <v>179</v>
      </c>
      <c r="B146" s="495" t="s">
        <v>180</v>
      </c>
      <c r="C146" s="371">
        <f>VLOOKUP(B146,'Precio Equipos'!B:C,2,0)</f>
        <v>537162.91844549077</v>
      </c>
      <c r="D146" s="371">
        <v>1</v>
      </c>
      <c r="E146" s="371">
        <f>+C146*D146</f>
        <v>537162.91844549077</v>
      </c>
      <c r="F146" s="371"/>
      <c r="G146" s="632">
        <v>5</v>
      </c>
      <c r="H146" s="371">
        <f>+G146*$H$5</f>
        <v>1800</v>
      </c>
      <c r="I146" s="371">
        <f>+E146/H146</f>
        <v>298.42384358082819</v>
      </c>
      <c r="J146" s="633">
        <f>+I146/E146</f>
        <v>5.5555555555555556E-4</v>
      </c>
    </row>
    <row r="147" spans="1:10" x14ac:dyDescent="0.3">
      <c r="A147" s="643" t="s">
        <v>181</v>
      </c>
      <c r="B147" s="495" t="s">
        <v>182</v>
      </c>
      <c r="C147" s="371">
        <f>VLOOKUP(B147,'Precio Equipos'!B:C,2,0)</f>
        <v>201885.25333580485</v>
      </c>
      <c r="D147" s="644">
        <v>1</v>
      </c>
      <c r="E147" s="647">
        <f>+C147*D147</f>
        <v>201885.25333580485</v>
      </c>
      <c r="F147" s="644"/>
      <c r="G147" s="645">
        <v>4</v>
      </c>
      <c r="H147" s="644">
        <f>+G147*$H$5</f>
        <v>1440</v>
      </c>
      <c r="I147" s="644">
        <f>+E147/H147</f>
        <v>140.19809259430892</v>
      </c>
      <c r="J147" s="646">
        <f>+I147/E147</f>
        <v>6.9444444444444436E-4</v>
      </c>
    </row>
    <row r="148" spans="1:10" x14ac:dyDescent="0.3">
      <c r="A148" s="643"/>
      <c r="B148" s="495" t="s">
        <v>183</v>
      </c>
      <c r="C148" s="371">
        <f>VLOOKUP(B148,'Precio Equipos'!B:C,2,0)</f>
        <v>72091.108607308124</v>
      </c>
      <c r="D148" s="644">
        <v>1</v>
      </c>
      <c r="E148" s="647">
        <f>+C148*D148</f>
        <v>72091.108607308124</v>
      </c>
      <c r="F148" s="644"/>
      <c r="G148" s="645">
        <v>1</v>
      </c>
      <c r="H148" s="644">
        <f>+G148*$H$5</f>
        <v>360</v>
      </c>
      <c r="I148" s="644">
        <f>+E148/H148</f>
        <v>200.25307946474479</v>
      </c>
      <c r="J148" s="646">
        <f>+I148/E148</f>
        <v>2.7777777777777779E-3</v>
      </c>
    </row>
    <row r="149" spans="1:10" x14ac:dyDescent="0.3">
      <c r="A149" s="631" t="s">
        <v>184</v>
      </c>
      <c r="B149" s="495" t="s">
        <v>185</v>
      </c>
      <c r="C149" s="371">
        <f>VLOOKUP(B149,'Precio Equipos'!B:C,2,0)</f>
        <v>683705.7511892406</v>
      </c>
      <c r="D149" s="371">
        <v>1</v>
      </c>
      <c r="E149" s="371">
        <f t="shared" ref="E149:E166" si="20">+C149*D149</f>
        <v>683705.7511892406</v>
      </c>
      <c r="F149" s="371"/>
      <c r="G149" s="632">
        <v>1</v>
      </c>
      <c r="H149" s="371">
        <f>+G149*$H$5</f>
        <v>360</v>
      </c>
      <c r="I149" s="371">
        <f>+E149/H149</f>
        <v>1899.1826421923349</v>
      </c>
      <c r="J149" s="633">
        <f>+I149/E149</f>
        <v>2.7777777777777775E-3</v>
      </c>
    </row>
    <row r="150" spans="1:10" x14ac:dyDescent="0.3">
      <c r="A150" s="631" t="s">
        <v>186</v>
      </c>
      <c r="B150" s="495" t="s">
        <v>187</v>
      </c>
      <c r="C150" s="371">
        <f>VLOOKUP(B150,'Precio Equipos'!B:C,2,0)</f>
        <v>10476479.399999999</v>
      </c>
      <c r="D150" s="371">
        <v>1</v>
      </c>
      <c r="E150" s="371">
        <f t="shared" si="20"/>
        <v>10476479.399999999</v>
      </c>
      <c r="F150" s="371"/>
      <c r="G150" s="632">
        <v>10</v>
      </c>
      <c r="H150" s="371">
        <f>+G150*$H$5</f>
        <v>3600</v>
      </c>
      <c r="I150" s="371">
        <f>+E150/H150</f>
        <v>2910.1331666666661</v>
      </c>
      <c r="J150" s="633">
        <f>+I150/E150</f>
        <v>2.7777777777777778E-4</v>
      </c>
    </row>
    <row r="151" spans="1:10" x14ac:dyDescent="0.3">
      <c r="A151" s="631"/>
      <c r="B151" s="495" t="s">
        <v>188</v>
      </c>
      <c r="C151" s="371">
        <f>VLOOKUP(B151,'Precio Equipos'!B:C,2,0)</f>
        <v>61876.7</v>
      </c>
      <c r="D151" s="371">
        <v>1</v>
      </c>
      <c r="E151" s="371">
        <f t="shared" si="20"/>
        <v>61876.7</v>
      </c>
      <c r="F151" s="636"/>
      <c r="G151" s="637"/>
      <c r="H151" s="309"/>
      <c r="I151" s="309"/>
      <c r="J151" s="363"/>
    </row>
    <row r="152" spans="1:10" x14ac:dyDescent="0.3">
      <c r="A152" s="643"/>
      <c r="B152" s="495" t="s">
        <v>189</v>
      </c>
      <c r="C152" s="371">
        <f>VLOOKUP(B152,'Precio Equipos'!B:C,2,0)</f>
        <v>72723.200000000012</v>
      </c>
      <c r="D152" s="644">
        <v>1</v>
      </c>
      <c r="E152" s="371">
        <f t="shared" si="20"/>
        <v>72723.200000000012</v>
      </c>
      <c r="F152" s="656"/>
      <c r="G152" s="657"/>
      <c r="H152" s="292"/>
      <c r="I152" s="292"/>
      <c r="J152" s="504"/>
    </row>
    <row r="153" spans="1:10" x14ac:dyDescent="0.3">
      <c r="A153" s="643"/>
      <c r="B153" s="495" t="s">
        <v>190</v>
      </c>
      <c r="C153" s="371">
        <f>VLOOKUP(B153,'Precio Equipos'!B:C,2,0)</f>
        <v>0</v>
      </c>
      <c r="D153" s="644">
        <v>1</v>
      </c>
      <c r="E153" s="371">
        <f t="shared" si="20"/>
        <v>0</v>
      </c>
      <c r="F153" s="656"/>
      <c r="G153" s="632"/>
      <c r="H153" s="371"/>
      <c r="I153" s="371"/>
      <c r="J153" s="633"/>
    </row>
    <row r="154" spans="1:10" x14ac:dyDescent="0.3">
      <c r="A154" s="643"/>
      <c r="B154" s="41" t="s">
        <v>191</v>
      </c>
      <c r="C154" s="371">
        <f>VLOOKUP(B154,'Precio Equipos'!B:C,2,0)</f>
        <v>1230000</v>
      </c>
      <c r="D154" s="644">
        <v>1</v>
      </c>
      <c r="E154" s="371">
        <f t="shared" si="20"/>
        <v>1230000</v>
      </c>
      <c r="F154" s="656"/>
      <c r="G154" s="632">
        <v>8.3333333333333329E-2</v>
      </c>
      <c r="H154" s="371">
        <f>+G154*$H$5</f>
        <v>30</v>
      </c>
      <c r="I154" s="371">
        <f>+E154/H154</f>
        <v>41000</v>
      </c>
      <c r="J154" s="633">
        <f>+I154/E154</f>
        <v>3.3333333333333333E-2</v>
      </c>
    </row>
    <row r="155" spans="1:10" x14ac:dyDescent="0.3">
      <c r="A155" s="631"/>
      <c r="B155" s="495" t="s">
        <v>192</v>
      </c>
      <c r="C155" s="371">
        <f>VLOOKUP(B155,'Precio Equipos'!B:C,2,0)</f>
        <v>309900</v>
      </c>
      <c r="D155" s="371">
        <v>1</v>
      </c>
      <c r="E155" s="371">
        <f t="shared" si="20"/>
        <v>309900</v>
      </c>
      <c r="F155" s="403"/>
      <c r="G155" s="409"/>
      <c r="H155" s="293"/>
      <c r="I155" s="293"/>
      <c r="J155" s="394"/>
    </row>
    <row r="156" spans="1:10" x14ac:dyDescent="0.3">
      <c r="A156" s="631"/>
      <c r="B156" s="495" t="s">
        <v>193</v>
      </c>
      <c r="C156" s="371">
        <f>VLOOKUP(B156,'Precio Equipos'!B:C,2,0)</f>
        <v>464850</v>
      </c>
      <c r="D156" s="371">
        <v>1</v>
      </c>
      <c r="E156" s="371">
        <f t="shared" si="20"/>
        <v>464850</v>
      </c>
      <c r="F156" s="403"/>
      <c r="G156" s="409"/>
      <c r="H156" s="293"/>
      <c r="I156" s="293"/>
      <c r="J156" s="394"/>
    </row>
    <row r="157" spans="1:10" x14ac:dyDescent="0.3">
      <c r="A157" s="631"/>
      <c r="B157" s="495" t="s">
        <v>194</v>
      </c>
      <c r="C157" s="371">
        <f>VLOOKUP(B157,'Precio Equipos'!B:C,2,0)</f>
        <v>506170</v>
      </c>
      <c r="D157" s="371">
        <v>1</v>
      </c>
      <c r="E157" s="371">
        <f t="shared" si="20"/>
        <v>506170</v>
      </c>
      <c r="F157" s="403"/>
      <c r="G157" s="409"/>
      <c r="H157" s="293"/>
      <c r="I157" s="293"/>
      <c r="J157" s="394"/>
    </row>
    <row r="158" spans="1:10" x14ac:dyDescent="0.3">
      <c r="A158" s="643"/>
      <c r="B158" s="495" t="s">
        <v>195</v>
      </c>
      <c r="C158" s="371">
        <f>VLOOKUP(B158,'Precio Equipos'!B:C,2,0)</f>
        <v>588810</v>
      </c>
      <c r="D158" s="644">
        <v>1</v>
      </c>
      <c r="E158" s="371">
        <f t="shared" si="20"/>
        <v>588810</v>
      </c>
      <c r="F158" s="656"/>
      <c r="G158" s="657"/>
      <c r="H158" s="292"/>
      <c r="I158" s="292"/>
      <c r="J158" s="504"/>
    </row>
    <row r="159" spans="1:10" x14ac:dyDescent="0.3">
      <c r="A159" s="643"/>
      <c r="B159" s="495" t="s">
        <v>196</v>
      </c>
      <c r="C159" s="371">
        <f>VLOOKUP(B159,'Precio Equipos'!B:C,2,0)</f>
        <v>568150</v>
      </c>
      <c r="D159" s="644">
        <v>1</v>
      </c>
      <c r="E159" s="371">
        <f t="shared" si="20"/>
        <v>568150</v>
      </c>
      <c r="F159" s="656"/>
      <c r="G159" s="657"/>
      <c r="H159" s="292"/>
      <c r="I159" s="292"/>
      <c r="J159" s="504"/>
    </row>
    <row r="160" spans="1:10" x14ac:dyDescent="0.3">
      <c r="A160" s="631"/>
      <c r="B160" s="495" t="s">
        <v>197</v>
      </c>
      <c r="C160" s="371">
        <f>VLOOKUP(B160,'Precio Equipos'!B:C,2,0)</f>
        <v>878050</v>
      </c>
      <c r="D160" s="371">
        <v>1</v>
      </c>
      <c r="E160" s="371">
        <f t="shared" si="20"/>
        <v>878050</v>
      </c>
      <c r="F160" s="403"/>
      <c r="G160" s="409"/>
      <c r="H160" s="293"/>
      <c r="I160" s="293"/>
      <c r="J160" s="394"/>
    </row>
    <row r="161" spans="1:5" x14ac:dyDescent="0.3">
      <c r="A161" s="631"/>
      <c r="B161" s="495" t="s">
        <v>198</v>
      </c>
      <c r="C161" s="371">
        <f>VLOOKUP(B161,'Precio Equipos'!B:C,2,0)</f>
        <v>929700</v>
      </c>
      <c r="D161" s="371">
        <v>1</v>
      </c>
      <c r="E161" s="371">
        <f t="shared" si="20"/>
        <v>929700</v>
      </c>
    </row>
    <row r="162" spans="1:5" x14ac:dyDescent="0.3">
      <c r="A162" s="631"/>
      <c r="B162" s="495" t="s">
        <v>199</v>
      </c>
      <c r="C162" s="371">
        <f>VLOOKUP(B162,'Precio Equipos'!B:C,2,0)</f>
        <v>258250</v>
      </c>
      <c r="D162" s="371">
        <v>1</v>
      </c>
      <c r="E162" s="371">
        <f t="shared" si="20"/>
        <v>258250</v>
      </c>
    </row>
    <row r="163" spans="1:5" x14ac:dyDescent="0.3">
      <c r="A163" s="643"/>
      <c r="B163" s="495" t="s">
        <v>200</v>
      </c>
      <c r="C163" s="371">
        <f>VLOOKUP(B163,'Precio Equipos'!B:C,2,0)</f>
        <v>402870</v>
      </c>
      <c r="D163" s="644">
        <v>1</v>
      </c>
      <c r="E163" s="371">
        <f t="shared" si="20"/>
        <v>402870</v>
      </c>
    </row>
    <row r="164" spans="1:5" x14ac:dyDescent="0.3">
      <c r="A164" s="643"/>
      <c r="B164" s="495" t="s">
        <v>201</v>
      </c>
      <c r="C164" s="371">
        <f>VLOOKUP(B164,'Precio Equipos'!B:C,2,0)</f>
        <v>40428</v>
      </c>
      <c r="D164" s="644">
        <v>1</v>
      </c>
      <c r="E164" s="371">
        <f t="shared" si="20"/>
        <v>40428</v>
      </c>
    </row>
    <row r="165" spans="1:5" x14ac:dyDescent="0.3">
      <c r="A165" s="631"/>
      <c r="B165" s="495" t="s">
        <v>202</v>
      </c>
      <c r="C165" s="371">
        <f>VLOOKUP(B165,'Precio Equipos'!B:C,2,0)</f>
        <v>67380</v>
      </c>
      <c r="D165" s="371">
        <v>1</v>
      </c>
      <c r="E165" s="371">
        <f t="shared" si="20"/>
        <v>67380</v>
      </c>
    </row>
    <row r="166" spans="1:5" x14ac:dyDescent="0.3">
      <c r="A166" s="631"/>
      <c r="B166" s="495" t="s">
        <v>203</v>
      </c>
      <c r="C166" s="371">
        <f>VLOOKUP(B166,'Precio Equipos'!B:C,2,0)</f>
        <v>107808</v>
      </c>
      <c r="D166" s="371">
        <v>1</v>
      </c>
      <c r="E166" s="371">
        <f t="shared" si="20"/>
        <v>107808</v>
      </c>
    </row>
  </sheetData>
  <mergeCells count="1">
    <mergeCell ref="A1:E1"/>
  </mergeCells>
  <pageMargins left="0.7" right="0.7" top="0.75" bottom="0.75" header="0.3" footer="0.3"/>
  <pageSetup paperSize="119" scale="3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CE24-615B-4366-8C53-781117D2406B}">
  <sheetPr>
    <pageSetUpPr fitToPage="1"/>
  </sheetPr>
  <dimension ref="A1:I102"/>
  <sheetViews>
    <sheetView workbookViewId="0">
      <selection activeCell="F2" sqref="F2"/>
    </sheetView>
  </sheetViews>
  <sheetFormatPr defaultColWidth="11.453125" defaultRowHeight="13" x14ac:dyDescent="0.3"/>
  <cols>
    <col min="1" max="1" width="5.54296875" style="4" bestFit="1" customWidth="1"/>
    <col min="2" max="2" width="78.6328125" style="4" bestFit="1" customWidth="1"/>
    <col min="3" max="3" width="13.453125" style="4" bestFit="1" customWidth="1"/>
    <col min="4" max="4" width="11" style="291" bestFit="1" customWidth="1"/>
    <col min="5" max="5" width="17.6328125" style="294" bestFit="1" customWidth="1"/>
    <col min="6" max="6" width="10" style="291" bestFit="1" customWidth="1"/>
    <col min="7" max="7" width="11.453125" style="4" bestFit="1" customWidth="1"/>
    <col min="8" max="8" width="12.453125" style="4" customWidth="1"/>
    <col min="9" max="9" width="9.54296875" style="4" bestFit="1" customWidth="1"/>
    <col min="10" max="10" width="11" style="4" bestFit="1" customWidth="1"/>
    <col min="11" max="11" width="7.54296875" style="4" bestFit="1" customWidth="1"/>
    <col min="12" max="12" width="9" style="4" bestFit="1" customWidth="1"/>
    <col min="13" max="13" width="5.54296875" style="4" bestFit="1" customWidth="1"/>
    <col min="14" max="16384" width="11.453125" style="4"/>
  </cols>
  <sheetData>
    <row r="1" spans="1:9" ht="12.65" customHeight="1" x14ac:dyDescent="0.3">
      <c r="A1" s="610"/>
      <c r="B1" s="610"/>
      <c r="C1" s="610"/>
      <c r="D1" s="355"/>
      <c r="E1" s="609"/>
      <c r="F1" s="355"/>
      <c r="G1" s="107" t="s">
        <v>204</v>
      </c>
      <c r="H1" s="107" t="s">
        <v>205</v>
      </c>
    </row>
    <row r="2" spans="1:9" ht="15.5" x14ac:dyDescent="0.35">
      <c r="A2" s="610"/>
      <c r="B2" s="618" t="s">
        <v>206</v>
      </c>
      <c r="C2" s="610"/>
      <c r="D2" s="355"/>
      <c r="E2" s="609"/>
      <c r="F2" s="655">
        <v>45631</v>
      </c>
      <c r="G2" s="4">
        <v>1033</v>
      </c>
      <c r="H2" s="4">
        <v>1075</v>
      </c>
    </row>
    <row r="3" spans="1:9" ht="12.65" customHeight="1" x14ac:dyDescent="0.3">
      <c r="A3" s="610"/>
      <c r="B3" s="610"/>
      <c r="C3" s="610"/>
      <c r="D3" s="355"/>
      <c r="E3" s="609"/>
      <c r="F3" s="355"/>
      <c r="H3" s="4">
        <v>13277.8</v>
      </c>
      <c r="I3" s="68">
        <v>45292</v>
      </c>
    </row>
    <row r="4" spans="1:9" x14ac:dyDescent="0.3">
      <c r="A4" s="616"/>
      <c r="B4" s="6" t="s">
        <v>80</v>
      </c>
      <c r="C4" s="617" t="s">
        <v>207</v>
      </c>
      <c r="D4" s="617" t="s">
        <v>208</v>
      </c>
      <c r="E4" s="617" t="s">
        <v>209</v>
      </c>
      <c r="F4" s="353"/>
      <c r="G4" s="50"/>
      <c r="H4" s="4">
        <v>17149.900000000001</v>
      </c>
      <c r="I4" s="68">
        <v>45566</v>
      </c>
    </row>
    <row r="5" spans="1:9" x14ac:dyDescent="0.3">
      <c r="A5" s="559">
        <v>1</v>
      </c>
      <c r="B5" s="622" t="s">
        <v>210</v>
      </c>
      <c r="C5" s="560"/>
      <c r="D5" s="611"/>
      <c r="E5" s="612"/>
      <c r="F5" s="353"/>
      <c r="G5" s="50"/>
      <c r="H5" s="297">
        <f>+H4/H3</f>
        <v>1.2916221060717892</v>
      </c>
      <c r="I5" s="119"/>
    </row>
    <row r="6" spans="1:9" x14ac:dyDescent="0.3">
      <c r="A6" s="7">
        <v>1.01</v>
      </c>
      <c r="B6" s="619" t="s">
        <v>90</v>
      </c>
      <c r="C6" s="619">
        <f>+H6*$H$5</f>
        <v>237068.27093667444</v>
      </c>
      <c r="D6" s="614"/>
      <c r="E6" s="88" t="s">
        <v>211</v>
      </c>
      <c r="F6" s="50"/>
      <c r="G6" s="119"/>
      <c r="H6" s="619">
        <f>222087.1/1.21</f>
        <v>183543.05785123969</v>
      </c>
      <c r="I6" s="614">
        <v>45299</v>
      </c>
    </row>
    <row r="7" spans="1:9" x14ac:dyDescent="0.3">
      <c r="A7" s="9">
        <v>1.02</v>
      </c>
      <c r="B7" s="620" t="s">
        <v>91</v>
      </c>
      <c r="C7" s="620">
        <f t="shared" ref="C7:C70" si="0">+H7*$H$5</f>
        <v>94209.624794770236</v>
      </c>
      <c r="D7" s="615"/>
      <c r="E7" s="60" t="s">
        <v>211</v>
      </c>
      <c r="H7" s="620">
        <f>88256.19/1.21</f>
        <v>72939</v>
      </c>
      <c r="I7" s="615">
        <v>45299</v>
      </c>
    </row>
    <row r="8" spans="1:9" s="45" customFormat="1" x14ac:dyDescent="0.3">
      <c r="A8" s="9">
        <v>1.03</v>
      </c>
      <c r="B8" s="620" t="s">
        <v>92</v>
      </c>
      <c r="C8" s="620">
        <f t="shared" si="0"/>
        <v>32124.755341451695</v>
      </c>
      <c r="D8" s="615"/>
      <c r="E8" s="60" t="s">
        <v>211</v>
      </c>
      <c r="F8" s="355"/>
      <c r="G8" s="286"/>
      <c r="H8" s="620">
        <f>30094.68/1.21</f>
        <v>24871.636363636364</v>
      </c>
      <c r="I8" s="615">
        <v>45299</v>
      </c>
    </row>
    <row r="9" spans="1:9" s="45" customFormat="1" x14ac:dyDescent="0.3">
      <c r="A9" s="9">
        <v>1.04</v>
      </c>
      <c r="B9" s="620" t="s">
        <v>102</v>
      </c>
      <c r="C9" s="620">
        <f t="shared" si="0"/>
        <v>107853.3386635295</v>
      </c>
      <c r="D9" s="615"/>
      <c r="E9" s="60" t="s">
        <v>211</v>
      </c>
      <c r="F9" s="355"/>
      <c r="G9" s="286"/>
      <c r="H9" s="620">
        <f>101037.71/1.21</f>
        <v>83502.239669421499</v>
      </c>
      <c r="I9" s="615">
        <v>45303</v>
      </c>
    </row>
    <row r="10" spans="1:9" s="45" customFormat="1" x14ac:dyDescent="0.3">
      <c r="A10" s="9">
        <v>1.05</v>
      </c>
      <c r="B10" s="620" t="s">
        <v>103</v>
      </c>
      <c r="C10" s="620">
        <f t="shared" si="0"/>
        <v>15556.499462222971</v>
      </c>
      <c r="D10" s="615"/>
      <c r="E10" s="60" t="s">
        <v>211</v>
      </c>
      <c r="F10" s="355"/>
      <c r="G10" s="286"/>
      <c r="H10" s="620">
        <f>14573.43/1.21</f>
        <v>12044.157024793389</v>
      </c>
      <c r="I10" s="615">
        <v>45303</v>
      </c>
    </row>
    <row r="11" spans="1:9" s="45" customFormat="1" x14ac:dyDescent="0.3">
      <c r="A11" s="9">
        <v>1.06</v>
      </c>
      <c r="B11" s="41" t="s">
        <v>182</v>
      </c>
      <c r="C11" s="620">
        <f t="shared" si="0"/>
        <v>201885.25333580485</v>
      </c>
      <c r="D11" s="615"/>
      <c r="E11" s="60" t="s">
        <v>211</v>
      </c>
      <c r="F11" s="355"/>
      <c r="G11" s="286"/>
      <c r="H11" s="620">
        <f>189127.42/1.21</f>
        <v>156303.65289256201</v>
      </c>
      <c r="I11" s="615">
        <v>45303</v>
      </c>
    </row>
    <row r="12" spans="1:9" s="45" customFormat="1" x14ac:dyDescent="0.3">
      <c r="A12" s="9">
        <v>1.07</v>
      </c>
      <c r="B12" s="41" t="s">
        <v>183</v>
      </c>
      <c r="C12" s="620">
        <f t="shared" si="0"/>
        <v>72091.108607308124</v>
      </c>
      <c r="D12" s="615"/>
      <c r="E12" s="60" t="s">
        <v>211</v>
      </c>
      <c r="F12" s="355"/>
      <c r="G12" s="286"/>
      <c r="H12" s="620">
        <f>67535.42/1.21</f>
        <v>55814.396694214876</v>
      </c>
      <c r="I12" s="615">
        <v>45299</v>
      </c>
    </row>
    <row r="13" spans="1:9" s="45" customFormat="1" x14ac:dyDescent="0.3">
      <c r="A13" s="9">
        <v>1.08</v>
      </c>
      <c r="B13" s="41" t="s">
        <v>185</v>
      </c>
      <c r="C13" s="620">
        <f t="shared" si="0"/>
        <v>683705.7511892406</v>
      </c>
      <c r="D13" s="615"/>
      <c r="E13" s="60" t="s">
        <v>212</v>
      </c>
      <c r="F13" s="355"/>
      <c r="G13" s="286"/>
      <c r="H13" s="620">
        <f>640500/1.21</f>
        <v>529338.84297520667</v>
      </c>
      <c r="I13" s="615">
        <v>45327</v>
      </c>
    </row>
    <row r="14" spans="1:9" s="45" customFormat="1" x14ac:dyDescent="0.3">
      <c r="A14" s="59">
        <v>1.0900000000000001</v>
      </c>
      <c r="B14" s="56" t="s">
        <v>187</v>
      </c>
      <c r="C14" s="56">
        <f>+F14*$G$2</f>
        <v>10476479.399999999</v>
      </c>
      <c r="D14" s="623">
        <v>45631</v>
      </c>
      <c r="E14" s="793" t="s">
        <v>213</v>
      </c>
      <c r="F14" s="361">
        <v>10141.799999999999</v>
      </c>
      <c r="G14" s="286"/>
      <c r="H14" s="621"/>
      <c r="I14" s="623"/>
    </row>
    <row r="15" spans="1:9" s="45" customFormat="1" x14ac:dyDescent="0.3">
      <c r="A15" s="559">
        <v>2</v>
      </c>
      <c r="B15" s="622" t="s">
        <v>214</v>
      </c>
      <c r="C15" s="560"/>
      <c r="D15" s="611"/>
      <c r="E15" s="612"/>
      <c r="F15" s="355"/>
      <c r="G15" s="286"/>
      <c r="H15" s="560"/>
      <c r="I15" s="611"/>
    </row>
    <row r="16" spans="1:9" s="45" customFormat="1" x14ac:dyDescent="0.3">
      <c r="A16" s="650">
        <v>2.0099999999999998</v>
      </c>
      <c r="B16" s="272" t="s">
        <v>96</v>
      </c>
      <c r="C16" s="619">
        <f t="shared" si="0"/>
        <v>137903.31124555261</v>
      </c>
      <c r="D16" s="614"/>
      <c r="E16" s="88" t="s">
        <v>211</v>
      </c>
      <c r="F16" s="355"/>
      <c r="G16" s="286"/>
      <c r="H16" s="619">
        <f>129188.72/1.21</f>
        <v>106767.53719008264</v>
      </c>
      <c r="I16" s="614">
        <v>45303</v>
      </c>
    </row>
    <row r="17" spans="1:9" s="45" customFormat="1" x14ac:dyDescent="0.3">
      <c r="A17" s="649">
        <v>2.02</v>
      </c>
      <c r="B17" s="41" t="s">
        <v>173</v>
      </c>
      <c r="C17" s="620">
        <f t="shared" si="0"/>
        <v>452946.11487919505</v>
      </c>
      <c r="D17" s="615"/>
      <c r="E17" s="60" t="s">
        <v>211</v>
      </c>
      <c r="F17" s="355"/>
      <c r="G17" s="286"/>
      <c r="H17" s="620">
        <f>424322.87/1.21</f>
        <v>350680.05785123969</v>
      </c>
      <c r="I17" s="615">
        <v>45327</v>
      </c>
    </row>
    <row r="18" spans="1:9" s="45" customFormat="1" x14ac:dyDescent="0.3">
      <c r="A18" s="649">
        <v>2.0299999999999998</v>
      </c>
      <c r="B18" s="41" t="s">
        <v>97</v>
      </c>
      <c r="C18" s="620">
        <f t="shared" si="0"/>
        <v>180879.67774669934</v>
      </c>
      <c r="D18" s="615"/>
      <c r="E18" s="60" t="s">
        <v>211</v>
      </c>
      <c r="F18" s="355"/>
      <c r="G18" s="286"/>
      <c r="H18" s="620">
        <f>169449.26/1.21</f>
        <v>140040.71074380167</v>
      </c>
      <c r="I18" s="615">
        <v>45303</v>
      </c>
    </row>
    <row r="19" spans="1:9" s="45" customFormat="1" x14ac:dyDescent="0.3">
      <c r="A19" s="649">
        <v>2.04</v>
      </c>
      <c r="B19" s="41" t="s">
        <v>146</v>
      </c>
      <c r="C19" s="620">
        <f t="shared" si="0"/>
        <v>294158.54445144197</v>
      </c>
      <c r="D19" s="615"/>
      <c r="E19" s="60" t="s">
        <v>211</v>
      </c>
      <c r="F19" s="355"/>
      <c r="G19" s="286"/>
      <c r="H19" s="620">
        <f>275569.64/1.21</f>
        <v>227743.50413223144</v>
      </c>
      <c r="I19" s="615">
        <v>45307</v>
      </c>
    </row>
    <row r="20" spans="1:9" s="45" customFormat="1" x14ac:dyDescent="0.3">
      <c r="A20" s="649">
        <v>2.0499999999999998</v>
      </c>
      <c r="B20" s="41" t="s">
        <v>98</v>
      </c>
      <c r="C20" s="620">
        <f t="shared" si="0"/>
        <v>396998.40387472091</v>
      </c>
      <c r="D20" s="615"/>
      <c r="E20" s="60" t="s">
        <v>211</v>
      </c>
      <c r="F20" s="355"/>
      <c r="G20" s="286"/>
      <c r="H20" s="620">
        <f>371910.69/1.21</f>
        <v>307364.20661157026</v>
      </c>
      <c r="I20" s="615">
        <v>45303</v>
      </c>
    </row>
    <row r="21" spans="1:9" s="45" customFormat="1" x14ac:dyDescent="0.3">
      <c r="A21" s="649">
        <v>2.06</v>
      </c>
      <c r="B21" s="41" t="s">
        <v>99</v>
      </c>
      <c r="C21" s="620">
        <f t="shared" si="0"/>
        <v>832041.7610496066</v>
      </c>
      <c r="D21" s="615"/>
      <c r="E21" s="60" t="s">
        <v>211</v>
      </c>
      <c r="F21" s="355"/>
      <c r="G21" s="286"/>
      <c r="H21" s="620">
        <f>779462.14/1.21</f>
        <v>644183.58677685959</v>
      </c>
      <c r="I21" s="615">
        <v>45327</v>
      </c>
    </row>
    <row r="22" spans="1:9" s="45" customFormat="1" x14ac:dyDescent="0.3">
      <c r="A22" s="649">
        <v>2.0699999999999998</v>
      </c>
      <c r="B22" s="41" t="s">
        <v>127</v>
      </c>
      <c r="C22" s="620">
        <f t="shared" si="0"/>
        <v>555610.99686807126</v>
      </c>
      <c r="D22" s="615"/>
      <c r="E22" s="60" t="s">
        <v>211</v>
      </c>
      <c r="F22" s="355"/>
      <c r="G22" s="286"/>
      <c r="H22" s="620">
        <f>520500/1.21</f>
        <v>430165.28925619833</v>
      </c>
      <c r="I22" s="615">
        <v>45327</v>
      </c>
    </row>
    <row r="23" spans="1:9" s="45" customFormat="1" x14ac:dyDescent="0.3">
      <c r="A23" s="649">
        <v>2.08</v>
      </c>
      <c r="B23" s="41" t="s">
        <v>152</v>
      </c>
      <c r="C23" s="620">
        <f t="shared" si="0"/>
        <v>1090691.0412354856</v>
      </c>
      <c r="D23" s="615"/>
      <c r="E23" s="60" t="s">
        <v>211</v>
      </c>
      <c r="F23" s="355"/>
      <c r="G23" s="286"/>
      <c r="H23" s="620">
        <f>1021766.47/1.21</f>
        <v>844435.09917355375</v>
      </c>
      <c r="I23" s="615">
        <v>45303</v>
      </c>
    </row>
    <row r="24" spans="1:9" s="45" customFormat="1" x14ac:dyDescent="0.3">
      <c r="A24" s="649">
        <v>2.09</v>
      </c>
      <c r="B24" s="41" t="s">
        <v>117</v>
      </c>
      <c r="C24" s="620">
        <f t="shared" si="0"/>
        <v>143732.28439006314</v>
      </c>
      <c r="D24" s="615"/>
      <c r="E24" s="60" t="s">
        <v>211</v>
      </c>
      <c r="F24" s="355"/>
      <c r="G24" s="286"/>
      <c r="H24" s="620">
        <v>111280.44628099173</v>
      </c>
      <c r="I24" s="615">
        <v>45303</v>
      </c>
    </row>
    <row r="25" spans="1:9" s="45" customFormat="1" x14ac:dyDescent="0.3">
      <c r="A25" s="649">
        <v>2.1</v>
      </c>
      <c r="B25" s="41" t="s">
        <v>139</v>
      </c>
      <c r="C25" s="620">
        <f t="shared" si="0"/>
        <v>401156.66916230897</v>
      </c>
      <c r="D25" s="615"/>
      <c r="E25" s="60" t="s">
        <v>211</v>
      </c>
      <c r="F25" s="355"/>
      <c r="G25" s="286"/>
      <c r="H25" s="620">
        <f>375806.18/1.21</f>
        <v>310583.61983471073</v>
      </c>
      <c r="I25" s="615">
        <v>45327</v>
      </c>
    </row>
    <row r="26" spans="1:9" s="45" customFormat="1" x14ac:dyDescent="0.3">
      <c r="A26" s="649">
        <v>2.11</v>
      </c>
      <c r="B26" s="41" t="s">
        <v>138</v>
      </c>
      <c r="C26" s="620">
        <f t="shared" si="0"/>
        <v>222728.18061061099</v>
      </c>
      <c r="D26" s="615"/>
      <c r="E26" s="60" t="s">
        <v>211</v>
      </c>
      <c r="F26" s="355"/>
      <c r="G26" s="286"/>
      <c r="H26" s="620">
        <f>208653.21/1.21</f>
        <v>172440.6694214876</v>
      </c>
      <c r="I26" s="615">
        <v>45327</v>
      </c>
    </row>
    <row r="27" spans="1:9" s="45" customFormat="1" x14ac:dyDescent="0.3">
      <c r="A27" s="649">
        <v>2.12</v>
      </c>
      <c r="B27" s="41" t="s">
        <v>137</v>
      </c>
      <c r="C27" s="620">
        <f t="shared" si="0"/>
        <v>220003.08213261957</v>
      </c>
      <c r="D27" s="615"/>
      <c r="E27" s="60" t="s">
        <v>211</v>
      </c>
      <c r="F27" s="355"/>
      <c r="G27" s="286"/>
      <c r="H27" s="620">
        <f>206100.32/1.21</f>
        <v>170330.84297520661</v>
      </c>
      <c r="I27" s="615">
        <v>45327</v>
      </c>
    </row>
    <row r="28" spans="1:9" s="45" customFormat="1" x14ac:dyDescent="0.3">
      <c r="A28" s="649">
        <v>2.13</v>
      </c>
      <c r="B28" s="41" t="s">
        <v>159</v>
      </c>
      <c r="C28" s="620">
        <f t="shared" si="0"/>
        <v>1002877.3156187256</v>
      </c>
      <c r="D28" s="615"/>
      <c r="E28" s="60" t="s">
        <v>212</v>
      </c>
      <c r="F28" s="355"/>
      <c r="G28" s="286"/>
      <c r="H28" s="620">
        <f>939502/1.21</f>
        <v>776447.9338842975</v>
      </c>
      <c r="I28" s="615">
        <v>45327</v>
      </c>
    </row>
    <row r="29" spans="1:9" s="45" customFormat="1" x14ac:dyDescent="0.3">
      <c r="A29" s="649">
        <v>2.14</v>
      </c>
      <c r="B29" s="41" t="s">
        <v>158</v>
      </c>
      <c r="C29" s="620">
        <f t="shared" si="0"/>
        <v>53027.865801663109</v>
      </c>
      <c r="D29" s="615"/>
      <c r="E29" s="60" t="s">
        <v>211</v>
      </c>
      <c r="F29" s="355"/>
      <c r="G29" s="286"/>
      <c r="H29" s="620">
        <f>49676.85/1.21</f>
        <v>41055.247933884297</v>
      </c>
      <c r="I29" s="615">
        <v>45327</v>
      </c>
    </row>
    <row r="30" spans="1:9" s="45" customFormat="1" x14ac:dyDescent="0.3">
      <c r="A30" s="649">
        <v>2.15</v>
      </c>
      <c r="B30" s="41" t="s">
        <v>174</v>
      </c>
      <c r="C30" s="620">
        <f t="shared" si="0"/>
        <v>549290.38538191328</v>
      </c>
      <c r="D30" s="615"/>
      <c r="E30" s="60" t="s">
        <v>211</v>
      </c>
      <c r="F30" s="355"/>
      <c r="G30" s="286"/>
      <c r="H30" s="620">
        <f>514578.81/1.21</f>
        <v>425271.74380165292</v>
      </c>
      <c r="I30" s="615">
        <v>45327</v>
      </c>
    </row>
    <row r="31" spans="1:9" s="45" customFormat="1" x14ac:dyDescent="0.3">
      <c r="A31" s="649">
        <v>2.16</v>
      </c>
      <c r="B31" s="41" t="s">
        <v>215</v>
      </c>
      <c r="C31" s="620">
        <f t="shared" si="0"/>
        <v>886390.57198151795</v>
      </c>
      <c r="D31" s="615"/>
      <c r="E31" s="60" t="s">
        <v>211</v>
      </c>
      <c r="F31" s="355"/>
      <c r="G31" s="286"/>
      <c r="H31" s="620">
        <f>830376.46/1.21</f>
        <v>686261.5371900826</v>
      </c>
      <c r="I31" s="615">
        <v>45327</v>
      </c>
    </row>
    <row r="32" spans="1:9" s="45" customFormat="1" x14ac:dyDescent="0.3">
      <c r="A32" s="649">
        <v>2.17</v>
      </c>
      <c r="B32" s="41" t="s">
        <v>164</v>
      </c>
      <c r="C32" s="620">
        <f t="shared" si="0"/>
        <v>499025.6942239636</v>
      </c>
      <c r="D32" s="615"/>
      <c r="E32" s="60" t="s">
        <v>211</v>
      </c>
      <c r="F32" s="355"/>
      <c r="G32" s="286"/>
      <c r="H32" s="620">
        <f>467490.52/1.21</f>
        <v>386355.80165289261</v>
      </c>
      <c r="I32" s="615">
        <v>45303</v>
      </c>
    </row>
    <row r="33" spans="1:9" s="45" customFormat="1" x14ac:dyDescent="0.3">
      <c r="A33" s="649">
        <v>2.1800000000000002</v>
      </c>
      <c r="B33" s="41" t="s">
        <v>165</v>
      </c>
      <c r="C33" s="620">
        <f t="shared" si="0"/>
        <v>151447.94382184447</v>
      </c>
      <c r="D33" s="615"/>
      <c r="E33" s="60" t="s">
        <v>211</v>
      </c>
      <c r="F33" s="355"/>
      <c r="G33" s="286"/>
      <c r="H33" s="620">
        <f>141877.42/1.21</f>
        <v>117254.06611570249</v>
      </c>
      <c r="I33" s="615">
        <v>45303</v>
      </c>
    </row>
    <row r="34" spans="1:9" s="45" customFormat="1" x14ac:dyDescent="0.3">
      <c r="A34" s="649">
        <v>2.19</v>
      </c>
      <c r="B34" s="56" t="s">
        <v>166</v>
      </c>
      <c r="C34" s="621">
        <f t="shared" si="0"/>
        <v>12916.221060717891</v>
      </c>
      <c r="D34" s="623"/>
      <c r="E34" s="87" t="s">
        <v>211</v>
      </c>
      <c r="F34" s="355"/>
      <c r="G34" s="286"/>
      <c r="H34" s="621">
        <v>10000</v>
      </c>
      <c r="I34" s="623">
        <v>45303</v>
      </c>
    </row>
    <row r="35" spans="1:9" s="45" customFormat="1" x14ac:dyDescent="0.3">
      <c r="A35" s="559">
        <v>3</v>
      </c>
      <c r="B35" s="622" t="s">
        <v>216</v>
      </c>
      <c r="C35" s="560"/>
      <c r="D35" s="611"/>
      <c r="E35" s="612"/>
      <c r="F35" s="355"/>
      <c r="G35" s="286"/>
      <c r="H35" s="560"/>
      <c r="I35" s="611"/>
    </row>
    <row r="36" spans="1:9" s="45" customFormat="1" x14ac:dyDescent="0.3">
      <c r="A36" s="650">
        <v>3.01</v>
      </c>
      <c r="B36" s="272" t="s">
        <v>112</v>
      </c>
      <c r="C36" s="619">
        <f t="shared" si="0"/>
        <v>248336.43556285903</v>
      </c>
      <c r="D36" s="614"/>
      <c r="E36" s="88" t="s">
        <v>211</v>
      </c>
      <c r="F36" s="355"/>
      <c r="G36" s="286"/>
      <c r="H36" s="619">
        <f>232643.19/1.21</f>
        <v>192267.09917355372</v>
      </c>
      <c r="I36" s="614">
        <v>45303</v>
      </c>
    </row>
    <row r="37" spans="1:9" s="45" customFormat="1" x14ac:dyDescent="0.3">
      <c r="A37" s="649">
        <v>3.02</v>
      </c>
      <c r="B37" s="41" t="s">
        <v>180</v>
      </c>
      <c r="C37" s="620">
        <f t="shared" si="0"/>
        <v>537162.91844549077</v>
      </c>
      <c r="D37" s="615"/>
      <c r="E37" s="60" t="s">
        <v>211</v>
      </c>
      <c r="F37" s="355"/>
      <c r="G37" s="286"/>
      <c r="H37" s="620">
        <f>503217.72/1.21</f>
        <v>415882.41322314047</v>
      </c>
      <c r="I37" s="615">
        <v>45303</v>
      </c>
    </row>
    <row r="38" spans="1:9" x14ac:dyDescent="0.3">
      <c r="A38" s="9">
        <v>3.03</v>
      </c>
      <c r="B38" s="620" t="s">
        <v>95</v>
      </c>
      <c r="C38" s="620">
        <f t="shared" si="0"/>
        <v>238945.45686299971</v>
      </c>
      <c r="D38" s="615"/>
      <c r="E38" s="60" t="s">
        <v>211</v>
      </c>
      <c r="F38" s="293"/>
      <c r="G38" s="293"/>
      <c r="H38" s="620">
        <f>223845.66/1.21</f>
        <v>184996.41322314049</v>
      </c>
      <c r="I38" s="615">
        <v>45303</v>
      </c>
    </row>
    <row r="39" spans="1:9" x14ac:dyDescent="0.3">
      <c r="A39" s="649">
        <v>3.04</v>
      </c>
      <c r="B39" s="620" t="s">
        <v>100</v>
      </c>
      <c r="C39" s="620">
        <f t="shared" si="0"/>
        <v>53370.690062477996</v>
      </c>
      <c r="D39" s="615"/>
      <c r="E39" s="60" t="s">
        <v>211</v>
      </c>
      <c r="F39" s="293"/>
      <c r="G39" s="293"/>
      <c r="H39" s="620">
        <f>49998.01/1.21</f>
        <v>41320.669421487604</v>
      </c>
      <c r="I39" s="615">
        <v>45303</v>
      </c>
    </row>
    <row r="40" spans="1:9" x14ac:dyDescent="0.3">
      <c r="A40" s="9">
        <v>3.05</v>
      </c>
      <c r="B40" s="620" t="s">
        <v>101</v>
      </c>
      <c r="C40" s="620">
        <f t="shared" si="0"/>
        <v>53370.690062477996</v>
      </c>
      <c r="D40" s="615"/>
      <c r="E40" s="60" t="s">
        <v>211</v>
      </c>
      <c r="F40" s="293"/>
      <c r="G40" s="293"/>
      <c r="H40" s="620">
        <f>49998.01/1.21</f>
        <v>41320.669421487604</v>
      </c>
      <c r="I40" s="615">
        <v>45303</v>
      </c>
    </row>
    <row r="41" spans="1:9" x14ac:dyDescent="0.3">
      <c r="A41" s="649">
        <v>3.06</v>
      </c>
      <c r="B41" s="620" t="s">
        <v>148</v>
      </c>
      <c r="C41" s="620">
        <f t="shared" si="0"/>
        <v>53690.724131586583</v>
      </c>
      <c r="D41" s="615"/>
      <c r="E41" s="60" t="s">
        <v>211</v>
      </c>
      <c r="F41" s="293"/>
      <c r="G41" s="293"/>
      <c r="H41" s="620">
        <f>50297.82/1.21</f>
        <v>41568.446280991739</v>
      </c>
      <c r="I41" s="615">
        <v>45327</v>
      </c>
    </row>
    <row r="42" spans="1:9" x14ac:dyDescent="0.3">
      <c r="A42" s="9">
        <v>3.07</v>
      </c>
      <c r="B42" s="620" t="s">
        <v>149</v>
      </c>
      <c r="C42" s="620">
        <f t="shared" si="0"/>
        <v>3207.3432043220346</v>
      </c>
      <c r="D42" s="615"/>
      <c r="E42" s="60" t="s">
        <v>211</v>
      </c>
      <c r="F42" s="293"/>
      <c r="G42" s="293"/>
      <c r="H42" s="620">
        <f>3004.66/1.21</f>
        <v>2483.1900826446281</v>
      </c>
      <c r="I42" s="615">
        <v>45327</v>
      </c>
    </row>
    <row r="43" spans="1:9" x14ac:dyDescent="0.3">
      <c r="A43" s="649">
        <v>3.08</v>
      </c>
      <c r="B43" s="620" t="s">
        <v>104</v>
      </c>
      <c r="C43" s="620">
        <f t="shared" si="0"/>
        <v>4646.2849524260291</v>
      </c>
      <c r="D43" s="615"/>
      <c r="E43" s="60" t="s">
        <v>211</v>
      </c>
      <c r="F43" s="293"/>
      <c r="G43" s="293"/>
      <c r="H43" s="620">
        <f>4352.67/1.21</f>
        <v>3597.2479338842977</v>
      </c>
      <c r="I43" s="615">
        <v>45303</v>
      </c>
    </row>
    <row r="44" spans="1:9" x14ac:dyDescent="0.3">
      <c r="A44" s="9">
        <v>3.09</v>
      </c>
      <c r="B44" s="41" t="s">
        <v>106</v>
      </c>
      <c r="C44" s="620">
        <f t="shared" si="0"/>
        <v>18146.756862165636</v>
      </c>
      <c r="D44" s="615"/>
      <c r="E44" s="60" t="s">
        <v>211</v>
      </c>
      <c r="F44" s="293"/>
      <c r="G44" s="293"/>
      <c r="H44" s="620">
        <f>17000/1.21</f>
        <v>14049.586776859505</v>
      </c>
      <c r="I44" s="615">
        <v>45303</v>
      </c>
    </row>
    <row r="45" spans="1:9" x14ac:dyDescent="0.3">
      <c r="A45" s="649">
        <v>3.1</v>
      </c>
      <c r="B45" s="620" t="s">
        <v>107</v>
      </c>
      <c r="C45" s="620">
        <f t="shared" si="0"/>
        <v>5823.7319341462153</v>
      </c>
      <c r="D45" s="615"/>
      <c r="E45" s="60" t="s">
        <v>211</v>
      </c>
      <c r="F45" s="293"/>
      <c r="G45" s="293"/>
      <c r="H45" s="620">
        <f>5455.71/1.21</f>
        <v>4508.8512396694214</v>
      </c>
      <c r="I45" s="615">
        <v>45303</v>
      </c>
    </row>
    <row r="46" spans="1:9" x14ac:dyDescent="0.3">
      <c r="A46" s="9">
        <v>3.11</v>
      </c>
      <c r="B46" s="41" t="s">
        <v>108</v>
      </c>
      <c r="C46" s="620">
        <f t="shared" si="0"/>
        <v>4206.1727257042112</v>
      </c>
      <c r="D46" s="615"/>
      <c r="E46" s="60" t="s">
        <v>211</v>
      </c>
      <c r="F46" s="293"/>
      <c r="G46" s="293"/>
      <c r="H46" s="620">
        <f>3940.37/1.21</f>
        <v>3256.504132231405</v>
      </c>
      <c r="I46" s="615">
        <v>45303</v>
      </c>
    </row>
    <row r="47" spans="1:9" x14ac:dyDescent="0.3">
      <c r="A47" s="649">
        <v>3.12</v>
      </c>
      <c r="B47" s="620" t="s">
        <v>109</v>
      </c>
      <c r="C47" s="620">
        <f t="shared" si="0"/>
        <v>19515.278519081567</v>
      </c>
      <c r="D47" s="615"/>
      <c r="E47" s="60" t="s">
        <v>211</v>
      </c>
      <c r="F47" s="293"/>
      <c r="G47" s="293"/>
      <c r="H47" s="620">
        <f>18282.04/1.21</f>
        <v>15109.12396694215</v>
      </c>
      <c r="I47" s="615">
        <v>45303</v>
      </c>
    </row>
    <row r="48" spans="1:9" x14ac:dyDescent="0.3">
      <c r="A48" s="9">
        <v>3.13</v>
      </c>
      <c r="B48" s="620" t="s">
        <v>110</v>
      </c>
      <c r="C48" s="620">
        <f t="shared" si="0"/>
        <v>8539.6502880779444</v>
      </c>
      <c r="D48" s="615"/>
      <c r="E48" s="60" t="s">
        <v>211</v>
      </c>
      <c r="F48" s="293"/>
      <c r="G48" s="293"/>
      <c r="H48" s="620">
        <f>8000/1.21</f>
        <v>6611.5702479338843</v>
      </c>
      <c r="I48" s="615">
        <v>45303</v>
      </c>
    </row>
    <row r="49" spans="1:9" x14ac:dyDescent="0.3">
      <c r="A49" s="649">
        <v>3.14</v>
      </c>
      <c r="B49" s="41" t="s">
        <v>111</v>
      </c>
      <c r="C49" s="620">
        <f t="shared" si="0"/>
        <v>2097.2847379376426</v>
      </c>
      <c r="D49" s="615"/>
      <c r="E49" s="60" t="s">
        <v>211</v>
      </c>
      <c r="F49" s="293"/>
      <c r="G49" s="293"/>
      <c r="H49" s="620">
        <f>1964.75/1.21</f>
        <v>1623.7603305785124</v>
      </c>
      <c r="I49" s="615">
        <v>45303</v>
      </c>
    </row>
    <row r="50" spans="1:9" x14ac:dyDescent="0.3">
      <c r="A50" s="9">
        <v>3.15</v>
      </c>
      <c r="B50" s="41" t="s">
        <v>113</v>
      </c>
      <c r="C50" s="620">
        <f t="shared" si="0"/>
        <v>32054.263303709959</v>
      </c>
      <c r="D50" s="615"/>
      <c r="E50" s="60" t="s">
        <v>211</v>
      </c>
      <c r="F50" s="293"/>
      <c r="G50" s="293"/>
      <c r="H50" s="620">
        <f>24817.06</f>
        <v>24817.06</v>
      </c>
      <c r="I50" s="615">
        <v>45303</v>
      </c>
    </row>
    <row r="51" spans="1:9" x14ac:dyDescent="0.3">
      <c r="A51" s="649">
        <v>3.16</v>
      </c>
      <c r="B51" s="41" t="s">
        <v>118</v>
      </c>
      <c r="C51" s="620">
        <f t="shared" si="0"/>
        <v>6903.8055534565947</v>
      </c>
      <c r="D51" s="615"/>
      <c r="E51" s="60" t="s">
        <v>211</v>
      </c>
      <c r="F51" s="293"/>
      <c r="G51" s="293"/>
      <c r="H51" s="620">
        <v>5345.0661157024797</v>
      </c>
      <c r="I51" s="615">
        <v>45303</v>
      </c>
    </row>
    <row r="52" spans="1:9" x14ac:dyDescent="0.3">
      <c r="A52" s="9">
        <v>3.17</v>
      </c>
      <c r="B52" s="41" t="s">
        <v>119</v>
      </c>
      <c r="C52" s="620">
        <f t="shared" si="0"/>
        <v>8898.8920265716642</v>
      </c>
      <c r="D52" s="615"/>
      <c r="E52" s="60" t="s">
        <v>211</v>
      </c>
      <c r="F52" s="293"/>
      <c r="G52" s="293"/>
      <c r="H52" s="620">
        <v>6889.7024793388437</v>
      </c>
      <c r="I52" s="615">
        <v>45303</v>
      </c>
    </row>
    <row r="53" spans="1:9" x14ac:dyDescent="0.3">
      <c r="A53" s="649">
        <v>3.18</v>
      </c>
      <c r="B53" s="41" t="s">
        <v>120</v>
      </c>
      <c r="C53" s="620">
        <f t="shared" si="0"/>
        <v>13983.677346727634</v>
      </c>
      <c r="D53" s="615"/>
      <c r="E53" s="60" t="s">
        <v>211</v>
      </c>
      <c r="F53" s="293"/>
      <c r="G53" s="293"/>
      <c r="H53" s="620">
        <v>10826.446280991735</v>
      </c>
      <c r="I53" s="615">
        <v>45303</v>
      </c>
    </row>
    <row r="54" spans="1:9" x14ac:dyDescent="0.3">
      <c r="A54" s="9">
        <v>3.19</v>
      </c>
      <c r="B54" s="41" t="s">
        <v>121</v>
      </c>
      <c r="C54" s="620">
        <f t="shared" si="0"/>
        <v>1387.6931718126662</v>
      </c>
      <c r="D54" s="615"/>
      <c r="E54" s="60" t="s">
        <v>211</v>
      </c>
      <c r="F54" s="293"/>
      <c r="G54" s="293"/>
      <c r="H54" s="620">
        <f>1300/1.21</f>
        <v>1074.3801652892562</v>
      </c>
      <c r="I54" s="615">
        <v>45303</v>
      </c>
    </row>
    <row r="55" spans="1:9" x14ac:dyDescent="0.3">
      <c r="A55" s="649">
        <v>3.2</v>
      </c>
      <c r="B55" s="41" t="s">
        <v>122</v>
      </c>
      <c r="C55" s="620">
        <f t="shared" si="0"/>
        <v>26993.866584302963</v>
      </c>
      <c r="D55" s="615"/>
      <c r="E55" s="60" t="s">
        <v>211</v>
      </c>
      <c r="F55" s="293"/>
      <c r="G55" s="293"/>
      <c r="H55" s="620">
        <f>25288.03/1.21</f>
        <v>20899.198347107438</v>
      </c>
      <c r="I55" s="615">
        <v>45303</v>
      </c>
    </row>
    <row r="56" spans="1:9" x14ac:dyDescent="0.3">
      <c r="A56" s="9">
        <v>3.21</v>
      </c>
      <c r="B56" s="41" t="s">
        <v>105</v>
      </c>
      <c r="C56" s="620">
        <f t="shared" si="0"/>
        <v>13904.258599048509</v>
      </c>
      <c r="D56" s="615"/>
      <c r="E56" s="60" t="s">
        <v>217</v>
      </c>
      <c r="F56" s="293"/>
      <c r="G56" s="293"/>
      <c r="H56" s="620">
        <f>13025.6/1.21</f>
        <v>10764.958677685951</v>
      </c>
      <c r="I56" s="615">
        <v>45303</v>
      </c>
    </row>
    <row r="57" spans="1:9" x14ac:dyDescent="0.3">
      <c r="A57" s="649">
        <v>3.22</v>
      </c>
      <c r="B57" s="41" t="s">
        <v>140</v>
      </c>
      <c r="C57" s="620">
        <f t="shared" si="0"/>
        <v>12916.221060717891</v>
      </c>
      <c r="D57" s="615"/>
      <c r="E57" s="60" t="s">
        <v>217</v>
      </c>
      <c r="F57" s="651"/>
      <c r="G57" s="291"/>
      <c r="H57" s="620">
        <f>10000</f>
        <v>10000</v>
      </c>
      <c r="I57" s="615">
        <v>45304</v>
      </c>
    </row>
    <row r="58" spans="1:9" x14ac:dyDescent="0.3">
      <c r="A58" s="9">
        <v>3.23</v>
      </c>
      <c r="B58" s="41" t="s">
        <v>141</v>
      </c>
      <c r="C58" s="620">
        <f t="shared" si="0"/>
        <v>5933.3490201565564</v>
      </c>
      <c r="D58" s="615"/>
      <c r="E58" s="60" t="s">
        <v>217</v>
      </c>
      <c r="F58" s="293"/>
      <c r="G58" s="293"/>
      <c r="H58" s="620">
        <f>5558.4/1.21</f>
        <v>4593.7190082644629</v>
      </c>
      <c r="I58" s="615">
        <v>45305</v>
      </c>
    </row>
    <row r="59" spans="1:9" x14ac:dyDescent="0.3">
      <c r="A59" s="649">
        <v>3.24</v>
      </c>
      <c r="B59" s="41" t="s">
        <v>142</v>
      </c>
      <c r="C59" s="620">
        <f t="shared" si="0"/>
        <v>8660.9133221686516</v>
      </c>
      <c r="D59" s="615"/>
      <c r="E59" s="60" t="s">
        <v>217</v>
      </c>
      <c r="F59" s="293"/>
      <c r="G59" s="293"/>
      <c r="H59" s="620">
        <f>8113.6/1.21</f>
        <v>6705.454545454546</v>
      </c>
      <c r="I59" s="615">
        <v>45306</v>
      </c>
    </row>
    <row r="60" spans="1:9" x14ac:dyDescent="0.3">
      <c r="A60" s="9">
        <v>3.25</v>
      </c>
      <c r="B60" s="41" t="s">
        <v>160</v>
      </c>
      <c r="C60" s="620">
        <f t="shared" si="0"/>
        <v>24263.28138100146</v>
      </c>
      <c r="D60" s="615"/>
      <c r="E60" s="60" t="s">
        <v>211</v>
      </c>
      <c r="F60" s="293"/>
      <c r="G60" s="293"/>
      <c r="H60" s="620">
        <f>22730/1.21</f>
        <v>18785.123966942148</v>
      </c>
      <c r="I60" s="615">
        <v>45303</v>
      </c>
    </row>
    <row r="61" spans="1:9" x14ac:dyDescent="0.3">
      <c r="A61" s="649">
        <v>3.26</v>
      </c>
      <c r="B61" s="41" t="s">
        <v>161</v>
      </c>
      <c r="C61" s="620">
        <f t="shared" si="0"/>
        <v>47886.088990397082</v>
      </c>
      <c r="D61" s="615"/>
      <c r="E61" s="60" t="s">
        <v>212</v>
      </c>
      <c r="F61" s="293"/>
      <c r="G61" s="293"/>
      <c r="H61" s="620">
        <f>44860/1.21</f>
        <v>37074.380165289258</v>
      </c>
      <c r="I61" s="615">
        <v>45327</v>
      </c>
    </row>
    <row r="62" spans="1:9" x14ac:dyDescent="0.3">
      <c r="A62" s="9">
        <v>3.27</v>
      </c>
      <c r="B62" s="41" t="s">
        <v>162</v>
      </c>
      <c r="C62" s="620">
        <f t="shared" si="0"/>
        <v>21774.080067655341</v>
      </c>
      <c r="D62" s="615"/>
      <c r="E62" s="60" t="s">
        <v>211</v>
      </c>
      <c r="F62" s="293"/>
      <c r="G62" s="293"/>
      <c r="H62" s="620">
        <f>20398.1/1.21</f>
        <v>16857.933884297519</v>
      </c>
      <c r="I62" s="615">
        <v>45303</v>
      </c>
    </row>
    <row r="63" spans="1:9" x14ac:dyDescent="0.3">
      <c r="A63" s="649">
        <v>3.28</v>
      </c>
      <c r="B63" s="41" t="s">
        <v>123</v>
      </c>
      <c r="C63" s="620">
        <f t="shared" si="0"/>
        <v>4852.6242525117123</v>
      </c>
      <c r="D63" s="615"/>
      <c r="E63" s="60" t="s">
        <v>211</v>
      </c>
      <c r="F63" s="293"/>
      <c r="G63" s="293"/>
      <c r="H63" s="620">
        <f>4545.97/1.21</f>
        <v>3757.0000000000005</v>
      </c>
      <c r="I63" s="615">
        <v>45303</v>
      </c>
    </row>
    <row r="64" spans="1:9" x14ac:dyDescent="0.3">
      <c r="A64" s="9">
        <v>3.2900000000000098</v>
      </c>
      <c r="B64" s="41" t="s">
        <v>114</v>
      </c>
      <c r="C64" s="620">
        <f t="shared" si="0"/>
        <v>72426.909005761074</v>
      </c>
      <c r="D64" s="615"/>
      <c r="E64" s="60" t="s">
        <v>211</v>
      </c>
      <c r="F64" s="293"/>
      <c r="G64" s="293"/>
      <c r="H64" s="620">
        <f>67850/1.21</f>
        <v>56074.380165289258</v>
      </c>
      <c r="I64" s="615">
        <v>45303</v>
      </c>
    </row>
    <row r="65" spans="1:9" x14ac:dyDescent="0.3">
      <c r="A65" s="649">
        <v>3.30000000000001</v>
      </c>
      <c r="B65" s="41" t="s">
        <v>124</v>
      </c>
      <c r="C65" s="620">
        <f t="shared" si="0"/>
        <v>39721.702959665861</v>
      </c>
      <c r="D65" s="615"/>
      <c r="E65" s="60" t="s">
        <v>211</v>
      </c>
      <c r="F65" s="293"/>
      <c r="G65" s="293"/>
      <c r="H65" s="620">
        <f>37211.55/1.21</f>
        <v>30753.347107438021</v>
      </c>
      <c r="I65" s="615">
        <v>45327</v>
      </c>
    </row>
    <row r="66" spans="1:9" x14ac:dyDescent="0.3">
      <c r="A66" s="9">
        <v>3.3100000000000098</v>
      </c>
      <c r="B66" s="41" t="s">
        <v>129</v>
      </c>
      <c r="C66" s="620">
        <f t="shared" si="0"/>
        <v>14574.46102821973</v>
      </c>
      <c r="D66" s="615"/>
      <c r="E66" s="60" t="s">
        <v>211</v>
      </c>
      <c r="F66" s="293"/>
      <c r="G66" s="293"/>
      <c r="H66" s="620">
        <f>13653.45/1.21</f>
        <v>11283.842975206613</v>
      </c>
      <c r="I66" s="615">
        <v>45327</v>
      </c>
    </row>
    <row r="67" spans="1:9" x14ac:dyDescent="0.3">
      <c r="A67" s="649">
        <v>3.3200000000000101</v>
      </c>
      <c r="B67" s="41" t="s">
        <v>128</v>
      </c>
      <c r="C67" s="620">
        <f t="shared" si="0"/>
        <v>12314.378532102739</v>
      </c>
      <c r="D67" s="615"/>
      <c r="E67" s="60" t="s">
        <v>211</v>
      </c>
      <c r="F67" s="293"/>
      <c r="G67" s="293"/>
      <c r="H67" s="620">
        <f>11536.19/1.21</f>
        <v>9534.0413223140495</v>
      </c>
      <c r="I67" s="615">
        <v>45327</v>
      </c>
    </row>
    <row r="68" spans="1:9" x14ac:dyDescent="0.3">
      <c r="A68" s="9">
        <v>3.3300000000000098</v>
      </c>
      <c r="B68" s="41" t="s">
        <v>130</v>
      </c>
      <c r="C68" s="620">
        <f t="shared" si="0"/>
        <v>6946.8560654713674</v>
      </c>
      <c r="D68" s="615"/>
      <c r="E68" s="60" t="s">
        <v>211</v>
      </c>
      <c r="F68" s="293"/>
      <c r="G68" s="293"/>
      <c r="H68" s="620">
        <f>6507.86/1.21</f>
        <v>5378.3966942148763</v>
      </c>
      <c r="I68" s="615">
        <v>45327</v>
      </c>
    </row>
    <row r="69" spans="1:9" x14ac:dyDescent="0.3">
      <c r="A69" s="649">
        <v>3.3400000000000101</v>
      </c>
      <c r="B69" s="41" t="s">
        <v>131</v>
      </c>
      <c r="C69" s="620">
        <f t="shared" si="0"/>
        <v>9385.705465806408</v>
      </c>
      <c r="D69" s="615"/>
      <c r="E69" s="60" t="s">
        <v>211</v>
      </c>
      <c r="F69" s="293"/>
      <c r="G69" s="293"/>
      <c r="H69" s="620">
        <f>8792.59/1.21</f>
        <v>7266.6033057851246</v>
      </c>
      <c r="I69" s="615">
        <v>45327</v>
      </c>
    </row>
    <row r="70" spans="1:9" x14ac:dyDescent="0.3">
      <c r="A70" s="9">
        <v>3.3500000000000099</v>
      </c>
      <c r="B70" s="41" t="s">
        <v>132</v>
      </c>
      <c r="C70" s="620">
        <f t="shared" si="0"/>
        <v>58068.714621086925</v>
      </c>
      <c r="D70" s="615"/>
      <c r="E70" s="60" t="s">
        <v>211</v>
      </c>
      <c r="F70" s="293"/>
      <c r="G70" s="293"/>
      <c r="H70" s="620">
        <f>54399.15/1.21</f>
        <v>44957.975206611576</v>
      </c>
      <c r="I70" s="615">
        <v>45327</v>
      </c>
    </row>
    <row r="71" spans="1:9" x14ac:dyDescent="0.3">
      <c r="A71" s="649">
        <v>3.3600000000000101</v>
      </c>
      <c r="B71" s="41" t="s">
        <v>133</v>
      </c>
      <c r="C71" s="620">
        <f t="shared" ref="C71:C84" si="1">+H71*$H$5</f>
        <v>119810.18338719613</v>
      </c>
      <c r="D71" s="615"/>
      <c r="E71" s="60" t="s">
        <v>211</v>
      </c>
      <c r="F71" s="293"/>
      <c r="G71" s="293"/>
      <c r="H71" s="620">
        <f>112238.96/1.21</f>
        <v>92759.47107438017</v>
      </c>
      <c r="I71" s="615">
        <v>45327</v>
      </c>
    </row>
    <row r="72" spans="1:9" x14ac:dyDescent="0.3">
      <c r="A72" s="9">
        <v>3.3700000000000099</v>
      </c>
      <c r="B72" s="41" t="s">
        <v>134</v>
      </c>
      <c r="C72" s="620">
        <f t="shared" si="1"/>
        <v>118104.54836059545</v>
      </c>
      <c r="D72" s="615"/>
      <c r="E72" s="60" t="s">
        <v>211</v>
      </c>
      <c r="F72" s="293"/>
      <c r="G72" s="293"/>
      <c r="H72" s="620">
        <f>110641.11/1.21</f>
        <v>91438.933884297527</v>
      </c>
      <c r="I72" s="615">
        <v>45327</v>
      </c>
    </row>
    <row r="73" spans="1:9" x14ac:dyDescent="0.3">
      <c r="A73" s="649">
        <v>3.3800000000000101</v>
      </c>
      <c r="B73" s="41" t="s">
        <v>143</v>
      </c>
      <c r="C73" s="620">
        <f t="shared" si="1"/>
        <v>11228.786163793691</v>
      </c>
      <c r="D73" s="615"/>
      <c r="E73" s="60" t="s">
        <v>211</v>
      </c>
      <c r="F73" s="293"/>
      <c r="G73" s="293"/>
      <c r="H73" s="620">
        <f>10519.2/1.21</f>
        <v>8693.553719008265</v>
      </c>
      <c r="I73" s="615">
        <v>45327</v>
      </c>
    </row>
    <row r="74" spans="1:9" x14ac:dyDescent="0.3">
      <c r="A74" s="9">
        <v>3.3900000000000099</v>
      </c>
      <c r="B74" s="41" t="s">
        <v>155</v>
      </c>
      <c r="C74" s="620">
        <f t="shared" si="1"/>
        <v>65209.346026157633</v>
      </c>
      <c r="D74" s="615"/>
      <c r="E74" s="60" t="s">
        <v>211</v>
      </c>
      <c r="F74" s="293"/>
      <c r="G74" s="293"/>
      <c r="H74" s="620">
        <f>61088.54/1.21</f>
        <v>50486.396694214876</v>
      </c>
      <c r="I74" s="615">
        <v>45327</v>
      </c>
    </row>
    <row r="75" spans="1:9" x14ac:dyDescent="0.3">
      <c r="A75" s="649">
        <v>3.4000000000000101</v>
      </c>
      <c r="B75" s="41" t="s">
        <v>156</v>
      </c>
      <c r="C75" s="620">
        <f t="shared" si="1"/>
        <v>88032.831694026303</v>
      </c>
      <c r="D75" s="615"/>
      <c r="E75" s="60" t="s">
        <v>211</v>
      </c>
      <c r="F75" s="293"/>
      <c r="G75" s="293"/>
      <c r="H75" s="620">
        <f>82469.73/1.21</f>
        <v>68156.801652892565</v>
      </c>
      <c r="I75" s="615">
        <v>45327</v>
      </c>
    </row>
    <row r="76" spans="1:9" x14ac:dyDescent="0.3">
      <c r="A76" s="9">
        <v>3.4100000000000099</v>
      </c>
      <c r="B76" s="41" t="s">
        <v>157</v>
      </c>
      <c r="C76" s="620">
        <f t="shared" si="1"/>
        <v>119763.33273080316</v>
      </c>
      <c r="D76" s="615"/>
      <c r="E76" s="60" t="s">
        <v>211</v>
      </c>
      <c r="F76" s="293"/>
      <c r="G76" s="293"/>
      <c r="H76" s="620">
        <f>112195.07/1.21</f>
        <v>92723.198347107449</v>
      </c>
      <c r="I76" s="615">
        <v>45327</v>
      </c>
    </row>
    <row r="77" spans="1:9" x14ac:dyDescent="0.3">
      <c r="A77" s="649">
        <v>3.4200000000000101</v>
      </c>
      <c r="B77" s="41" t="s">
        <v>154</v>
      </c>
      <c r="C77" s="620">
        <f t="shared" si="1"/>
        <v>51198.256402005267</v>
      </c>
      <c r="D77" s="615"/>
      <c r="E77" s="60" t="s">
        <v>211</v>
      </c>
      <c r="F77" s="293"/>
      <c r="G77" s="293"/>
      <c r="H77" s="620">
        <f>47962.86/1.21</f>
        <v>39638.727272727272</v>
      </c>
      <c r="I77" s="615">
        <v>45327</v>
      </c>
    </row>
    <row r="78" spans="1:9" x14ac:dyDescent="0.3">
      <c r="A78" s="9">
        <v>3.4300000000000099</v>
      </c>
      <c r="B78" s="41" t="s">
        <v>153</v>
      </c>
      <c r="C78" s="620">
        <f t="shared" si="1"/>
        <v>16440.929693433482</v>
      </c>
      <c r="D78" s="615"/>
      <c r="E78" s="60" t="s">
        <v>211</v>
      </c>
      <c r="F78" s="293"/>
      <c r="G78" s="293"/>
      <c r="H78" s="620">
        <f>15401.97/1.21</f>
        <v>12728.900826446281</v>
      </c>
      <c r="I78" s="615">
        <v>45327</v>
      </c>
    </row>
    <row r="79" spans="1:9" x14ac:dyDescent="0.3">
      <c r="A79" s="649">
        <v>3.4400000000000102</v>
      </c>
      <c r="B79" s="41" t="s">
        <v>176</v>
      </c>
      <c r="C79" s="620">
        <f t="shared" si="1"/>
        <v>28394.508000864927</v>
      </c>
      <c r="D79" s="615"/>
      <c r="E79" s="60" t="s">
        <v>211</v>
      </c>
      <c r="F79" s="293"/>
      <c r="G79" s="293"/>
      <c r="H79" s="620">
        <f>26600.16/1.21</f>
        <v>21983.603305785124</v>
      </c>
      <c r="I79" s="615">
        <v>45327</v>
      </c>
    </row>
    <row r="80" spans="1:9" x14ac:dyDescent="0.3">
      <c r="A80" s="9">
        <v>3.4500000000000099</v>
      </c>
      <c r="B80" s="41" t="s">
        <v>178</v>
      </c>
      <c r="C80" s="620">
        <f t="shared" si="1"/>
        <v>6232.1407091735437</v>
      </c>
      <c r="D80" s="615"/>
      <c r="E80" s="60" t="s">
        <v>211</v>
      </c>
      <c r="F80" s="293"/>
      <c r="G80" s="293"/>
      <c r="H80" s="620">
        <f>5838.31/1.21</f>
        <v>4825.0495867768595</v>
      </c>
      <c r="I80" s="615">
        <v>45327</v>
      </c>
    </row>
    <row r="81" spans="1:9" x14ac:dyDescent="0.3">
      <c r="A81" s="649">
        <v>3.4600000000000102</v>
      </c>
      <c r="B81" s="41" t="s">
        <v>171</v>
      </c>
      <c r="C81" s="620">
        <f t="shared" si="1"/>
        <v>4504.6335032725356</v>
      </c>
      <c r="D81" s="615"/>
      <c r="E81" s="60" t="s">
        <v>211</v>
      </c>
      <c r="F81" s="293"/>
      <c r="G81" s="293"/>
      <c r="H81" s="620">
        <f>4219.97/1.21</f>
        <v>3487.5785123966944</v>
      </c>
      <c r="I81" s="615">
        <v>45327</v>
      </c>
    </row>
    <row r="82" spans="1:9" x14ac:dyDescent="0.3">
      <c r="A82" s="9">
        <v>3.47000000000001</v>
      </c>
      <c r="B82" s="41" t="s">
        <v>170</v>
      </c>
      <c r="C82" s="620">
        <f t="shared" si="1"/>
        <v>22416.582006204604</v>
      </c>
      <c r="D82" s="615"/>
      <c r="E82" s="60" t="s">
        <v>212</v>
      </c>
      <c r="F82" s="293"/>
      <c r="G82" s="293"/>
      <c r="H82" s="620">
        <f>21000/1.21</f>
        <v>17355.371900826445</v>
      </c>
      <c r="I82" s="615">
        <v>45327</v>
      </c>
    </row>
    <row r="83" spans="1:9" x14ac:dyDescent="0.3">
      <c r="A83" s="649">
        <v>3.4800000000000102</v>
      </c>
      <c r="B83" s="41" t="s">
        <v>169</v>
      </c>
      <c r="C83" s="620">
        <f t="shared" si="1"/>
        <v>80059.221450730736</v>
      </c>
      <c r="D83" s="615"/>
      <c r="E83" s="60" t="s">
        <v>212</v>
      </c>
      <c r="F83" s="293"/>
      <c r="G83" s="293"/>
      <c r="H83" s="620">
        <f>75000/1.21</f>
        <v>61983.47107438017</v>
      </c>
      <c r="I83" s="615">
        <v>45327</v>
      </c>
    </row>
    <row r="84" spans="1:9" x14ac:dyDescent="0.3">
      <c r="A84" s="9">
        <v>3.49000000000001</v>
      </c>
      <c r="B84" s="41" t="s">
        <v>175</v>
      </c>
      <c r="C84" s="620">
        <f t="shared" si="1"/>
        <v>10408.766244881006</v>
      </c>
      <c r="D84" s="615"/>
      <c r="E84" s="60" t="s">
        <v>211</v>
      </c>
      <c r="F84" s="293"/>
      <c r="G84" s="293"/>
      <c r="H84" s="620">
        <f>9751/1.21</f>
        <v>8058.6776859504134</v>
      </c>
      <c r="I84" s="615">
        <v>45327</v>
      </c>
    </row>
    <row r="85" spans="1:9" x14ac:dyDescent="0.3">
      <c r="A85" s="559">
        <v>4</v>
      </c>
      <c r="B85" s="622" t="s">
        <v>218</v>
      </c>
      <c r="C85" s="560"/>
      <c r="D85" s="611"/>
      <c r="E85" s="612"/>
      <c r="F85" s="355" t="s">
        <v>219</v>
      </c>
      <c r="G85" s="293"/>
      <c r="H85" s="560"/>
      <c r="I85" s="611"/>
    </row>
    <row r="86" spans="1:9" x14ac:dyDescent="0.3">
      <c r="A86" s="7">
        <v>4.01</v>
      </c>
      <c r="B86" s="272" t="s">
        <v>188</v>
      </c>
      <c r="C86" s="41">
        <f>+F86*$G$2</f>
        <v>61876.7</v>
      </c>
      <c r="D86" s="615">
        <v>45631</v>
      </c>
      <c r="E86" s="652" t="s">
        <v>213</v>
      </c>
      <c r="F86" s="361">
        <v>59.9</v>
      </c>
      <c r="G86" s="293"/>
      <c r="H86" s="41"/>
      <c r="I86" s="615"/>
    </row>
    <row r="87" spans="1:9" x14ac:dyDescent="0.3">
      <c r="A87" s="9">
        <v>4.0199999999999996</v>
      </c>
      <c r="B87" s="624" t="s">
        <v>189</v>
      </c>
      <c r="C87" s="41">
        <f>+F87*$G$2</f>
        <v>72723.200000000012</v>
      </c>
      <c r="D87" s="653">
        <v>45631</v>
      </c>
      <c r="E87" s="654" t="s">
        <v>213</v>
      </c>
      <c r="F87" s="361">
        <v>70.400000000000006</v>
      </c>
      <c r="G87" s="293"/>
      <c r="H87" s="41"/>
      <c r="I87" s="653"/>
    </row>
    <row r="88" spans="1:9" x14ac:dyDescent="0.3">
      <c r="A88" s="9">
        <v>4.03</v>
      </c>
      <c r="B88" s="41" t="s">
        <v>190</v>
      </c>
      <c r="C88" s="620"/>
      <c r="D88" s="615"/>
      <c r="E88" s="327"/>
      <c r="F88" s="361"/>
      <c r="G88" s="293"/>
      <c r="H88" s="620"/>
      <c r="I88" s="615"/>
    </row>
    <row r="89" spans="1:9" x14ac:dyDescent="0.3">
      <c r="A89" s="9">
        <v>4.04</v>
      </c>
      <c r="B89" s="41" t="s">
        <v>191</v>
      </c>
      <c r="C89" s="620">
        <f>1230000</f>
        <v>1230000</v>
      </c>
      <c r="D89" s="615">
        <v>45631</v>
      </c>
      <c r="E89" s="327" t="s">
        <v>220</v>
      </c>
      <c r="F89" s="361"/>
      <c r="G89" s="293"/>
      <c r="H89" s="620"/>
      <c r="I89" s="615"/>
    </row>
    <row r="90" spans="1:9" x14ac:dyDescent="0.3">
      <c r="A90" s="9">
        <v>4.05</v>
      </c>
      <c r="B90" s="41" t="s">
        <v>192</v>
      </c>
      <c r="C90" s="41">
        <f>+F90*$G$2</f>
        <v>309900</v>
      </c>
      <c r="D90" s="615"/>
      <c r="E90" s="60" t="s">
        <v>221</v>
      </c>
      <c r="F90" s="293">
        <v>300</v>
      </c>
      <c r="G90" s="293"/>
      <c r="H90" s="41">
        <f>+K90*$G$2</f>
        <v>0</v>
      </c>
      <c r="I90" s="615">
        <v>45201</v>
      </c>
    </row>
    <row r="91" spans="1:9" x14ac:dyDescent="0.3">
      <c r="A91" s="9">
        <v>4.0599999999999996</v>
      </c>
      <c r="B91" s="28" t="s">
        <v>193</v>
      </c>
      <c r="C91" s="41">
        <f t="shared" ref="C91:C98" si="2">+F91*$G$2</f>
        <v>464850</v>
      </c>
      <c r="D91" s="615"/>
      <c r="E91" s="60" t="s">
        <v>221</v>
      </c>
      <c r="F91" s="293">
        <v>450</v>
      </c>
      <c r="G91" s="293"/>
      <c r="H91" s="41">
        <f t="shared" ref="H91:H98" si="3">+K91*$G$2</f>
        <v>0</v>
      </c>
      <c r="I91" s="615">
        <v>45201</v>
      </c>
    </row>
    <row r="92" spans="1:9" x14ac:dyDescent="0.3">
      <c r="A92" s="9">
        <v>4.07</v>
      </c>
      <c r="B92" s="28" t="s">
        <v>194</v>
      </c>
      <c r="C92" s="41">
        <f t="shared" si="2"/>
        <v>506170</v>
      </c>
      <c r="D92" s="615"/>
      <c r="E92" s="60" t="s">
        <v>221</v>
      </c>
      <c r="F92" s="293">
        <v>490</v>
      </c>
      <c r="G92" s="293"/>
      <c r="H92" s="41">
        <f t="shared" si="3"/>
        <v>0</v>
      </c>
      <c r="I92" s="615">
        <v>45201</v>
      </c>
    </row>
    <row r="93" spans="1:9" x14ac:dyDescent="0.3">
      <c r="A93" s="9">
        <v>4.08</v>
      </c>
      <c r="B93" s="28" t="s">
        <v>195</v>
      </c>
      <c r="C93" s="41">
        <f t="shared" si="2"/>
        <v>588810</v>
      </c>
      <c r="D93" s="615"/>
      <c r="E93" s="60" t="s">
        <v>221</v>
      </c>
      <c r="F93" s="293">
        <v>570</v>
      </c>
      <c r="G93" s="293"/>
      <c r="H93" s="41">
        <f t="shared" si="3"/>
        <v>0</v>
      </c>
      <c r="I93" s="615">
        <v>45201</v>
      </c>
    </row>
    <row r="94" spans="1:9" x14ac:dyDescent="0.3">
      <c r="A94" s="9">
        <v>4.09</v>
      </c>
      <c r="B94" s="28" t="s">
        <v>196</v>
      </c>
      <c r="C94" s="41">
        <f t="shared" si="2"/>
        <v>568150</v>
      </c>
      <c r="D94" s="615"/>
      <c r="E94" s="60" t="s">
        <v>221</v>
      </c>
      <c r="F94" s="293">
        <v>550</v>
      </c>
      <c r="G94" s="293"/>
      <c r="H94" s="41">
        <f t="shared" si="3"/>
        <v>0</v>
      </c>
      <c r="I94" s="615">
        <v>45201</v>
      </c>
    </row>
    <row r="95" spans="1:9" x14ac:dyDescent="0.3">
      <c r="A95" s="9">
        <v>4.0999999999999996</v>
      </c>
      <c r="B95" s="28" t="s">
        <v>197</v>
      </c>
      <c r="C95" s="28">
        <f t="shared" si="2"/>
        <v>878050</v>
      </c>
      <c r="D95" s="615"/>
      <c r="E95" s="60" t="s">
        <v>221</v>
      </c>
      <c r="F95" s="293">
        <v>850</v>
      </c>
      <c r="G95" s="293"/>
      <c r="H95" s="28">
        <f t="shared" si="3"/>
        <v>0</v>
      </c>
      <c r="I95" s="615">
        <v>45201</v>
      </c>
    </row>
    <row r="96" spans="1:9" x14ac:dyDescent="0.3">
      <c r="A96" s="9">
        <v>4.1100000000000101</v>
      </c>
      <c r="B96" s="28" t="s">
        <v>198</v>
      </c>
      <c r="C96" s="28">
        <f t="shared" si="2"/>
        <v>929700</v>
      </c>
      <c r="D96" s="615"/>
      <c r="E96" s="60" t="s">
        <v>221</v>
      </c>
      <c r="F96" s="293">
        <v>900</v>
      </c>
      <c r="G96" s="293"/>
      <c r="H96" s="28">
        <f t="shared" si="3"/>
        <v>0</v>
      </c>
      <c r="I96" s="615">
        <v>45201</v>
      </c>
    </row>
    <row r="97" spans="1:9" x14ac:dyDescent="0.3">
      <c r="A97" s="9">
        <v>4.1200000000000099</v>
      </c>
      <c r="B97" s="28" t="s">
        <v>199</v>
      </c>
      <c r="C97" s="28">
        <f t="shared" si="2"/>
        <v>258250</v>
      </c>
      <c r="D97" s="615"/>
      <c r="E97" s="60" t="s">
        <v>221</v>
      </c>
      <c r="F97" s="293">
        <v>250</v>
      </c>
      <c r="G97" s="293"/>
      <c r="H97" s="28">
        <f t="shared" si="3"/>
        <v>0</v>
      </c>
      <c r="I97" s="615">
        <v>45201</v>
      </c>
    </row>
    <row r="98" spans="1:9" x14ac:dyDescent="0.3">
      <c r="A98" s="9">
        <v>4.1300000000000097</v>
      </c>
      <c r="B98" s="28" t="s">
        <v>200</v>
      </c>
      <c r="C98" s="28">
        <f t="shared" si="2"/>
        <v>402870</v>
      </c>
      <c r="D98" s="615"/>
      <c r="E98" s="60" t="s">
        <v>221</v>
      </c>
      <c r="F98" s="293">
        <v>390</v>
      </c>
      <c r="G98" s="293"/>
      <c r="H98" s="28">
        <f t="shared" si="3"/>
        <v>0</v>
      </c>
      <c r="I98" s="615">
        <v>45201</v>
      </c>
    </row>
    <row r="99" spans="1:9" x14ac:dyDescent="0.3">
      <c r="A99" s="9">
        <v>4.1400000000000103</v>
      </c>
      <c r="B99" s="28" t="s">
        <v>201</v>
      </c>
      <c r="C99" s="10">
        <f>+C102*36</f>
        <v>40428</v>
      </c>
      <c r="D99" s="117"/>
      <c r="E99" s="60"/>
      <c r="F99" s="403"/>
      <c r="G99" s="293"/>
      <c r="H99" s="10">
        <f>+H102*36</f>
        <v>36000</v>
      </c>
      <c r="I99" s="117"/>
    </row>
    <row r="100" spans="1:9" x14ac:dyDescent="0.3">
      <c r="A100" s="9">
        <v>4.1500000000000101</v>
      </c>
      <c r="B100" s="28" t="s">
        <v>202</v>
      </c>
      <c r="C100" s="10">
        <f>+C102*60</f>
        <v>67380</v>
      </c>
      <c r="D100" s="117"/>
      <c r="E100" s="60"/>
      <c r="F100" s="403"/>
      <c r="G100" s="293"/>
      <c r="H100" s="10">
        <f>+H102*60</f>
        <v>60000</v>
      </c>
      <c r="I100" s="117"/>
    </row>
    <row r="101" spans="1:9" x14ac:dyDescent="0.3">
      <c r="A101" s="9">
        <v>4.1600000000000099</v>
      </c>
      <c r="B101" s="28" t="s">
        <v>203</v>
      </c>
      <c r="C101" s="10">
        <f>+C102*96</f>
        <v>107808</v>
      </c>
      <c r="D101" s="117"/>
      <c r="E101" s="60"/>
      <c r="F101" s="403"/>
      <c r="G101" s="293"/>
      <c r="H101" s="10">
        <f>+H102*96</f>
        <v>96000</v>
      </c>
      <c r="I101" s="117"/>
    </row>
    <row r="102" spans="1:9" x14ac:dyDescent="0.3">
      <c r="A102" s="9">
        <v>4.1700000000000097</v>
      </c>
      <c r="B102" s="31" t="s">
        <v>222</v>
      </c>
      <c r="C102" s="55">
        <f>1123</f>
        <v>1123</v>
      </c>
      <c r="D102" s="623"/>
      <c r="E102" s="87"/>
      <c r="F102" s="403"/>
      <c r="G102" s="293"/>
      <c r="H102" s="55">
        <v>1000</v>
      </c>
      <c r="I102" s="623">
        <v>45327</v>
      </c>
    </row>
  </sheetData>
  <autoFilter ref="A4:E102" xr:uid="{3336CE24-615B-4366-8C53-781117D2406B}"/>
  <pageMargins left="0.7" right="0.7" top="0.75" bottom="0.75" header="0.3" footer="0.3"/>
  <pageSetup paperSize="11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0"/>
  <sheetViews>
    <sheetView topLeftCell="A4" workbookViewId="0">
      <selection activeCell="I11" sqref="I11"/>
    </sheetView>
  </sheetViews>
  <sheetFormatPr defaultColWidth="11.453125" defaultRowHeight="13" x14ac:dyDescent="0.3"/>
  <cols>
    <col min="1" max="1" width="9.90625" style="12" bestFit="1" customWidth="1"/>
    <col min="2" max="2" width="30.08984375" style="12" bestFit="1" customWidth="1"/>
    <col min="3" max="3" width="11" style="12" bestFit="1" customWidth="1"/>
    <col min="4" max="4" width="11" style="12" customWidth="1"/>
    <col min="5" max="5" width="9.36328125" style="12" customWidth="1"/>
    <col min="6" max="6" width="13.36328125" style="12" bestFit="1" customWidth="1"/>
    <col min="7" max="7" width="13.6328125" style="12" bestFit="1" customWidth="1"/>
    <col min="8" max="16384" width="11.453125" style="12"/>
  </cols>
  <sheetData>
    <row r="1" spans="1:7" ht="3.75" customHeight="1" x14ac:dyDescent="0.35">
      <c r="A1" s="878"/>
      <c r="B1" s="878"/>
      <c r="C1" s="878"/>
      <c r="D1" s="878"/>
    </row>
    <row r="2" spans="1:7" x14ac:dyDescent="0.3">
      <c r="A2" s="879"/>
      <c r="B2" s="880"/>
      <c r="C2" s="880"/>
      <c r="D2" s="880"/>
      <c r="E2" s="15"/>
      <c r="F2" s="15"/>
    </row>
    <row r="3" spans="1:7" ht="15.5" x14ac:dyDescent="0.3">
      <c r="A3" s="881" t="s">
        <v>223</v>
      </c>
      <c r="B3" s="882"/>
      <c r="C3" s="882"/>
      <c r="D3" s="882"/>
      <c r="E3" s="16"/>
      <c r="F3" s="16"/>
    </row>
    <row r="4" spans="1:7" ht="15.5" x14ac:dyDescent="0.35">
      <c r="A4" s="17"/>
      <c r="C4" s="49" t="s">
        <v>78</v>
      </c>
      <c r="D4" s="50">
        <v>45627</v>
      </c>
    </row>
    <row r="5" spans="1:7" ht="3.75" customHeight="1" x14ac:dyDescent="0.3">
      <c r="A5" s="18"/>
    </row>
    <row r="6" spans="1:7" x14ac:dyDescent="0.3">
      <c r="A6" s="18"/>
      <c r="C6" s="19"/>
      <c r="D6" s="20"/>
      <c r="E6" s="21"/>
      <c r="F6" s="20"/>
    </row>
    <row r="7" spans="1:7" ht="26" x14ac:dyDescent="0.3">
      <c r="A7" s="23" t="s">
        <v>79</v>
      </c>
      <c r="B7" s="23" t="s">
        <v>80</v>
      </c>
      <c r="C7" s="23" t="s">
        <v>224</v>
      </c>
      <c r="D7" s="23" t="s">
        <v>225</v>
      </c>
      <c r="F7" s="69"/>
      <c r="G7" s="69" t="s">
        <v>226</v>
      </c>
    </row>
    <row r="8" spans="1:7" s="22" customFormat="1" ht="12.75" customHeight="1" x14ac:dyDescent="0.3">
      <c r="A8" s="160" t="s">
        <v>227</v>
      </c>
      <c r="B8" s="25" t="s">
        <v>228</v>
      </c>
      <c r="C8" s="8">
        <f t="shared" ref="C8:C13" si="0">+$G$12</f>
        <v>60860.580776571966</v>
      </c>
      <c r="D8" s="8">
        <v>0</v>
      </c>
      <c r="F8" s="75" t="s">
        <v>229</v>
      </c>
      <c r="G8" s="70">
        <v>147709.43842719699</v>
      </c>
    </row>
    <row r="9" spans="1:7" ht="12.75" customHeight="1" x14ac:dyDescent="0.3">
      <c r="A9" s="161" t="s">
        <v>228</v>
      </c>
      <c r="B9" s="26" t="s">
        <v>230</v>
      </c>
      <c r="C9" s="10">
        <f t="shared" si="0"/>
        <v>60860.580776571966</v>
      </c>
      <c r="D9" s="10">
        <v>0</v>
      </c>
      <c r="F9" s="71" t="s">
        <v>231</v>
      </c>
      <c r="G9" s="70">
        <v>85927.097156571981</v>
      </c>
    </row>
    <row r="10" spans="1:7" x14ac:dyDescent="0.3">
      <c r="A10" s="161" t="s">
        <v>232</v>
      </c>
      <c r="B10" s="26" t="s">
        <v>233</v>
      </c>
      <c r="C10" s="10">
        <f t="shared" si="0"/>
        <v>60860.580776571966</v>
      </c>
      <c r="D10" s="10">
        <v>0</v>
      </c>
      <c r="F10" s="71" t="s">
        <v>234</v>
      </c>
      <c r="G10" s="70">
        <v>76955.079706571953</v>
      </c>
    </row>
    <row r="11" spans="1:7" x14ac:dyDescent="0.3">
      <c r="A11" s="161" t="s">
        <v>235</v>
      </c>
      <c r="B11" s="26" t="s">
        <v>236</v>
      </c>
      <c r="C11" s="10">
        <f t="shared" si="0"/>
        <v>60860.580776571966</v>
      </c>
      <c r="D11" s="10">
        <v>0</v>
      </c>
      <c r="F11" s="71" t="s">
        <v>237</v>
      </c>
      <c r="G11" s="70">
        <v>65493.071636571978</v>
      </c>
    </row>
    <row r="12" spans="1:7" x14ac:dyDescent="0.3">
      <c r="A12" s="161" t="s">
        <v>238</v>
      </c>
      <c r="B12" s="26" t="s">
        <v>239</v>
      </c>
      <c r="C12" s="10">
        <f t="shared" si="0"/>
        <v>60860.580776571966</v>
      </c>
      <c r="D12" s="10">
        <v>0</v>
      </c>
      <c r="F12" s="72" t="s">
        <v>228</v>
      </c>
      <c r="G12" s="73">
        <v>60860.580776571966</v>
      </c>
    </row>
    <row r="13" spans="1:7" x14ac:dyDescent="0.3">
      <c r="A13" s="161" t="s">
        <v>240</v>
      </c>
      <c r="B13" s="26" t="s">
        <v>241</v>
      </c>
      <c r="C13" s="10">
        <f t="shared" si="0"/>
        <v>60860.580776571966</v>
      </c>
      <c r="D13" s="10">
        <v>0</v>
      </c>
      <c r="F13" s="74"/>
      <c r="G13" s="74"/>
    </row>
    <row r="14" spans="1:7" x14ac:dyDescent="0.3">
      <c r="A14" s="161" t="s">
        <v>242</v>
      </c>
      <c r="B14" s="26" t="s">
        <v>243</v>
      </c>
      <c r="C14" s="10">
        <f>+$G$11</f>
        <v>65493.071636571978</v>
      </c>
      <c r="D14" s="10">
        <v>0</v>
      </c>
      <c r="F14" s="75" t="s">
        <v>244</v>
      </c>
      <c r="G14" s="76">
        <v>3009340.5819999999</v>
      </c>
    </row>
    <row r="15" spans="1:7" x14ac:dyDescent="0.3">
      <c r="A15" s="161" t="s">
        <v>245</v>
      </c>
      <c r="B15" s="26" t="s">
        <v>246</v>
      </c>
      <c r="C15" s="10">
        <f>+$G$11</f>
        <v>65493.071636571978</v>
      </c>
      <c r="D15" s="10">
        <v>0</v>
      </c>
      <c r="F15" s="71" t="s">
        <v>247</v>
      </c>
      <c r="G15" s="70">
        <v>4372210.5820000004</v>
      </c>
    </row>
    <row r="16" spans="1:7" x14ac:dyDescent="0.3">
      <c r="A16" s="161" t="s">
        <v>248</v>
      </c>
      <c r="B16" s="26" t="s">
        <v>249</v>
      </c>
      <c r="C16" s="10">
        <f>+$G$11</f>
        <v>65493.071636571978</v>
      </c>
      <c r="D16" s="10">
        <v>0</v>
      </c>
      <c r="F16" s="71" t="s">
        <v>250</v>
      </c>
      <c r="G16" s="70">
        <v>5273644.0999999996</v>
      </c>
    </row>
    <row r="17" spans="1:7" x14ac:dyDescent="0.3">
      <c r="A17" s="161" t="s">
        <v>251</v>
      </c>
      <c r="B17" s="26" t="s">
        <v>252</v>
      </c>
      <c r="C17" s="10">
        <f>+$G$11</f>
        <v>65493.071636571978</v>
      </c>
      <c r="D17" s="10">
        <v>0</v>
      </c>
      <c r="F17" s="72" t="s">
        <v>229</v>
      </c>
      <c r="G17" s="73">
        <v>3545026.5222527273</v>
      </c>
    </row>
    <row r="18" spans="1:7" x14ac:dyDescent="0.3">
      <c r="A18" s="161" t="s">
        <v>253</v>
      </c>
      <c r="B18" s="26" t="s">
        <v>254</v>
      </c>
      <c r="C18" s="10">
        <f t="shared" ref="C18:C25" si="1">+$G$9</f>
        <v>85927.097156571981</v>
      </c>
      <c r="D18" s="10">
        <v>0</v>
      </c>
    </row>
    <row r="19" spans="1:7" x14ac:dyDescent="0.3">
      <c r="A19" s="161" t="s">
        <v>255</v>
      </c>
      <c r="B19" s="26" t="s">
        <v>256</v>
      </c>
      <c r="C19" s="10">
        <f t="shared" si="1"/>
        <v>85927.097156571981</v>
      </c>
      <c r="D19" s="10">
        <v>0</v>
      </c>
    </row>
    <row r="20" spans="1:7" x14ac:dyDescent="0.3">
      <c r="A20" s="161" t="s">
        <v>257</v>
      </c>
      <c r="B20" s="26" t="s">
        <v>258</v>
      </c>
      <c r="C20" s="10">
        <f t="shared" si="1"/>
        <v>85927.097156571981</v>
      </c>
      <c r="D20" s="10">
        <v>0</v>
      </c>
    </row>
    <row r="21" spans="1:7" x14ac:dyDescent="0.3">
      <c r="A21" s="161" t="s">
        <v>259</v>
      </c>
      <c r="B21" s="26" t="s">
        <v>260</v>
      </c>
      <c r="C21" s="10">
        <f t="shared" si="1"/>
        <v>85927.097156571981</v>
      </c>
      <c r="D21" s="10">
        <v>0</v>
      </c>
    </row>
    <row r="22" spans="1:7" x14ac:dyDescent="0.3">
      <c r="A22" s="161" t="s">
        <v>261</v>
      </c>
      <c r="B22" s="26" t="s">
        <v>262</v>
      </c>
      <c r="C22" s="10">
        <f t="shared" si="1"/>
        <v>85927.097156571981</v>
      </c>
      <c r="D22" s="10">
        <v>0</v>
      </c>
    </row>
    <row r="23" spans="1:7" x14ac:dyDescent="0.3">
      <c r="A23" s="161" t="s">
        <v>263</v>
      </c>
      <c r="B23" s="26" t="s">
        <v>264</v>
      </c>
      <c r="C23" s="10">
        <f t="shared" si="1"/>
        <v>85927.097156571981</v>
      </c>
      <c r="D23" s="10">
        <v>0</v>
      </c>
    </row>
    <row r="24" spans="1:7" x14ac:dyDescent="0.3">
      <c r="A24" s="161" t="s">
        <v>265</v>
      </c>
      <c r="B24" s="26" t="s">
        <v>266</v>
      </c>
      <c r="C24" s="10">
        <f t="shared" si="1"/>
        <v>85927.097156571981</v>
      </c>
      <c r="D24" s="10">
        <v>0</v>
      </c>
    </row>
    <row r="25" spans="1:7" x14ac:dyDescent="0.3">
      <c r="A25" s="161" t="s">
        <v>267</v>
      </c>
      <c r="B25" s="26" t="s">
        <v>268</v>
      </c>
      <c r="C25" s="10">
        <f t="shared" si="1"/>
        <v>85927.097156571981</v>
      </c>
      <c r="D25" s="10">
        <v>0</v>
      </c>
    </row>
    <row r="26" spans="1:7" x14ac:dyDescent="0.3">
      <c r="A26" s="161" t="s">
        <v>269</v>
      </c>
      <c r="B26" s="26" t="s">
        <v>270</v>
      </c>
      <c r="C26" s="40">
        <f>+G9*2</f>
        <v>171854.19431314396</v>
      </c>
      <c r="D26" s="10">
        <v>0</v>
      </c>
    </row>
    <row r="27" spans="1:7" x14ac:dyDescent="0.3">
      <c r="A27" s="27"/>
      <c r="B27" s="27"/>
      <c r="C27" s="28"/>
      <c r="D27" s="29"/>
    </row>
    <row r="28" spans="1:7" x14ac:dyDescent="0.3">
      <c r="A28" s="30"/>
      <c r="B28" s="31">
        <v>0</v>
      </c>
      <c r="C28" s="31">
        <v>0</v>
      </c>
      <c r="D28" s="32">
        <v>0</v>
      </c>
    </row>
    <row r="29" spans="1:7" x14ac:dyDescent="0.3">
      <c r="B29" s="24"/>
    </row>
    <row r="30" spans="1:7" x14ac:dyDescent="0.3">
      <c r="B30" s="24"/>
    </row>
  </sheetData>
  <mergeCells count="3">
    <mergeCell ref="A1:D1"/>
    <mergeCell ref="A2:D2"/>
    <mergeCell ref="A3:D3"/>
  </mergeCells>
  <pageMargins left="0.7" right="0.7" top="0.75" bottom="0.75" header="0.3" footer="0.3"/>
  <pageSetup paperSize="119" scale="7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65"/>
  <sheetViews>
    <sheetView topLeftCell="A46" workbookViewId="0">
      <selection activeCell="O3" sqref="O3"/>
    </sheetView>
  </sheetViews>
  <sheetFormatPr defaultColWidth="11.453125" defaultRowHeight="13" x14ac:dyDescent="0.3"/>
  <cols>
    <col min="1" max="1" width="15.08984375" style="4" customWidth="1"/>
    <col min="2" max="2" width="56.08984375" style="4" bestFit="1" customWidth="1"/>
    <col min="3" max="3" width="16.453125" style="4" bestFit="1" customWidth="1"/>
    <col min="4" max="4" width="4.6328125" style="93" customWidth="1"/>
    <col min="5" max="5" width="11.08984375" style="4" bestFit="1" customWidth="1"/>
    <col min="6" max="6" width="9.54296875" style="68" bestFit="1" customWidth="1"/>
    <col min="7" max="7" width="5.90625" style="4" customWidth="1"/>
    <col min="8" max="8" width="11" style="4" bestFit="1" customWidth="1"/>
    <col min="9" max="9" width="10.54296875" style="4" bestFit="1" customWidth="1"/>
    <col min="10" max="10" width="10.6328125" style="4" bestFit="1" customWidth="1"/>
    <col min="11" max="11" width="5.54296875" style="4" bestFit="1" customWidth="1"/>
    <col min="12" max="14" width="11.453125" style="4"/>
    <col min="15" max="15" width="14.6328125" style="4" bestFit="1" customWidth="1"/>
    <col min="16" max="16384" width="11.453125" style="4"/>
  </cols>
  <sheetData>
    <row r="1" spans="1:15" ht="3.75" customHeight="1" x14ac:dyDescent="0.35">
      <c r="A1" s="883"/>
      <c r="B1" s="883"/>
      <c r="C1" s="883"/>
      <c r="D1" s="883"/>
      <c r="E1" s="883"/>
      <c r="F1" s="108"/>
    </row>
    <row r="2" spans="1:15" x14ac:dyDescent="0.3">
      <c r="A2" s="884"/>
      <c r="B2" s="885"/>
      <c r="C2" s="885"/>
      <c r="D2" s="885"/>
      <c r="E2" s="885"/>
      <c r="F2" s="110"/>
      <c r="G2" s="89"/>
      <c r="H2" s="119"/>
      <c r="I2" s="119"/>
      <c r="J2" s="297" t="s">
        <v>271</v>
      </c>
      <c r="K2" s="119"/>
      <c r="N2" s="297" t="s">
        <v>271</v>
      </c>
      <c r="O2" s="4" t="s">
        <v>272</v>
      </c>
    </row>
    <row r="3" spans="1:15" ht="15.75" customHeight="1" x14ac:dyDescent="0.3">
      <c r="A3" s="886" t="s">
        <v>273</v>
      </c>
      <c r="B3" s="887"/>
      <c r="C3" s="887"/>
      <c r="D3" s="887"/>
      <c r="E3" s="887"/>
      <c r="F3" s="888"/>
      <c r="G3" s="90"/>
      <c r="H3" s="222" t="s">
        <v>274</v>
      </c>
      <c r="I3" s="222">
        <v>1541.9</v>
      </c>
      <c r="J3" s="222">
        <f>+$O$3</f>
        <v>10902.632</v>
      </c>
      <c r="K3" s="222">
        <f>+J3/I3+$K$2</f>
        <v>7.0709073221350272</v>
      </c>
      <c r="M3" s="4">
        <v>1.04</v>
      </c>
      <c r="N3" s="222">
        <v>10483.299999999999</v>
      </c>
      <c r="O3" s="4">
        <f>+M3*N3</f>
        <v>10902.632</v>
      </c>
    </row>
    <row r="4" spans="1:15" ht="15.5" x14ac:dyDescent="0.35">
      <c r="A4" s="111"/>
      <c r="B4" s="45"/>
      <c r="C4" s="48"/>
      <c r="D4" s="91"/>
      <c r="E4" s="92"/>
      <c r="F4" s="112"/>
      <c r="H4" s="222" t="s">
        <v>275</v>
      </c>
      <c r="I4" s="222">
        <v>1322.6</v>
      </c>
      <c r="J4" s="222">
        <f>+$O$3</f>
        <v>10902.632</v>
      </c>
      <c r="K4" s="222">
        <f>+J4/I4+$K$2</f>
        <v>8.2433328292756691</v>
      </c>
    </row>
    <row r="5" spans="1:15" x14ac:dyDescent="0.3">
      <c r="A5" s="113"/>
      <c r="B5" s="45"/>
      <c r="C5" s="45"/>
      <c r="D5" s="91"/>
      <c r="E5" s="45"/>
      <c r="F5" s="112"/>
      <c r="H5" s="222"/>
      <c r="I5" s="222"/>
      <c r="J5" s="222"/>
      <c r="K5" s="222"/>
    </row>
    <row r="6" spans="1:15" s="45" customFormat="1" x14ac:dyDescent="0.3">
      <c r="A6" s="113"/>
      <c r="C6" s="94"/>
      <c r="D6" s="95"/>
      <c r="E6" s="96"/>
      <c r="F6" s="114"/>
      <c r="G6" s="96"/>
      <c r="H6" s="296"/>
      <c r="I6" s="296"/>
      <c r="J6" s="296"/>
      <c r="K6" s="222"/>
    </row>
    <row r="7" spans="1:15" x14ac:dyDescent="0.3">
      <c r="A7" s="6" t="s">
        <v>276</v>
      </c>
      <c r="B7" s="6" t="s">
        <v>277</v>
      </c>
      <c r="C7" s="6" t="s">
        <v>278</v>
      </c>
      <c r="D7" s="6" t="s">
        <v>279</v>
      </c>
      <c r="E7" s="6" t="s">
        <v>280</v>
      </c>
      <c r="F7" s="109" t="s">
        <v>281</v>
      </c>
      <c r="H7" s="222" t="s">
        <v>282</v>
      </c>
      <c r="I7" s="222">
        <v>1815.7</v>
      </c>
      <c r="J7" s="222">
        <f>+$O$3</f>
        <v>10902.632</v>
      </c>
      <c r="K7" s="222">
        <f>+J7/I7+$K$2</f>
        <v>6.0046439389767032</v>
      </c>
    </row>
    <row r="8" spans="1:15" s="5" customFormat="1" ht="12.75" customHeight="1" x14ac:dyDescent="0.25">
      <c r="A8" s="7" t="s">
        <v>283</v>
      </c>
      <c r="B8" s="8" t="s">
        <v>284</v>
      </c>
      <c r="C8" s="97" t="s">
        <v>285</v>
      </c>
      <c r="D8" s="7" t="s">
        <v>45</v>
      </c>
      <c r="E8" s="220">
        <f>+H8*$K$3</f>
        <v>14141.814644270054</v>
      </c>
      <c r="F8" s="221">
        <v>45631</v>
      </c>
      <c r="G8" s="222"/>
      <c r="H8" s="220">
        <v>2000</v>
      </c>
      <c r="I8" s="221">
        <v>44835</v>
      </c>
    </row>
    <row r="9" spans="1:15" s="5" customFormat="1" ht="12.75" customHeight="1" x14ac:dyDescent="0.25">
      <c r="A9" s="9" t="s">
        <v>283</v>
      </c>
      <c r="B9" s="10" t="s">
        <v>286</v>
      </c>
      <c r="C9" s="98" t="s">
        <v>285</v>
      </c>
      <c r="D9" s="9" t="s">
        <v>45</v>
      </c>
      <c r="E9" s="223">
        <f>+H9*$K$3</f>
        <v>12727.633179843049</v>
      </c>
      <c r="F9" s="224">
        <v>45631</v>
      </c>
      <c r="G9" s="222"/>
      <c r="H9" s="223">
        <v>1800</v>
      </c>
      <c r="I9" s="224">
        <v>44835</v>
      </c>
    </row>
    <row r="10" spans="1:15" s="5" customFormat="1" ht="12.75" customHeight="1" x14ac:dyDescent="0.3">
      <c r="A10" s="9" t="s">
        <v>287</v>
      </c>
      <c r="B10" s="10" t="s">
        <v>288</v>
      </c>
      <c r="C10" s="98" t="s">
        <v>289</v>
      </c>
      <c r="D10" s="9" t="s">
        <v>45</v>
      </c>
      <c r="E10" s="223">
        <f>+H10*$K$7</f>
        <v>4803.7151511813627</v>
      </c>
      <c r="F10" s="224">
        <v>45631</v>
      </c>
      <c r="G10" s="119"/>
      <c r="H10" s="223">
        <v>800</v>
      </c>
      <c r="I10" s="224">
        <v>44896</v>
      </c>
    </row>
    <row r="11" spans="1:15" ht="12.75" customHeight="1" x14ac:dyDescent="0.3">
      <c r="A11" s="9" t="s">
        <v>287</v>
      </c>
      <c r="B11" s="10" t="s">
        <v>290</v>
      </c>
      <c r="C11" s="98" t="s">
        <v>289</v>
      </c>
      <c r="D11" s="9" t="s">
        <v>45</v>
      </c>
      <c r="E11" s="223">
        <f t="shared" ref="E11:E17" si="0">+H11*$K$7</f>
        <v>6004.6439389767029</v>
      </c>
      <c r="F11" s="224">
        <v>45631</v>
      </c>
      <c r="G11" s="119"/>
      <c r="H11" s="223">
        <v>1000</v>
      </c>
      <c r="I11" s="224">
        <v>44896</v>
      </c>
    </row>
    <row r="12" spans="1:15" x14ac:dyDescent="0.3">
      <c r="A12" s="9" t="s">
        <v>287</v>
      </c>
      <c r="B12" s="10" t="s">
        <v>291</v>
      </c>
      <c r="C12" s="98" t="s">
        <v>289</v>
      </c>
      <c r="D12" s="9" t="s">
        <v>45</v>
      </c>
      <c r="E12" s="223">
        <f t="shared" si="0"/>
        <v>6004.6439389767029</v>
      </c>
      <c r="F12" s="224">
        <v>45631</v>
      </c>
      <c r="G12" s="119"/>
      <c r="H12" s="223">
        <v>1000</v>
      </c>
      <c r="I12" s="224">
        <v>44896</v>
      </c>
    </row>
    <row r="13" spans="1:15" x14ac:dyDescent="0.3">
      <c r="A13" s="9" t="s">
        <v>287</v>
      </c>
      <c r="B13" s="10" t="s">
        <v>292</v>
      </c>
      <c r="C13" s="98" t="s">
        <v>289</v>
      </c>
      <c r="D13" s="9" t="s">
        <v>45</v>
      </c>
      <c r="E13" s="223">
        <f t="shared" si="0"/>
        <v>12009.287877953406</v>
      </c>
      <c r="F13" s="224">
        <v>45631</v>
      </c>
      <c r="G13" s="119"/>
      <c r="H13" s="223">
        <v>2000</v>
      </c>
      <c r="I13" s="224">
        <v>44896</v>
      </c>
    </row>
    <row r="14" spans="1:15" x14ac:dyDescent="0.3">
      <c r="A14" s="9" t="s">
        <v>287</v>
      </c>
      <c r="B14" s="10" t="s">
        <v>293</v>
      </c>
      <c r="C14" s="98" t="s">
        <v>289</v>
      </c>
      <c r="D14" s="9" t="s">
        <v>45</v>
      </c>
      <c r="E14" s="223">
        <f t="shared" si="0"/>
        <v>12009.287877953406</v>
      </c>
      <c r="F14" s="224">
        <v>45631</v>
      </c>
      <c r="G14" s="119"/>
      <c r="H14" s="223">
        <v>2000</v>
      </c>
      <c r="I14" s="224">
        <v>44896</v>
      </c>
    </row>
    <row r="15" spans="1:15" x14ac:dyDescent="0.3">
      <c r="A15" s="9" t="s">
        <v>287</v>
      </c>
      <c r="B15" s="10" t="s">
        <v>294</v>
      </c>
      <c r="C15" s="98" t="s">
        <v>289</v>
      </c>
      <c r="D15" s="9" t="s">
        <v>45</v>
      </c>
      <c r="E15" s="223">
        <f t="shared" si="0"/>
        <v>7806.0371206697146</v>
      </c>
      <c r="F15" s="224">
        <v>45631</v>
      </c>
      <c r="G15" s="119"/>
      <c r="H15" s="223">
        <v>1300</v>
      </c>
      <c r="I15" s="224">
        <v>44896</v>
      </c>
    </row>
    <row r="16" spans="1:15" x14ac:dyDescent="0.3">
      <c r="A16" s="9" t="s">
        <v>287</v>
      </c>
      <c r="B16" s="10" t="s">
        <v>295</v>
      </c>
      <c r="C16" s="98" t="s">
        <v>289</v>
      </c>
      <c r="D16" s="9" t="s">
        <v>45</v>
      </c>
      <c r="E16" s="223">
        <f t="shared" si="0"/>
        <v>7806.0371206697146</v>
      </c>
      <c r="F16" s="224">
        <v>45631</v>
      </c>
      <c r="G16" s="119"/>
      <c r="H16" s="223">
        <v>1300</v>
      </c>
      <c r="I16" s="224">
        <v>44896</v>
      </c>
    </row>
    <row r="17" spans="1:17" x14ac:dyDescent="0.3">
      <c r="A17" s="9" t="s">
        <v>287</v>
      </c>
      <c r="B17" s="10" t="s">
        <v>296</v>
      </c>
      <c r="C17" s="98" t="s">
        <v>289</v>
      </c>
      <c r="D17" s="9" t="s">
        <v>45</v>
      </c>
      <c r="E17" s="223">
        <f t="shared" si="0"/>
        <v>9006.9659084650557</v>
      </c>
      <c r="F17" s="224">
        <v>45631</v>
      </c>
      <c r="G17" s="119"/>
      <c r="H17" s="223">
        <v>1500</v>
      </c>
      <c r="I17" s="224">
        <v>45017</v>
      </c>
    </row>
    <row r="18" spans="1:17" x14ac:dyDescent="0.3">
      <c r="A18" s="9" t="s">
        <v>297</v>
      </c>
      <c r="B18" s="10" t="s">
        <v>298</v>
      </c>
      <c r="C18" s="98" t="s">
        <v>299</v>
      </c>
      <c r="D18" s="9" t="s">
        <v>45</v>
      </c>
      <c r="E18" s="225">
        <f>+H18*$K$4</f>
        <v>20608.332073189173</v>
      </c>
      <c r="F18" s="224">
        <v>45631</v>
      </c>
      <c r="G18" s="119"/>
      <c r="H18" s="225">
        <v>2500</v>
      </c>
      <c r="I18" s="224">
        <v>44774</v>
      </c>
      <c r="J18" s="286" t="s">
        <v>300</v>
      </c>
    </row>
    <row r="19" spans="1:17" x14ac:dyDescent="0.3">
      <c r="A19" s="9" t="s">
        <v>297</v>
      </c>
      <c r="B19" s="10" t="s">
        <v>301</v>
      </c>
      <c r="C19" s="98" t="s">
        <v>299</v>
      </c>
      <c r="D19" s="9" t="s">
        <v>45</v>
      </c>
      <c r="E19" s="225">
        <f t="shared" ref="E19:E23" si="1">+H19*$K$4</f>
        <v>0</v>
      </c>
      <c r="F19" s="224">
        <v>45631</v>
      </c>
      <c r="G19" s="119"/>
      <c r="H19" s="225"/>
      <c r="I19" s="224"/>
      <c r="J19" s="286"/>
    </row>
    <row r="20" spans="1:17" x14ac:dyDescent="0.3">
      <c r="A20" s="9" t="s">
        <v>297</v>
      </c>
      <c r="B20" s="10" t="s">
        <v>302</v>
      </c>
      <c r="C20" s="98" t="s">
        <v>299</v>
      </c>
      <c r="D20" s="9" t="s">
        <v>45</v>
      </c>
      <c r="E20" s="225">
        <f t="shared" si="1"/>
        <v>14837.999092696204</v>
      </c>
      <c r="F20" s="224">
        <v>45631</v>
      </c>
      <c r="G20" s="119"/>
      <c r="H20" s="225">
        <v>1800</v>
      </c>
      <c r="I20" s="224">
        <v>44774</v>
      </c>
      <c r="J20" s="286" t="s">
        <v>300</v>
      </c>
      <c r="K20" s="4">
        <f>+H20/H18</f>
        <v>0.72</v>
      </c>
    </row>
    <row r="21" spans="1:17" x14ac:dyDescent="0.3">
      <c r="A21" s="9" t="s">
        <v>297</v>
      </c>
      <c r="B21" s="10" t="s">
        <v>303</v>
      </c>
      <c r="C21" s="98" t="s">
        <v>299</v>
      </c>
      <c r="D21" s="9" t="s">
        <v>45</v>
      </c>
      <c r="E21" s="225">
        <f t="shared" si="1"/>
        <v>14837.999092696204</v>
      </c>
      <c r="F21" s="224">
        <v>45631</v>
      </c>
      <c r="G21" s="119"/>
      <c r="H21" s="225">
        <v>1800</v>
      </c>
      <c r="I21" s="224">
        <v>44774</v>
      </c>
      <c r="J21" s="286" t="s">
        <v>300</v>
      </c>
    </row>
    <row r="22" spans="1:17" x14ac:dyDescent="0.3">
      <c r="A22" s="9" t="s">
        <v>297</v>
      </c>
      <c r="B22" s="10" t="s">
        <v>304</v>
      </c>
      <c r="C22" s="98" t="s">
        <v>299</v>
      </c>
      <c r="D22" s="9" t="s">
        <v>45</v>
      </c>
      <c r="E22" s="225">
        <f t="shared" si="1"/>
        <v>13189.33252684107</v>
      </c>
      <c r="F22" s="224">
        <v>45631</v>
      </c>
      <c r="G22" s="119"/>
      <c r="H22" s="225">
        <v>1600</v>
      </c>
      <c r="I22" s="224">
        <v>44774</v>
      </c>
      <c r="J22" s="286" t="s">
        <v>300</v>
      </c>
      <c r="K22" s="4">
        <f>+H22/H21</f>
        <v>0.88888888888888884</v>
      </c>
    </row>
    <row r="23" spans="1:17" x14ac:dyDescent="0.3">
      <c r="A23" s="9" t="s">
        <v>297</v>
      </c>
      <c r="B23" s="10" t="s">
        <v>305</v>
      </c>
      <c r="C23" s="98" t="s">
        <v>299</v>
      </c>
      <c r="D23" s="9" t="s">
        <v>45</v>
      </c>
      <c r="E23" s="225">
        <f t="shared" si="1"/>
        <v>16486.665658551337</v>
      </c>
      <c r="F23" s="224">
        <v>45631</v>
      </c>
      <c r="G23" s="119"/>
      <c r="H23" s="225">
        <v>2000</v>
      </c>
      <c r="I23" s="224">
        <v>44774</v>
      </c>
      <c r="J23" s="286" t="s">
        <v>300</v>
      </c>
    </row>
    <row r="24" spans="1:17" x14ac:dyDescent="0.3">
      <c r="A24" s="9" t="s">
        <v>306</v>
      </c>
      <c r="B24" s="10" t="s">
        <v>307</v>
      </c>
      <c r="C24" s="98" t="s">
        <v>308</v>
      </c>
      <c r="D24" s="9" t="s">
        <v>45</v>
      </c>
      <c r="E24" s="223">
        <f>+H24*K7</f>
        <v>42032.507572836919</v>
      </c>
      <c r="F24" s="224">
        <v>45631</v>
      </c>
      <c r="G24" s="119"/>
      <c r="H24" s="223">
        <v>7000</v>
      </c>
      <c r="I24" s="224">
        <v>45279</v>
      </c>
      <c r="J24" s="4" t="s">
        <v>309</v>
      </c>
    </row>
    <row r="25" spans="1:17" x14ac:dyDescent="0.3">
      <c r="A25" s="9" t="s">
        <v>306</v>
      </c>
      <c r="B25" s="10" t="s">
        <v>310</v>
      </c>
      <c r="C25" s="98" t="s">
        <v>308</v>
      </c>
      <c r="D25" s="9" t="s">
        <v>52</v>
      </c>
      <c r="E25" s="99">
        <v>0</v>
      </c>
      <c r="F25" s="224">
        <v>45631</v>
      </c>
    </row>
    <row r="26" spans="1:17" x14ac:dyDescent="0.3">
      <c r="A26" s="9" t="s">
        <v>306</v>
      </c>
      <c r="B26" s="10" t="s">
        <v>311</v>
      </c>
      <c r="C26" s="98" t="s">
        <v>308</v>
      </c>
      <c r="D26" s="9" t="s">
        <v>52</v>
      </c>
      <c r="E26" s="99">
        <v>0</v>
      </c>
      <c r="F26" s="224">
        <v>45631</v>
      </c>
    </row>
    <row r="27" spans="1:17" x14ac:dyDescent="0.3">
      <c r="A27" s="9" t="s">
        <v>306</v>
      </c>
      <c r="B27" s="10" t="s">
        <v>312</v>
      </c>
      <c r="C27" s="98" t="s">
        <v>308</v>
      </c>
      <c r="D27" s="9" t="s">
        <v>52</v>
      </c>
      <c r="E27" s="99">
        <v>0</v>
      </c>
      <c r="F27" s="224">
        <v>45631</v>
      </c>
    </row>
    <row r="28" spans="1:17" x14ac:dyDescent="0.3">
      <c r="A28" s="9" t="s">
        <v>306</v>
      </c>
      <c r="B28" s="10" t="s">
        <v>313</v>
      </c>
      <c r="C28" s="98" t="s">
        <v>308</v>
      </c>
      <c r="D28" s="9" t="s">
        <v>52</v>
      </c>
      <c r="E28" s="99">
        <v>0</v>
      </c>
      <c r="F28" s="224">
        <v>45631</v>
      </c>
    </row>
    <row r="29" spans="1:17" x14ac:dyDescent="0.3">
      <c r="A29" s="9" t="s">
        <v>314</v>
      </c>
      <c r="B29" s="10" t="s">
        <v>315</v>
      </c>
      <c r="C29" s="98" t="s">
        <v>316</v>
      </c>
      <c r="D29" s="9" t="s">
        <v>45</v>
      </c>
      <c r="E29" s="223">
        <f>+H29*$K$7</f>
        <v>9607.4303023627253</v>
      </c>
      <c r="F29" s="224">
        <v>45631</v>
      </c>
      <c r="G29" s="119"/>
      <c r="H29" s="223">
        <v>1600</v>
      </c>
      <c r="I29" s="224">
        <v>44890</v>
      </c>
    </row>
    <row r="30" spans="1:17" x14ac:dyDescent="0.3">
      <c r="A30" s="9" t="s">
        <v>314</v>
      </c>
      <c r="B30" s="10" t="s">
        <v>317</v>
      </c>
      <c r="C30" s="98" t="s">
        <v>318</v>
      </c>
      <c r="D30" s="9" t="s">
        <v>45</v>
      </c>
      <c r="E30" s="223">
        <f>+H30*$K$7</f>
        <v>15011.609847441758</v>
      </c>
      <c r="F30" s="224">
        <v>45631</v>
      </c>
      <c r="G30" s="119"/>
      <c r="H30" s="223">
        <v>2500</v>
      </c>
      <c r="I30" s="224">
        <v>44890</v>
      </c>
      <c r="K30" s="4" t="s">
        <v>319</v>
      </c>
    </row>
    <row r="31" spans="1:17" x14ac:dyDescent="0.3">
      <c r="A31" s="9" t="s">
        <v>314</v>
      </c>
      <c r="B31" s="10" t="s">
        <v>320</v>
      </c>
      <c r="C31" s="98" t="s">
        <v>316</v>
      </c>
      <c r="D31" s="9" t="s">
        <v>52</v>
      </c>
      <c r="E31" s="223">
        <f>+E29*0.5</f>
        <v>4803.7151511813627</v>
      </c>
      <c r="F31" s="224">
        <v>45631</v>
      </c>
      <c r="G31" s="119"/>
      <c r="H31" s="223">
        <v>750</v>
      </c>
      <c r="I31" s="224">
        <v>44890</v>
      </c>
      <c r="J31" s="4">
        <f>+H31/H29</f>
        <v>0.46875</v>
      </c>
      <c r="M31" s="101" t="s">
        <v>321</v>
      </c>
      <c r="N31" s="4">
        <v>220000</v>
      </c>
      <c r="O31" s="4">
        <v>60</v>
      </c>
      <c r="P31" s="4">
        <f>+N31/O31</f>
        <v>3666.6666666666665</v>
      </c>
      <c r="Q31" s="4">
        <f>+P31/2</f>
        <v>1833.3333333333333</v>
      </c>
    </row>
    <row r="32" spans="1:17" x14ac:dyDescent="0.3">
      <c r="A32" s="9" t="s">
        <v>314</v>
      </c>
      <c r="B32" s="10" t="s">
        <v>322</v>
      </c>
      <c r="C32" s="98" t="s">
        <v>316</v>
      </c>
      <c r="D32" s="9" t="s">
        <v>45</v>
      </c>
      <c r="E32" s="226">
        <f>+E29</f>
        <v>9607.4303023627253</v>
      </c>
      <c r="F32" s="224">
        <v>45631</v>
      </c>
      <c r="G32" s="119"/>
      <c r="H32" s="227"/>
      <c r="I32" s="224"/>
      <c r="M32" s="101" t="s">
        <v>323</v>
      </c>
      <c r="O32" s="4">
        <v>70</v>
      </c>
    </row>
    <row r="33" spans="1:16" x14ac:dyDescent="0.3">
      <c r="A33" s="9" t="s">
        <v>314</v>
      </c>
      <c r="B33" s="10" t="s">
        <v>324</v>
      </c>
      <c r="C33" s="98" t="s">
        <v>318</v>
      </c>
      <c r="D33" s="9" t="s">
        <v>52</v>
      </c>
      <c r="E33" s="223">
        <f>+E31</f>
        <v>4803.7151511813627</v>
      </c>
      <c r="F33" s="224">
        <v>45631</v>
      </c>
      <c r="G33" s="119"/>
      <c r="H33" s="223">
        <v>750</v>
      </c>
      <c r="I33" s="224">
        <v>44890</v>
      </c>
      <c r="K33" s="4" t="s">
        <v>319</v>
      </c>
    </row>
    <row r="34" spans="1:16" x14ac:dyDescent="0.3">
      <c r="A34" s="9"/>
      <c r="B34" s="10" t="s">
        <v>325</v>
      </c>
      <c r="C34" s="98" t="s">
        <v>326</v>
      </c>
      <c r="D34" s="9" t="s">
        <v>45</v>
      </c>
      <c r="E34" s="228"/>
      <c r="F34" s="224">
        <v>45631</v>
      </c>
      <c r="G34" s="119"/>
      <c r="H34" s="223">
        <v>500</v>
      </c>
      <c r="I34" s="224">
        <v>44593</v>
      </c>
    </row>
    <row r="35" spans="1:16" x14ac:dyDescent="0.3">
      <c r="A35" s="9"/>
      <c r="B35" s="10" t="s">
        <v>327</v>
      </c>
      <c r="C35" s="98" t="s">
        <v>326</v>
      </c>
      <c r="D35" s="9" t="s">
        <v>45</v>
      </c>
      <c r="E35" s="228"/>
      <c r="F35" s="224">
        <v>45631</v>
      </c>
      <c r="G35" s="119"/>
      <c r="H35" s="223">
        <v>450</v>
      </c>
      <c r="I35" s="224">
        <v>44593</v>
      </c>
    </row>
    <row r="36" spans="1:16" x14ac:dyDescent="0.3">
      <c r="A36" s="9"/>
      <c r="B36" s="10"/>
      <c r="C36" s="98"/>
      <c r="D36" s="9"/>
      <c r="E36" s="99"/>
      <c r="F36" s="224">
        <v>45631</v>
      </c>
    </row>
    <row r="37" spans="1:16" x14ac:dyDescent="0.3">
      <c r="A37" s="9"/>
      <c r="B37" s="10"/>
      <c r="C37" s="98"/>
      <c r="D37" s="9"/>
      <c r="E37" s="99"/>
      <c r="F37" s="224">
        <v>45631</v>
      </c>
      <c r="L37" s="68">
        <v>45597</v>
      </c>
    </row>
    <row r="38" spans="1:16" x14ac:dyDescent="0.3">
      <c r="A38" s="9"/>
      <c r="B38" s="10"/>
      <c r="C38" s="98"/>
      <c r="D38" s="9"/>
      <c r="E38" s="223"/>
      <c r="F38" s="224">
        <v>45631</v>
      </c>
      <c r="G38" s="119"/>
      <c r="H38" s="229">
        <f>+K3</f>
        <v>7.0709073221350272</v>
      </c>
      <c r="I38" s="230"/>
      <c r="L38" s="107" t="s">
        <v>328</v>
      </c>
      <c r="M38" s="86">
        <v>1</v>
      </c>
      <c r="P38" s="86"/>
    </row>
    <row r="39" spans="1:16" x14ac:dyDescent="0.3">
      <c r="A39" s="9" t="s">
        <v>329</v>
      </c>
      <c r="B39" s="10" t="s">
        <v>330</v>
      </c>
      <c r="C39" s="98" t="s">
        <v>331</v>
      </c>
      <c r="D39" s="9" t="s">
        <v>17</v>
      </c>
      <c r="E39" s="223">
        <f>+H39*$H$38</f>
        <v>10606.360983202541</v>
      </c>
      <c r="F39" s="224">
        <v>45631</v>
      </c>
      <c r="G39" s="119"/>
      <c r="H39" s="223">
        <v>1500</v>
      </c>
      <c r="I39" s="224">
        <v>44835</v>
      </c>
      <c r="L39" s="4">
        <v>15156</v>
      </c>
      <c r="M39" s="4">
        <f t="shared" ref="M39:M60" si="2">+L39/$M$38</f>
        <v>15156</v>
      </c>
      <c r="N39" s="4">
        <f t="shared" ref="N39:N60" si="3">+E39/M39</f>
        <v>0.69981268033798771</v>
      </c>
    </row>
    <row r="40" spans="1:16" x14ac:dyDescent="0.3">
      <c r="A40" s="9" t="s">
        <v>329</v>
      </c>
      <c r="B40" s="10" t="s">
        <v>332</v>
      </c>
      <c r="C40" s="98" t="s">
        <v>331</v>
      </c>
      <c r="D40" s="9" t="s">
        <v>52</v>
      </c>
      <c r="E40" s="223">
        <f>+H40*$H$38</f>
        <v>10606.360983202541</v>
      </c>
      <c r="F40" s="224">
        <v>45631</v>
      </c>
      <c r="G40" s="119"/>
      <c r="H40" s="223">
        <v>1500</v>
      </c>
      <c r="I40" s="224">
        <v>44835</v>
      </c>
      <c r="L40" s="100"/>
      <c r="M40" s="4">
        <f t="shared" si="2"/>
        <v>0</v>
      </c>
      <c r="N40" s="4" t="e">
        <f t="shared" si="3"/>
        <v>#DIV/0!</v>
      </c>
    </row>
    <row r="41" spans="1:16" x14ac:dyDescent="0.3">
      <c r="A41" s="9" t="s">
        <v>329</v>
      </c>
      <c r="B41" s="10" t="s">
        <v>333</v>
      </c>
      <c r="C41" s="98" t="s">
        <v>331</v>
      </c>
      <c r="D41" s="9" t="s">
        <v>17</v>
      </c>
      <c r="E41" s="223">
        <f>+H41*$H$38</f>
        <v>21212.721966405083</v>
      </c>
      <c r="F41" s="224">
        <v>45631</v>
      </c>
      <c r="G41" s="119"/>
      <c r="H41" s="223">
        <v>3000</v>
      </c>
      <c r="I41" s="224">
        <v>44835</v>
      </c>
      <c r="L41" s="106">
        <v>31184</v>
      </c>
      <c r="M41" s="4">
        <f t="shared" si="2"/>
        <v>31184</v>
      </c>
      <c r="N41" s="4">
        <f t="shared" si="3"/>
        <v>0.68024377778364165</v>
      </c>
    </row>
    <row r="42" spans="1:16" x14ac:dyDescent="0.3">
      <c r="A42" s="9" t="s">
        <v>329</v>
      </c>
      <c r="B42" s="10" t="s">
        <v>334</v>
      </c>
      <c r="C42" s="98" t="s">
        <v>335</v>
      </c>
      <c r="D42" s="9" t="s">
        <v>17</v>
      </c>
      <c r="E42" s="223">
        <f>+H42*$H$38</f>
        <v>21212.721966405083</v>
      </c>
      <c r="F42" s="224">
        <v>45631</v>
      </c>
      <c r="G42" s="119"/>
      <c r="H42" s="223">
        <v>3000</v>
      </c>
      <c r="I42" s="224">
        <v>44835</v>
      </c>
      <c r="L42" s="106">
        <v>31184</v>
      </c>
      <c r="M42" s="4">
        <f t="shared" si="2"/>
        <v>31184</v>
      </c>
      <c r="N42" s="4">
        <f t="shared" si="3"/>
        <v>0.68024377778364165</v>
      </c>
    </row>
    <row r="43" spans="1:16" x14ac:dyDescent="0.3">
      <c r="A43" s="9" t="s">
        <v>329</v>
      </c>
      <c r="B43" s="10" t="s">
        <v>336</v>
      </c>
      <c r="C43" s="98" t="s">
        <v>331</v>
      </c>
      <c r="D43" s="9" t="s">
        <v>52</v>
      </c>
      <c r="E43" s="223">
        <f t="shared" ref="E43:E60" si="4">+H43*$H$38</f>
        <v>21212.721966405083</v>
      </c>
      <c r="F43" s="224">
        <v>45631</v>
      </c>
      <c r="G43" s="119"/>
      <c r="H43" s="223">
        <v>3000</v>
      </c>
      <c r="I43" s="224">
        <v>44835</v>
      </c>
      <c r="L43" s="106">
        <v>28325</v>
      </c>
      <c r="M43" s="4">
        <f t="shared" si="2"/>
        <v>28325</v>
      </c>
      <c r="N43" s="4">
        <f t="shared" si="3"/>
        <v>0.74890457074686967</v>
      </c>
    </row>
    <row r="44" spans="1:16" x14ac:dyDescent="0.3">
      <c r="A44" s="9" t="s">
        <v>329</v>
      </c>
      <c r="B44" s="10" t="s">
        <v>337</v>
      </c>
      <c r="C44" s="98" t="s">
        <v>335</v>
      </c>
      <c r="D44" s="9" t="s">
        <v>52</v>
      </c>
      <c r="E44" s="223">
        <f t="shared" si="4"/>
        <v>9545.7248848822874</v>
      </c>
      <c r="F44" s="224">
        <v>45631</v>
      </c>
      <c r="G44" s="119"/>
      <c r="H44" s="223">
        <v>1350</v>
      </c>
      <c r="I44" s="224">
        <v>44835</v>
      </c>
      <c r="L44" s="106">
        <v>15326</v>
      </c>
      <c r="M44" s="4">
        <f t="shared" si="2"/>
        <v>15326</v>
      </c>
      <c r="N44" s="4">
        <f t="shared" si="3"/>
        <v>0.62284515756768155</v>
      </c>
    </row>
    <row r="45" spans="1:16" x14ac:dyDescent="0.3">
      <c r="A45" s="9" t="s">
        <v>329</v>
      </c>
      <c r="B45" s="10" t="s">
        <v>338</v>
      </c>
      <c r="C45" s="98" t="s">
        <v>335</v>
      </c>
      <c r="D45" s="9" t="s">
        <v>52</v>
      </c>
      <c r="E45" s="223">
        <f t="shared" si="4"/>
        <v>0</v>
      </c>
      <c r="F45" s="224">
        <v>45631</v>
      </c>
      <c r="G45" s="119"/>
      <c r="H45" s="223">
        <v>0</v>
      </c>
      <c r="I45" s="224">
        <v>44835</v>
      </c>
      <c r="L45" s="106"/>
      <c r="M45" s="4">
        <f t="shared" si="2"/>
        <v>0</v>
      </c>
      <c r="N45" s="4" t="e">
        <f t="shared" si="3"/>
        <v>#DIV/0!</v>
      </c>
    </row>
    <row r="46" spans="1:16" x14ac:dyDescent="0.3">
      <c r="A46" s="9" t="s">
        <v>329</v>
      </c>
      <c r="B46" s="10" t="s">
        <v>339</v>
      </c>
      <c r="C46" s="98" t="s">
        <v>335</v>
      </c>
      <c r="D46" s="9" t="s">
        <v>17</v>
      </c>
      <c r="E46" s="223">
        <f t="shared" si="4"/>
        <v>3535.4536610675136</v>
      </c>
      <c r="F46" s="224">
        <v>45631</v>
      </c>
      <c r="G46" s="119"/>
      <c r="H46" s="223">
        <v>500</v>
      </c>
      <c r="I46" s="224">
        <v>44835</v>
      </c>
      <c r="L46" s="106">
        <v>11000</v>
      </c>
      <c r="M46" s="4">
        <f t="shared" si="2"/>
        <v>11000</v>
      </c>
      <c r="N46" s="4">
        <f t="shared" si="3"/>
        <v>0.32140487827886488</v>
      </c>
    </row>
    <row r="47" spans="1:16" x14ac:dyDescent="0.3">
      <c r="A47" s="9" t="s">
        <v>329</v>
      </c>
      <c r="B47" s="10" t="s">
        <v>340</v>
      </c>
      <c r="C47" s="98" t="s">
        <v>335</v>
      </c>
      <c r="D47" s="9" t="s">
        <v>17</v>
      </c>
      <c r="E47" s="223">
        <f t="shared" si="4"/>
        <v>3535.4536610675136</v>
      </c>
      <c r="F47" s="224">
        <v>45631</v>
      </c>
      <c r="G47" s="119"/>
      <c r="H47" s="223">
        <v>500</v>
      </c>
      <c r="I47" s="224">
        <v>44835</v>
      </c>
      <c r="L47" s="106">
        <v>11000</v>
      </c>
      <c r="M47" s="4">
        <f t="shared" si="2"/>
        <v>11000</v>
      </c>
      <c r="N47" s="4">
        <f t="shared" si="3"/>
        <v>0.32140487827886488</v>
      </c>
    </row>
    <row r="48" spans="1:16" x14ac:dyDescent="0.3">
      <c r="A48" s="9" t="s">
        <v>329</v>
      </c>
      <c r="B48" s="10" t="s">
        <v>341</v>
      </c>
      <c r="C48" s="98" t="s">
        <v>335</v>
      </c>
      <c r="D48" s="9" t="s">
        <v>17</v>
      </c>
      <c r="E48" s="223">
        <f t="shared" si="4"/>
        <v>10606.360983202541</v>
      </c>
      <c r="F48" s="224">
        <v>45631</v>
      </c>
      <c r="G48" s="119"/>
      <c r="H48" s="223">
        <v>1500</v>
      </c>
      <c r="I48" s="224">
        <v>44835</v>
      </c>
      <c r="L48" s="106">
        <v>5132</v>
      </c>
      <c r="M48" s="4">
        <f t="shared" si="2"/>
        <v>5132</v>
      </c>
      <c r="N48" s="4">
        <f t="shared" si="3"/>
        <v>2.066711025565577</v>
      </c>
    </row>
    <row r="49" spans="1:17" x14ac:dyDescent="0.3">
      <c r="A49" s="9" t="s">
        <v>329</v>
      </c>
      <c r="B49" s="10" t="s">
        <v>342</v>
      </c>
      <c r="C49" s="98" t="s">
        <v>335</v>
      </c>
      <c r="D49" s="9" t="s">
        <v>17</v>
      </c>
      <c r="E49" s="223">
        <f>+H49*$H$38</f>
        <v>141418.14644270056</v>
      </c>
      <c r="F49" s="224">
        <v>45631</v>
      </c>
      <c r="G49" s="119"/>
      <c r="H49" s="223">
        <v>20000</v>
      </c>
      <c r="I49" s="224">
        <v>44835</v>
      </c>
      <c r="L49" s="106">
        <v>246410</v>
      </c>
      <c r="M49" s="4">
        <f t="shared" si="2"/>
        <v>246410</v>
      </c>
      <c r="N49" s="4">
        <f t="shared" si="3"/>
        <v>0.57391399067692284</v>
      </c>
    </row>
    <row r="50" spans="1:17" x14ac:dyDescent="0.3">
      <c r="A50" s="9" t="s">
        <v>329</v>
      </c>
      <c r="B50" s="10" t="s">
        <v>343</v>
      </c>
      <c r="C50" s="98" t="s">
        <v>335</v>
      </c>
      <c r="D50" s="9" t="s">
        <v>17</v>
      </c>
      <c r="E50" s="223">
        <f t="shared" si="4"/>
        <v>31819.082949607622</v>
      </c>
      <c r="F50" s="224">
        <v>45631</v>
      </c>
      <c r="G50" s="119"/>
      <c r="H50" s="223">
        <f>+H41+H39</f>
        <v>4500</v>
      </c>
      <c r="I50" s="224">
        <v>44835</v>
      </c>
      <c r="L50" s="106"/>
      <c r="M50" s="4">
        <f t="shared" si="2"/>
        <v>0</v>
      </c>
      <c r="N50" s="4" t="e">
        <f t="shared" si="3"/>
        <v>#DIV/0!</v>
      </c>
    </row>
    <row r="51" spans="1:17" x14ac:dyDescent="0.3">
      <c r="A51" s="9" t="s">
        <v>329</v>
      </c>
      <c r="B51" s="10" t="s">
        <v>344</v>
      </c>
      <c r="C51" s="98" t="s">
        <v>335</v>
      </c>
      <c r="D51" s="9" t="s">
        <v>52</v>
      </c>
      <c r="E51" s="223">
        <f t="shared" si="4"/>
        <v>10606.360983202541</v>
      </c>
      <c r="F51" s="224">
        <v>45631</v>
      </c>
      <c r="G51" s="119"/>
      <c r="H51" s="223">
        <v>1500</v>
      </c>
      <c r="I51" s="224">
        <v>44835</v>
      </c>
      <c r="L51" s="100"/>
      <c r="M51" s="4">
        <f t="shared" si="2"/>
        <v>0</v>
      </c>
      <c r="N51" s="4" t="e">
        <f t="shared" si="3"/>
        <v>#DIV/0!</v>
      </c>
    </row>
    <row r="52" spans="1:17" x14ac:dyDescent="0.3">
      <c r="A52" s="9" t="s">
        <v>329</v>
      </c>
      <c r="B52" s="10" t="s">
        <v>345</v>
      </c>
      <c r="C52" s="98" t="s">
        <v>335</v>
      </c>
      <c r="D52" s="9" t="s">
        <v>17</v>
      </c>
      <c r="E52" s="223">
        <f t="shared" si="4"/>
        <v>141418.14644270056</v>
      </c>
      <c r="F52" s="224">
        <v>45631</v>
      </c>
      <c r="G52" s="119"/>
      <c r="H52" s="223">
        <v>20000</v>
      </c>
      <c r="I52" s="224">
        <v>44835</v>
      </c>
      <c r="L52" s="106">
        <v>246410</v>
      </c>
      <c r="M52" s="4">
        <f t="shared" si="2"/>
        <v>246410</v>
      </c>
      <c r="N52" s="4">
        <f t="shared" si="3"/>
        <v>0.57391399067692284</v>
      </c>
    </row>
    <row r="53" spans="1:17" x14ac:dyDescent="0.3">
      <c r="A53" s="9" t="s">
        <v>329</v>
      </c>
      <c r="B53" s="10" t="s">
        <v>346</v>
      </c>
      <c r="C53" s="98" t="s">
        <v>335</v>
      </c>
      <c r="D53" s="9" t="s">
        <v>17</v>
      </c>
      <c r="E53" s="223">
        <f t="shared" si="4"/>
        <v>31819.082949607622</v>
      </c>
      <c r="F53" s="224">
        <v>45631</v>
      </c>
      <c r="G53" s="119"/>
      <c r="H53" s="226">
        <f>+H41+H39</f>
        <v>4500</v>
      </c>
      <c r="I53" s="224">
        <v>44835</v>
      </c>
      <c r="L53" s="106">
        <v>44737</v>
      </c>
      <c r="M53" s="4">
        <f t="shared" si="2"/>
        <v>44737</v>
      </c>
      <c r="N53" s="4">
        <f t="shared" si="3"/>
        <v>0.71124757917624393</v>
      </c>
    </row>
    <row r="54" spans="1:17" x14ac:dyDescent="0.3">
      <c r="A54" s="9" t="s">
        <v>329</v>
      </c>
      <c r="B54" s="10" t="s">
        <v>347</v>
      </c>
      <c r="C54" s="98" t="s">
        <v>335</v>
      </c>
      <c r="D54" s="9" t="s">
        <v>17</v>
      </c>
      <c r="E54" s="223">
        <f t="shared" si="4"/>
        <v>63638.165899215244</v>
      </c>
      <c r="F54" s="224">
        <v>45631</v>
      </c>
      <c r="G54" s="119"/>
      <c r="H54" s="226">
        <f>+H53*2</f>
        <v>9000</v>
      </c>
      <c r="I54" s="224">
        <v>44835</v>
      </c>
      <c r="L54" s="106">
        <v>77020</v>
      </c>
      <c r="M54" s="4">
        <f t="shared" si="2"/>
        <v>77020</v>
      </c>
      <c r="N54" s="4">
        <f t="shared" si="3"/>
        <v>0.82625507529492659</v>
      </c>
    </row>
    <row r="55" spans="1:17" x14ac:dyDescent="0.3">
      <c r="A55" s="9" t="s">
        <v>329</v>
      </c>
      <c r="B55" s="10" t="s">
        <v>348</v>
      </c>
      <c r="C55" s="98" t="s">
        <v>335</v>
      </c>
      <c r="D55" s="9" t="s">
        <v>17</v>
      </c>
      <c r="E55" s="223">
        <f t="shared" si="4"/>
        <v>31819.082949607622</v>
      </c>
      <c r="F55" s="224">
        <v>45631</v>
      </c>
      <c r="G55" s="119"/>
      <c r="H55" s="226">
        <f>+H53</f>
        <v>4500</v>
      </c>
      <c r="I55" s="224">
        <v>44835</v>
      </c>
      <c r="L55" s="106">
        <v>44737</v>
      </c>
      <c r="M55" s="4">
        <f t="shared" si="2"/>
        <v>44737</v>
      </c>
      <c r="N55" s="4">
        <f t="shared" si="3"/>
        <v>0.71124757917624393</v>
      </c>
    </row>
    <row r="56" spans="1:17" x14ac:dyDescent="0.3">
      <c r="A56" s="9" t="s">
        <v>329</v>
      </c>
      <c r="B56" s="10" t="s">
        <v>349</v>
      </c>
      <c r="C56" s="98" t="s">
        <v>335</v>
      </c>
      <c r="D56" s="9" t="s">
        <v>17</v>
      </c>
      <c r="E56" s="223">
        <f t="shared" si="4"/>
        <v>63638.165899215244</v>
      </c>
      <c r="F56" s="224">
        <v>45631</v>
      </c>
      <c r="G56" s="119"/>
      <c r="H56" s="226">
        <f>+H53*2</f>
        <v>9000</v>
      </c>
      <c r="I56" s="224">
        <v>44835</v>
      </c>
      <c r="L56" s="106">
        <v>77020</v>
      </c>
      <c r="M56" s="4">
        <f t="shared" si="2"/>
        <v>77020</v>
      </c>
      <c r="N56" s="4">
        <f t="shared" si="3"/>
        <v>0.82625507529492659</v>
      </c>
    </row>
    <row r="57" spans="1:17" x14ac:dyDescent="0.3">
      <c r="A57" s="9" t="s">
        <v>329</v>
      </c>
      <c r="B57" s="10" t="s">
        <v>350</v>
      </c>
      <c r="C57" s="98" t="s">
        <v>335</v>
      </c>
      <c r="D57" s="9" t="s">
        <v>17</v>
      </c>
      <c r="E57" s="223">
        <f t="shared" si="4"/>
        <v>42425.443932810165</v>
      </c>
      <c r="F57" s="224">
        <v>45631</v>
      </c>
      <c r="G57" s="119"/>
      <c r="H57" s="223">
        <f>+H39+H41+H48</f>
        <v>6000</v>
      </c>
      <c r="I57" s="224">
        <v>44835</v>
      </c>
      <c r="L57" s="106"/>
      <c r="M57" s="4">
        <f t="shared" si="2"/>
        <v>0</v>
      </c>
      <c r="N57" s="4" t="e">
        <f t="shared" si="3"/>
        <v>#DIV/0!</v>
      </c>
    </row>
    <row r="58" spans="1:17" x14ac:dyDescent="0.3">
      <c r="A58" s="9" t="s">
        <v>329</v>
      </c>
      <c r="B58" s="10" t="s">
        <v>351</v>
      </c>
      <c r="C58" s="98" t="s">
        <v>335</v>
      </c>
      <c r="D58" s="9" t="s">
        <v>352</v>
      </c>
      <c r="E58" s="223">
        <f t="shared" si="4"/>
        <v>0</v>
      </c>
      <c r="F58" s="224">
        <v>45631</v>
      </c>
      <c r="G58" s="119"/>
      <c r="H58" s="223">
        <v>0</v>
      </c>
      <c r="I58" s="224">
        <v>44835</v>
      </c>
      <c r="L58" s="106"/>
      <c r="M58" s="4">
        <f t="shared" si="2"/>
        <v>0</v>
      </c>
      <c r="N58" s="4" t="e">
        <f t="shared" si="3"/>
        <v>#DIV/0!</v>
      </c>
    </row>
    <row r="59" spans="1:17" x14ac:dyDescent="0.3">
      <c r="A59" s="9" t="s">
        <v>329</v>
      </c>
      <c r="B59" s="28" t="s">
        <v>353</v>
      </c>
      <c r="C59" s="98" t="s">
        <v>335</v>
      </c>
      <c r="D59" s="54" t="s">
        <v>17</v>
      </c>
      <c r="E59" s="223">
        <f>+H59*$H$38</f>
        <v>49496.351254945192</v>
      </c>
      <c r="F59" s="224">
        <v>45631</v>
      </c>
      <c r="G59" s="119"/>
      <c r="H59" s="231">
        <v>7000</v>
      </c>
      <c r="I59" s="224">
        <v>44835</v>
      </c>
      <c r="L59" s="106">
        <v>92361</v>
      </c>
      <c r="M59" s="4">
        <f t="shared" si="2"/>
        <v>92361</v>
      </c>
      <c r="N59" s="4">
        <f t="shared" si="3"/>
        <v>0.53590098910736339</v>
      </c>
    </row>
    <row r="60" spans="1:17" x14ac:dyDescent="0.3">
      <c r="A60" s="31"/>
      <c r="B60" s="31" t="s">
        <v>354</v>
      </c>
      <c r="C60" s="31" t="s">
        <v>331</v>
      </c>
      <c r="D60" s="102" t="s">
        <v>355</v>
      </c>
      <c r="E60" s="232">
        <f t="shared" si="4"/>
        <v>24748.175627472596</v>
      </c>
      <c r="F60" s="233">
        <v>45631</v>
      </c>
      <c r="G60" s="119"/>
      <c r="H60" s="234">
        <v>3500</v>
      </c>
      <c r="I60" s="233">
        <v>44835</v>
      </c>
      <c r="L60" s="4">
        <v>32890</v>
      </c>
      <c r="M60" s="4">
        <f t="shared" si="2"/>
        <v>32890</v>
      </c>
      <c r="N60" s="4">
        <f t="shared" si="3"/>
        <v>0.75245289229165691</v>
      </c>
    </row>
    <row r="61" spans="1:17" x14ac:dyDescent="0.3">
      <c r="B61" s="103"/>
      <c r="C61" s="45"/>
      <c r="D61" s="91"/>
    </row>
    <row r="62" spans="1:17" x14ac:dyDescent="0.3">
      <c r="B62" s="103"/>
      <c r="C62" s="45"/>
      <c r="D62" s="91"/>
    </row>
    <row r="63" spans="1:17" x14ac:dyDescent="0.3">
      <c r="B63" s="101" t="s">
        <v>356</v>
      </c>
      <c r="C63" s="45"/>
      <c r="D63" s="91"/>
      <c r="L63" s="4">
        <v>17584</v>
      </c>
      <c r="M63" s="4">
        <f>+L63/$M$38</f>
        <v>17584</v>
      </c>
      <c r="P63" s="4">
        <v>47989</v>
      </c>
      <c r="Q63" s="4" t="e">
        <f t="shared" ref="Q63:Q65" si="5">P63/$Q$38</f>
        <v>#DIV/0!</v>
      </c>
    </row>
    <row r="64" spans="1:17" x14ac:dyDescent="0.3">
      <c r="B64" s="101" t="s">
        <v>357</v>
      </c>
      <c r="C64" s="104"/>
      <c r="D64" s="105"/>
      <c r="L64" s="4">
        <v>70345</v>
      </c>
      <c r="M64" s="4">
        <f>+L64/$M$38</f>
        <v>70345</v>
      </c>
      <c r="P64" s="4">
        <v>191984</v>
      </c>
      <c r="Q64" s="4" t="e">
        <f t="shared" si="5"/>
        <v>#DIV/0!</v>
      </c>
    </row>
    <row r="65" spans="2:17" x14ac:dyDescent="0.3">
      <c r="B65" s="101" t="s">
        <v>358</v>
      </c>
      <c r="C65" s="45"/>
      <c r="D65" s="91"/>
      <c r="L65" s="4">
        <v>105513</v>
      </c>
      <c r="M65" s="4">
        <f>+L65/$M$38</f>
        <v>105513</v>
      </c>
      <c r="P65" s="4">
        <v>287963</v>
      </c>
      <c r="Q65" s="4" t="e">
        <f t="shared" si="5"/>
        <v>#DIV/0!</v>
      </c>
    </row>
  </sheetData>
  <mergeCells count="3">
    <mergeCell ref="A1:E1"/>
    <mergeCell ref="A2:E2"/>
    <mergeCell ref="A3:F3"/>
  </mergeCells>
  <phoneticPr fontId="5" type="noConversion"/>
  <pageMargins left="0.7" right="0.7" top="0.75" bottom="0.75" header="0.3" footer="0.3"/>
  <pageSetup paperSize="119" scale="3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M151"/>
  <sheetViews>
    <sheetView topLeftCell="A60" workbookViewId="0">
      <selection activeCell="C70" sqref="C70"/>
    </sheetView>
  </sheetViews>
  <sheetFormatPr defaultColWidth="11.453125" defaultRowHeight="13" x14ac:dyDescent="0.3"/>
  <cols>
    <col min="1" max="1" width="11.36328125" style="12" bestFit="1" customWidth="1"/>
    <col min="2" max="2" width="48.90625" style="12" bestFit="1" customWidth="1"/>
    <col min="3" max="3" width="12.453125" style="13" customWidth="1"/>
    <col min="4" max="4" width="17.36328125" style="33" bestFit="1" customWidth="1"/>
    <col min="5" max="5" width="18.54296875" style="13" customWidth="1"/>
    <col min="6" max="6" width="10.54296875" style="12" bestFit="1" customWidth="1"/>
    <col min="7" max="7" width="25.453125" style="12" bestFit="1" customWidth="1"/>
    <col min="8" max="8" width="10.54296875" style="12" bestFit="1" customWidth="1"/>
    <col min="9" max="9" width="13.453125" style="12" bestFit="1" customWidth="1"/>
    <col min="10" max="10" width="6.54296875" style="12" bestFit="1" customWidth="1"/>
    <col min="11" max="11" width="12.6328125" style="12" bestFit="1" customWidth="1"/>
    <col min="12" max="13" width="10" style="12" bestFit="1" customWidth="1"/>
    <col min="14" max="16384" width="11.453125" style="12"/>
  </cols>
  <sheetData>
    <row r="1" spans="1:8" ht="3.75" customHeight="1" x14ac:dyDescent="0.35">
      <c r="A1" s="878"/>
      <c r="B1" s="878"/>
      <c r="C1" s="878"/>
      <c r="D1" s="878"/>
    </row>
    <row r="2" spans="1:8" ht="15.5" x14ac:dyDescent="0.3">
      <c r="A2" s="889"/>
      <c r="B2" s="890"/>
      <c r="C2" s="890"/>
      <c r="D2" s="890"/>
      <c r="E2" s="61"/>
      <c r="F2" s="83"/>
      <c r="G2" s="119"/>
      <c r="H2" s="119"/>
    </row>
    <row r="3" spans="1:8" ht="15.5" x14ac:dyDescent="0.3">
      <c r="A3" s="889" t="s">
        <v>359</v>
      </c>
      <c r="B3" s="890"/>
      <c r="C3" s="890"/>
      <c r="D3" s="890"/>
      <c r="E3" s="62"/>
      <c r="F3" s="16"/>
      <c r="G3" s="119"/>
      <c r="H3" s="119"/>
    </row>
    <row r="4" spans="1:8" x14ac:dyDescent="0.3">
      <c r="A4" s="11"/>
      <c r="D4" s="764">
        <v>45536</v>
      </c>
    </row>
    <row r="5" spans="1:8" ht="3.75" customHeight="1" x14ac:dyDescent="0.3">
      <c r="A5" s="18"/>
    </row>
    <row r="6" spans="1:8" ht="3.75" customHeight="1" x14ac:dyDescent="0.3">
      <c r="A6" s="18"/>
      <c r="C6" s="768"/>
      <c r="D6" s="769"/>
      <c r="E6" s="63"/>
    </row>
    <row r="7" spans="1:8" s="4" customFormat="1" ht="24.75" customHeight="1" x14ac:dyDescent="0.3">
      <c r="A7" s="6" t="s">
        <v>79</v>
      </c>
      <c r="B7" s="6" t="s">
        <v>80</v>
      </c>
      <c r="C7" s="6" t="s">
        <v>360</v>
      </c>
      <c r="D7" s="42" t="s">
        <v>361</v>
      </c>
      <c r="E7" s="53" t="s">
        <v>209</v>
      </c>
      <c r="F7" s="12"/>
      <c r="G7" s="12"/>
      <c r="H7" s="5"/>
    </row>
    <row r="8" spans="1:8" s="4" customFormat="1" x14ac:dyDescent="0.3">
      <c r="A8" s="88" t="s">
        <v>362</v>
      </c>
      <c r="B8" s="8" t="s">
        <v>363</v>
      </c>
      <c r="C8" s="803" t="s">
        <v>59</v>
      </c>
      <c r="D8" s="619">
        <v>32399.77</v>
      </c>
      <c r="E8" s="288" t="s">
        <v>364</v>
      </c>
      <c r="F8" s="235">
        <v>45625</v>
      </c>
      <c r="G8" s="12" t="s">
        <v>365</v>
      </c>
      <c r="H8" s="119"/>
    </row>
    <row r="9" spans="1:8" x14ac:dyDescent="0.3">
      <c r="A9" s="60"/>
      <c r="B9" s="10" t="s">
        <v>366</v>
      </c>
      <c r="C9" s="118" t="s">
        <v>59</v>
      </c>
      <c r="D9" s="620">
        <v>56202.3</v>
      </c>
      <c r="E9" s="64" t="s">
        <v>364</v>
      </c>
      <c r="F9" s="235">
        <v>45625</v>
      </c>
      <c r="G9" s="12" t="s">
        <v>365</v>
      </c>
    </row>
    <row r="10" spans="1:8" x14ac:dyDescent="0.3">
      <c r="A10" s="60"/>
      <c r="B10" s="10" t="s">
        <v>367</v>
      </c>
      <c r="C10" s="118" t="s">
        <v>59</v>
      </c>
      <c r="D10" s="620">
        <v>34246.800000000003</v>
      </c>
      <c r="E10" s="64" t="s">
        <v>364</v>
      </c>
      <c r="F10" s="235">
        <v>45625</v>
      </c>
      <c r="G10" s="12" t="s">
        <v>365</v>
      </c>
    </row>
    <row r="11" spans="1:8" s="4" customFormat="1" x14ac:dyDescent="0.3">
      <c r="A11" s="756" t="s">
        <v>368</v>
      </c>
      <c r="B11" s="41" t="s">
        <v>369</v>
      </c>
      <c r="C11" s="247" t="s">
        <v>370</v>
      </c>
      <c r="D11" s="620">
        <v>7809.48</v>
      </c>
      <c r="E11" s="757" t="s">
        <v>364</v>
      </c>
      <c r="F11" s="235">
        <v>45625</v>
      </c>
      <c r="G11" s="12" t="s">
        <v>371</v>
      </c>
      <c r="H11" s="119"/>
    </row>
    <row r="12" spans="1:8" s="4" customFormat="1" x14ac:dyDescent="0.3">
      <c r="A12" s="60" t="s">
        <v>372</v>
      </c>
      <c r="B12" s="10" t="s">
        <v>373</v>
      </c>
      <c r="C12" s="9" t="s">
        <v>374</v>
      </c>
      <c r="D12" s="620">
        <v>3837.96</v>
      </c>
      <c r="E12" s="64" t="s">
        <v>364</v>
      </c>
      <c r="F12" s="235">
        <v>45625</v>
      </c>
      <c r="G12" s="12"/>
    </row>
    <row r="13" spans="1:8" s="4" customFormat="1" x14ac:dyDescent="0.3">
      <c r="A13" s="60" t="s">
        <v>375</v>
      </c>
      <c r="B13" s="10" t="s">
        <v>376</v>
      </c>
      <c r="C13" s="9" t="s">
        <v>374</v>
      </c>
      <c r="D13" s="620">
        <v>10936.8</v>
      </c>
      <c r="E13" s="64" t="s">
        <v>364</v>
      </c>
      <c r="F13" s="235">
        <v>45625</v>
      </c>
      <c r="G13" s="12"/>
    </row>
    <row r="14" spans="1:8" s="4" customFormat="1" x14ac:dyDescent="0.3">
      <c r="A14" s="60" t="s">
        <v>377</v>
      </c>
      <c r="B14" s="10" t="s">
        <v>378</v>
      </c>
      <c r="C14" s="9" t="s">
        <v>17</v>
      </c>
      <c r="D14" s="620">
        <v>3424.53</v>
      </c>
      <c r="E14" s="64" t="s">
        <v>364</v>
      </c>
      <c r="F14" s="235">
        <v>45625</v>
      </c>
      <c r="G14" s="84"/>
    </row>
    <row r="15" spans="1:8" s="4" customFormat="1" x14ac:dyDescent="0.3">
      <c r="A15" s="60"/>
      <c r="B15" s="10" t="s">
        <v>379</v>
      </c>
      <c r="C15" s="9" t="s">
        <v>17</v>
      </c>
      <c r="D15" s="620">
        <v>6017.04</v>
      </c>
      <c r="E15" s="64" t="s">
        <v>364</v>
      </c>
      <c r="F15" s="235">
        <v>45625</v>
      </c>
      <c r="G15" s="12"/>
      <c r="H15" s="120"/>
    </row>
    <row r="16" spans="1:8" s="4" customFormat="1" x14ac:dyDescent="0.3">
      <c r="A16" s="60"/>
      <c r="B16" s="10" t="s">
        <v>380</v>
      </c>
      <c r="C16" s="9" t="s">
        <v>17</v>
      </c>
      <c r="D16" s="41">
        <v>9272.75</v>
      </c>
      <c r="E16" s="64" t="s">
        <v>364</v>
      </c>
      <c r="F16" s="235">
        <v>45625</v>
      </c>
      <c r="G16" s="12"/>
      <c r="H16" s="120"/>
    </row>
    <row r="17" spans="1:12" s="4" customFormat="1" x14ac:dyDescent="0.3">
      <c r="A17" s="60"/>
      <c r="B17" s="10" t="s">
        <v>381</v>
      </c>
      <c r="C17" s="9" t="s">
        <v>17</v>
      </c>
      <c r="D17" s="41">
        <v>13312.25</v>
      </c>
      <c r="E17" s="64" t="s">
        <v>364</v>
      </c>
      <c r="F17" s="235">
        <v>45625</v>
      </c>
      <c r="G17" s="12"/>
      <c r="H17" s="120"/>
    </row>
    <row r="18" spans="1:12" s="4" customFormat="1" x14ac:dyDescent="0.3">
      <c r="A18" s="60"/>
      <c r="B18" s="10" t="s">
        <v>382</v>
      </c>
      <c r="C18" s="9" t="s">
        <v>17</v>
      </c>
      <c r="D18" s="41">
        <v>23236.16</v>
      </c>
      <c r="E18" s="64" t="s">
        <v>364</v>
      </c>
      <c r="F18" s="235">
        <v>45625</v>
      </c>
      <c r="G18" s="12"/>
      <c r="H18" s="120"/>
    </row>
    <row r="19" spans="1:12" s="4" customFormat="1" x14ac:dyDescent="0.3">
      <c r="A19" s="60"/>
      <c r="B19" s="10" t="s">
        <v>383</v>
      </c>
      <c r="C19" s="9" t="s">
        <v>17</v>
      </c>
      <c r="D19" s="41">
        <v>36391.64</v>
      </c>
      <c r="E19" s="64" t="s">
        <v>364</v>
      </c>
      <c r="F19" s="235">
        <v>45625</v>
      </c>
      <c r="G19" s="12"/>
      <c r="H19" s="120"/>
    </row>
    <row r="20" spans="1:12" s="4" customFormat="1" x14ac:dyDescent="0.3">
      <c r="A20" s="60"/>
      <c r="B20" s="10" t="s">
        <v>384</v>
      </c>
      <c r="C20" s="9" t="s">
        <v>17</v>
      </c>
      <c r="D20" s="41">
        <v>56794.12</v>
      </c>
      <c r="E20" s="64" t="s">
        <v>364</v>
      </c>
      <c r="F20" s="235">
        <v>45625</v>
      </c>
      <c r="G20" s="12"/>
      <c r="H20" s="120"/>
    </row>
    <row r="21" spans="1:12" s="4" customFormat="1" x14ac:dyDescent="0.3">
      <c r="A21" s="60" t="s">
        <v>385</v>
      </c>
      <c r="B21" s="41" t="s">
        <v>386</v>
      </c>
      <c r="C21" s="247" t="s">
        <v>17</v>
      </c>
      <c r="D21" s="620">
        <v>233.44</v>
      </c>
      <c r="E21" s="64" t="s">
        <v>364</v>
      </c>
      <c r="F21" s="235">
        <v>45625</v>
      </c>
      <c r="G21" s="12" t="s">
        <v>387</v>
      </c>
      <c r="H21" s="120"/>
      <c r="J21" s="119"/>
    </row>
    <row r="22" spans="1:12" s="4" customFormat="1" x14ac:dyDescent="0.3">
      <c r="A22" s="60" t="s">
        <v>388</v>
      </c>
      <c r="B22" s="10" t="s">
        <v>389</v>
      </c>
      <c r="C22" s="9" t="s">
        <v>17</v>
      </c>
      <c r="D22" s="620">
        <v>292.32</v>
      </c>
      <c r="E22" s="64" t="s">
        <v>364</v>
      </c>
      <c r="F22" s="235">
        <v>45625</v>
      </c>
      <c r="G22" s="12"/>
      <c r="H22" s="120"/>
    </row>
    <row r="23" spans="1:12" s="4" customFormat="1" x14ac:dyDescent="0.3">
      <c r="A23" s="60" t="s">
        <v>390</v>
      </c>
      <c r="B23" s="10" t="s">
        <v>391</v>
      </c>
      <c r="C23" s="9" t="s">
        <v>17</v>
      </c>
      <c r="D23" s="620">
        <v>365.4</v>
      </c>
      <c r="E23" s="64" t="s">
        <v>364</v>
      </c>
      <c r="F23" s="235">
        <v>45625</v>
      </c>
      <c r="G23" s="12"/>
      <c r="H23" s="120"/>
    </row>
    <row r="24" spans="1:12" s="4" customFormat="1" x14ac:dyDescent="0.3">
      <c r="A24" s="60" t="s">
        <v>392</v>
      </c>
      <c r="B24" s="10" t="s">
        <v>393</v>
      </c>
      <c r="C24" s="9" t="s">
        <v>17</v>
      </c>
      <c r="D24" s="620">
        <v>519.12</v>
      </c>
      <c r="E24" s="64" t="s">
        <v>364</v>
      </c>
      <c r="F24" s="235">
        <v>45625</v>
      </c>
      <c r="G24" s="12"/>
      <c r="H24" s="120"/>
    </row>
    <row r="25" spans="1:12" s="4" customFormat="1" x14ac:dyDescent="0.3">
      <c r="A25" s="60" t="s">
        <v>394</v>
      </c>
      <c r="B25" s="10" t="s">
        <v>395</v>
      </c>
      <c r="C25" s="9" t="s">
        <v>17</v>
      </c>
      <c r="D25" s="620">
        <v>132.30000000000001</v>
      </c>
      <c r="E25" s="64" t="s">
        <v>364</v>
      </c>
      <c r="F25" s="235">
        <v>45625</v>
      </c>
      <c r="G25" s="12"/>
      <c r="H25" s="120"/>
    </row>
    <row r="26" spans="1:12" s="4" customFormat="1" x14ac:dyDescent="0.3">
      <c r="A26" s="60" t="s">
        <v>396</v>
      </c>
      <c r="B26" s="268" t="s">
        <v>397</v>
      </c>
      <c r="C26" s="269" t="s">
        <v>17</v>
      </c>
      <c r="D26" s="270">
        <v>563.22</v>
      </c>
      <c r="E26" s="64" t="s">
        <v>364</v>
      </c>
      <c r="F26" s="235">
        <v>45625</v>
      </c>
      <c r="G26" s="12"/>
      <c r="H26" s="120"/>
    </row>
    <row r="27" spans="1:12" s="4" customFormat="1" x14ac:dyDescent="0.3">
      <c r="A27" s="60"/>
      <c r="B27" s="268" t="s">
        <v>398</v>
      </c>
      <c r="C27" s="269" t="s">
        <v>17</v>
      </c>
      <c r="D27" s="620">
        <v>694.26</v>
      </c>
      <c r="E27" s="64" t="s">
        <v>364</v>
      </c>
      <c r="F27" s="235">
        <v>45625</v>
      </c>
      <c r="G27" s="12"/>
      <c r="H27" s="120"/>
    </row>
    <row r="28" spans="1:12" s="4" customFormat="1" x14ac:dyDescent="0.3">
      <c r="A28" s="60"/>
      <c r="B28" s="268" t="s">
        <v>399</v>
      </c>
      <c r="C28" s="269" t="s">
        <v>17</v>
      </c>
      <c r="D28" s="620"/>
      <c r="E28" s="64"/>
      <c r="F28" s="235"/>
      <c r="G28" s="12"/>
      <c r="H28" s="295"/>
    </row>
    <row r="29" spans="1:12" s="4" customFormat="1" x14ac:dyDescent="0.3">
      <c r="A29" s="60"/>
      <c r="B29" s="268" t="s">
        <v>400</v>
      </c>
      <c r="C29" s="269" t="s">
        <v>17</v>
      </c>
      <c r="D29" s="270">
        <v>1016.6</v>
      </c>
      <c r="E29" s="64" t="s">
        <v>364</v>
      </c>
      <c r="F29" s="235">
        <v>45625</v>
      </c>
      <c r="G29" s="12"/>
      <c r="H29" s="119"/>
    </row>
    <row r="30" spans="1:12" s="4" customFormat="1" x14ac:dyDescent="0.3">
      <c r="A30" s="60"/>
      <c r="B30" s="268" t="s">
        <v>401</v>
      </c>
      <c r="C30" s="269" t="s">
        <v>17</v>
      </c>
      <c r="D30" s="270">
        <v>682.52</v>
      </c>
      <c r="E30" s="64" t="s">
        <v>364</v>
      </c>
      <c r="F30" s="235">
        <v>45625</v>
      </c>
      <c r="G30" s="12"/>
      <c r="H30" s="119"/>
      <c r="I30" s="4" t="s">
        <v>402</v>
      </c>
      <c r="J30" s="4" t="s">
        <v>403</v>
      </c>
      <c r="K30" s="4" t="s">
        <v>404</v>
      </c>
      <c r="L30" s="4" t="s">
        <v>403</v>
      </c>
    </row>
    <row r="31" spans="1:12" s="4" customFormat="1" x14ac:dyDescent="0.3">
      <c r="A31" s="60"/>
      <c r="B31" s="268" t="s">
        <v>405</v>
      </c>
      <c r="C31" s="269" t="s">
        <v>17</v>
      </c>
      <c r="D31" s="270"/>
      <c r="E31" s="64"/>
      <c r="F31" s="235"/>
      <c r="G31" s="12"/>
      <c r="H31" s="119"/>
    </row>
    <row r="32" spans="1:12" s="4" customFormat="1" x14ac:dyDescent="0.3">
      <c r="A32" s="60" t="s">
        <v>406</v>
      </c>
      <c r="B32" s="620" t="s">
        <v>407</v>
      </c>
      <c r="C32" s="327" t="s">
        <v>374</v>
      </c>
      <c r="D32" s="620">
        <f>+K32</f>
        <v>18802.511999999999</v>
      </c>
      <c r="E32" s="64" t="s">
        <v>364</v>
      </c>
      <c r="F32" s="235">
        <v>45625</v>
      </c>
      <c r="G32" s="12" t="s">
        <v>408</v>
      </c>
      <c r="H32" s="119"/>
      <c r="I32" s="620">
        <v>15668.76</v>
      </c>
      <c r="J32" s="4">
        <v>25</v>
      </c>
      <c r="K32" s="4">
        <f>+L32*I32/J32</f>
        <v>18802.511999999999</v>
      </c>
      <c r="L32" s="4">
        <v>30</v>
      </c>
    </row>
    <row r="33" spans="1:12" s="4" customFormat="1" x14ac:dyDescent="0.3">
      <c r="A33" s="60"/>
      <c r="B33" s="41" t="s">
        <v>409</v>
      </c>
      <c r="C33" s="247" t="s">
        <v>374</v>
      </c>
      <c r="D33" s="620">
        <f>+K33</f>
        <v>29811.732000000004</v>
      </c>
      <c r="E33" s="267" t="s">
        <v>364</v>
      </c>
      <c r="F33" s="235">
        <v>45625</v>
      </c>
      <c r="G33" s="12" t="s">
        <v>410</v>
      </c>
      <c r="H33" s="119"/>
      <c r="I33" s="620">
        <v>24843.11</v>
      </c>
      <c r="J33" s="4">
        <v>25</v>
      </c>
      <c r="K33" s="4">
        <f>+L33*I33/J33</f>
        <v>29811.732000000004</v>
      </c>
      <c r="L33" s="4">
        <v>30</v>
      </c>
    </row>
    <row r="34" spans="1:12" s="4" customFormat="1" x14ac:dyDescent="0.3">
      <c r="A34" s="60" t="s">
        <v>411</v>
      </c>
      <c r="B34" s="41" t="s">
        <v>412</v>
      </c>
      <c r="C34" s="247" t="s">
        <v>403</v>
      </c>
      <c r="D34" s="270">
        <f>25122.56/20</f>
        <v>1256.1280000000002</v>
      </c>
      <c r="E34" s="267" t="s">
        <v>364</v>
      </c>
      <c r="F34" s="235">
        <v>45625</v>
      </c>
      <c r="G34" s="12" t="s">
        <v>413</v>
      </c>
      <c r="H34" s="119"/>
    </row>
    <row r="35" spans="1:12" s="4" customFormat="1" x14ac:dyDescent="0.3">
      <c r="A35" s="60" t="s">
        <v>414</v>
      </c>
      <c r="B35" s="270" t="s">
        <v>415</v>
      </c>
      <c r="C35" s="247" t="s">
        <v>355</v>
      </c>
      <c r="D35" s="41">
        <v>9639</v>
      </c>
      <c r="E35" s="64" t="s">
        <v>364</v>
      </c>
      <c r="F35" s="235">
        <v>45625</v>
      </c>
      <c r="G35" s="12"/>
      <c r="H35" s="119"/>
    </row>
    <row r="36" spans="1:12" s="4" customFormat="1" x14ac:dyDescent="0.3">
      <c r="A36" s="60"/>
      <c r="B36" s="270" t="s">
        <v>416</v>
      </c>
      <c r="C36" s="247" t="s">
        <v>17</v>
      </c>
      <c r="D36" s="620">
        <f>6428.7/2</f>
        <v>3214.35</v>
      </c>
      <c r="E36" s="267" t="s">
        <v>364</v>
      </c>
      <c r="F36" s="235">
        <v>45625</v>
      </c>
      <c r="G36" s="12" t="s">
        <v>417</v>
      </c>
      <c r="H36" s="119"/>
    </row>
    <row r="37" spans="1:12" x14ac:dyDescent="0.3">
      <c r="A37" s="27"/>
      <c r="B37" s="270" t="s">
        <v>418</v>
      </c>
      <c r="C37" s="247" t="s">
        <v>374</v>
      </c>
      <c r="D37" s="41">
        <v>7534.8</v>
      </c>
      <c r="E37" s="64" t="s">
        <v>364</v>
      </c>
      <c r="F37" s="235">
        <v>45625</v>
      </c>
      <c r="G37" s="12" t="s">
        <v>419</v>
      </c>
    </row>
    <row r="38" spans="1:12" x14ac:dyDescent="0.3">
      <c r="A38" s="60"/>
      <c r="B38" s="270" t="s">
        <v>420</v>
      </c>
      <c r="C38" s="9" t="s">
        <v>17</v>
      </c>
      <c r="D38" s="41">
        <v>126755.8</v>
      </c>
      <c r="E38" s="64" t="s">
        <v>364</v>
      </c>
      <c r="F38" s="235">
        <v>45625</v>
      </c>
    </row>
    <row r="39" spans="1:12" x14ac:dyDescent="0.3">
      <c r="A39" s="60"/>
      <c r="B39" s="270" t="s">
        <v>421</v>
      </c>
      <c r="C39" s="9" t="s">
        <v>17</v>
      </c>
      <c r="D39" s="41">
        <v>69985.789999999994</v>
      </c>
      <c r="E39" s="64" t="s">
        <v>364</v>
      </c>
      <c r="F39" s="235">
        <v>45625</v>
      </c>
    </row>
    <row r="40" spans="1:12" x14ac:dyDescent="0.3">
      <c r="A40" s="60"/>
      <c r="B40" s="270" t="s">
        <v>422</v>
      </c>
      <c r="C40" s="9" t="s">
        <v>17</v>
      </c>
      <c r="D40" s="41"/>
      <c r="E40" s="64"/>
      <c r="F40" s="235"/>
    </row>
    <row r="41" spans="1:12" x14ac:dyDescent="0.3">
      <c r="A41" s="60"/>
      <c r="B41" s="620" t="s">
        <v>423</v>
      </c>
      <c r="C41" s="327" t="s">
        <v>403</v>
      </c>
      <c r="D41" s="620">
        <v>2302.02</v>
      </c>
      <c r="E41" s="64" t="s">
        <v>364</v>
      </c>
      <c r="F41" s="235">
        <v>45625</v>
      </c>
      <c r="G41" s="12" t="s">
        <v>424</v>
      </c>
    </row>
    <row r="42" spans="1:12" x14ac:dyDescent="0.3">
      <c r="A42" s="30"/>
      <c r="B42" s="180" t="s">
        <v>425</v>
      </c>
      <c r="C42" s="770" t="s">
        <v>355</v>
      </c>
      <c r="D42" s="801">
        <f>305000/1.21</f>
        <v>252066.11570247935</v>
      </c>
      <c r="E42" s="802" t="s">
        <v>426</v>
      </c>
      <c r="F42" s="235">
        <v>45631</v>
      </c>
      <c r="G42" s="800" t="s">
        <v>427</v>
      </c>
    </row>
    <row r="43" spans="1:12" ht="12" customHeight="1" x14ac:dyDescent="0.3">
      <c r="A43" s="37"/>
      <c r="B43" s="57"/>
      <c r="C43" s="37"/>
      <c r="D43" s="58"/>
      <c r="E43" s="65"/>
      <c r="I43" s="5"/>
    </row>
    <row r="44" spans="1:12" x14ac:dyDescent="0.3">
      <c r="A44" s="88"/>
      <c r="B44" s="8" t="s">
        <v>428</v>
      </c>
      <c r="C44" s="7" t="s">
        <v>17</v>
      </c>
      <c r="D44" s="619">
        <v>2932.93</v>
      </c>
      <c r="E44" s="64" t="s">
        <v>364</v>
      </c>
      <c r="F44" s="235">
        <v>45625</v>
      </c>
      <c r="G44" s="85"/>
      <c r="H44" s="271"/>
    </row>
    <row r="45" spans="1:12" x14ac:dyDescent="0.3">
      <c r="A45" s="60"/>
      <c r="B45" s="117" t="s">
        <v>429</v>
      </c>
      <c r="C45" s="9" t="s">
        <v>17</v>
      </c>
      <c r="D45" s="620">
        <v>3295.47</v>
      </c>
      <c r="E45" s="64" t="s">
        <v>364</v>
      </c>
      <c r="F45" s="235">
        <v>45625</v>
      </c>
      <c r="G45" s="85"/>
      <c r="H45" s="271"/>
    </row>
    <row r="46" spans="1:12" x14ac:dyDescent="0.3">
      <c r="A46" s="60"/>
      <c r="B46" s="10" t="s">
        <v>430</v>
      </c>
      <c r="C46" s="9" t="s">
        <v>17</v>
      </c>
      <c r="D46" s="620">
        <v>2147.85</v>
      </c>
      <c r="E46" s="64" t="s">
        <v>364</v>
      </c>
      <c r="F46" s="235">
        <v>45625</v>
      </c>
      <c r="G46" s="85"/>
      <c r="H46" s="271"/>
      <c r="J46" s="85"/>
    </row>
    <row r="47" spans="1:12" x14ac:dyDescent="0.3">
      <c r="A47" s="60"/>
      <c r="B47" s="117" t="s">
        <v>431</v>
      </c>
      <c r="C47" s="9" t="s">
        <v>17</v>
      </c>
      <c r="D47" s="620">
        <v>2468.66</v>
      </c>
      <c r="E47" s="64" t="s">
        <v>364</v>
      </c>
      <c r="F47" s="235">
        <v>45625</v>
      </c>
      <c r="G47" s="85"/>
      <c r="H47" s="271"/>
    </row>
    <row r="48" spans="1:12" x14ac:dyDescent="0.3">
      <c r="A48" s="27"/>
      <c r="B48" s="10" t="s">
        <v>432</v>
      </c>
      <c r="C48" s="9" t="s">
        <v>17</v>
      </c>
      <c r="D48" s="620">
        <f>19787.84/1.21/500</f>
        <v>32.707173553719009</v>
      </c>
      <c r="E48" s="267" t="s">
        <v>433</v>
      </c>
      <c r="F48" s="235">
        <v>45631</v>
      </c>
      <c r="G48" s="85"/>
      <c r="H48" s="271"/>
    </row>
    <row r="49" spans="1:9" x14ac:dyDescent="0.3">
      <c r="A49" s="27"/>
      <c r="B49" s="268" t="s">
        <v>434</v>
      </c>
      <c r="C49" s="9" t="s">
        <v>17</v>
      </c>
      <c r="D49" s="620">
        <f>18726.79/1.21/900</f>
        <v>17.196317722681361</v>
      </c>
      <c r="E49" s="267" t="s">
        <v>433</v>
      </c>
      <c r="F49" s="235">
        <v>45631</v>
      </c>
      <c r="G49" s="85"/>
      <c r="H49" s="271"/>
    </row>
    <row r="50" spans="1:9" x14ac:dyDescent="0.3">
      <c r="A50" s="27"/>
      <c r="B50" s="268" t="s">
        <v>435</v>
      </c>
      <c r="C50" s="9" t="s">
        <v>17</v>
      </c>
      <c r="D50" s="620">
        <f>20025.61/1.21/400</f>
        <v>41.37522727272728</v>
      </c>
      <c r="E50" s="267" t="s">
        <v>433</v>
      </c>
      <c r="F50" s="235">
        <v>45631</v>
      </c>
      <c r="G50" s="85"/>
      <c r="H50" s="271"/>
    </row>
    <row r="51" spans="1:9" x14ac:dyDescent="0.3">
      <c r="A51" s="27"/>
      <c r="B51" s="268" t="s">
        <v>436</v>
      </c>
      <c r="C51" s="9" t="s">
        <v>17</v>
      </c>
      <c r="D51" s="283">
        <f>7976.2/1.21/100</f>
        <v>65.919008264462803</v>
      </c>
      <c r="E51" s="267" t="s">
        <v>433</v>
      </c>
      <c r="F51" s="235">
        <v>45631</v>
      </c>
      <c r="G51" s="763"/>
      <c r="H51" s="77"/>
    </row>
    <row r="52" spans="1:9" x14ac:dyDescent="0.3">
      <c r="A52" s="27"/>
      <c r="B52" s="117" t="s">
        <v>437</v>
      </c>
      <c r="C52" s="60" t="s">
        <v>17</v>
      </c>
      <c r="D52" s="283">
        <v>4042.71</v>
      </c>
      <c r="E52" s="64" t="s">
        <v>364</v>
      </c>
      <c r="F52" s="235">
        <v>45625</v>
      </c>
      <c r="G52" s="85"/>
      <c r="H52" s="271"/>
    </row>
    <row r="53" spans="1:9" x14ac:dyDescent="0.3">
      <c r="A53" s="27"/>
      <c r="B53" s="268" t="s">
        <v>438</v>
      </c>
      <c r="C53" s="9" t="s">
        <v>17</v>
      </c>
      <c r="D53" s="620">
        <v>5920.61</v>
      </c>
      <c r="E53" s="64" t="s">
        <v>364</v>
      </c>
      <c r="F53" s="235">
        <v>45625</v>
      </c>
      <c r="G53" s="85" t="s">
        <v>439</v>
      </c>
      <c r="H53" s="271"/>
    </row>
    <row r="54" spans="1:9" x14ac:dyDescent="0.3">
      <c r="A54" s="27"/>
      <c r="B54" s="268" t="s">
        <v>440</v>
      </c>
      <c r="C54" s="9" t="s">
        <v>17</v>
      </c>
      <c r="D54" s="283">
        <v>26872.02</v>
      </c>
      <c r="E54" s="64" t="s">
        <v>364</v>
      </c>
      <c r="F54" s="235">
        <v>45625</v>
      </c>
      <c r="G54" s="85"/>
      <c r="H54" s="77"/>
    </row>
    <row r="55" spans="1:9" x14ac:dyDescent="0.3">
      <c r="A55" s="27"/>
      <c r="B55" s="268" t="s">
        <v>441</v>
      </c>
      <c r="C55" s="269" t="s">
        <v>17</v>
      </c>
      <c r="D55" s="525">
        <v>10022.959999999999</v>
      </c>
      <c r="E55" s="267" t="s">
        <v>364</v>
      </c>
      <c r="F55" s="235">
        <v>45625</v>
      </c>
      <c r="G55" s="85"/>
      <c r="H55" s="271"/>
    </row>
    <row r="56" spans="1:9" x14ac:dyDescent="0.3">
      <c r="A56" s="27"/>
      <c r="B56" s="268" t="s">
        <v>442</v>
      </c>
      <c r="C56" s="9" t="s">
        <v>17</v>
      </c>
      <c r="D56" s="283">
        <v>16160.1</v>
      </c>
      <c r="E56" s="267" t="s">
        <v>364</v>
      </c>
      <c r="F56" s="235">
        <v>45625</v>
      </c>
      <c r="G56" s="85"/>
      <c r="H56" s="271"/>
    </row>
    <row r="57" spans="1:9" x14ac:dyDescent="0.3">
      <c r="A57" s="27"/>
      <c r="B57" s="268" t="s">
        <v>443</v>
      </c>
      <c r="C57" s="9" t="s">
        <v>17</v>
      </c>
      <c r="D57" s="283">
        <v>14217.87</v>
      </c>
      <c r="E57" s="267" t="s">
        <v>364</v>
      </c>
      <c r="F57" s="235">
        <v>45625</v>
      </c>
      <c r="G57" s="85"/>
      <c r="H57" s="271"/>
      <c r="I57" s="4"/>
    </row>
    <row r="58" spans="1:9" x14ac:dyDescent="0.3">
      <c r="A58" s="27"/>
      <c r="B58" s="268" t="s">
        <v>444</v>
      </c>
      <c r="C58" s="9" t="s">
        <v>17</v>
      </c>
      <c r="D58" s="283">
        <v>1421.47</v>
      </c>
      <c r="E58" s="267" t="s">
        <v>364</v>
      </c>
      <c r="F58" s="235">
        <v>45625</v>
      </c>
      <c r="G58" s="85"/>
      <c r="H58" s="271"/>
      <c r="I58" s="779"/>
    </row>
    <row r="59" spans="1:9" x14ac:dyDescent="0.3">
      <c r="A59" s="27"/>
      <c r="B59" s="268" t="s">
        <v>445</v>
      </c>
      <c r="C59" s="9" t="s">
        <v>17</v>
      </c>
      <c r="D59" s="283">
        <v>2351.29</v>
      </c>
      <c r="E59" s="267" t="s">
        <v>364</v>
      </c>
      <c r="F59" s="235">
        <v>45625</v>
      </c>
      <c r="G59" s="85"/>
      <c r="H59" s="271"/>
      <c r="I59" s="779"/>
    </row>
    <row r="60" spans="1:9" x14ac:dyDescent="0.3">
      <c r="A60" s="27"/>
      <c r="B60" s="620" t="s">
        <v>446</v>
      </c>
      <c r="C60" s="327" t="s">
        <v>17</v>
      </c>
      <c r="D60" s="283">
        <v>97970.9</v>
      </c>
      <c r="E60" s="267" t="s">
        <v>364</v>
      </c>
      <c r="F60" s="235">
        <v>45625</v>
      </c>
      <c r="G60" s="85" t="s">
        <v>447</v>
      </c>
      <c r="H60" s="271"/>
    </row>
    <row r="61" spans="1:9" x14ac:dyDescent="0.3">
      <c r="A61" s="27"/>
      <c r="B61" s="268" t="s">
        <v>448</v>
      </c>
      <c r="C61" s="9" t="s">
        <v>17</v>
      </c>
      <c r="D61" s="620">
        <f>2989.38/1.21</f>
        <v>2470.5619834710747</v>
      </c>
      <c r="E61" s="267" t="s">
        <v>433</v>
      </c>
      <c r="F61" s="235">
        <v>45631</v>
      </c>
      <c r="G61" s="85"/>
      <c r="H61" s="271"/>
      <c r="I61" s="4"/>
    </row>
    <row r="62" spans="1:9" x14ac:dyDescent="0.3">
      <c r="A62" s="27"/>
      <c r="B62" s="268" t="s">
        <v>449</v>
      </c>
      <c r="C62" s="9" t="s">
        <v>17</v>
      </c>
      <c r="D62" s="620">
        <f>4712.54/1.21</f>
        <v>3894.6611570247933</v>
      </c>
      <c r="E62" s="267" t="s">
        <v>433</v>
      </c>
      <c r="F62" s="235">
        <v>45631</v>
      </c>
      <c r="G62" s="85"/>
      <c r="H62" s="271"/>
    </row>
    <row r="63" spans="1:9" x14ac:dyDescent="0.3">
      <c r="A63" s="27"/>
      <c r="B63" s="268" t="s">
        <v>450</v>
      </c>
      <c r="C63" s="9" t="s">
        <v>17</v>
      </c>
      <c r="D63" s="620">
        <f>1527.23/1.21</f>
        <v>1262.1735537190084</v>
      </c>
      <c r="E63" s="267" t="s">
        <v>433</v>
      </c>
      <c r="F63" s="235">
        <v>45631</v>
      </c>
      <c r="G63" s="85"/>
      <c r="H63" s="271"/>
      <c r="I63" s="779"/>
    </row>
    <row r="64" spans="1:9" x14ac:dyDescent="0.3">
      <c r="A64" s="27"/>
      <c r="B64" s="117" t="s">
        <v>451</v>
      </c>
      <c r="C64" s="60" t="s">
        <v>17</v>
      </c>
      <c r="D64" s="620">
        <f>783.17/1.21</f>
        <v>647.24793388429748</v>
      </c>
      <c r="E64" s="267" t="s">
        <v>433</v>
      </c>
      <c r="F64" s="235">
        <v>45631</v>
      </c>
      <c r="G64" s="85"/>
      <c r="H64" s="271">
        <f>106331.96*(1-0.28)</f>
        <v>76559.011200000008</v>
      </c>
      <c r="I64" s="85">
        <f>+H64/J65</f>
        <v>114838.51680000004</v>
      </c>
    </row>
    <row r="65" spans="1:13" x14ac:dyDescent="0.3">
      <c r="A65" s="60"/>
      <c r="B65" s="780" t="s">
        <v>452</v>
      </c>
      <c r="C65" s="806" t="s">
        <v>453</v>
      </c>
      <c r="D65" s="797">
        <f>+I64</f>
        <v>114838.51680000004</v>
      </c>
      <c r="E65" s="807" t="s">
        <v>454</v>
      </c>
      <c r="F65" s="758">
        <v>45555</v>
      </c>
      <c r="G65" s="85"/>
      <c r="H65" s="271">
        <f>1.2*12</f>
        <v>14.399999999999999</v>
      </c>
      <c r="I65" s="85">
        <v>21.6</v>
      </c>
      <c r="J65" s="85">
        <f>+H65/I65</f>
        <v>0.66666666666666652</v>
      </c>
    </row>
    <row r="66" spans="1:13" x14ac:dyDescent="0.3">
      <c r="A66" s="60"/>
      <c r="B66" s="270" t="s">
        <v>455</v>
      </c>
      <c r="C66" s="247" t="s">
        <v>17</v>
      </c>
      <c r="D66" s="276">
        <f>+M66</f>
        <v>6538.6115702479337</v>
      </c>
      <c r="E66" s="804" t="s">
        <v>426</v>
      </c>
      <c r="F66" s="235">
        <v>45631</v>
      </c>
      <c r="G66" s="85"/>
      <c r="H66" s="271"/>
      <c r="I66" s="12">
        <v>0.6</v>
      </c>
      <c r="J66" s="12">
        <v>0.6</v>
      </c>
      <c r="K66" s="12">
        <f>+I66*J66</f>
        <v>0.36</v>
      </c>
      <c r="L66" s="4">
        <f>21977/1.21</f>
        <v>18162.809917355371</v>
      </c>
      <c r="M66" s="4">
        <f>+K66*L66</f>
        <v>6538.6115702479337</v>
      </c>
    </row>
    <row r="67" spans="1:13" x14ac:dyDescent="0.3">
      <c r="A67" s="60"/>
      <c r="B67" s="270" t="s">
        <v>456</v>
      </c>
      <c r="C67" s="247" t="s">
        <v>17</v>
      </c>
      <c r="D67" s="283">
        <f>2993.96/1.21</f>
        <v>2474.3471074380168</v>
      </c>
      <c r="E67" s="267" t="s">
        <v>433</v>
      </c>
      <c r="F67" s="235">
        <v>45631</v>
      </c>
      <c r="G67" s="85"/>
      <c r="H67" s="271"/>
      <c r="K67" s="771"/>
      <c r="L67" s="22"/>
    </row>
    <row r="68" spans="1:13" x14ac:dyDescent="0.3">
      <c r="A68" s="87"/>
      <c r="B68" s="784" t="s">
        <v>457</v>
      </c>
      <c r="C68" s="785" t="s">
        <v>17</v>
      </c>
      <c r="D68" s="766">
        <v>4751.7078772422483</v>
      </c>
      <c r="E68" s="786" t="s">
        <v>426</v>
      </c>
      <c r="F68" s="758">
        <v>45350</v>
      </c>
      <c r="G68" s="85" t="s">
        <v>458</v>
      </c>
      <c r="H68" s="271"/>
      <c r="K68" s="771"/>
      <c r="L68" s="22"/>
    </row>
    <row r="69" spans="1:13" ht="23" customHeight="1" x14ac:dyDescent="0.3">
      <c r="A69" s="37"/>
      <c r="B69" s="57"/>
      <c r="C69" s="37"/>
      <c r="D69" s="58"/>
      <c r="E69" s="65"/>
      <c r="G69" s="85"/>
      <c r="K69" s="771"/>
      <c r="L69" s="5"/>
      <c r="M69" s="5"/>
    </row>
    <row r="70" spans="1:13" s="4" customFormat="1" x14ac:dyDescent="0.3">
      <c r="A70" s="88" t="s">
        <v>459</v>
      </c>
      <c r="B70" s="619" t="s">
        <v>460</v>
      </c>
      <c r="C70" s="7" t="s">
        <v>461</v>
      </c>
      <c r="D70" s="402">
        <v>120622.23</v>
      </c>
      <c r="E70" s="273" t="s">
        <v>462</v>
      </c>
      <c r="F70" s="235">
        <v>45642</v>
      </c>
      <c r="G70" s="85"/>
      <c r="H70" s="271"/>
      <c r="I70" s="45"/>
    </row>
    <row r="71" spans="1:13" s="4" customFormat="1" x14ac:dyDescent="0.3">
      <c r="A71" s="60"/>
      <c r="B71" s="620" t="s">
        <v>463</v>
      </c>
      <c r="C71" s="60" t="s">
        <v>17</v>
      </c>
      <c r="D71" s="745">
        <f>287500/1.21</f>
        <v>237603.30578512399</v>
      </c>
      <c r="E71" s="274" t="s">
        <v>464</v>
      </c>
      <c r="F71" s="235">
        <v>45654</v>
      </c>
      <c r="G71" s="85"/>
      <c r="H71" s="271"/>
      <c r="I71" s="45"/>
    </row>
    <row r="72" spans="1:13" x14ac:dyDescent="0.3">
      <c r="A72" s="60"/>
      <c r="B72" s="620" t="s">
        <v>465</v>
      </c>
      <c r="C72" s="9" t="s">
        <v>17</v>
      </c>
      <c r="D72" s="745">
        <v>105657.74</v>
      </c>
      <c r="E72" s="274" t="s">
        <v>462</v>
      </c>
      <c r="F72" s="235">
        <v>45642</v>
      </c>
      <c r="G72" s="85"/>
      <c r="H72" s="271"/>
    </row>
    <row r="73" spans="1:13" s="4" customFormat="1" x14ac:dyDescent="0.3">
      <c r="A73" s="60" t="s">
        <v>466</v>
      </c>
      <c r="B73" s="620" t="s">
        <v>467</v>
      </c>
      <c r="C73" s="9" t="s">
        <v>355</v>
      </c>
      <c r="D73" s="620">
        <v>28011.57</v>
      </c>
      <c r="E73" s="274" t="s">
        <v>462</v>
      </c>
      <c r="F73" s="235">
        <v>45642</v>
      </c>
      <c r="G73" s="85"/>
      <c r="H73" s="271"/>
      <c r="I73" s="45"/>
    </row>
    <row r="74" spans="1:13" s="4" customFormat="1" x14ac:dyDescent="0.3">
      <c r="A74" s="60" t="s">
        <v>466</v>
      </c>
      <c r="B74" s="620" t="s">
        <v>468</v>
      </c>
      <c r="C74" s="9" t="s">
        <v>355</v>
      </c>
      <c r="D74" s="620">
        <v>28011.57</v>
      </c>
      <c r="E74" s="274" t="s">
        <v>462</v>
      </c>
      <c r="F74" s="235">
        <v>45642</v>
      </c>
      <c r="G74" s="85"/>
      <c r="H74" s="271"/>
      <c r="I74" s="45"/>
    </row>
    <row r="75" spans="1:13" s="4" customFormat="1" x14ac:dyDescent="0.3">
      <c r="A75" s="60" t="s">
        <v>466</v>
      </c>
      <c r="B75" s="620" t="s">
        <v>469</v>
      </c>
      <c r="C75" s="9" t="s">
        <v>355</v>
      </c>
      <c r="D75" s="620">
        <v>28011.57</v>
      </c>
      <c r="E75" s="274" t="s">
        <v>462</v>
      </c>
      <c r="F75" s="235">
        <v>45642</v>
      </c>
      <c r="G75" s="85"/>
      <c r="H75" s="271"/>
      <c r="I75" s="45"/>
    </row>
    <row r="76" spans="1:13" s="4" customFormat="1" x14ac:dyDescent="0.3">
      <c r="A76" s="60" t="s">
        <v>470</v>
      </c>
      <c r="B76" s="620" t="s">
        <v>471</v>
      </c>
      <c r="C76" s="9" t="s">
        <v>461</v>
      </c>
      <c r="D76" s="620">
        <v>18735.77</v>
      </c>
      <c r="E76" s="274" t="s">
        <v>462</v>
      </c>
      <c r="F76" s="235">
        <v>45642</v>
      </c>
      <c r="G76" s="85" t="s">
        <v>472</v>
      </c>
      <c r="H76" s="271"/>
      <c r="I76" s="45"/>
    </row>
    <row r="77" spans="1:13" x14ac:dyDescent="0.3">
      <c r="A77" s="60"/>
      <c r="B77" s="620" t="s">
        <v>473</v>
      </c>
      <c r="C77" s="60" t="s">
        <v>17</v>
      </c>
      <c r="D77" s="620">
        <f>150268/1.21</f>
        <v>124188.42975206612</v>
      </c>
      <c r="E77" s="274" t="s">
        <v>464</v>
      </c>
      <c r="F77" s="235">
        <v>45654</v>
      </c>
      <c r="G77" s="85"/>
      <c r="H77" s="271"/>
    </row>
    <row r="78" spans="1:13" x14ac:dyDescent="0.3">
      <c r="A78" s="60"/>
      <c r="B78" s="620" t="s">
        <v>474</v>
      </c>
      <c r="C78" s="327" t="s">
        <v>355</v>
      </c>
      <c r="D78" s="620">
        <v>32845.78</v>
      </c>
      <c r="E78" s="794" t="s">
        <v>364</v>
      </c>
      <c r="F78" s="235">
        <v>45625</v>
      </c>
      <c r="G78" s="85"/>
      <c r="H78" s="271"/>
    </row>
    <row r="79" spans="1:13" x14ac:dyDescent="0.3">
      <c r="A79" s="60"/>
      <c r="B79" s="41" t="s">
        <v>475</v>
      </c>
      <c r="C79" s="9" t="s">
        <v>17</v>
      </c>
      <c r="D79" s="620"/>
      <c r="E79" s="274"/>
      <c r="F79" s="765"/>
      <c r="G79" s="85"/>
      <c r="H79" s="292"/>
    </row>
    <row r="80" spans="1:13" x14ac:dyDescent="0.3">
      <c r="A80" s="60"/>
      <c r="B80" s="41" t="s">
        <v>476</v>
      </c>
      <c r="C80" s="9" t="s">
        <v>17</v>
      </c>
      <c r="D80" s="759">
        <f>69011/1.21</f>
        <v>57033.884297520664</v>
      </c>
      <c r="E80" s="267" t="s">
        <v>477</v>
      </c>
      <c r="F80" s="758">
        <v>45509</v>
      </c>
      <c r="G80" s="85"/>
      <c r="H80" s="292"/>
    </row>
    <row r="81" spans="1:9" x14ac:dyDescent="0.3">
      <c r="A81" s="60"/>
      <c r="B81" s="41" t="s">
        <v>478</v>
      </c>
      <c r="C81" s="9" t="s">
        <v>17</v>
      </c>
      <c r="D81" s="759">
        <f>113000/1.21</f>
        <v>93388.42975206612</v>
      </c>
      <c r="E81" s="267" t="s">
        <v>477</v>
      </c>
      <c r="F81" s="758">
        <v>45509</v>
      </c>
      <c r="G81" s="85"/>
      <c r="H81" s="292"/>
    </row>
    <row r="82" spans="1:9" x14ac:dyDescent="0.3">
      <c r="A82" s="60"/>
      <c r="B82" s="620" t="s">
        <v>479</v>
      </c>
      <c r="C82" s="60" t="s">
        <v>17</v>
      </c>
      <c r="D82" s="620">
        <v>70192.210000000006</v>
      </c>
      <c r="E82" s="274" t="s">
        <v>364</v>
      </c>
      <c r="F82" s="235">
        <v>45625</v>
      </c>
      <c r="G82" s="85" t="s">
        <v>480</v>
      </c>
      <c r="H82" s="292"/>
    </row>
    <row r="83" spans="1:9" x14ac:dyDescent="0.3">
      <c r="A83" s="60"/>
      <c r="B83" s="41" t="s">
        <v>481</v>
      </c>
      <c r="C83" s="9" t="s">
        <v>17</v>
      </c>
      <c r="D83" s="620"/>
      <c r="E83" s="64"/>
      <c r="F83" s="235"/>
      <c r="G83" s="85"/>
      <c r="H83" s="292"/>
    </row>
    <row r="84" spans="1:9" x14ac:dyDescent="0.3">
      <c r="A84" s="60"/>
      <c r="B84" s="41" t="s">
        <v>482</v>
      </c>
      <c r="C84" s="9" t="s">
        <v>17</v>
      </c>
      <c r="D84" s="620"/>
      <c r="E84" s="64"/>
      <c r="F84" s="235"/>
      <c r="G84" s="85"/>
      <c r="H84" s="271"/>
    </row>
    <row r="85" spans="1:9" x14ac:dyDescent="0.3">
      <c r="A85" s="60"/>
      <c r="B85" s="178" t="s">
        <v>483</v>
      </c>
      <c r="C85" s="60" t="s">
        <v>17</v>
      </c>
      <c r="D85" s="745">
        <f>80000/1.21</f>
        <v>66115.702479338841</v>
      </c>
      <c r="E85" s="274" t="s">
        <v>484</v>
      </c>
      <c r="F85" s="235">
        <v>45654</v>
      </c>
      <c r="G85" s="85"/>
      <c r="H85" s="271"/>
    </row>
    <row r="86" spans="1:9" s="4" customFormat="1" x14ac:dyDescent="0.3">
      <c r="A86" s="60" t="s">
        <v>485</v>
      </c>
      <c r="B86" s="792" t="s">
        <v>486</v>
      </c>
      <c r="C86" s="783" t="s">
        <v>461</v>
      </c>
      <c r="D86" s="787">
        <f>52050.7/1.21</f>
        <v>43017.10743801653</v>
      </c>
      <c r="E86" s="788" t="s">
        <v>217</v>
      </c>
      <c r="F86" s="758">
        <v>45523</v>
      </c>
      <c r="G86" s="85"/>
      <c r="H86" s="271"/>
      <c r="I86" s="45"/>
    </row>
    <row r="87" spans="1:9" s="4" customFormat="1" x14ac:dyDescent="0.3">
      <c r="A87" s="60"/>
      <c r="B87" s="620" t="s">
        <v>487</v>
      </c>
      <c r="C87" s="9" t="s">
        <v>355</v>
      </c>
      <c r="D87" s="620">
        <v>30467.49</v>
      </c>
      <c r="E87" s="274" t="s">
        <v>462</v>
      </c>
      <c r="F87" s="235">
        <v>45642</v>
      </c>
      <c r="G87" s="85" t="s">
        <v>488</v>
      </c>
      <c r="H87" s="271"/>
      <c r="I87" s="45"/>
    </row>
    <row r="88" spans="1:9" s="4" customFormat="1" x14ac:dyDescent="0.3">
      <c r="A88" s="60" t="s">
        <v>489</v>
      </c>
      <c r="B88" s="620" t="s">
        <v>490</v>
      </c>
      <c r="C88" s="9" t="s">
        <v>355</v>
      </c>
      <c r="D88" s="620">
        <v>26907.33</v>
      </c>
      <c r="E88" s="274" t="s">
        <v>462</v>
      </c>
      <c r="F88" s="235">
        <v>45642</v>
      </c>
      <c r="G88" s="85"/>
      <c r="H88" s="271"/>
      <c r="I88" s="45"/>
    </row>
    <row r="89" spans="1:9" s="4" customFormat="1" x14ac:dyDescent="0.3">
      <c r="A89" s="60" t="s">
        <v>491</v>
      </c>
      <c r="B89" s="620" t="s">
        <v>492</v>
      </c>
      <c r="C89" s="9" t="s">
        <v>17</v>
      </c>
      <c r="D89" s="620">
        <f>566.14*10</f>
        <v>5661.4</v>
      </c>
      <c r="E89" s="274" t="s">
        <v>462</v>
      </c>
      <c r="F89" s="235">
        <v>45642</v>
      </c>
      <c r="G89" s="85"/>
      <c r="H89" s="271"/>
      <c r="I89" s="45"/>
    </row>
    <row r="90" spans="1:9" s="4" customFormat="1" x14ac:dyDescent="0.3">
      <c r="A90" s="60" t="s">
        <v>493</v>
      </c>
      <c r="B90" s="620" t="s">
        <v>494</v>
      </c>
      <c r="C90" s="9" t="s">
        <v>17</v>
      </c>
      <c r="D90" s="620">
        <v>3293.01</v>
      </c>
      <c r="E90" s="274" t="s">
        <v>462</v>
      </c>
      <c r="F90" s="235">
        <v>45642</v>
      </c>
      <c r="G90" s="85" t="s">
        <v>495</v>
      </c>
      <c r="H90" s="271"/>
      <c r="I90" s="45"/>
    </row>
    <row r="91" spans="1:9" s="4" customFormat="1" x14ac:dyDescent="0.3">
      <c r="A91" s="60" t="s">
        <v>496</v>
      </c>
      <c r="B91" s="117" t="s">
        <v>497</v>
      </c>
      <c r="C91" s="9" t="s">
        <v>17</v>
      </c>
      <c r="D91" s="620">
        <v>735.06</v>
      </c>
      <c r="E91" s="274" t="s">
        <v>462</v>
      </c>
      <c r="F91" s="235">
        <v>45642</v>
      </c>
      <c r="G91" s="85"/>
      <c r="H91" s="271"/>
      <c r="I91" s="45"/>
    </row>
    <row r="92" spans="1:9" s="4" customFormat="1" x14ac:dyDescent="0.3">
      <c r="A92" s="60"/>
      <c r="B92" s="178" t="s">
        <v>498</v>
      </c>
      <c r="C92" s="60" t="s">
        <v>17</v>
      </c>
      <c r="D92" s="745">
        <f>240923.25/1.21</f>
        <v>199110.12396694216</v>
      </c>
      <c r="E92" s="274" t="s">
        <v>217</v>
      </c>
      <c r="F92" s="235">
        <v>45654</v>
      </c>
      <c r="G92" s="85" t="s">
        <v>499</v>
      </c>
      <c r="H92" s="271"/>
      <c r="I92" s="45"/>
    </row>
    <row r="93" spans="1:9" s="4" customFormat="1" x14ac:dyDescent="0.3">
      <c r="A93" s="60"/>
      <c r="B93" s="178" t="s">
        <v>500</v>
      </c>
      <c r="C93" s="9" t="s">
        <v>17</v>
      </c>
      <c r="D93" s="620">
        <v>6678.36</v>
      </c>
      <c r="E93" s="274" t="s">
        <v>462</v>
      </c>
      <c r="F93" s="235">
        <v>45642</v>
      </c>
      <c r="G93" s="85"/>
      <c r="H93" s="271"/>
      <c r="I93" s="45"/>
    </row>
    <row r="94" spans="1:9" s="4" customFormat="1" x14ac:dyDescent="0.3">
      <c r="A94" s="60"/>
      <c r="B94" s="178" t="s">
        <v>501</v>
      </c>
      <c r="C94" s="9" t="s">
        <v>17</v>
      </c>
      <c r="D94" s="620">
        <f>+D93</f>
        <v>6678.36</v>
      </c>
      <c r="E94" s="274" t="s">
        <v>462</v>
      </c>
      <c r="F94" s="235">
        <v>45642</v>
      </c>
      <c r="G94" s="85"/>
      <c r="H94" s="271"/>
      <c r="I94" s="45"/>
    </row>
    <row r="95" spans="1:9" s="4" customFormat="1" x14ac:dyDescent="0.3">
      <c r="A95" s="60"/>
      <c r="B95" s="178" t="s">
        <v>502</v>
      </c>
      <c r="C95" s="9" t="s">
        <v>17</v>
      </c>
      <c r="D95" s="620">
        <v>5282.24</v>
      </c>
      <c r="E95" s="274" t="s">
        <v>462</v>
      </c>
      <c r="F95" s="235">
        <v>45642</v>
      </c>
      <c r="G95" s="85" t="s">
        <v>503</v>
      </c>
      <c r="H95" s="271"/>
      <c r="I95" s="45"/>
    </row>
    <row r="96" spans="1:9" s="4" customFormat="1" x14ac:dyDescent="0.3">
      <c r="A96" s="60"/>
      <c r="B96" s="178" t="s">
        <v>504</v>
      </c>
      <c r="C96" s="9" t="s">
        <v>17</v>
      </c>
      <c r="D96" s="620">
        <v>7427.6</v>
      </c>
      <c r="E96" s="274" t="s">
        <v>462</v>
      </c>
      <c r="F96" s="235">
        <v>45642</v>
      </c>
      <c r="G96" s="85"/>
      <c r="H96" s="271"/>
      <c r="I96" s="45"/>
    </row>
    <row r="97" spans="1:8" x14ac:dyDescent="0.3">
      <c r="A97" s="87"/>
      <c r="B97" s="180" t="s">
        <v>140</v>
      </c>
      <c r="C97" s="87" t="s">
        <v>17</v>
      </c>
      <c r="D97" s="795">
        <f>15216/1.21</f>
        <v>12575.206611570249</v>
      </c>
      <c r="E97" s="796" t="s">
        <v>217</v>
      </c>
      <c r="F97" s="235">
        <v>45654</v>
      </c>
      <c r="G97" s="291"/>
    </row>
    <row r="98" spans="1:8" x14ac:dyDescent="0.3">
      <c r="A98" s="37"/>
      <c r="B98" s="57"/>
      <c r="C98" s="37"/>
      <c r="D98" s="58"/>
      <c r="E98" s="65"/>
      <c r="F98" s="235"/>
    </row>
    <row r="99" spans="1:8" s="4" customFormat="1" x14ac:dyDescent="0.3">
      <c r="A99" s="88" t="s">
        <v>505</v>
      </c>
      <c r="B99" s="289" t="s">
        <v>506</v>
      </c>
      <c r="C99" s="88" t="s">
        <v>507</v>
      </c>
      <c r="D99" s="619">
        <f>34082.69/16</f>
        <v>2130.1681250000001</v>
      </c>
      <c r="E99" s="288" t="s">
        <v>364</v>
      </c>
      <c r="F99" s="235">
        <v>45625</v>
      </c>
      <c r="G99" s="121"/>
      <c r="H99" s="121"/>
    </row>
    <row r="100" spans="1:8" s="4" customFormat="1" x14ac:dyDescent="0.3">
      <c r="A100" s="60" t="s">
        <v>508</v>
      </c>
      <c r="B100" s="117" t="s">
        <v>509</v>
      </c>
      <c r="C100" s="60" t="s">
        <v>510</v>
      </c>
      <c r="D100" s="620">
        <v>26322.68</v>
      </c>
      <c r="E100" s="274" t="s">
        <v>511</v>
      </c>
      <c r="F100" s="235">
        <v>45583</v>
      </c>
      <c r="G100" s="120"/>
      <c r="H100" s="119"/>
    </row>
    <row r="101" spans="1:8" s="4" customFormat="1" x14ac:dyDescent="0.3">
      <c r="A101" s="60" t="s">
        <v>512</v>
      </c>
      <c r="B101" s="117" t="s">
        <v>513</v>
      </c>
      <c r="C101" s="60" t="s">
        <v>514</v>
      </c>
      <c r="D101" s="620">
        <v>51752.74</v>
      </c>
      <c r="E101" s="274" t="s">
        <v>511</v>
      </c>
      <c r="F101" s="235">
        <v>45602</v>
      </c>
      <c r="G101" s="119"/>
      <c r="H101" s="119"/>
    </row>
    <row r="102" spans="1:8" s="4" customFormat="1" x14ac:dyDescent="0.3">
      <c r="A102" s="60" t="s">
        <v>515</v>
      </c>
      <c r="B102" s="117" t="s">
        <v>516</v>
      </c>
      <c r="C102" s="60" t="s">
        <v>52</v>
      </c>
      <c r="D102" s="760">
        <f>+D103/3.66</f>
        <v>1213.73</v>
      </c>
      <c r="E102" s="274" t="s">
        <v>511</v>
      </c>
      <c r="F102" s="235">
        <v>45583</v>
      </c>
      <c r="G102" s="287"/>
      <c r="H102" s="290"/>
    </row>
    <row r="103" spans="1:8" s="4" customFormat="1" x14ac:dyDescent="0.3">
      <c r="A103" s="60" t="s">
        <v>517</v>
      </c>
      <c r="B103" s="117" t="s">
        <v>518</v>
      </c>
      <c r="C103" s="60" t="s">
        <v>519</v>
      </c>
      <c r="D103" s="620">
        <f>1213.73*3.66</f>
        <v>4442.2518</v>
      </c>
      <c r="E103" s="274" t="s">
        <v>511</v>
      </c>
      <c r="F103" s="235">
        <v>45583</v>
      </c>
      <c r="G103" s="287"/>
      <c r="H103" s="287"/>
    </row>
    <row r="104" spans="1:8" x14ac:dyDescent="0.3">
      <c r="A104" s="60"/>
      <c r="B104" s="178"/>
      <c r="C104" s="60"/>
      <c r="D104" s="620"/>
      <c r="E104" s="274"/>
      <c r="F104" s="235"/>
    </row>
    <row r="105" spans="1:8" x14ac:dyDescent="0.3">
      <c r="A105" s="87"/>
      <c r="B105" s="55"/>
      <c r="C105" s="59"/>
      <c r="D105" s="56"/>
      <c r="E105" s="66"/>
      <c r="F105" s="235"/>
      <c r="H105" s="237"/>
    </row>
    <row r="106" spans="1:8" ht="5.25" customHeight="1" x14ac:dyDescent="0.3">
      <c r="A106" s="37"/>
      <c r="B106" s="57"/>
      <c r="C106" s="37"/>
      <c r="D106" s="58"/>
      <c r="E106" s="65"/>
      <c r="F106" s="235"/>
    </row>
    <row r="107" spans="1:8" x14ac:dyDescent="0.3">
      <c r="A107" s="88" t="s">
        <v>520</v>
      </c>
      <c r="B107" s="289" t="s">
        <v>521</v>
      </c>
      <c r="C107" s="88" t="s">
        <v>522</v>
      </c>
      <c r="D107" s="619">
        <v>1269.26</v>
      </c>
      <c r="E107" s="288" t="s">
        <v>364</v>
      </c>
      <c r="F107" s="235">
        <v>45625</v>
      </c>
    </row>
    <row r="108" spans="1:8" s="4" customFormat="1" x14ac:dyDescent="0.3">
      <c r="A108" s="60" t="s">
        <v>523</v>
      </c>
      <c r="B108" s="268" t="s">
        <v>524</v>
      </c>
      <c r="C108" s="9" t="s">
        <v>59</v>
      </c>
      <c r="D108" s="620">
        <v>137000</v>
      </c>
      <c r="E108" s="236" t="s">
        <v>525</v>
      </c>
      <c r="F108" s="235">
        <v>45616</v>
      </c>
      <c r="G108" s="119"/>
      <c r="H108" s="12"/>
    </row>
    <row r="109" spans="1:8" x14ac:dyDescent="0.3">
      <c r="A109" s="60"/>
      <c r="B109" s="10" t="s">
        <v>526</v>
      </c>
      <c r="C109" s="9" t="s">
        <v>352</v>
      </c>
      <c r="D109" s="620">
        <v>500000</v>
      </c>
      <c r="E109" s="236" t="s">
        <v>525</v>
      </c>
      <c r="F109" s="235">
        <v>45616</v>
      </c>
    </row>
    <row r="110" spans="1:8" x14ac:dyDescent="0.3">
      <c r="A110" s="27"/>
      <c r="B110" s="10" t="s">
        <v>527</v>
      </c>
      <c r="C110" s="9" t="s">
        <v>59</v>
      </c>
      <c r="D110" s="620">
        <v>5000</v>
      </c>
      <c r="E110" s="236" t="s">
        <v>525</v>
      </c>
      <c r="F110" s="235">
        <v>45616</v>
      </c>
    </row>
    <row r="111" spans="1:8" s="5" customFormat="1" ht="12.75" customHeight="1" x14ac:dyDescent="0.3">
      <c r="A111" s="60" t="s">
        <v>528</v>
      </c>
      <c r="B111" s="10" t="s">
        <v>529</v>
      </c>
      <c r="C111" s="9" t="s">
        <v>17</v>
      </c>
      <c r="D111" s="270"/>
      <c r="E111" s="118"/>
      <c r="F111" s="222"/>
      <c r="G111" s="222"/>
      <c r="H111" s="12"/>
    </row>
    <row r="112" spans="1:8" x14ac:dyDescent="0.3">
      <c r="A112" s="60"/>
      <c r="B112" s="10"/>
      <c r="C112" s="9"/>
      <c r="D112" s="270"/>
      <c r="E112" s="64"/>
    </row>
    <row r="113" spans="1:8" s="4" customFormat="1" x14ac:dyDescent="0.3">
      <c r="A113" s="60" t="s">
        <v>530</v>
      </c>
      <c r="B113" s="782" t="s">
        <v>531</v>
      </c>
      <c r="C113" s="783" t="s">
        <v>59</v>
      </c>
      <c r="D113" s="780">
        <v>11841.208665253023</v>
      </c>
      <c r="E113" s="781" t="s">
        <v>532</v>
      </c>
      <c r="F113" s="789">
        <v>45306</v>
      </c>
      <c r="G113" s="119"/>
      <c r="H113" s="12"/>
    </row>
    <row r="114" spans="1:8" s="4" customFormat="1" x14ac:dyDescent="0.3">
      <c r="A114" s="60" t="s">
        <v>533</v>
      </c>
      <c r="B114" s="782" t="s">
        <v>534</v>
      </c>
      <c r="C114" s="783" t="s">
        <v>279</v>
      </c>
      <c r="D114" s="780">
        <v>78490.297438248614</v>
      </c>
      <c r="E114" s="781"/>
      <c r="F114" s="789">
        <v>45306</v>
      </c>
      <c r="G114" s="119"/>
      <c r="H114" s="12"/>
    </row>
    <row r="115" spans="1:8" x14ac:dyDescent="0.3">
      <c r="A115" s="60"/>
      <c r="B115" s="10"/>
      <c r="C115" s="9"/>
      <c r="D115" s="270"/>
      <c r="E115" s="64"/>
      <c r="F115" s="84"/>
    </row>
    <row r="116" spans="1:8" x14ac:dyDescent="0.3">
      <c r="A116" s="60"/>
      <c r="B116" s="782" t="s">
        <v>535</v>
      </c>
      <c r="C116" s="783" t="s">
        <v>59</v>
      </c>
      <c r="D116" s="780">
        <v>9811.2871797810767</v>
      </c>
      <c r="E116" s="781" t="s">
        <v>536</v>
      </c>
      <c r="F116" s="789">
        <v>45306</v>
      </c>
      <c r="G116" s="85"/>
    </row>
    <row r="117" spans="1:8" x14ac:dyDescent="0.3">
      <c r="A117" s="60"/>
      <c r="B117" s="10"/>
      <c r="C117" s="9"/>
      <c r="D117" s="270"/>
      <c r="E117" s="64"/>
      <c r="F117" s="84"/>
    </row>
    <row r="118" spans="1:8" x14ac:dyDescent="0.3">
      <c r="A118" s="87"/>
      <c r="B118" s="784" t="s">
        <v>537</v>
      </c>
      <c r="C118" s="785" t="s">
        <v>538</v>
      </c>
      <c r="D118" s="791">
        <v>89473.123326587185</v>
      </c>
      <c r="E118" s="786" t="s">
        <v>426</v>
      </c>
      <c r="F118" s="789">
        <v>45306</v>
      </c>
    </row>
    <row r="119" spans="1:8" x14ac:dyDescent="0.3">
      <c r="B119" s="24" t="s">
        <v>539</v>
      </c>
      <c r="D119" s="790"/>
    </row>
    <row r="120" spans="1:8" x14ac:dyDescent="0.3">
      <c r="A120" s="776"/>
      <c r="B120" s="619" t="s">
        <v>540</v>
      </c>
      <c r="C120" s="288" t="s">
        <v>52</v>
      </c>
      <c r="D120" s="302">
        <f>2000.78/3</f>
        <v>666.92666666666662</v>
      </c>
      <c r="E120" s="288" t="s">
        <v>541</v>
      </c>
      <c r="F120" s="84">
        <v>45636</v>
      </c>
    </row>
    <row r="121" spans="1:8" x14ac:dyDescent="0.3">
      <c r="A121" s="774"/>
      <c r="B121" s="620" t="s">
        <v>542</v>
      </c>
      <c r="C121" s="64" t="s">
        <v>52</v>
      </c>
      <c r="D121" s="283">
        <f>1906.68/3</f>
        <v>635.56000000000006</v>
      </c>
      <c r="E121" s="64" t="s">
        <v>541</v>
      </c>
      <c r="F121" s="84">
        <v>45636</v>
      </c>
    </row>
    <row r="122" spans="1:8" x14ac:dyDescent="0.3">
      <c r="A122" s="774"/>
      <c r="B122" s="620" t="s">
        <v>543</v>
      </c>
      <c r="C122" s="64" t="s">
        <v>52</v>
      </c>
      <c r="D122" s="283">
        <f>1416.54/3</f>
        <v>472.18</v>
      </c>
      <c r="E122" s="64" t="s">
        <v>541</v>
      </c>
      <c r="F122" s="84">
        <v>45636</v>
      </c>
    </row>
    <row r="123" spans="1:8" x14ac:dyDescent="0.3">
      <c r="A123" s="774"/>
      <c r="B123" s="620" t="s">
        <v>544</v>
      </c>
      <c r="C123" s="64" t="s">
        <v>17</v>
      </c>
      <c r="D123" s="283">
        <f>+D124*0.8</f>
        <v>225.83200000000002</v>
      </c>
      <c r="E123" s="64" t="s">
        <v>541</v>
      </c>
      <c r="F123" s="84">
        <v>45636</v>
      </c>
    </row>
    <row r="124" spans="1:8" x14ac:dyDescent="0.3">
      <c r="A124" s="774"/>
      <c r="B124" s="620" t="s">
        <v>545</v>
      </c>
      <c r="C124" s="64" t="s">
        <v>17</v>
      </c>
      <c r="D124" s="283">
        <f>282.29</f>
        <v>282.29000000000002</v>
      </c>
      <c r="E124" s="64" t="s">
        <v>541</v>
      </c>
      <c r="F124" s="84">
        <v>45636</v>
      </c>
      <c r="H124" s="85">
        <f>+D125/D124</f>
        <v>1.2438981189556837</v>
      </c>
    </row>
    <row r="125" spans="1:8" x14ac:dyDescent="0.3">
      <c r="A125" s="774"/>
      <c r="B125" s="620" t="s">
        <v>546</v>
      </c>
      <c r="C125" s="64" t="s">
        <v>17</v>
      </c>
      <c r="D125" s="35">
        <f>351.14</f>
        <v>351.14</v>
      </c>
      <c r="E125" s="64" t="s">
        <v>541</v>
      </c>
      <c r="F125" s="84">
        <v>45636</v>
      </c>
      <c r="G125" s="85"/>
    </row>
    <row r="126" spans="1:8" x14ac:dyDescent="0.3">
      <c r="A126" s="774"/>
      <c r="B126" s="620" t="s">
        <v>547</v>
      </c>
      <c r="C126" s="64" t="s">
        <v>17</v>
      </c>
      <c r="D126" s="283">
        <f>+D127*0.6</f>
        <v>110.922</v>
      </c>
      <c r="E126" s="64" t="s">
        <v>541</v>
      </c>
      <c r="F126" s="84">
        <v>45636</v>
      </c>
      <c r="G126" s="12" t="s">
        <v>548</v>
      </c>
    </row>
    <row r="127" spans="1:8" x14ac:dyDescent="0.3">
      <c r="A127" s="774"/>
      <c r="B127" s="620" t="s">
        <v>549</v>
      </c>
      <c r="C127" s="64" t="s">
        <v>17</v>
      </c>
      <c r="D127" s="283">
        <f>184.87</f>
        <v>184.87</v>
      </c>
      <c r="E127" s="64" t="s">
        <v>541</v>
      </c>
      <c r="F127" s="84">
        <v>45636</v>
      </c>
      <c r="G127" s="12" t="s">
        <v>548</v>
      </c>
      <c r="H127" s="85">
        <f>+D128/D127</f>
        <v>1.5151187320820036</v>
      </c>
    </row>
    <row r="128" spans="1:8" x14ac:dyDescent="0.3">
      <c r="A128" s="774"/>
      <c r="B128" s="620" t="s">
        <v>550</v>
      </c>
      <c r="C128" s="64" t="s">
        <v>17</v>
      </c>
      <c r="D128" s="283">
        <f>280.1</f>
        <v>280.10000000000002</v>
      </c>
      <c r="E128" s="64" t="s">
        <v>541</v>
      </c>
      <c r="F128" s="84">
        <v>45636</v>
      </c>
      <c r="G128" s="12" t="s">
        <v>548</v>
      </c>
    </row>
    <row r="129" spans="1:9" x14ac:dyDescent="0.3">
      <c r="A129" s="774"/>
      <c r="B129" s="620" t="s">
        <v>551</v>
      </c>
      <c r="C129" s="64" t="s">
        <v>52</v>
      </c>
      <c r="D129" s="283">
        <f>31644.45/100</f>
        <v>316.44450000000001</v>
      </c>
      <c r="E129" s="64" t="s">
        <v>541</v>
      </c>
      <c r="F129" s="84">
        <v>45636</v>
      </c>
    </row>
    <row r="130" spans="1:9" x14ac:dyDescent="0.3">
      <c r="A130" s="774"/>
      <c r="B130" s="620" t="s">
        <v>552</v>
      </c>
      <c r="C130" s="60" t="s">
        <v>52</v>
      </c>
      <c r="D130" s="283">
        <f>50931.49/100</f>
        <v>509.31489999999997</v>
      </c>
      <c r="E130" s="64" t="s">
        <v>541</v>
      </c>
      <c r="F130" s="84">
        <v>45636</v>
      </c>
    </row>
    <row r="131" spans="1:9" x14ac:dyDescent="0.3">
      <c r="A131" s="774"/>
      <c r="B131" s="620" t="s">
        <v>553</v>
      </c>
      <c r="C131" s="60" t="s">
        <v>52</v>
      </c>
      <c r="D131" s="283">
        <f>+D130</f>
        <v>509.31489999999997</v>
      </c>
      <c r="E131" s="64" t="s">
        <v>541</v>
      </c>
      <c r="F131" s="84">
        <v>45636</v>
      </c>
    </row>
    <row r="132" spans="1:9" x14ac:dyDescent="0.3">
      <c r="A132" s="774"/>
      <c r="B132" s="620" t="s">
        <v>554</v>
      </c>
      <c r="C132" s="60" t="s">
        <v>52</v>
      </c>
      <c r="D132" s="283">
        <f>834.6</f>
        <v>834.6</v>
      </c>
      <c r="E132" s="64" t="s">
        <v>541</v>
      </c>
      <c r="F132" s="84">
        <v>45636</v>
      </c>
      <c r="I132" s="178"/>
    </row>
    <row r="133" spans="1:9" x14ac:dyDescent="0.3">
      <c r="A133" s="774"/>
      <c r="B133" s="620" t="s">
        <v>555</v>
      </c>
      <c r="C133" s="60" t="s">
        <v>17</v>
      </c>
      <c r="D133" s="283">
        <f>202.42</f>
        <v>202.42</v>
      </c>
      <c r="E133" s="64" t="s">
        <v>541</v>
      </c>
      <c r="F133" s="84">
        <v>45636</v>
      </c>
      <c r="I133" s="419"/>
    </row>
    <row r="134" spans="1:9" x14ac:dyDescent="0.3">
      <c r="A134" s="774"/>
      <c r="B134" s="620" t="s">
        <v>556</v>
      </c>
      <c r="C134" s="60" t="s">
        <v>17</v>
      </c>
      <c r="D134" s="276">
        <f>130000/50/1.21</f>
        <v>2148.7603305785124</v>
      </c>
      <c r="E134" s="64" t="s">
        <v>426</v>
      </c>
      <c r="F134" s="84">
        <v>45654</v>
      </c>
    </row>
    <row r="135" spans="1:9" x14ac:dyDescent="0.3">
      <c r="A135" s="774"/>
      <c r="B135" s="620" t="s">
        <v>557</v>
      </c>
      <c r="C135" s="60" t="s">
        <v>17</v>
      </c>
      <c r="D135" s="283">
        <f>202.42</f>
        <v>202.42</v>
      </c>
      <c r="E135" s="64" t="s">
        <v>541</v>
      </c>
      <c r="F135" s="84">
        <v>45636</v>
      </c>
    </row>
    <row r="136" spans="1:9" x14ac:dyDescent="0.3">
      <c r="A136" s="774"/>
      <c r="B136" s="620" t="s">
        <v>558</v>
      </c>
      <c r="C136" s="60" t="s">
        <v>17</v>
      </c>
      <c r="D136" s="283">
        <f>23404.92</f>
        <v>23404.92</v>
      </c>
      <c r="E136" s="64" t="s">
        <v>541</v>
      </c>
      <c r="F136" s="84">
        <v>45636</v>
      </c>
      <c r="G136" s="12" t="s">
        <v>559</v>
      </c>
    </row>
    <row r="137" spans="1:9" x14ac:dyDescent="0.3">
      <c r="A137" s="774"/>
      <c r="B137" s="780" t="s">
        <v>560</v>
      </c>
      <c r="C137" s="783" t="s">
        <v>17</v>
      </c>
      <c r="D137" s="797">
        <v>15710.58</v>
      </c>
      <c r="E137" s="781" t="s">
        <v>541</v>
      </c>
      <c r="F137" s="758">
        <v>45510</v>
      </c>
    </row>
    <row r="138" spans="1:9" x14ac:dyDescent="0.3">
      <c r="A138" s="774"/>
      <c r="B138" s="620" t="s">
        <v>561</v>
      </c>
      <c r="C138" s="60" t="s">
        <v>17</v>
      </c>
      <c r="D138" s="283">
        <f>13078.33</f>
        <v>13078.33</v>
      </c>
      <c r="E138" s="64" t="s">
        <v>541</v>
      </c>
      <c r="F138" s="84">
        <v>45636</v>
      </c>
    </row>
    <row r="139" spans="1:9" x14ac:dyDescent="0.3">
      <c r="A139" s="774"/>
      <c r="B139" s="620" t="s">
        <v>562</v>
      </c>
      <c r="C139" s="60" t="s">
        <v>17</v>
      </c>
      <c r="D139" s="283">
        <f>1980.42</f>
        <v>1980.42</v>
      </c>
      <c r="E139" s="64" t="s">
        <v>541</v>
      </c>
      <c r="F139" s="84">
        <v>45636</v>
      </c>
    </row>
    <row r="140" spans="1:9" x14ac:dyDescent="0.3">
      <c r="A140" s="774"/>
      <c r="B140" s="780" t="s">
        <v>563</v>
      </c>
      <c r="C140" s="783" t="s">
        <v>17</v>
      </c>
      <c r="D140" s="797">
        <v>6314.13</v>
      </c>
      <c r="E140" s="781" t="s">
        <v>541</v>
      </c>
      <c r="F140" s="758">
        <v>45510</v>
      </c>
    </row>
    <row r="141" spans="1:9" x14ac:dyDescent="0.3">
      <c r="A141" s="774"/>
      <c r="B141" s="780" t="s">
        <v>564</v>
      </c>
      <c r="C141" s="783" t="s">
        <v>17</v>
      </c>
      <c r="D141" s="797">
        <f>+D140</f>
        <v>6314.13</v>
      </c>
      <c r="E141" s="781" t="s">
        <v>541</v>
      </c>
      <c r="F141" s="758"/>
    </row>
    <row r="142" spans="1:9" x14ac:dyDescent="0.3">
      <c r="A142" s="774"/>
      <c r="B142" s="780" t="s">
        <v>565</v>
      </c>
      <c r="C142" s="783" t="s">
        <v>17</v>
      </c>
      <c r="D142" s="797">
        <v>1844.8</v>
      </c>
      <c r="E142" s="781" t="s">
        <v>541</v>
      </c>
      <c r="F142" s="789">
        <v>45510</v>
      </c>
    </row>
    <row r="143" spans="1:9" x14ac:dyDescent="0.3">
      <c r="A143" s="774"/>
      <c r="B143" s="808" t="s">
        <v>566</v>
      </c>
      <c r="C143" s="60" t="s">
        <v>17</v>
      </c>
      <c r="D143" s="283">
        <f>77112/100</f>
        <v>771.12</v>
      </c>
      <c r="E143" s="64" t="s">
        <v>541</v>
      </c>
      <c r="F143" s="84">
        <v>45636</v>
      </c>
    </row>
    <row r="144" spans="1:9" x14ac:dyDescent="0.3">
      <c r="A144" s="774"/>
      <c r="B144" s="620" t="s">
        <v>567</v>
      </c>
      <c r="C144" s="60" t="s">
        <v>17</v>
      </c>
      <c r="D144" s="283">
        <f>1747.6</f>
        <v>1747.6</v>
      </c>
      <c r="E144" s="64" t="s">
        <v>541</v>
      </c>
      <c r="F144" s="84">
        <v>45636</v>
      </c>
    </row>
    <row r="145" spans="1:7" x14ac:dyDescent="0.3">
      <c r="A145" s="775"/>
      <c r="B145" s="621" t="s">
        <v>568</v>
      </c>
      <c r="C145" s="87" t="s">
        <v>17</v>
      </c>
      <c r="D145" s="303">
        <f>(50.83+39.19)</f>
        <v>90.02</v>
      </c>
      <c r="E145" s="66" t="s">
        <v>541</v>
      </c>
      <c r="F145" s="84">
        <v>45636</v>
      </c>
    </row>
    <row r="146" spans="1:7" x14ac:dyDescent="0.3">
      <c r="A146" s="36"/>
      <c r="B146" s="777" t="s">
        <v>569</v>
      </c>
      <c r="C146" s="65"/>
      <c r="D146" s="772"/>
      <c r="E146" s="778"/>
    </row>
    <row r="147" spans="1:7" x14ac:dyDescent="0.3">
      <c r="A147" s="773"/>
      <c r="B147" s="619" t="s">
        <v>570</v>
      </c>
      <c r="C147" s="88" t="s">
        <v>17</v>
      </c>
      <c r="D147" s="619">
        <f>24486.77/1.21</f>
        <v>20237</v>
      </c>
      <c r="E147" s="607" t="s">
        <v>211</v>
      </c>
      <c r="F147" s="723">
        <v>45631</v>
      </c>
      <c r="G147" s="767"/>
    </row>
    <row r="148" spans="1:7" x14ac:dyDescent="0.3">
      <c r="A148" s="27"/>
      <c r="B148" s="41" t="s">
        <v>571</v>
      </c>
      <c r="C148" s="60" t="s">
        <v>355</v>
      </c>
      <c r="D148" s="798">
        <f>54050/1.21</f>
        <v>44669.421487603307</v>
      </c>
      <c r="E148" s="799" t="s">
        <v>426</v>
      </c>
      <c r="F148" s="723">
        <v>45631</v>
      </c>
      <c r="G148" s="805" t="s">
        <v>572</v>
      </c>
    </row>
    <row r="149" spans="1:7" x14ac:dyDescent="0.3">
      <c r="A149" s="27"/>
      <c r="B149" s="41" t="s">
        <v>573</v>
      </c>
      <c r="C149" s="60" t="s">
        <v>574</v>
      </c>
      <c r="D149" s="620">
        <f>5858.82/1.21</f>
        <v>4842</v>
      </c>
      <c r="E149" s="608" t="s">
        <v>211</v>
      </c>
      <c r="F149" s="723">
        <v>45631</v>
      </c>
      <c r="G149" s="767"/>
    </row>
    <row r="150" spans="1:7" x14ac:dyDescent="0.3">
      <c r="A150" s="27"/>
      <c r="B150" s="41" t="s">
        <v>575</v>
      </c>
      <c r="C150" s="60" t="s">
        <v>17</v>
      </c>
      <c r="D150" s="620">
        <f>15000/1.21</f>
        <v>12396.694214876034</v>
      </c>
      <c r="E150" s="64"/>
      <c r="F150" s="723">
        <v>45631</v>
      </c>
      <c r="G150" s="767"/>
    </row>
    <row r="151" spans="1:7" x14ac:dyDescent="0.3">
      <c r="A151" s="30"/>
      <c r="B151" s="56" t="s">
        <v>576</v>
      </c>
      <c r="C151" s="87" t="s">
        <v>352</v>
      </c>
      <c r="D151" s="761">
        <v>465850</v>
      </c>
      <c r="E151" s="66" t="s">
        <v>577</v>
      </c>
      <c r="F151" s="723">
        <v>45631</v>
      </c>
    </row>
  </sheetData>
  <autoFilter ref="A7:E8" xr:uid="{00000000-0001-0000-0400-000000000000}"/>
  <mergeCells count="3">
    <mergeCell ref="A1:D1"/>
    <mergeCell ref="A2:D2"/>
    <mergeCell ref="A3:D3"/>
  </mergeCells>
  <hyperlinks>
    <hyperlink ref="G42" r:id="rId1" location="polycard_client=search-nordic&amp;position=11&amp;search_layout=grid&amp;type=item&amp;tracking_id=c5802d9e-4804-403a-958c-824dd473f5b4" xr:uid="{A8D632E0-321F-4760-BD00-388288D75E51}"/>
    <hyperlink ref="G148" r:id="rId2" display="https://articulo.mercadolibre.com.ar/MLA-695124291-niveladores-porcelanato-1050-arcos-150-cunas-_JM?matt_tool=62476992&amp;matt_word=&amp;matt_source=google&amp;matt_campaign_id=14508409193&amp;matt_ad_group_id=144413706239&amp;matt_match_type=&amp;matt_network=g&amp;matt_device=c&amp;matt_creative=644633625334&amp;matt_keyword=&amp;matt_ad_position=&amp;matt_ad_type=pla&amp;matt_merchant_id=310094797&amp;matt_product_id=MLA695124291&amp;matt_product_partition_id=2163484155058&amp;matt_target_id=aud-1925157273100:pla-2163484155058&amp;cq_src=google_ads&amp;cq_cmp=14508409193&amp;cq_net=g&amp;cq_plt=gp&amp;cq_med=pla&amp;gad_source=1&amp;gclid=Cj0KCQiAu8W6BhC-ARIsACEQoDDep1arVYfWC4pApbNWm2DE8Ln37JRVhHUMtagELBFNL57Db29AZ20aAsBIEALw_wcB" xr:uid="{325A28D7-D68E-4861-9899-42C985042893}"/>
  </hyperlinks>
  <pageMargins left="0.70866141732283472" right="0.70866141732283472" top="0.74803149606299213" bottom="0.74803149606299213" header="0.31496062992125984" footer="0.31496062992125984"/>
  <pageSetup paperSize="119" scale="38" orientation="portrait" r:id="rId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O37"/>
  <sheetViews>
    <sheetView workbookViewId="0">
      <selection activeCell="F9" sqref="F9"/>
    </sheetView>
  </sheetViews>
  <sheetFormatPr defaultColWidth="11.453125" defaultRowHeight="12.5" x14ac:dyDescent="0.25"/>
  <cols>
    <col min="1" max="1" width="7.6328125" customWidth="1"/>
    <col min="2" max="2" width="35.6328125" customWidth="1"/>
    <col min="3" max="3" width="7.08984375" bestFit="1" customWidth="1"/>
    <col min="4" max="4" width="8.6328125" style="301" customWidth="1"/>
    <col min="5" max="5" width="15.36328125" bestFit="1" customWidth="1"/>
    <col min="6" max="6" width="9.453125" customWidth="1"/>
    <col min="7" max="7" width="11" bestFit="1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ht="13" x14ac:dyDescent="0.3">
      <c r="A2" s="162"/>
      <c r="B2" s="162"/>
      <c r="C2" s="162"/>
      <c r="D2" s="250"/>
      <c r="E2" s="162"/>
      <c r="F2" s="240" t="s">
        <v>78</v>
      </c>
      <c r="G2" s="509" t="s">
        <v>578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251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33"/>
      <c r="E4" s="122"/>
      <c r="F4" s="123" t="s">
        <v>580</v>
      </c>
      <c r="G4" s="126">
        <v>32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871" t="s">
        <v>578</v>
      </c>
      <c r="C5" s="872"/>
      <c r="D5" s="872"/>
      <c r="E5" s="872"/>
      <c r="F5" s="872"/>
      <c r="G5" s="872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510" t="s">
        <v>578</v>
      </c>
      <c r="C6" s="122"/>
      <c r="D6" s="33"/>
      <c r="E6" s="122"/>
      <c r="F6" s="123" t="s">
        <v>583</v>
      </c>
      <c r="G6" s="510" t="s">
        <v>578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585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33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  <c r="N8" s="1"/>
      <c r="O8" s="1"/>
    </row>
    <row r="9" spans="1:15" ht="13" x14ac:dyDescent="0.3">
      <c r="A9" s="122"/>
      <c r="B9" s="122"/>
      <c r="C9" s="132" t="s">
        <v>59</v>
      </c>
      <c r="D9" s="33"/>
      <c r="E9" s="564">
        <v>100</v>
      </c>
      <c r="F9" s="185">
        <v>25</v>
      </c>
      <c r="G9" s="158" t="s">
        <v>589</v>
      </c>
      <c r="H9" s="162"/>
      <c r="I9" s="1"/>
      <c r="J9" s="1">
        <f>65*0.4</f>
        <v>26</v>
      </c>
      <c r="K9" s="1"/>
      <c r="L9" s="1">
        <v>120</v>
      </c>
      <c r="M9" s="1">
        <v>0.4</v>
      </c>
      <c r="N9" s="1">
        <f>+L9*M9</f>
        <v>48</v>
      </c>
      <c r="O9" s="1"/>
    </row>
    <row r="10" spans="1:15" ht="13" x14ac:dyDescent="0.3">
      <c r="A10" s="128" t="s">
        <v>590</v>
      </c>
      <c r="B10" s="122"/>
      <c r="C10" s="122"/>
      <c r="D10" s="33"/>
      <c r="E10" s="122"/>
      <c r="F10" s="122"/>
      <c r="G10" s="122"/>
      <c r="H10" s="162"/>
      <c r="I10" s="1"/>
      <c r="J10" s="1"/>
      <c r="K10" s="1"/>
      <c r="L10" s="1">
        <v>60</v>
      </c>
      <c r="M10" s="1">
        <v>0.4</v>
      </c>
      <c r="N10" s="1">
        <f>+L10*M10</f>
        <v>24</v>
      </c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252" t="s">
        <v>593</v>
      </c>
      <c r="E11" s="134" t="s">
        <v>594</v>
      </c>
      <c r="F11" s="134" t="s">
        <v>595</v>
      </c>
      <c r="G11" s="134" t="s">
        <v>596</v>
      </c>
      <c r="H11" s="399" t="s">
        <v>597</v>
      </c>
      <c r="I11" s="3"/>
      <c r="J11" s="3"/>
      <c r="K11" s="3"/>
      <c r="L11" s="3"/>
      <c r="M11" s="3"/>
      <c r="N11" s="3"/>
      <c r="O11" s="1"/>
    </row>
    <row r="12" spans="1:15" ht="13" x14ac:dyDescent="0.3">
      <c r="A12" s="512"/>
      <c r="B12" s="512" t="s">
        <v>535</v>
      </c>
      <c r="C12" s="513" t="s">
        <v>59</v>
      </c>
      <c r="D12" s="514">
        <v>1</v>
      </c>
      <c r="E12" s="512">
        <f>VLOOKUP(B12,Materiales!$B$8:$D$118,3,FALSE)</f>
        <v>9811.2871797810767</v>
      </c>
      <c r="F12" s="512">
        <v>30</v>
      </c>
      <c r="G12" s="515">
        <f>+D12*E12*((F12+100)/100)</f>
        <v>12754.6733337154</v>
      </c>
      <c r="H12" s="516">
        <f>+D12*$E$9</f>
        <v>100</v>
      </c>
      <c r="I12" s="1"/>
      <c r="J12" s="1"/>
      <c r="K12" s="1"/>
      <c r="L12" s="1"/>
      <c r="M12" s="1"/>
      <c r="N12" s="1"/>
      <c r="O12" s="1"/>
    </row>
    <row r="13" spans="1:15" ht="13" x14ac:dyDescent="0.3">
      <c r="A13" s="122"/>
      <c r="B13" s="122"/>
      <c r="C13" s="122"/>
      <c r="D13" s="79"/>
      <c r="E13" s="360"/>
      <c r="F13" s="123" t="s">
        <v>598</v>
      </c>
      <c r="G13" s="390">
        <f>SUM(G12:G12)</f>
        <v>12754.6733337154</v>
      </c>
      <c r="H13" s="162"/>
      <c r="I13" s="1"/>
      <c r="J13" s="1"/>
      <c r="K13" s="1"/>
      <c r="L13" s="1"/>
      <c r="M13" s="1">
        <v>250</v>
      </c>
      <c r="N13" s="1">
        <v>0.5</v>
      </c>
      <c r="O13" s="1">
        <f>+M13*N13</f>
        <v>125</v>
      </c>
    </row>
    <row r="14" spans="1:15" ht="13" x14ac:dyDescent="0.3">
      <c r="A14" s="122"/>
      <c r="B14" s="122"/>
      <c r="C14" s="122"/>
      <c r="D14" s="33"/>
      <c r="E14" s="143"/>
      <c r="F14" s="144" t="s">
        <v>9</v>
      </c>
      <c r="G14" s="156">
        <f>+G13</f>
        <v>12754.6733337154</v>
      </c>
      <c r="H14" s="162"/>
      <c r="I14" s="1"/>
      <c r="J14" s="1"/>
      <c r="K14" s="1"/>
      <c r="L14" s="1"/>
      <c r="M14" s="1">
        <v>250</v>
      </c>
      <c r="N14" s="1">
        <v>0.4</v>
      </c>
      <c r="O14" s="1">
        <f>+M14*N14</f>
        <v>100</v>
      </c>
    </row>
    <row r="15" spans="1:15" ht="13" x14ac:dyDescent="0.3">
      <c r="A15" s="128" t="s">
        <v>599</v>
      </c>
      <c r="B15" s="122"/>
      <c r="C15" s="122"/>
      <c r="D15" s="33"/>
      <c r="E15" s="122"/>
      <c r="F15" s="122"/>
      <c r="G15" s="122"/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3" t="s">
        <v>79</v>
      </c>
      <c r="B16" s="134" t="s">
        <v>591</v>
      </c>
      <c r="C16" s="134"/>
      <c r="D16" s="252" t="s">
        <v>593</v>
      </c>
      <c r="E16" s="134" t="s">
        <v>600</v>
      </c>
      <c r="F16" s="417" t="s">
        <v>87</v>
      </c>
      <c r="G16" s="135" t="s">
        <v>596</v>
      </c>
      <c r="H16" s="167"/>
      <c r="I16" s="3"/>
      <c r="J16" s="3"/>
      <c r="K16" s="3"/>
      <c r="L16" s="3"/>
      <c r="M16" s="3"/>
      <c r="N16" s="3"/>
      <c r="O16" s="1"/>
    </row>
    <row r="17" spans="1:8" ht="13" x14ac:dyDescent="0.3">
      <c r="A17" s="174"/>
      <c r="B17" s="517" t="s">
        <v>193</v>
      </c>
      <c r="C17" s="298" t="s">
        <v>601</v>
      </c>
      <c r="D17" s="478">
        <v>1</v>
      </c>
      <c r="E17" s="518">
        <f>VLOOKUP(B17,'Rend. Equipos'!$B$7:$E$222,4,FALSE)</f>
        <v>464850</v>
      </c>
      <c r="F17" s="518">
        <v>1</v>
      </c>
      <c r="G17" s="518">
        <f>+E17*D17*F17</f>
        <v>464850</v>
      </c>
      <c r="H17" s="167"/>
    </row>
    <row r="18" spans="1:8" ht="13" x14ac:dyDescent="0.3">
      <c r="A18" s="177"/>
      <c r="B18" s="28" t="s">
        <v>203</v>
      </c>
      <c r="C18" s="428" t="s">
        <v>601</v>
      </c>
      <c r="D18" s="520">
        <v>0</v>
      </c>
      <c r="E18" s="479">
        <f>VLOOKUP(B18,'Rend. Equipos'!$B$7:$E$222,4,FALSE)</f>
        <v>107808</v>
      </c>
      <c r="F18" s="479">
        <v>1</v>
      </c>
      <c r="G18" s="479">
        <f>+E18*D18*F18</f>
        <v>0</v>
      </c>
      <c r="H18" s="167"/>
    </row>
    <row r="19" spans="1:8" ht="13" x14ac:dyDescent="0.3">
      <c r="A19" s="177"/>
      <c r="B19" s="519" t="s">
        <v>199</v>
      </c>
      <c r="C19" s="428" t="s">
        <v>601</v>
      </c>
      <c r="D19" s="520">
        <v>1</v>
      </c>
      <c r="E19" s="479">
        <f>VLOOKUP(B19,'Rend. Equipos'!$B$7:$E$222,4,FALSE)</f>
        <v>258250</v>
      </c>
      <c r="F19" s="479">
        <v>1</v>
      </c>
      <c r="G19" s="479">
        <f>+E19*D19*F19</f>
        <v>258250</v>
      </c>
      <c r="H19" s="167"/>
    </row>
    <row r="20" spans="1:8" ht="13" x14ac:dyDescent="0.3">
      <c r="A20" s="521"/>
      <c r="B20" s="522" t="s">
        <v>196</v>
      </c>
      <c r="C20" s="299" t="s">
        <v>601</v>
      </c>
      <c r="D20" s="523">
        <v>0.25</v>
      </c>
      <c r="E20" s="524">
        <f>VLOOKUP(B20,'Rend. Equipos'!$B$7:$E$222,4,FALSE)</f>
        <v>568150</v>
      </c>
      <c r="F20" s="524">
        <v>1</v>
      </c>
      <c r="G20" s="524">
        <f>+E20*D20*F20</f>
        <v>142037.5</v>
      </c>
      <c r="H20" s="167"/>
    </row>
    <row r="21" spans="1:8" ht="13" x14ac:dyDescent="0.3">
      <c r="A21" s="139"/>
      <c r="B21" s="139"/>
      <c r="C21" s="139"/>
      <c r="D21" s="254"/>
      <c r="E21" s="140"/>
      <c r="F21" s="141" t="s">
        <v>602</v>
      </c>
      <c r="G21" s="391">
        <f>SUM(G17:G20)</f>
        <v>865137.5</v>
      </c>
      <c r="H21" s="162"/>
    </row>
    <row r="22" spans="1:8" ht="13" x14ac:dyDescent="0.3">
      <c r="A22" s="122"/>
      <c r="B22" s="122"/>
      <c r="C22" s="122"/>
      <c r="D22" s="33"/>
      <c r="E22" s="143"/>
      <c r="F22" s="144" t="s">
        <v>11</v>
      </c>
      <c r="G22" s="156">
        <f>+G21/F9</f>
        <v>34605.5</v>
      </c>
      <c r="H22" s="162"/>
    </row>
    <row r="23" spans="1:8" ht="13" x14ac:dyDescent="0.3">
      <c r="A23" s="128" t="s">
        <v>603</v>
      </c>
      <c r="B23" s="122"/>
      <c r="C23" s="122"/>
      <c r="D23" s="33"/>
      <c r="E23" s="122"/>
      <c r="F23" s="122"/>
      <c r="G23" s="122"/>
      <c r="H23" s="162"/>
    </row>
    <row r="24" spans="1:8" ht="13" x14ac:dyDescent="0.3">
      <c r="A24" s="133" t="s">
        <v>79</v>
      </c>
      <c r="B24" s="134" t="s">
        <v>591</v>
      </c>
      <c r="C24" s="134" t="s">
        <v>592</v>
      </c>
      <c r="D24" s="252" t="s">
        <v>593</v>
      </c>
      <c r="E24" s="134" t="s">
        <v>604</v>
      </c>
      <c r="F24" s="134"/>
      <c r="G24" s="135" t="s">
        <v>596</v>
      </c>
      <c r="H24" s="167"/>
    </row>
    <row r="25" spans="1:8" ht="13" x14ac:dyDescent="0.3">
      <c r="A25" s="264" t="s">
        <v>255</v>
      </c>
      <c r="B25" s="175" t="s">
        <v>256</v>
      </c>
      <c r="C25" s="264" t="s">
        <v>605</v>
      </c>
      <c r="D25" s="433">
        <v>1</v>
      </c>
      <c r="E25" s="175">
        <f>VLOOKUP(B25,'Mano de Obra'!$B$8:$C$100,2,FALSE)</f>
        <v>85927.097156571981</v>
      </c>
      <c r="F25" s="175"/>
      <c r="G25" s="176">
        <f>+E25*D25</f>
        <v>85927.097156571981</v>
      </c>
      <c r="H25" s="162"/>
    </row>
    <row r="26" spans="1:8" ht="13" x14ac:dyDescent="0.3">
      <c r="A26" s="265" t="s">
        <v>242</v>
      </c>
      <c r="B26" s="180" t="s">
        <v>243</v>
      </c>
      <c r="C26" s="265" t="s">
        <v>605</v>
      </c>
      <c r="D26" s="434">
        <v>1</v>
      </c>
      <c r="E26" s="180">
        <f>VLOOKUP(B26,'Mano de Obra'!$B$8:$C$100,2,FALSE)</f>
        <v>65493.071636571978</v>
      </c>
      <c r="F26" s="180"/>
      <c r="G26" s="182">
        <f>+E26*D26</f>
        <v>65493.071636571978</v>
      </c>
      <c r="H26" s="162"/>
    </row>
    <row r="27" spans="1:8" ht="13" x14ac:dyDescent="0.3">
      <c r="A27" s="139"/>
      <c r="B27" s="139"/>
      <c r="C27" s="139"/>
      <c r="D27" s="254"/>
      <c r="E27" s="140"/>
      <c r="F27" s="141" t="s">
        <v>606</v>
      </c>
      <c r="G27" s="391">
        <f>SUM(G25:G26)</f>
        <v>151420.16879314397</v>
      </c>
      <c r="H27" s="162"/>
    </row>
    <row r="28" spans="1:8" ht="13" x14ac:dyDescent="0.3">
      <c r="A28" s="122"/>
      <c r="B28" s="122"/>
      <c r="C28" s="122"/>
      <c r="D28" s="33"/>
      <c r="E28" s="360"/>
      <c r="F28" s="123" t="s">
        <v>607</v>
      </c>
      <c r="G28" s="349">
        <v>1</v>
      </c>
      <c r="H28" s="162"/>
    </row>
    <row r="29" spans="1:8" ht="13" x14ac:dyDescent="0.3">
      <c r="A29" s="122"/>
      <c r="B29" s="122"/>
      <c r="C29" s="122"/>
      <c r="D29" s="33"/>
      <c r="E29" s="360"/>
      <c r="F29" s="123" t="s">
        <v>608</v>
      </c>
      <c r="G29" s="390">
        <f>+G28*G27</f>
        <v>151420.16879314397</v>
      </c>
      <c r="H29" s="162"/>
    </row>
    <row r="30" spans="1:8" ht="13" x14ac:dyDescent="0.3">
      <c r="A30" s="122"/>
      <c r="B30" s="122"/>
      <c r="C30" s="122"/>
      <c r="D30" s="33"/>
      <c r="E30" s="143"/>
      <c r="F30" s="144" t="s">
        <v>10</v>
      </c>
      <c r="G30" s="156">
        <f>+G29/F9</f>
        <v>6056.8067517257587</v>
      </c>
      <c r="H30" s="162"/>
    </row>
    <row r="34" spans="1:7" ht="13" x14ac:dyDescent="0.3">
      <c r="A34" s="122"/>
      <c r="B34" s="122"/>
      <c r="C34" s="122"/>
      <c r="D34" s="33"/>
      <c r="E34" s="122"/>
      <c r="F34" s="123" t="s">
        <v>609</v>
      </c>
      <c r="G34" s="123">
        <f>+G30+G22+G14</f>
        <v>53416.980085441159</v>
      </c>
    </row>
    <row r="35" spans="1:7" ht="13" x14ac:dyDescent="0.3">
      <c r="A35" s="122"/>
      <c r="B35" s="122"/>
      <c r="C35" s="122"/>
      <c r="D35" s="33"/>
      <c r="E35" s="123" t="s">
        <v>610</v>
      </c>
      <c r="F35" s="198">
        <f>+RESUMEN!$I$2</f>
        <v>0</v>
      </c>
      <c r="G35" s="130">
        <f>IF(F35=0,0,F35*G34)</f>
        <v>0</v>
      </c>
    </row>
    <row r="36" spans="1:7" ht="13" x14ac:dyDescent="0.3">
      <c r="A36" s="875"/>
      <c r="B36" s="870"/>
      <c r="C36" s="122"/>
      <c r="D36" s="33"/>
      <c r="E36" s="123" t="s">
        <v>611</v>
      </c>
      <c r="F36" s="198">
        <f>+RESUMEN!$I$3</f>
        <v>0</v>
      </c>
      <c r="G36" s="130">
        <f>IF(F36=0,0,F36*G34)</f>
        <v>0</v>
      </c>
    </row>
    <row r="37" spans="1:7" ht="13" x14ac:dyDescent="0.3">
      <c r="A37" s="875"/>
      <c r="B37" s="870"/>
      <c r="C37" s="122"/>
      <c r="D37" s="33"/>
      <c r="E37" s="151"/>
      <c r="F37" s="152" t="s">
        <v>612</v>
      </c>
      <c r="G37" s="389">
        <f>SUM(G34:G36)</f>
        <v>53416.980085441159</v>
      </c>
    </row>
  </sheetData>
  <mergeCells count="5">
    <mergeCell ref="A1:G1"/>
    <mergeCell ref="B5:G5"/>
    <mergeCell ref="B7:G7"/>
    <mergeCell ref="A36:B36"/>
    <mergeCell ref="A37:B3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N39"/>
  <sheetViews>
    <sheetView workbookViewId="0">
      <selection activeCell="I17" sqref="I17"/>
    </sheetView>
  </sheetViews>
  <sheetFormatPr defaultColWidth="11.453125" defaultRowHeight="12.5" x14ac:dyDescent="0.25"/>
  <cols>
    <col min="1" max="1" width="10.6328125" customWidth="1"/>
    <col min="2" max="2" width="41.453125" customWidth="1"/>
    <col min="3" max="3" width="7.08984375" bestFit="1" customWidth="1"/>
    <col min="4" max="4" width="8.6328125" style="427" customWidth="1"/>
    <col min="5" max="5" width="15.36328125" bestFit="1" customWidth="1"/>
    <col min="6" max="6" width="9.453125" customWidth="1"/>
    <col min="7" max="7" width="10.90625" style="301" bestFit="1" customWidth="1"/>
    <col min="8" max="8" width="10.6328125" bestFit="1" customWidth="1"/>
    <col min="9" max="9" width="8.90625" bestFit="1" customWidth="1"/>
  </cols>
  <sheetData>
    <row r="1" spans="1:14" ht="13" x14ac:dyDescent="0.3">
      <c r="A1" s="891"/>
      <c r="B1" s="870"/>
      <c r="C1" s="870"/>
      <c r="D1" s="870"/>
      <c r="E1" s="870"/>
      <c r="F1" s="870"/>
      <c r="G1" s="870"/>
      <c r="H1" s="122"/>
      <c r="I1" s="122"/>
      <c r="J1" s="1"/>
      <c r="K1" s="1"/>
      <c r="L1" s="1"/>
      <c r="M1" s="1"/>
      <c r="N1" s="1"/>
    </row>
    <row r="2" spans="1:14" ht="13" x14ac:dyDescent="0.3">
      <c r="A2" s="122"/>
      <c r="B2" s="122"/>
      <c r="C2" s="122"/>
      <c r="D2" s="421"/>
      <c r="E2" s="122"/>
      <c r="F2" s="240" t="s">
        <v>78</v>
      </c>
      <c r="G2" s="446" t="s">
        <v>613</v>
      </c>
      <c r="H2" s="122"/>
      <c r="I2" s="122"/>
      <c r="J2" s="1"/>
      <c r="K2" s="1"/>
      <c r="L2" s="1"/>
      <c r="M2" s="1"/>
      <c r="N2" s="1"/>
    </row>
    <row r="3" spans="1:14" ht="13" x14ac:dyDescent="0.3">
      <c r="A3" s="124" t="s">
        <v>579</v>
      </c>
      <c r="B3" s="125"/>
      <c r="C3" s="125"/>
      <c r="D3" s="422"/>
      <c r="E3" s="125"/>
      <c r="F3" s="125"/>
      <c r="G3" s="304"/>
      <c r="H3" s="122"/>
      <c r="I3" s="122"/>
      <c r="J3" s="1"/>
      <c r="K3" s="1"/>
      <c r="L3" s="1"/>
      <c r="M3" s="1"/>
      <c r="N3" s="1"/>
    </row>
    <row r="4" spans="1:14" ht="13" x14ac:dyDescent="0.3">
      <c r="A4" s="122"/>
      <c r="B4" s="122"/>
      <c r="C4" s="122"/>
      <c r="D4" s="421"/>
      <c r="E4" s="122"/>
      <c r="F4" s="123" t="s">
        <v>580</v>
      </c>
      <c r="G4" s="451">
        <v>33</v>
      </c>
      <c r="H4" s="122"/>
      <c r="I4" s="122"/>
      <c r="J4" s="1"/>
      <c r="K4" s="1"/>
      <c r="L4" s="122"/>
      <c r="M4" s="122"/>
      <c r="N4" s="122"/>
    </row>
    <row r="5" spans="1:14" ht="13" x14ac:dyDescent="0.3">
      <c r="A5" s="127" t="s">
        <v>581</v>
      </c>
      <c r="B5" s="892" t="s">
        <v>613</v>
      </c>
      <c r="C5" s="893"/>
      <c r="D5" s="893"/>
      <c r="E5" s="893"/>
      <c r="F5" s="893"/>
      <c r="G5" s="893"/>
      <c r="H5" s="122"/>
      <c r="I5" s="122"/>
      <c r="J5" s="1"/>
      <c r="K5" s="1"/>
      <c r="L5" s="122"/>
      <c r="M5" s="122"/>
      <c r="N5" s="122"/>
    </row>
    <row r="6" spans="1:14" ht="13" x14ac:dyDescent="0.3">
      <c r="A6" s="128" t="s">
        <v>582</v>
      </c>
      <c r="B6" s="392" t="s">
        <v>613</v>
      </c>
      <c r="C6" s="122"/>
      <c r="D6" s="421"/>
      <c r="E6" s="122"/>
      <c r="F6" s="123" t="s">
        <v>583</v>
      </c>
      <c r="G6" s="446" t="s">
        <v>613</v>
      </c>
      <c r="H6" s="122"/>
      <c r="I6" s="122"/>
      <c r="J6" s="1"/>
      <c r="K6" s="1"/>
      <c r="L6" s="122"/>
      <c r="M6" s="122"/>
      <c r="N6" s="122"/>
    </row>
    <row r="7" spans="1:14" ht="15.5" x14ac:dyDescent="0.3">
      <c r="A7" s="197" t="s">
        <v>584</v>
      </c>
      <c r="B7" s="873" t="s">
        <v>614</v>
      </c>
      <c r="C7" s="874"/>
      <c r="D7" s="874"/>
      <c r="E7" s="874"/>
      <c r="F7" s="874"/>
      <c r="G7" s="874"/>
      <c r="H7" s="122"/>
      <c r="I7" s="162"/>
      <c r="J7" s="1"/>
      <c r="K7" s="1"/>
      <c r="L7" s="122"/>
      <c r="M7" s="122"/>
      <c r="N7" s="122"/>
    </row>
    <row r="8" spans="1:14" ht="13" x14ac:dyDescent="0.3">
      <c r="A8" s="128"/>
      <c r="B8" s="122"/>
      <c r="C8" s="131" t="s">
        <v>586</v>
      </c>
      <c r="D8" s="421"/>
      <c r="E8" s="131" t="s">
        <v>587</v>
      </c>
      <c r="F8" s="337" t="s">
        <v>588</v>
      </c>
      <c r="G8" s="33"/>
      <c r="H8" s="122"/>
      <c r="I8" s="122"/>
      <c r="J8" s="1"/>
      <c r="K8" s="1"/>
      <c r="L8" s="122"/>
      <c r="M8" s="122"/>
      <c r="N8" s="122"/>
    </row>
    <row r="9" spans="1:14" ht="13" x14ac:dyDescent="0.3">
      <c r="A9" s="122"/>
      <c r="B9" s="122"/>
      <c r="C9" s="132" t="s">
        <v>45</v>
      </c>
      <c r="D9" s="421"/>
      <c r="E9" s="564">
        <v>100</v>
      </c>
      <c r="F9" s="438">
        <v>7</v>
      </c>
      <c r="G9" s="81" t="s">
        <v>615</v>
      </c>
      <c r="H9" s="122"/>
      <c r="I9" s="122"/>
      <c r="J9" s="1"/>
      <c r="K9" s="1"/>
      <c r="L9" s="122"/>
      <c r="M9" s="122"/>
      <c r="N9" s="122"/>
    </row>
    <row r="10" spans="1:14" ht="13" x14ac:dyDescent="0.3">
      <c r="A10" s="128" t="s">
        <v>590</v>
      </c>
      <c r="B10" s="122"/>
      <c r="C10" s="122"/>
      <c r="D10" s="421"/>
      <c r="E10" s="122"/>
      <c r="F10" s="122"/>
      <c r="G10" s="33"/>
      <c r="H10" s="122"/>
      <c r="I10" s="122"/>
      <c r="J10" s="1"/>
      <c r="K10" s="1"/>
      <c r="L10" s="122">
        <v>7</v>
      </c>
      <c r="M10" s="122"/>
      <c r="N10" s="122"/>
    </row>
    <row r="11" spans="1:14" ht="13" x14ac:dyDescent="0.3">
      <c r="A11" s="435" t="s">
        <v>79</v>
      </c>
      <c r="B11" s="261" t="s">
        <v>591</v>
      </c>
      <c r="C11" s="261" t="s">
        <v>592</v>
      </c>
      <c r="D11" s="436" t="s">
        <v>593</v>
      </c>
      <c r="E11" s="261" t="s">
        <v>594</v>
      </c>
      <c r="F11" s="261" t="s">
        <v>595</v>
      </c>
      <c r="G11" s="447" t="s">
        <v>596</v>
      </c>
      <c r="H11" s="399" t="s">
        <v>597</v>
      </c>
      <c r="I11" s="131"/>
      <c r="J11" s="3"/>
      <c r="K11" s="3"/>
      <c r="L11" s="131" t="s">
        <v>616</v>
      </c>
      <c r="M11" s="131"/>
      <c r="N11" s="131"/>
    </row>
    <row r="12" spans="1:14" ht="13" x14ac:dyDescent="0.3">
      <c r="A12" s="264" t="s">
        <v>368</v>
      </c>
      <c r="B12" s="418" t="s">
        <v>369</v>
      </c>
      <c r="C12" s="264" t="s">
        <v>374</v>
      </c>
      <c r="D12" s="423">
        <v>0.15</v>
      </c>
      <c r="E12" s="246">
        <f>VLOOKUP(B12,Materiales!$B$8:$D$118,3,FALSE)</f>
        <v>7809.48</v>
      </c>
      <c r="F12" s="246">
        <v>10</v>
      </c>
      <c r="G12" s="246">
        <f>+D12*E12*((F12+100)/100)</f>
        <v>1288.5641999999998</v>
      </c>
      <c r="H12" s="116">
        <f>+D12*$E$9</f>
        <v>15</v>
      </c>
      <c r="I12" s="122">
        <f>+G12/4</f>
        <v>322.14104999999995</v>
      </c>
      <c r="J12" s="1"/>
      <c r="K12" s="1"/>
      <c r="L12" s="122">
        <v>7.5</v>
      </c>
      <c r="M12" s="122">
        <v>50</v>
      </c>
      <c r="N12" s="342">
        <f>+L12/M12</f>
        <v>0.15</v>
      </c>
    </row>
    <row r="13" spans="1:14" ht="13" x14ac:dyDescent="0.3">
      <c r="A13" s="320" t="s">
        <v>372</v>
      </c>
      <c r="B13" s="419" t="s">
        <v>373</v>
      </c>
      <c r="C13" s="320" t="s">
        <v>374</v>
      </c>
      <c r="D13" s="424">
        <v>0.3</v>
      </c>
      <c r="E13" s="247">
        <f>VLOOKUP(B13,Materiales!$B$8:$D$118,3,FALSE)</f>
        <v>3837.96</v>
      </c>
      <c r="F13" s="247">
        <v>10</v>
      </c>
      <c r="G13" s="247">
        <f t="shared" ref="G13:G17" si="0">+D13*E13*((F13+100)/100)</f>
        <v>1266.5268000000001</v>
      </c>
      <c r="H13" s="35">
        <f t="shared" ref="H13:H17" si="1">+D13*$E$9</f>
        <v>30</v>
      </c>
      <c r="I13" s="122">
        <f t="shared" ref="I13:I17" si="2">+G13/4</f>
        <v>316.63170000000002</v>
      </c>
      <c r="J13" s="1"/>
      <c r="K13" s="1"/>
      <c r="L13" s="342">
        <v>7.5</v>
      </c>
      <c r="M13" s="122">
        <v>25</v>
      </c>
      <c r="N13" s="342">
        <f>+L13/M13</f>
        <v>0.3</v>
      </c>
    </row>
    <row r="14" spans="1:14" ht="13" x14ac:dyDescent="0.3">
      <c r="A14" s="320" t="s">
        <v>377</v>
      </c>
      <c r="B14" s="419" t="s">
        <v>378</v>
      </c>
      <c r="C14" s="320" t="s">
        <v>17</v>
      </c>
      <c r="D14" s="424">
        <v>0.17</v>
      </c>
      <c r="E14" s="247">
        <f>VLOOKUP(B14,Materiales!$B$8:$D$118,3,FALSE)</f>
        <v>3424.53</v>
      </c>
      <c r="F14" s="247">
        <v>10</v>
      </c>
      <c r="G14" s="247">
        <f t="shared" si="0"/>
        <v>640.38711000000012</v>
      </c>
      <c r="H14" s="35">
        <f t="shared" si="1"/>
        <v>17</v>
      </c>
      <c r="I14" s="122">
        <f t="shared" si="2"/>
        <v>160.09677750000003</v>
      </c>
      <c r="J14" s="1"/>
      <c r="K14" s="1"/>
      <c r="L14" s="122"/>
      <c r="M14" s="122"/>
      <c r="N14" s="122"/>
    </row>
    <row r="15" spans="1:14" ht="13" x14ac:dyDescent="0.3">
      <c r="A15" s="320" t="s">
        <v>394</v>
      </c>
      <c r="B15" s="419" t="s">
        <v>395</v>
      </c>
      <c r="C15" s="320" t="s">
        <v>17</v>
      </c>
      <c r="D15" s="424">
        <v>60</v>
      </c>
      <c r="E15" s="247">
        <f>VLOOKUP(B15,Materiales!$B$8:$D$118,3,FALSE)</f>
        <v>132.30000000000001</v>
      </c>
      <c r="F15" s="247">
        <v>5</v>
      </c>
      <c r="G15" s="247">
        <f t="shared" si="0"/>
        <v>8334.9000000000015</v>
      </c>
      <c r="H15" s="35">
        <f t="shared" si="1"/>
        <v>6000</v>
      </c>
      <c r="I15" s="122">
        <f t="shared" si="2"/>
        <v>2083.7250000000004</v>
      </c>
      <c r="J15" s="1"/>
      <c r="K15" s="1"/>
      <c r="L15" s="122">
        <v>60</v>
      </c>
      <c r="M15" s="122">
        <v>1</v>
      </c>
      <c r="N15" s="342">
        <f>+L15/M15</f>
        <v>60</v>
      </c>
    </row>
    <row r="16" spans="1:14" ht="13" x14ac:dyDescent="0.3">
      <c r="A16" s="320" t="s">
        <v>362</v>
      </c>
      <c r="B16" s="419" t="s">
        <v>363</v>
      </c>
      <c r="C16" s="320" t="s">
        <v>59</v>
      </c>
      <c r="D16" s="424">
        <v>3.5000000000000003E-2</v>
      </c>
      <c r="E16" s="247">
        <f>VLOOKUP(B16,Materiales!$B$8:$D$118,3,FALSE)</f>
        <v>32399.77</v>
      </c>
      <c r="F16" s="247">
        <v>10</v>
      </c>
      <c r="G16" s="247">
        <f t="shared" si="0"/>
        <v>1247.3911450000003</v>
      </c>
      <c r="H16" s="35">
        <f t="shared" si="1"/>
        <v>3.5000000000000004</v>
      </c>
      <c r="I16" s="122">
        <f t="shared" si="2"/>
        <v>311.84778625000007</v>
      </c>
      <c r="J16" s="1"/>
      <c r="K16" s="1"/>
      <c r="L16" s="342">
        <v>3.5000000000000003E-2</v>
      </c>
      <c r="M16" s="122">
        <v>1</v>
      </c>
      <c r="N16" s="342">
        <f>+L16/M16</f>
        <v>3.5000000000000003E-2</v>
      </c>
    </row>
    <row r="17" spans="1:9" ht="13" x14ac:dyDescent="0.3">
      <c r="A17" s="265"/>
      <c r="B17" s="420" t="s">
        <v>617</v>
      </c>
      <c r="C17" s="265" t="s">
        <v>352</v>
      </c>
      <c r="D17" s="425">
        <v>0.01</v>
      </c>
      <c r="E17" s="248">
        <f>+SUM(G12:G16)</f>
        <v>12777.769255000001</v>
      </c>
      <c r="F17" s="248">
        <v>3</v>
      </c>
      <c r="G17" s="248">
        <f t="shared" si="0"/>
        <v>131.6110233265</v>
      </c>
      <c r="H17" s="80">
        <f t="shared" si="1"/>
        <v>1</v>
      </c>
      <c r="I17" s="122">
        <f t="shared" si="2"/>
        <v>32.902755831625001</v>
      </c>
    </row>
    <row r="18" spans="1:9" ht="13" x14ac:dyDescent="0.3">
      <c r="A18" s="139"/>
      <c r="B18" s="139"/>
      <c r="C18" s="139"/>
      <c r="D18" s="426"/>
      <c r="E18" s="140"/>
      <c r="F18" s="141" t="s">
        <v>598</v>
      </c>
      <c r="G18" s="462">
        <f>SUM(G12:G17)</f>
        <v>12909.380278326502</v>
      </c>
      <c r="H18" s="122">
        <f>+G18/2</f>
        <v>6454.6901391632509</v>
      </c>
    </row>
    <row r="19" spans="1:9" ht="13" x14ac:dyDescent="0.3">
      <c r="A19" s="122"/>
      <c r="B19" s="122"/>
      <c r="C19" s="122"/>
      <c r="D19" s="421"/>
      <c r="E19" s="143"/>
      <c r="F19" s="144" t="s">
        <v>9</v>
      </c>
      <c r="G19" s="445">
        <f>+G18</f>
        <v>12909.380278326502</v>
      </c>
      <c r="H19" s="122"/>
    </row>
    <row r="20" spans="1:9" ht="13" x14ac:dyDescent="0.3">
      <c r="A20" s="128" t="s">
        <v>599</v>
      </c>
      <c r="B20" s="122"/>
      <c r="C20" s="122"/>
      <c r="D20" s="421"/>
      <c r="E20" s="122"/>
      <c r="F20" s="122"/>
      <c r="G20" s="33"/>
      <c r="H20" s="122"/>
    </row>
    <row r="21" spans="1:9" ht="13" x14ac:dyDescent="0.3">
      <c r="A21" s="435" t="s">
        <v>79</v>
      </c>
      <c r="B21" s="261" t="s">
        <v>591</v>
      </c>
      <c r="C21" s="261" t="s">
        <v>592</v>
      </c>
      <c r="D21" s="436" t="s">
        <v>593</v>
      </c>
      <c r="E21" s="261" t="s">
        <v>600</v>
      </c>
      <c r="F21" s="417" t="s">
        <v>87</v>
      </c>
      <c r="G21" s="448" t="s">
        <v>596</v>
      </c>
      <c r="H21" s="131"/>
    </row>
    <row r="22" spans="1:9" ht="13" x14ac:dyDescent="0.3">
      <c r="A22" s="264" t="s">
        <v>93</v>
      </c>
      <c r="B22" s="418" t="s">
        <v>94</v>
      </c>
      <c r="C22" s="264" t="s">
        <v>352</v>
      </c>
      <c r="D22" s="330">
        <v>1</v>
      </c>
      <c r="E22" s="175">
        <f>VLOOKUP(B22,'Rend. Equipos'!$B$7:$E$222,4,FALSE)</f>
        <v>2470106.6047045495</v>
      </c>
      <c r="F22" s="458">
        <f>VLOOKUP(B22,'Rend. Equipos'!$B$6:$L$166,MATCH($F$21,'Rend. Equipos'!$B$6:$L$6,0),0)</f>
        <v>9.2592592592592596E-4</v>
      </c>
      <c r="G22" s="449">
        <f>+E22*D22*F22</f>
        <v>2287.1357450968053</v>
      </c>
      <c r="H22" s="122"/>
    </row>
    <row r="23" spans="1:9" ht="13" x14ac:dyDescent="0.3">
      <c r="A23" s="60" t="s">
        <v>88</v>
      </c>
      <c r="B23" s="454" t="s">
        <v>89</v>
      </c>
      <c r="C23" s="320" t="s">
        <v>352</v>
      </c>
      <c r="D23" s="455">
        <v>0.5</v>
      </c>
      <c r="E23" s="430">
        <f>VLOOKUP(B23,'Rend. Equipos'!$B$7:$E$222,4,FALSE)</f>
        <v>1028123.0837653707</v>
      </c>
      <c r="F23" s="459">
        <f>VLOOKUP(B23,'Rend. Equipos'!$B$6:$L$166,MATCH($F$21,'Rend. Equipos'!$B$6:$L$6,0),0)</f>
        <v>5.5555555555555556E-4</v>
      </c>
      <c r="G23" s="456">
        <f t="shared" ref="G23:G24" si="3">+E23*D23*F23</f>
        <v>285.58974549038072</v>
      </c>
      <c r="H23" s="122"/>
    </row>
    <row r="24" spans="1:9" ht="13" x14ac:dyDescent="0.3">
      <c r="A24" s="265" t="s">
        <v>163</v>
      </c>
      <c r="B24" s="431" t="s">
        <v>164</v>
      </c>
      <c r="C24" s="265" t="s">
        <v>17</v>
      </c>
      <c r="D24" s="333">
        <v>1</v>
      </c>
      <c r="E24" s="180">
        <f>VLOOKUP(B24,'Rend. Equipos'!$B$7:$E$222,4,FALSE)</f>
        <v>689222.30122796178</v>
      </c>
      <c r="F24" s="460">
        <f>VLOOKUP(B24,'Rend. Equipos'!$B$6:$L$166,MATCH($F$21,'Rend. Equipos'!$B$6:$L$6,0),0)</f>
        <v>1.3888888888888889E-3</v>
      </c>
      <c r="G24" s="450">
        <f t="shared" si="3"/>
        <v>957.25319614994692</v>
      </c>
      <c r="H24" s="122"/>
    </row>
    <row r="25" spans="1:9" ht="13" x14ac:dyDescent="0.3">
      <c r="A25" s="139"/>
      <c r="B25" s="139"/>
      <c r="C25" s="139"/>
      <c r="D25" s="426"/>
      <c r="E25" s="140"/>
      <c r="F25" s="141" t="s">
        <v>602</v>
      </c>
      <c r="G25" s="462">
        <f>SUM(G22:G24)</f>
        <v>3529.9786867371331</v>
      </c>
      <c r="H25" s="122"/>
    </row>
    <row r="26" spans="1:9" ht="13" x14ac:dyDescent="0.3">
      <c r="A26" s="122"/>
      <c r="B26" s="122"/>
      <c r="C26" s="122"/>
      <c r="D26" s="421"/>
      <c r="E26" s="143"/>
      <c r="F26" s="144" t="s">
        <v>11</v>
      </c>
      <c r="G26" s="445">
        <f>+G25/F9</f>
        <v>504.28266953387617</v>
      </c>
      <c r="H26" s="122"/>
    </row>
    <row r="27" spans="1:9" ht="13" x14ac:dyDescent="0.3">
      <c r="A27" s="128" t="s">
        <v>603</v>
      </c>
      <c r="B27" s="122"/>
      <c r="C27" s="122"/>
      <c r="D27" s="421"/>
      <c r="E27" s="122"/>
      <c r="F27" s="122"/>
      <c r="G27" s="33"/>
      <c r="H27" s="122"/>
    </row>
    <row r="28" spans="1:9" ht="13" x14ac:dyDescent="0.3">
      <c r="A28" s="435" t="s">
        <v>79</v>
      </c>
      <c r="B28" s="261" t="s">
        <v>591</v>
      </c>
      <c r="C28" s="261" t="s">
        <v>592</v>
      </c>
      <c r="D28" s="436" t="s">
        <v>593</v>
      </c>
      <c r="E28" s="261" t="s">
        <v>604</v>
      </c>
      <c r="F28" s="261"/>
      <c r="G28" s="448" t="s">
        <v>596</v>
      </c>
      <c r="H28" s="131"/>
    </row>
    <row r="29" spans="1:9" ht="13" x14ac:dyDescent="0.3">
      <c r="A29" s="264" t="s">
        <v>255</v>
      </c>
      <c r="B29" s="175" t="s">
        <v>256</v>
      </c>
      <c r="C29" s="264" t="s">
        <v>605</v>
      </c>
      <c r="D29" s="433">
        <v>1</v>
      </c>
      <c r="E29" s="175">
        <f>VLOOKUP(B29,'Mano de Obra'!$B$8:$C$100,2,FALSE)</f>
        <v>85927.097156571981</v>
      </c>
      <c r="F29" s="175"/>
      <c r="G29" s="449">
        <f>+E29*D29</f>
        <v>85927.097156571981</v>
      </c>
      <c r="H29" s="122"/>
    </row>
    <row r="30" spans="1:9" ht="13" x14ac:dyDescent="0.3">
      <c r="A30" s="608" t="s">
        <v>228</v>
      </c>
      <c r="B30" s="161" t="s">
        <v>230</v>
      </c>
      <c r="C30" s="265" t="s">
        <v>605</v>
      </c>
      <c r="D30" s="434">
        <v>1</v>
      </c>
      <c r="E30" s="180">
        <f>VLOOKUP(B30,'Mano de Obra'!$B$8:$C$100,2,FALSE)</f>
        <v>60860.580776571966</v>
      </c>
      <c r="F30" s="180"/>
      <c r="G30" s="450">
        <f>+E30*D30</f>
        <v>60860.580776571966</v>
      </c>
      <c r="H30" s="122"/>
    </row>
    <row r="31" spans="1:9" ht="13" x14ac:dyDescent="0.3">
      <c r="A31" s="139"/>
      <c r="B31" s="139"/>
      <c r="C31" s="139"/>
      <c r="D31" s="426"/>
      <c r="E31" s="140"/>
      <c r="F31" s="440" t="s">
        <v>606</v>
      </c>
      <c r="G31" s="442">
        <f>SUM(G29:G30)</f>
        <v>146787.67793314395</v>
      </c>
      <c r="H31" s="122"/>
    </row>
    <row r="32" spans="1:9" ht="13" x14ac:dyDescent="0.3">
      <c r="A32" s="122"/>
      <c r="B32" s="122"/>
      <c r="C32" s="122"/>
      <c r="D32" s="421"/>
      <c r="E32" s="360"/>
      <c r="F32" s="336" t="s">
        <v>607</v>
      </c>
      <c r="G32" s="443">
        <v>1</v>
      </c>
      <c r="H32" s="122"/>
    </row>
    <row r="33" spans="1:8" ht="13" x14ac:dyDescent="0.3">
      <c r="A33" s="122"/>
      <c r="B33" s="122"/>
      <c r="C33" s="122"/>
      <c r="D33" s="421"/>
      <c r="E33" s="360"/>
      <c r="F33" s="336" t="s">
        <v>608</v>
      </c>
      <c r="G33" s="444">
        <f>+G32*G31</f>
        <v>146787.67793314395</v>
      </c>
      <c r="H33" s="122"/>
    </row>
    <row r="34" spans="1:8" ht="13" x14ac:dyDescent="0.3">
      <c r="A34" s="122"/>
      <c r="B34" s="122"/>
      <c r="C34" s="122"/>
      <c r="D34" s="421"/>
      <c r="E34" s="143"/>
      <c r="F34" s="441" t="s">
        <v>10</v>
      </c>
      <c r="G34" s="445">
        <f>+G33/F9</f>
        <v>20969.668276163422</v>
      </c>
      <c r="H34" s="122"/>
    </row>
    <row r="35" spans="1:8" ht="13" x14ac:dyDescent="0.3">
      <c r="A35" s="122"/>
      <c r="B35" s="122"/>
      <c r="C35" s="122"/>
      <c r="D35" s="421"/>
      <c r="H35" s="122"/>
    </row>
    <row r="36" spans="1:8" ht="13" x14ac:dyDescent="0.3">
      <c r="A36" s="122"/>
      <c r="B36" s="122"/>
      <c r="C36" s="122"/>
      <c r="D36" s="421"/>
      <c r="E36" s="337" t="s">
        <v>609</v>
      </c>
      <c r="F36" s="123"/>
      <c r="G36" s="452">
        <f>+G34+G26+G19</f>
        <v>34383.331224023801</v>
      </c>
      <c r="H36" s="122"/>
    </row>
    <row r="37" spans="1:8" ht="13" x14ac:dyDescent="0.3">
      <c r="A37" s="122"/>
      <c r="B37" s="122"/>
      <c r="C37" s="122"/>
      <c r="D37" s="421"/>
      <c r="E37" s="437" t="s">
        <v>610</v>
      </c>
      <c r="F37" s="198">
        <f>+RESUMEN!$I$2</f>
        <v>0</v>
      </c>
      <c r="G37" s="38">
        <f>IF(F37=0,0,F37*G36)</f>
        <v>0</v>
      </c>
      <c r="H37" s="122"/>
    </row>
    <row r="38" spans="1:8" ht="13" x14ac:dyDescent="0.3">
      <c r="A38" s="875"/>
      <c r="B38" s="870"/>
      <c r="C38" s="122"/>
      <c r="D38" s="421"/>
      <c r="E38" s="437" t="s">
        <v>611</v>
      </c>
      <c r="F38" s="198">
        <f>+RESUMEN!$I$3</f>
        <v>0</v>
      </c>
      <c r="G38" s="38">
        <f>IF(F38=0,0,F38*G36)</f>
        <v>0</v>
      </c>
      <c r="H38" s="122"/>
    </row>
    <row r="39" spans="1:8" ht="13" x14ac:dyDescent="0.3">
      <c r="A39" s="875"/>
      <c r="B39" s="870"/>
      <c r="C39" s="122"/>
      <c r="D39" s="421"/>
      <c r="E39" s="439"/>
      <c r="F39" s="152" t="s">
        <v>612</v>
      </c>
      <c r="G39" s="389">
        <f>SUM(G36:G38)</f>
        <v>34383.331224023801</v>
      </c>
      <c r="H39" s="122"/>
    </row>
  </sheetData>
  <mergeCells count="5">
    <mergeCell ref="A1:G1"/>
    <mergeCell ref="B5:G5"/>
    <mergeCell ref="B7:G7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L39"/>
  <sheetViews>
    <sheetView workbookViewId="0">
      <selection activeCell="H18" sqref="H18"/>
    </sheetView>
  </sheetViews>
  <sheetFormatPr defaultColWidth="11.453125" defaultRowHeight="12.5" x14ac:dyDescent="0.25"/>
  <cols>
    <col min="1" max="1" width="11.6328125" customWidth="1"/>
    <col min="2" max="2" width="41.36328125" customWidth="1"/>
    <col min="3" max="3" width="7.08984375" bestFit="1" customWidth="1"/>
    <col min="4" max="4" width="8.453125" style="347" customWidth="1"/>
    <col min="5" max="5" width="15.36328125" bestFit="1" customWidth="1"/>
    <col min="6" max="6" width="9.453125" customWidth="1"/>
    <col min="7" max="7" width="12" bestFit="1" customWidth="1"/>
  </cols>
  <sheetData>
    <row r="1" spans="1:12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</row>
    <row r="2" spans="1:12" ht="13" x14ac:dyDescent="0.25">
      <c r="A2" s="162"/>
      <c r="B2" s="162"/>
      <c r="C2" s="162"/>
      <c r="D2" s="340"/>
      <c r="E2" s="162"/>
      <c r="F2" s="240" t="s">
        <v>78</v>
      </c>
      <c r="G2" s="446" t="s">
        <v>613</v>
      </c>
      <c r="H2" s="162"/>
      <c r="I2" s="1"/>
      <c r="J2" s="1"/>
      <c r="K2" s="1"/>
      <c r="L2" s="1"/>
    </row>
    <row r="3" spans="1:12" ht="15.5" x14ac:dyDescent="0.35">
      <c r="A3" s="165" t="s">
        <v>579</v>
      </c>
      <c r="B3" s="166"/>
      <c r="C3" s="166"/>
      <c r="D3" s="341"/>
      <c r="E3" s="166"/>
      <c r="F3" s="166"/>
      <c r="G3" s="166"/>
      <c r="H3" s="162"/>
      <c r="I3" s="1"/>
      <c r="J3" s="1"/>
      <c r="K3" s="1"/>
      <c r="L3" s="1"/>
    </row>
    <row r="4" spans="1:12" ht="13" x14ac:dyDescent="0.3">
      <c r="A4" s="122"/>
      <c r="B4" s="122"/>
      <c r="C4" s="122"/>
      <c r="D4" s="342"/>
      <c r="E4" s="122"/>
      <c r="F4" s="123" t="s">
        <v>580</v>
      </c>
      <c r="G4" s="126">
        <v>34</v>
      </c>
      <c r="H4" s="162"/>
      <c r="I4" s="1"/>
      <c r="J4" s="1"/>
      <c r="K4" s="1"/>
      <c r="L4" s="1"/>
    </row>
    <row r="5" spans="1:12" ht="13" x14ac:dyDescent="0.25">
      <c r="A5" s="127" t="s">
        <v>581</v>
      </c>
      <c r="B5" s="892" t="s">
        <v>613</v>
      </c>
      <c r="C5" s="893"/>
      <c r="D5" s="893"/>
      <c r="E5" s="893"/>
      <c r="F5" s="893"/>
      <c r="G5" s="893"/>
      <c r="H5" s="162"/>
      <c r="I5" s="1"/>
      <c r="J5" s="1"/>
      <c r="K5" s="1"/>
      <c r="L5" s="1"/>
    </row>
    <row r="6" spans="1:12" ht="13" x14ac:dyDescent="0.3">
      <c r="A6" s="128" t="s">
        <v>582</v>
      </c>
      <c r="B6" s="446" t="s">
        <v>613</v>
      </c>
      <c r="C6" s="122"/>
      <c r="D6" s="342"/>
      <c r="E6" s="122"/>
      <c r="F6" s="123" t="s">
        <v>583</v>
      </c>
      <c r="G6" s="446" t="s">
        <v>613</v>
      </c>
      <c r="H6" s="162"/>
      <c r="I6" s="1"/>
      <c r="J6" s="1"/>
      <c r="K6" s="1"/>
      <c r="L6" s="1"/>
    </row>
    <row r="7" spans="1:12" ht="15.5" x14ac:dyDescent="0.25">
      <c r="A7" s="197" t="s">
        <v>584</v>
      </c>
      <c r="B7" s="873" t="s">
        <v>618</v>
      </c>
      <c r="C7" s="874"/>
      <c r="D7" s="874"/>
      <c r="E7" s="874"/>
      <c r="F7" s="874"/>
      <c r="G7" s="874"/>
      <c r="H7" s="162"/>
      <c r="I7" s="162"/>
      <c r="J7" s="1"/>
      <c r="K7" s="1"/>
      <c r="L7" s="1"/>
    </row>
    <row r="8" spans="1:12" ht="13" x14ac:dyDescent="0.3">
      <c r="A8" s="128"/>
      <c r="B8" s="122"/>
      <c r="C8" s="131" t="s">
        <v>586</v>
      </c>
      <c r="D8" s="342"/>
      <c r="E8" s="131" t="s">
        <v>587</v>
      </c>
      <c r="F8" s="128" t="s">
        <v>588</v>
      </c>
      <c r="G8" s="122"/>
      <c r="H8" s="162"/>
      <c r="I8" s="1"/>
      <c r="J8" s="1"/>
      <c r="K8" s="1"/>
      <c r="L8" s="1"/>
    </row>
    <row r="9" spans="1:12" ht="13" x14ac:dyDescent="0.3">
      <c r="A9" s="122"/>
      <c r="B9" s="122" t="s">
        <v>619</v>
      </c>
      <c r="C9" s="132" t="s">
        <v>45</v>
      </c>
      <c r="D9" s="342"/>
      <c r="E9" s="564">
        <v>100</v>
      </c>
      <c r="F9" s="185">
        <v>15</v>
      </c>
      <c r="G9" s="122" t="s">
        <v>615</v>
      </c>
      <c r="H9" s="162"/>
      <c r="I9" s="1"/>
      <c r="J9" s="1"/>
      <c r="K9" s="1"/>
      <c r="L9" s="1"/>
    </row>
    <row r="10" spans="1:12" ht="13" x14ac:dyDescent="0.3">
      <c r="A10" s="128" t="s">
        <v>590</v>
      </c>
      <c r="B10" s="122"/>
      <c r="C10" s="122"/>
      <c r="D10" s="342"/>
      <c r="E10" s="122"/>
      <c r="F10" s="122"/>
      <c r="G10" s="122"/>
      <c r="H10" s="162"/>
      <c r="I10" s="1"/>
      <c r="J10" s="1"/>
      <c r="K10" s="1"/>
      <c r="L10" s="1"/>
    </row>
    <row r="11" spans="1:12" ht="13" x14ac:dyDescent="0.3">
      <c r="A11" s="133" t="s">
        <v>79</v>
      </c>
      <c r="B11" s="134" t="s">
        <v>591</v>
      </c>
      <c r="C11" s="134" t="s">
        <v>592</v>
      </c>
      <c r="D11" s="345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3"/>
      <c r="J11" s="3" t="s">
        <v>620</v>
      </c>
      <c r="K11" s="3"/>
      <c r="L11" s="3"/>
    </row>
    <row r="12" spans="1:12" ht="13" x14ac:dyDescent="0.3">
      <c r="A12" s="264" t="s">
        <v>388</v>
      </c>
      <c r="B12" s="175" t="s">
        <v>389</v>
      </c>
      <c r="C12" s="264" t="s">
        <v>17</v>
      </c>
      <c r="D12" s="433">
        <v>15</v>
      </c>
      <c r="E12" s="116">
        <f>VLOOKUP(B12,Materiales!$B$8:$D$118,3,FALSE)</f>
        <v>292.32</v>
      </c>
      <c r="F12" s="116">
        <v>5</v>
      </c>
      <c r="G12" s="246">
        <f>+D12*E12*((F12+100)/100)</f>
        <v>4604.04</v>
      </c>
      <c r="H12" s="176">
        <f>+D12*$E$9</f>
        <v>1500</v>
      </c>
      <c r="I12" s="1"/>
      <c r="J12" s="277">
        <v>15.5</v>
      </c>
      <c r="K12" s="1"/>
      <c r="L12" s="1"/>
    </row>
    <row r="13" spans="1:12" ht="13" x14ac:dyDescent="0.3">
      <c r="A13" s="320" t="s">
        <v>377</v>
      </c>
      <c r="B13" s="178" t="s">
        <v>378</v>
      </c>
      <c r="C13" s="320" t="s">
        <v>17</v>
      </c>
      <c r="D13" s="457">
        <v>0.17</v>
      </c>
      <c r="E13" s="35">
        <f>VLOOKUP(B13,Materiales!$B$8:$D$118,3,FALSE)</f>
        <v>3424.53</v>
      </c>
      <c r="F13" s="35">
        <v>10</v>
      </c>
      <c r="G13" s="247">
        <f t="shared" ref="G13:G17" si="0">+D13*E13*((F13+100)/100)</f>
        <v>640.38711000000012</v>
      </c>
      <c r="H13" s="179">
        <f t="shared" ref="H13:H17" si="1">+D13*$E$9</f>
        <v>17</v>
      </c>
      <c r="I13" s="1"/>
      <c r="J13" s="277"/>
      <c r="K13" s="1"/>
      <c r="L13" s="1"/>
    </row>
    <row r="14" spans="1:12" ht="13" x14ac:dyDescent="0.3">
      <c r="A14" s="320" t="s">
        <v>362</v>
      </c>
      <c r="B14" s="178" t="s">
        <v>363</v>
      </c>
      <c r="C14" s="320" t="s">
        <v>59</v>
      </c>
      <c r="D14" s="457">
        <v>1.2E-2</v>
      </c>
      <c r="E14" s="35">
        <f>VLOOKUP(B14,Materiales!$B$8:$D$118,3,FALSE)</f>
        <v>32399.77</v>
      </c>
      <c r="F14" s="35">
        <v>10</v>
      </c>
      <c r="G14" s="247">
        <f t="shared" si="0"/>
        <v>427.676964</v>
      </c>
      <c r="H14" s="179">
        <f t="shared" si="1"/>
        <v>1.2</v>
      </c>
      <c r="I14" s="1"/>
      <c r="J14" s="277">
        <v>1.2E-2</v>
      </c>
      <c r="K14" s="1"/>
      <c r="L14" s="1"/>
    </row>
    <row r="15" spans="1:12" ht="13" x14ac:dyDescent="0.3">
      <c r="A15" s="320" t="s">
        <v>372</v>
      </c>
      <c r="B15" s="178" t="s">
        <v>373</v>
      </c>
      <c r="C15" s="320" t="s">
        <v>374</v>
      </c>
      <c r="D15" s="457">
        <v>0.1</v>
      </c>
      <c r="E15" s="35">
        <f>VLOOKUP(B15,Materiales!$B$8:$D$118,3,FALSE)</f>
        <v>3837.96</v>
      </c>
      <c r="F15" s="35">
        <v>10</v>
      </c>
      <c r="G15" s="247">
        <f t="shared" si="0"/>
        <v>422.17560000000009</v>
      </c>
      <c r="H15" s="179">
        <f t="shared" si="1"/>
        <v>10</v>
      </c>
      <c r="I15" s="1"/>
      <c r="J15" s="277">
        <v>2.5</v>
      </c>
      <c r="K15" s="1">
        <v>25</v>
      </c>
      <c r="L15" s="1">
        <f>+J15/K15</f>
        <v>0.1</v>
      </c>
    </row>
    <row r="16" spans="1:12" ht="13" x14ac:dyDescent="0.3">
      <c r="A16" s="320" t="s">
        <v>368</v>
      </c>
      <c r="B16" s="178" t="s">
        <v>369</v>
      </c>
      <c r="C16" s="320" t="s">
        <v>374</v>
      </c>
      <c r="D16" s="457">
        <v>0.05</v>
      </c>
      <c r="E16" s="35">
        <f>VLOOKUP(B16,Materiales!$B$8:$D$118,3,FALSE)</f>
        <v>7809.48</v>
      </c>
      <c r="F16" s="35">
        <v>10</v>
      </c>
      <c r="G16" s="247">
        <f t="shared" si="0"/>
        <v>429.52140000000003</v>
      </c>
      <c r="H16" s="179">
        <f t="shared" si="1"/>
        <v>5</v>
      </c>
      <c r="I16" s="1"/>
      <c r="J16" s="277">
        <v>2.6</v>
      </c>
      <c r="K16" s="1">
        <v>50</v>
      </c>
      <c r="L16" s="1">
        <f>+J16/K16</f>
        <v>5.2000000000000005E-2</v>
      </c>
    </row>
    <row r="17" spans="1:8" ht="13" x14ac:dyDescent="0.3">
      <c r="A17" s="265"/>
      <c r="B17" s="420" t="s">
        <v>617</v>
      </c>
      <c r="C17" s="265" t="s">
        <v>352</v>
      </c>
      <c r="D17" s="425">
        <v>0.01</v>
      </c>
      <c r="E17" s="248">
        <f>+SUM(G12:G16)</f>
        <v>6523.8010740000009</v>
      </c>
      <c r="F17" s="80">
        <v>3</v>
      </c>
      <c r="G17" s="248">
        <f t="shared" si="0"/>
        <v>67.195151062200011</v>
      </c>
      <c r="H17" s="182">
        <f t="shared" si="1"/>
        <v>1</v>
      </c>
    </row>
    <row r="18" spans="1:8" ht="13" x14ac:dyDescent="0.3">
      <c r="A18" s="122"/>
      <c r="B18" s="122"/>
      <c r="C18" s="122"/>
      <c r="D18" s="342"/>
      <c r="E18" s="360"/>
      <c r="F18" s="123" t="s">
        <v>598</v>
      </c>
      <c r="G18" s="390">
        <f>SUM(G12:G17)</f>
        <v>6590.9962250622011</v>
      </c>
      <c r="H18" s="453"/>
    </row>
    <row r="19" spans="1:8" ht="13" x14ac:dyDescent="0.3">
      <c r="A19" s="122"/>
      <c r="B19" s="122"/>
      <c r="C19" s="122"/>
      <c r="D19" s="342"/>
      <c r="E19" s="143"/>
      <c r="F19" s="144" t="s">
        <v>9</v>
      </c>
      <c r="G19" s="156">
        <f>+G18</f>
        <v>6590.9962250622011</v>
      </c>
      <c r="H19" s="162"/>
    </row>
    <row r="20" spans="1:8" ht="13" x14ac:dyDescent="0.3">
      <c r="A20" s="128" t="s">
        <v>599</v>
      </c>
      <c r="B20" s="122"/>
      <c r="C20" s="122"/>
      <c r="D20" s="342"/>
      <c r="E20" s="122"/>
      <c r="F20" s="122"/>
      <c r="G20" s="122"/>
      <c r="H20" s="162"/>
    </row>
    <row r="21" spans="1:8" ht="13" x14ac:dyDescent="0.3">
      <c r="A21" s="133" t="s">
        <v>79</v>
      </c>
      <c r="B21" s="134" t="s">
        <v>591</v>
      </c>
      <c r="C21" s="134" t="s">
        <v>592</v>
      </c>
      <c r="D21" s="345" t="s">
        <v>593</v>
      </c>
      <c r="E21" s="134" t="s">
        <v>600</v>
      </c>
      <c r="F21" s="417" t="s">
        <v>87</v>
      </c>
      <c r="G21" s="135" t="s">
        <v>596</v>
      </c>
      <c r="H21" s="167"/>
    </row>
    <row r="22" spans="1:8" ht="13" x14ac:dyDescent="0.3">
      <c r="A22" s="264" t="s">
        <v>93</v>
      </c>
      <c r="B22" s="175" t="s">
        <v>94</v>
      </c>
      <c r="C22" s="264" t="s">
        <v>352</v>
      </c>
      <c r="D22" s="330">
        <v>1</v>
      </c>
      <c r="E22" s="116">
        <f>VLOOKUP(B22,'Rend. Equipos'!$B$7:$E$222,4,FALSE)</f>
        <v>2470106.6047045495</v>
      </c>
      <c r="F22" s="433">
        <f>VLOOKUP(B22,'Rend. Equipos'!$B$6:$L$166,MATCH($F$21,'Rend. Equipos'!$B$6:$L$6,0),0)</f>
        <v>9.2592592592592596E-4</v>
      </c>
      <c r="G22" s="246">
        <f>+E22*D22*F22</f>
        <v>2287.1357450968053</v>
      </c>
      <c r="H22" s="162"/>
    </row>
    <row r="23" spans="1:8" ht="13" x14ac:dyDescent="0.3">
      <c r="A23" s="60" t="s">
        <v>88</v>
      </c>
      <c r="B23" s="454" t="s">
        <v>89</v>
      </c>
      <c r="C23" s="320" t="s">
        <v>352</v>
      </c>
      <c r="D23" s="455">
        <v>0.5</v>
      </c>
      <c r="E23" s="35">
        <f>VLOOKUP(B23,'Rend. Equipos'!$B$7:$E$222,4,FALSE)</f>
        <v>1028123.0837653707</v>
      </c>
      <c r="F23" s="457">
        <f>VLOOKUP(B23,'Rend. Equipos'!$B$6:$L$166,MATCH($F$21,'Rend. Equipos'!$B$6:$L$6,0),0)</f>
        <v>5.5555555555555556E-4</v>
      </c>
      <c r="G23" s="247">
        <f t="shared" ref="G23:G24" si="2">+E23*D23*F23</f>
        <v>285.58974549038072</v>
      </c>
      <c r="H23" s="162"/>
    </row>
    <row r="24" spans="1:8" ht="13" x14ac:dyDescent="0.3">
      <c r="A24" s="265" t="s">
        <v>163</v>
      </c>
      <c r="B24" s="431" t="s">
        <v>164</v>
      </c>
      <c r="C24" s="265" t="s">
        <v>17</v>
      </c>
      <c r="D24" s="333">
        <v>1</v>
      </c>
      <c r="E24" s="35">
        <f>VLOOKUP(B24,'Rend. Equipos'!$B$7:$E$222,4,FALSE)</f>
        <v>689222.30122796178</v>
      </c>
      <c r="F24" s="457">
        <f>VLOOKUP(B24,'Rend. Equipos'!$B$6:$L$166,MATCH($F$21,'Rend. Equipos'!$B$6:$L$6,0),0)</f>
        <v>1.3888888888888889E-3</v>
      </c>
      <c r="G24" s="247">
        <f t="shared" si="2"/>
        <v>957.25319614994692</v>
      </c>
      <c r="H24" s="162"/>
    </row>
    <row r="25" spans="1:8" ht="13" x14ac:dyDescent="0.3">
      <c r="A25" s="139"/>
      <c r="B25" s="139"/>
      <c r="C25" s="139"/>
      <c r="D25" s="346"/>
      <c r="E25" s="140"/>
      <c r="F25" s="141" t="s">
        <v>602</v>
      </c>
      <c r="G25" s="391">
        <f>SUM(G22:G24)</f>
        <v>3529.9786867371331</v>
      </c>
      <c r="H25" s="162"/>
    </row>
    <row r="26" spans="1:8" ht="13" x14ac:dyDescent="0.3">
      <c r="A26" s="122"/>
      <c r="B26" s="122"/>
      <c r="C26" s="122"/>
      <c r="D26" s="342"/>
      <c r="E26" s="143"/>
      <c r="F26" s="144" t="s">
        <v>11</v>
      </c>
      <c r="G26" s="156">
        <f>+G25/F9</f>
        <v>235.33191244914221</v>
      </c>
      <c r="H26" s="162"/>
    </row>
    <row r="27" spans="1:8" ht="13" x14ac:dyDescent="0.3">
      <c r="A27" s="128" t="s">
        <v>603</v>
      </c>
      <c r="B27" s="122"/>
      <c r="C27" s="122"/>
      <c r="D27" s="342"/>
      <c r="E27" s="122"/>
      <c r="F27" s="122"/>
      <c r="G27" s="122"/>
      <c r="H27" s="162"/>
    </row>
    <row r="28" spans="1:8" ht="13" x14ac:dyDescent="0.3">
      <c r="A28" s="133" t="s">
        <v>79</v>
      </c>
      <c r="B28" s="134" t="s">
        <v>591</v>
      </c>
      <c r="C28" s="134" t="s">
        <v>592</v>
      </c>
      <c r="D28" s="345" t="s">
        <v>593</v>
      </c>
      <c r="E28" s="134" t="s">
        <v>604</v>
      </c>
      <c r="F28" s="134"/>
      <c r="G28" s="135" t="s">
        <v>596</v>
      </c>
      <c r="H28" s="167"/>
    </row>
    <row r="29" spans="1:8" ht="13" x14ac:dyDescent="0.3">
      <c r="A29" s="175" t="s">
        <v>255</v>
      </c>
      <c r="B29" s="175" t="s">
        <v>256</v>
      </c>
      <c r="C29" s="264" t="s">
        <v>605</v>
      </c>
      <c r="D29" s="372">
        <v>1</v>
      </c>
      <c r="E29" s="175">
        <f>VLOOKUP(B29,'Mano de Obra'!$B$8:$C$100,2,FALSE)</f>
        <v>85927.097156571981</v>
      </c>
      <c r="F29" s="175"/>
      <c r="G29" s="176">
        <f>+E29*D29</f>
        <v>85927.097156571981</v>
      </c>
      <c r="H29" s="162"/>
    </row>
    <row r="30" spans="1:8" ht="13" x14ac:dyDescent="0.3">
      <c r="A30" s="608" t="s">
        <v>228</v>
      </c>
      <c r="B30" s="161" t="s">
        <v>230</v>
      </c>
      <c r="C30" s="265" t="s">
        <v>605</v>
      </c>
      <c r="D30" s="373">
        <v>1</v>
      </c>
      <c r="E30" s="180">
        <f>VLOOKUP(B30,'Mano de Obra'!$B$8:$C$100,2,FALSE)</f>
        <v>60860.580776571966</v>
      </c>
      <c r="F30" s="180"/>
      <c r="G30" s="182">
        <f>+E30*D30</f>
        <v>60860.580776571966</v>
      </c>
      <c r="H30" s="162"/>
    </row>
    <row r="31" spans="1:8" ht="13" x14ac:dyDescent="0.3">
      <c r="A31" s="139"/>
      <c r="B31" s="139"/>
      <c r="C31" s="139"/>
      <c r="D31" s="346"/>
      <c r="E31" s="140"/>
      <c r="F31" s="141" t="s">
        <v>606</v>
      </c>
      <c r="G31" s="391">
        <f>SUM(G29:G30)</f>
        <v>146787.67793314395</v>
      </c>
      <c r="H31" s="162"/>
    </row>
    <row r="32" spans="1:8" ht="13" x14ac:dyDescent="0.3">
      <c r="A32" s="122"/>
      <c r="B32" s="122"/>
      <c r="C32" s="122"/>
      <c r="D32" s="342"/>
      <c r="E32" s="360"/>
      <c r="F32" s="123" t="s">
        <v>607</v>
      </c>
      <c r="G32" s="349">
        <v>1</v>
      </c>
      <c r="H32" s="162"/>
    </row>
    <row r="33" spans="1:8" ht="13" x14ac:dyDescent="0.3">
      <c r="A33" s="122"/>
      <c r="B33" s="122"/>
      <c r="C33" s="122"/>
      <c r="D33" s="342"/>
      <c r="E33" s="360"/>
      <c r="F33" s="123" t="s">
        <v>608</v>
      </c>
      <c r="G33" s="390">
        <f>+G32*G31</f>
        <v>146787.67793314395</v>
      </c>
      <c r="H33" s="162"/>
    </row>
    <row r="34" spans="1:8" ht="13" x14ac:dyDescent="0.3">
      <c r="A34" s="122"/>
      <c r="B34" s="122"/>
      <c r="C34" s="122"/>
      <c r="D34" s="342"/>
      <c r="E34" s="143"/>
      <c r="F34" s="144" t="s">
        <v>10</v>
      </c>
      <c r="G34" s="156">
        <f>+G33/F9</f>
        <v>9785.84519554293</v>
      </c>
      <c r="H34" s="162"/>
    </row>
    <row r="35" spans="1:8" ht="13" x14ac:dyDescent="0.3">
      <c r="A35" s="122"/>
      <c r="B35" s="122"/>
      <c r="C35" s="122"/>
      <c r="D35" s="342"/>
      <c r="H35" s="162"/>
    </row>
    <row r="36" spans="1:8" ht="13" x14ac:dyDescent="0.3">
      <c r="A36" s="122"/>
      <c r="B36" s="122"/>
      <c r="C36" s="122"/>
      <c r="D36" s="342"/>
      <c r="E36" s="122"/>
      <c r="F36" s="123" t="s">
        <v>609</v>
      </c>
      <c r="G36" s="123">
        <f>+G34+G26+G19</f>
        <v>16612.173333054274</v>
      </c>
      <c r="H36" s="162"/>
    </row>
    <row r="37" spans="1:8" ht="13" x14ac:dyDescent="0.3">
      <c r="A37" s="122"/>
      <c r="B37" s="122"/>
      <c r="C37" s="122"/>
      <c r="D37" s="342"/>
      <c r="E37" s="123" t="s">
        <v>610</v>
      </c>
      <c r="F37" s="198">
        <f>+RESUMEN!$I$2</f>
        <v>0</v>
      </c>
      <c r="G37" s="130">
        <f>IF(F37=0,0,F37*G36)</f>
        <v>0</v>
      </c>
      <c r="H37" s="162"/>
    </row>
    <row r="38" spans="1:8" ht="13" x14ac:dyDescent="0.3">
      <c r="A38" s="122"/>
      <c r="B38" s="122"/>
      <c r="C38" s="122"/>
      <c r="D38" s="342"/>
      <c r="E38" s="123" t="s">
        <v>611</v>
      </c>
      <c r="F38" s="198">
        <f>+RESUMEN!$I$3</f>
        <v>0</v>
      </c>
      <c r="G38" s="130">
        <f>IF(F38=0,0,F38*G36)</f>
        <v>0</v>
      </c>
      <c r="H38" s="162"/>
    </row>
    <row r="39" spans="1:8" ht="13" x14ac:dyDescent="0.3">
      <c r="A39" s="875"/>
      <c r="B39" s="870"/>
      <c r="C39" s="122"/>
      <c r="D39" s="342"/>
      <c r="E39" s="151"/>
      <c r="F39" s="152" t="s">
        <v>612</v>
      </c>
      <c r="G39" s="389">
        <f>SUM(G36:G38)</f>
        <v>16612.173333054274</v>
      </c>
      <c r="H39" s="162"/>
    </row>
  </sheetData>
  <mergeCells count="4">
    <mergeCell ref="A1:G1"/>
    <mergeCell ref="B5:G5"/>
    <mergeCell ref="B7:G7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N42"/>
  <sheetViews>
    <sheetView workbookViewId="0">
      <selection activeCell="G17" sqref="G17"/>
    </sheetView>
  </sheetViews>
  <sheetFormatPr defaultColWidth="11.453125" defaultRowHeight="12.5" x14ac:dyDescent="0.25"/>
  <cols>
    <col min="1" max="1" width="9.90625" customWidth="1"/>
    <col min="2" max="2" width="41.6328125" bestFit="1" customWidth="1"/>
    <col min="3" max="3" width="7.08984375" bestFit="1" customWidth="1"/>
    <col min="4" max="4" width="8.6328125" style="347" customWidth="1"/>
    <col min="5" max="5" width="15.36328125" bestFit="1" customWidth="1"/>
    <col min="6" max="6" width="9.453125" customWidth="1"/>
    <col min="7" max="7" width="12" bestFit="1" customWidth="1"/>
    <col min="11" max="11" width="36.08984375" bestFit="1" customWidth="1"/>
    <col min="12" max="12" width="3.54296875" bestFit="1" customWidth="1"/>
    <col min="13" max="13" width="8.54296875" bestFit="1" customWidth="1"/>
    <col min="14" max="14" width="5" bestFit="1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</row>
    <row r="2" spans="1:14" ht="13" x14ac:dyDescent="0.25">
      <c r="A2" s="162"/>
      <c r="B2" s="162"/>
      <c r="C2" s="162"/>
      <c r="D2" s="340"/>
      <c r="E2" s="162"/>
      <c r="F2" s="240" t="s">
        <v>78</v>
      </c>
      <c r="G2" s="446" t="s">
        <v>613</v>
      </c>
      <c r="H2" s="162"/>
      <c r="I2" s="1"/>
      <c r="J2" s="1"/>
      <c r="K2" s="1"/>
      <c r="L2" s="1"/>
      <c r="M2" s="1"/>
      <c r="N2" s="1"/>
    </row>
    <row r="3" spans="1:14" ht="15.5" x14ac:dyDescent="0.35">
      <c r="A3" s="165" t="s">
        <v>579</v>
      </c>
      <c r="B3" s="166"/>
      <c r="C3" s="166"/>
      <c r="D3" s="341"/>
      <c r="E3" s="166"/>
      <c r="F3" s="166"/>
      <c r="G3" s="166"/>
      <c r="H3" s="162"/>
      <c r="I3" s="1"/>
      <c r="J3" s="1"/>
      <c r="K3" s="1"/>
      <c r="L3" s="1"/>
      <c r="M3" s="1"/>
      <c r="N3" s="1"/>
    </row>
    <row r="4" spans="1:14" ht="13" x14ac:dyDescent="0.3">
      <c r="A4" s="122"/>
      <c r="B4" s="122"/>
      <c r="C4" s="122"/>
      <c r="D4" s="342"/>
      <c r="E4" s="122"/>
      <c r="F4" s="123" t="s">
        <v>580</v>
      </c>
      <c r="G4" s="126">
        <v>35</v>
      </c>
      <c r="H4" s="162"/>
      <c r="I4" s="1"/>
      <c r="J4" s="1"/>
      <c r="K4" s="1"/>
      <c r="L4" s="1"/>
      <c r="M4" s="1"/>
      <c r="N4" s="1"/>
    </row>
    <row r="5" spans="1:14" ht="13" x14ac:dyDescent="0.25">
      <c r="A5" s="127" t="s">
        <v>581</v>
      </c>
      <c r="B5" s="892" t="s">
        <v>613</v>
      </c>
      <c r="C5" s="893"/>
      <c r="D5" s="893"/>
      <c r="E5" s="893"/>
      <c r="F5" s="893"/>
      <c r="G5" s="893"/>
      <c r="H5" s="162"/>
      <c r="I5" s="1"/>
      <c r="J5" s="1"/>
      <c r="K5" s="1"/>
      <c r="L5" s="1"/>
      <c r="M5" s="1"/>
      <c r="N5" s="1"/>
    </row>
    <row r="6" spans="1:14" ht="13" x14ac:dyDescent="0.3">
      <c r="A6" s="128" t="s">
        <v>582</v>
      </c>
      <c r="B6" s="446" t="s">
        <v>613</v>
      </c>
      <c r="C6" s="122"/>
      <c r="D6" s="342"/>
      <c r="E6" s="122"/>
      <c r="F6" s="123" t="s">
        <v>583</v>
      </c>
      <c r="G6" s="446" t="s">
        <v>613</v>
      </c>
      <c r="H6" s="162"/>
      <c r="I6" s="1"/>
      <c r="J6" s="1"/>
      <c r="K6" s="1"/>
      <c r="L6" s="1"/>
      <c r="M6" s="1"/>
      <c r="N6" s="1"/>
    </row>
    <row r="7" spans="1:14" ht="15.5" x14ac:dyDescent="0.25">
      <c r="A7" s="197" t="s">
        <v>584</v>
      </c>
      <c r="B7" s="873" t="s">
        <v>621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</row>
    <row r="8" spans="1:14" ht="13" x14ac:dyDescent="0.3">
      <c r="A8" s="128"/>
      <c r="B8" s="122"/>
      <c r="C8" s="131" t="s">
        <v>586</v>
      </c>
      <c r="D8" s="342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  <c r="N8" s="1"/>
    </row>
    <row r="9" spans="1:14" ht="13" x14ac:dyDescent="0.3">
      <c r="A9" s="122"/>
      <c r="B9" s="122" t="s">
        <v>622</v>
      </c>
      <c r="C9" s="132" t="s">
        <v>45</v>
      </c>
      <c r="D9" s="342"/>
      <c r="E9" s="564">
        <v>100</v>
      </c>
      <c r="F9" s="185">
        <v>15</v>
      </c>
      <c r="G9" s="122" t="s">
        <v>615</v>
      </c>
      <c r="H9" s="162"/>
      <c r="I9" s="1"/>
      <c r="J9" s="1"/>
      <c r="L9" s="1"/>
      <c r="M9" s="1"/>
      <c r="N9" s="1"/>
    </row>
    <row r="10" spans="1:14" ht="13" x14ac:dyDescent="0.3">
      <c r="A10" s="128" t="s">
        <v>590</v>
      </c>
      <c r="B10" s="122"/>
      <c r="C10" s="122"/>
      <c r="D10" s="342"/>
      <c r="E10" s="122"/>
      <c r="F10" s="122"/>
      <c r="G10" s="122"/>
      <c r="H10" s="162"/>
      <c r="I10" s="1"/>
      <c r="J10" s="1"/>
      <c r="K10" s="1"/>
      <c r="L10" s="1"/>
      <c r="M10" s="1"/>
      <c r="N10" s="1"/>
    </row>
    <row r="11" spans="1:14" ht="13" x14ac:dyDescent="0.3">
      <c r="A11" s="435" t="s">
        <v>79</v>
      </c>
      <c r="B11" s="134" t="s">
        <v>591</v>
      </c>
      <c r="C11" s="134" t="s">
        <v>592</v>
      </c>
      <c r="D11" s="345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3"/>
      <c r="J11" s="3"/>
      <c r="K11" s="3"/>
      <c r="L11" s="3"/>
      <c r="M11" s="3"/>
      <c r="N11" s="3"/>
    </row>
    <row r="12" spans="1:14" ht="13" x14ac:dyDescent="0.3">
      <c r="A12" s="264" t="s">
        <v>377</v>
      </c>
      <c r="B12" s="175" t="s">
        <v>378</v>
      </c>
      <c r="C12" s="264" t="s">
        <v>17</v>
      </c>
      <c r="D12" s="372">
        <v>0.17</v>
      </c>
      <c r="E12" s="116">
        <f>VLOOKUP(B12,Materiales!$B$8:$D$118,3,FALSE)</f>
        <v>3424.53</v>
      </c>
      <c r="F12" s="116">
        <v>10</v>
      </c>
      <c r="G12" s="246">
        <f>+D12*E12*((F12+100)/100)</f>
        <v>640.38711000000012</v>
      </c>
      <c r="H12" s="176">
        <f>+D12*$E$9</f>
        <v>17</v>
      </c>
      <c r="I12" s="1"/>
      <c r="J12" s="1"/>
      <c r="K12" s="175"/>
      <c r="L12" s="264"/>
      <c r="M12" s="433" t="s">
        <v>623</v>
      </c>
      <c r="N12" s="1" t="s">
        <v>624</v>
      </c>
    </row>
    <row r="13" spans="1:14" ht="13" x14ac:dyDescent="0.3">
      <c r="A13" s="320" t="s">
        <v>390</v>
      </c>
      <c r="B13" s="178" t="s">
        <v>391</v>
      </c>
      <c r="C13" s="320" t="s">
        <v>17</v>
      </c>
      <c r="D13" s="374">
        <v>15</v>
      </c>
      <c r="E13" s="35">
        <f>VLOOKUP(B13,Materiales!$B$8:$D$118,3,FALSE)</f>
        <v>365.4</v>
      </c>
      <c r="F13" s="35">
        <v>5</v>
      </c>
      <c r="G13" s="247">
        <f t="shared" ref="G13:G17" si="0">+D13*E13*((F13+100)/100)</f>
        <v>5755.05</v>
      </c>
      <c r="H13" s="179">
        <f t="shared" ref="H13:H16" si="1">+D13*$E$9</f>
        <v>1500</v>
      </c>
      <c r="I13" s="1"/>
      <c r="J13" s="1"/>
      <c r="K13" s="178"/>
      <c r="L13" s="320"/>
      <c r="M13" s="457">
        <v>10</v>
      </c>
      <c r="N13" s="1">
        <v>15</v>
      </c>
    </row>
    <row r="14" spans="1:14" ht="13" x14ac:dyDescent="0.3">
      <c r="A14" s="320" t="s">
        <v>372</v>
      </c>
      <c r="B14" s="178" t="s">
        <v>373</v>
      </c>
      <c r="C14" s="320" t="s">
        <v>374</v>
      </c>
      <c r="D14" s="374">
        <v>0.15</v>
      </c>
      <c r="E14" s="35">
        <f>VLOOKUP(B14,Materiales!$B$8:$D$118,3,FALSE)</f>
        <v>3837.96</v>
      </c>
      <c r="F14" s="35">
        <v>10</v>
      </c>
      <c r="G14" s="247">
        <f t="shared" si="0"/>
        <v>633.26340000000005</v>
      </c>
      <c r="H14" s="179">
        <f t="shared" si="1"/>
        <v>15</v>
      </c>
      <c r="I14" s="1"/>
      <c r="J14" s="1"/>
      <c r="K14" s="178" t="s">
        <v>363</v>
      </c>
      <c r="L14" s="320" t="s">
        <v>59</v>
      </c>
      <c r="M14" s="457">
        <v>1.2E-2</v>
      </c>
      <c r="N14" s="278">
        <f>+$N$13*M14/$M$13</f>
        <v>1.7999999999999999E-2</v>
      </c>
    </row>
    <row r="15" spans="1:14" ht="13" x14ac:dyDescent="0.3">
      <c r="A15" s="320" t="s">
        <v>368</v>
      </c>
      <c r="B15" s="178" t="s">
        <v>369</v>
      </c>
      <c r="C15" s="320" t="s">
        <v>374</v>
      </c>
      <c r="D15" s="374">
        <v>7.4999999999999997E-2</v>
      </c>
      <c r="E15" s="35">
        <f>VLOOKUP(B15,Materiales!$B$8:$D$118,3,FALSE)</f>
        <v>7809.48</v>
      </c>
      <c r="F15" s="35">
        <v>10</v>
      </c>
      <c r="G15" s="247">
        <f t="shared" si="0"/>
        <v>644.2820999999999</v>
      </c>
      <c r="H15" s="179">
        <f t="shared" si="1"/>
        <v>7.5</v>
      </c>
      <c r="I15" s="1"/>
      <c r="J15" s="1"/>
      <c r="K15" s="178" t="s">
        <v>373</v>
      </c>
      <c r="L15" s="320" t="s">
        <v>374</v>
      </c>
      <c r="M15" s="457">
        <v>0.1</v>
      </c>
      <c r="N15" s="278">
        <f t="shared" ref="N15:N16" si="2">+$N$13*M15/$M$13</f>
        <v>0.15</v>
      </c>
    </row>
    <row r="16" spans="1:14" ht="13" x14ac:dyDescent="0.3">
      <c r="A16" s="320" t="s">
        <v>362</v>
      </c>
      <c r="B16" s="178" t="s">
        <v>363</v>
      </c>
      <c r="C16" s="320" t="s">
        <v>59</v>
      </c>
      <c r="D16" s="374">
        <v>1.7999999999999999E-2</v>
      </c>
      <c r="E16" s="35">
        <f>VLOOKUP(B16,Materiales!$B$8:$D$118,3,FALSE)</f>
        <v>32399.77</v>
      </c>
      <c r="F16" s="35">
        <v>10</v>
      </c>
      <c r="G16" s="247">
        <f t="shared" si="0"/>
        <v>641.515446</v>
      </c>
      <c r="H16" s="179">
        <f t="shared" si="1"/>
        <v>1.7999999999999998</v>
      </c>
      <c r="I16" s="1"/>
      <c r="J16" s="1"/>
      <c r="K16" s="178" t="s">
        <v>369</v>
      </c>
      <c r="L16" s="320" t="s">
        <v>374</v>
      </c>
      <c r="M16" s="457">
        <v>0.05</v>
      </c>
      <c r="N16" s="278">
        <f t="shared" si="2"/>
        <v>7.4999999999999997E-2</v>
      </c>
    </row>
    <row r="17" spans="1:10" ht="13" x14ac:dyDescent="0.3">
      <c r="A17" s="265"/>
      <c r="B17" s="420" t="s">
        <v>617</v>
      </c>
      <c r="C17" s="265" t="s">
        <v>352</v>
      </c>
      <c r="D17" s="373">
        <v>0.01</v>
      </c>
      <c r="E17" s="80">
        <f>+SUM(G12:G16)</f>
        <v>8314.4980560000004</v>
      </c>
      <c r="F17" s="80">
        <v>3</v>
      </c>
      <c r="G17" s="248">
        <f t="shared" si="0"/>
        <v>85.639329976800013</v>
      </c>
      <c r="H17" s="182">
        <f>+D17*$E$9</f>
        <v>1</v>
      </c>
      <c r="I17" s="1"/>
      <c r="J17" s="1"/>
    </row>
    <row r="18" spans="1:10" ht="13" x14ac:dyDescent="0.3">
      <c r="A18" s="122"/>
      <c r="B18" s="122"/>
      <c r="C18" s="122"/>
      <c r="D18" s="342"/>
      <c r="E18" s="360"/>
      <c r="F18" s="123" t="s">
        <v>598</v>
      </c>
      <c r="G18" s="390">
        <f>SUM(G12:G16)</f>
        <v>8314.4980560000004</v>
      </c>
      <c r="I18" s="1"/>
      <c r="J18" s="1"/>
    </row>
    <row r="19" spans="1:10" ht="13" x14ac:dyDescent="0.3">
      <c r="A19" s="122"/>
      <c r="B19" s="122"/>
      <c r="C19" s="122"/>
      <c r="D19" s="342"/>
      <c r="E19" s="143"/>
      <c r="F19" s="144" t="s">
        <v>9</v>
      </c>
      <c r="G19" s="156">
        <f>+G18</f>
        <v>8314.4980560000004</v>
      </c>
      <c r="H19" s="162"/>
      <c r="I19" s="1"/>
      <c r="J19" s="1"/>
    </row>
    <row r="20" spans="1:10" ht="13" x14ac:dyDescent="0.3">
      <c r="A20" s="128" t="s">
        <v>599</v>
      </c>
      <c r="B20" s="122"/>
      <c r="C20" s="122"/>
      <c r="D20" s="342"/>
      <c r="E20" s="122"/>
      <c r="F20" s="122"/>
      <c r="G20" s="122"/>
      <c r="H20" s="162"/>
      <c r="I20" s="1"/>
      <c r="J20" s="1"/>
    </row>
    <row r="21" spans="1:10" ht="13" x14ac:dyDescent="0.3">
      <c r="A21" s="435" t="s">
        <v>79</v>
      </c>
      <c r="B21" s="134" t="s">
        <v>591</v>
      </c>
      <c r="C21" s="134" t="s">
        <v>592</v>
      </c>
      <c r="D21" s="345" t="s">
        <v>593</v>
      </c>
      <c r="E21" s="134" t="s">
        <v>600</v>
      </c>
      <c r="F21" s="417" t="s">
        <v>87</v>
      </c>
      <c r="G21" s="135" t="s">
        <v>596</v>
      </c>
      <c r="H21" s="167"/>
      <c r="I21" s="3"/>
      <c r="J21" s="3"/>
    </row>
    <row r="22" spans="1:10" ht="13" x14ac:dyDescent="0.3">
      <c r="A22" s="264" t="s">
        <v>93</v>
      </c>
      <c r="B22" s="175" t="s">
        <v>94</v>
      </c>
      <c r="C22" s="264" t="s">
        <v>352</v>
      </c>
      <c r="D22" s="330">
        <v>1</v>
      </c>
      <c r="E22" s="175">
        <f>VLOOKUP(B22,'Rend. Equipos'!$B$7:$E$222,4,FALSE)</f>
        <v>2470106.6047045495</v>
      </c>
      <c r="F22" s="433">
        <f>VLOOKUP(B22,'Rend. Equipos'!$B$6:$L$166,MATCH($F$21,'Rend. Equipos'!$B$6:$L$6,0),0)</f>
        <v>9.2592592592592596E-4</v>
      </c>
      <c r="G22" s="176">
        <f>+E22*D22*F22</f>
        <v>2287.1357450968053</v>
      </c>
      <c r="H22" s="162"/>
      <c r="I22" s="1"/>
      <c r="J22" s="1">
        <v>60105.537332757871</v>
      </c>
    </row>
    <row r="23" spans="1:10" ht="13" x14ac:dyDescent="0.3">
      <c r="A23" s="60" t="s">
        <v>88</v>
      </c>
      <c r="B23" s="454" t="s">
        <v>89</v>
      </c>
      <c r="C23" s="320" t="s">
        <v>352</v>
      </c>
      <c r="D23" s="455">
        <v>0.5</v>
      </c>
      <c r="E23" s="178">
        <f>VLOOKUP(B23,'Rend. Equipos'!$B$7:$E$222,4,FALSE)</f>
        <v>1028123.0837653707</v>
      </c>
      <c r="F23" s="457">
        <f>VLOOKUP(B23,'Rend. Equipos'!$B$6:$L$166,MATCH($F$21,'Rend. Equipos'!$B$6:$L$6,0),0)</f>
        <v>5.5555555555555556E-4</v>
      </c>
      <c r="G23" s="179">
        <f t="shared" ref="G23:G24" si="3">+E23*D23*F23</f>
        <v>285.58974549038072</v>
      </c>
      <c r="H23" s="162"/>
      <c r="I23" s="1"/>
      <c r="J23" s="1"/>
    </row>
    <row r="24" spans="1:10" ht="13" x14ac:dyDescent="0.3">
      <c r="A24" s="265" t="s">
        <v>163</v>
      </c>
      <c r="B24" s="431" t="s">
        <v>164</v>
      </c>
      <c r="C24" s="265" t="s">
        <v>17</v>
      </c>
      <c r="D24" s="333">
        <v>1</v>
      </c>
      <c r="E24" s="180">
        <f>VLOOKUP(B24,'Rend. Equipos'!$B$7:$E$222,4,FALSE)</f>
        <v>689222.30122796178</v>
      </c>
      <c r="F24" s="457">
        <f>VLOOKUP(B24,'Rend. Equipos'!$B$6:$L$166,MATCH($F$21,'Rend. Equipos'!$B$6:$L$6,0),0)</f>
        <v>1.3888888888888889E-3</v>
      </c>
      <c r="G24" s="182">
        <f t="shared" si="3"/>
        <v>957.25319614994692</v>
      </c>
      <c r="H24" s="162"/>
      <c r="I24" s="1"/>
      <c r="J24" s="1"/>
    </row>
    <row r="25" spans="1:10" ht="13" x14ac:dyDescent="0.3">
      <c r="A25" s="139"/>
      <c r="B25" s="139"/>
      <c r="C25" s="139"/>
      <c r="D25" s="346"/>
      <c r="E25" s="140"/>
      <c r="F25" s="141" t="s">
        <v>602</v>
      </c>
      <c r="G25" s="391">
        <f>SUM(G22:G24)</f>
        <v>3529.9786867371331</v>
      </c>
      <c r="H25" s="162"/>
      <c r="I25" s="1"/>
      <c r="J25" s="147">
        <v>0.02</v>
      </c>
    </row>
    <row r="26" spans="1:10" ht="13" x14ac:dyDescent="0.3">
      <c r="A26" s="122"/>
      <c r="B26" s="122"/>
      <c r="C26" s="122"/>
      <c r="D26" s="342"/>
      <c r="E26" s="143"/>
      <c r="F26" s="144" t="s">
        <v>11</v>
      </c>
      <c r="G26" s="156">
        <f>+G25/F9</f>
        <v>235.33191244914221</v>
      </c>
      <c r="H26" s="162"/>
      <c r="I26" s="1"/>
      <c r="J26" s="1">
        <f>+J22*J25</f>
        <v>1202.1107466551575</v>
      </c>
    </row>
    <row r="27" spans="1:10" ht="13" x14ac:dyDescent="0.3">
      <c r="A27" s="128" t="s">
        <v>603</v>
      </c>
      <c r="B27" s="122"/>
      <c r="C27" s="122"/>
      <c r="D27" s="342"/>
      <c r="E27" s="122"/>
      <c r="F27" s="122"/>
      <c r="G27" s="122"/>
      <c r="H27" s="162"/>
      <c r="I27" s="1"/>
      <c r="J27" s="1">
        <f>+J26/F9</f>
        <v>80.140716443677164</v>
      </c>
    </row>
    <row r="28" spans="1:10" ht="13" x14ac:dyDescent="0.3">
      <c r="A28" s="435" t="s">
        <v>79</v>
      </c>
      <c r="B28" s="134" t="s">
        <v>591</v>
      </c>
      <c r="C28" s="134"/>
      <c r="D28" s="345" t="s">
        <v>593</v>
      </c>
      <c r="E28" s="134" t="s">
        <v>604</v>
      </c>
      <c r="F28" s="134"/>
      <c r="G28" s="135" t="s">
        <v>596</v>
      </c>
      <c r="H28" s="167"/>
      <c r="I28" s="3"/>
      <c r="J28" s="3"/>
    </row>
    <row r="29" spans="1:10" ht="13" x14ac:dyDescent="0.3">
      <c r="A29" s="279" t="s">
        <v>255</v>
      </c>
      <c r="B29" s="122" t="s">
        <v>256</v>
      </c>
      <c r="C29" s="146"/>
      <c r="D29" s="413">
        <v>1</v>
      </c>
      <c r="E29" s="122">
        <f>VLOOKUP(B29,'Mano de Obra'!$B$8:$C$100,2,FALSE)</f>
        <v>85927.097156571981</v>
      </c>
      <c r="F29" s="146"/>
      <c r="G29" s="148">
        <f>+E29*D29</f>
        <v>85927.097156571981</v>
      </c>
      <c r="H29" s="162"/>
      <c r="I29" s="1"/>
      <c r="J29" s="1"/>
    </row>
    <row r="30" spans="1:10" ht="13" x14ac:dyDescent="0.3">
      <c r="A30" s="608" t="s">
        <v>228</v>
      </c>
      <c r="B30" s="161" t="s">
        <v>230</v>
      </c>
      <c r="C30" s="149"/>
      <c r="D30" s="414">
        <v>1</v>
      </c>
      <c r="E30" s="122">
        <f>VLOOKUP(B30,'Mano de Obra'!$B$8:$C$100,2,FALSE)</f>
        <v>60860.580776571966</v>
      </c>
      <c r="F30" s="149"/>
      <c r="G30" s="137">
        <f>+E30*D30</f>
        <v>60860.580776571966</v>
      </c>
      <c r="H30" s="162"/>
      <c r="I30" s="1"/>
      <c r="J30" s="1"/>
    </row>
    <row r="31" spans="1:10" ht="13" x14ac:dyDescent="0.3">
      <c r="A31" s="139"/>
      <c r="B31" s="139"/>
      <c r="C31" s="139"/>
      <c r="D31" s="346"/>
      <c r="E31" s="140"/>
      <c r="F31" s="141" t="s">
        <v>606</v>
      </c>
      <c r="G31" s="391">
        <f>SUM(G29:G30)</f>
        <v>146787.67793314395</v>
      </c>
      <c r="H31" s="162"/>
      <c r="I31" s="1"/>
      <c r="J31" s="1"/>
    </row>
    <row r="32" spans="1:10" ht="13" x14ac:dyDescent="0.3">
      <c r="A32" s="122"/>
      <c r="B32" s="122"/>
      <c r="C32" s="122"/>
      <c r="D32" s="342"/>
      <c r="E32" s="360"/>
      <c r="F32" s="123" t="s">
        <v>607</v>
      </c>
      <c r="G32" s="349">
        <v>1</v>
      </c>
      <c r="H32" s="162"/>
      <c r="I32" s="1"/>
      <c r="J32" s="1"/>
    </row>
    <row r="33" spans="1:8" ht="13" x14ac:dyDescent="0.3">
      <c r="A33" s="122"/>
      <c r="B33" s="122"/>
      <c r="C33" s="122"/>
      <c r="D33" s="342"/>
      <c r="E33" s="360"/>
      <c r="F33" s="123" t="s">
        <v>608</v>
      </c>
      <c r="G33" s="390">
        <f>+G32*G31</f>
        <v>146787.67793314395</v>
      </c>
      <c r="H33" s="162"/>
    </row>
    <row r="34" spans="1:8" ht="13" x14ac:dyDescent="0.3">
      <c r="A34" s="122"/>
      <c r="B34" s="122"/>
      <c r="C34" s="122"/>
      <c r="D34" s="342"/>
      <c r="E34" s="143"/>
      <c r="F34" s="144" t="s">
        <v>10</v>
      </c>
      <c r="G34" s="156">
        <f>+G33/F9</f>
        <v>9785.84519554293</v>
      </c>
      <c r="H34" s="162"/>
    </row>
    <row r="35" spans="1:8" ht="13" x14ac:dyDescent="0.3">
      <c r="A35" s="122"/>
      <c r="B35" s="122"/>
      <c r="C35" s="122"/>
      <c r="D35" s="342"/>
      <c r="H35" s="162"/>
    </row>
    <row r="36" spans="1:8" ht="13" x14ac:dyDescent="0.3">
      <c r="A36" s="122"/>
      <c r="B36" s="122"/>
      <c r="C36" s="122"/>
      <c r="D36" s="342"/>
      <c r="E36" s="122"/>
      <c r="F36" s="123" t="s">
        <v>609</v>
      </c>
      <c r="G36" s="123">
        <f>+G34+G26+G19</f>
        <v>18335.675163992073</v>
      </c>
      <c r="H36" s="162"/>
    </row>
    <row r="37" spans="1:8" ht="13" x14ac:dyDescent="0.3">
      <c r="A37" s="122"/>
      <c r="B37" s="122"/>
      <c r="C37" s="122"/>
      <c r="D37" s="342"/>
      <c r="E37" s="123" t="s">
        <v>610</v>
      </c>
      <c r="F37" s="198">
        <f>+RESUMEN!$I$2</f>
        <v>0</v>
      </c>
      <c r="G37" s="130">
        <f>IF(F37=0,0,F37*G36)</f>
        <v>0</v>
      </c>
      <c r="H37" s="162"/>
    </row>
    <row r="38" spans="1:8" ht="13" x14ac:dyDescent="0.3">
      <c r="A38" s="122"/>
      <c r="B38" s="122"/>
      <c r="C38" s="122"/>
      <c r="D38" s="342"/>
      <c r="E38" s="123" t="s">
        <v>611</v>
      </c>
      <c r="F38" s="198">
        <f>+RESUMEN!$I$3</f>
        <v>0</v>
      </c>
      <c r="G38" s="130">
        <f>IF(F38=0,0,F38*G36)</f>
        <v>0</v>
      </c>
      <c r="H38" s="162"/>
    </row>
    <row r="39" spans="1:8" ht="13" x14ac:dyDescent="0.3">
      <c r="A39" s="122"/>
      <c r="B39" s="122"/>
      <c r="C39" s="122"/>
      <c r="D39" s="342"/>
      <c r="E39" s="151"/>
      <c r="F39" s="152" t="s">
        <v>612</v>
      </c>
      <c r="G39" s="389">
        <f>SUM(G36:G38)</f>
        <v>18335.675163992073</v>
      </c>
      <c r="H39" s="162"/>
    </row>
    <row r="40" spans="1:8" ht="13" x14ac:dyDescent="0.3">
      <c r="A40" s="122"/>
      <c r="B40" s="122"/>
      <c r="C40" s="122"/>
      <c r="D40" s="342"/>
      <c r="E40" s="1"/>
      <c r="F40" s="1"/>
      <c r="G40" s="1"/>
      <c r="H40" s="162"/>
    </row>
    <row r="41" spans="1:8" ht="13" x14ac:dyDescent="0.3">
      <c r="A41" s="875"/>
      <c r="B41" s="870"/>
      <c r="C41" s="122"/>
      <c r="D41" s="342"/>
      <c r="E41" s="1"/>
      <c r="F41" s="1"/>
      <c r="G41" s="1"/>
      <c r="H41" s="162"/>
    </row>
    <row r="42" spans="1:8" ht="13" x14ac:dyDescent="0.3">
      <c r="A42" s="875"/>
      <c r="B42" s="870"/>
      <c r="C42" s="122"/>
      <c r="D42" s="342"/>
      <c r="E42" s="1"/>
      <c r="F42" s="1"/>
      <c r="G42" s="1"/>
      <c r="H42" s="162"/>
    </row>
  </sheetData>
  <mergeCells count="5">
    <mergeCell ref="A1:G1"/>
    <mergeCell ref="B5:G5"/>
    <mergeCell ref="B7:G7"/>
    <mergeCell ref="A41:B41"/>
    <mergeCell ref="A42:B42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</sheetPr>
  <dimension ref="A1:N42"/>
  <sheetViews>
    <sheetView workbookViewId="0">
      <selection activeCell="G17" sqref="G17"/>
    </sheetView>
  </sheetViews>
  <sheetFormatPr defaultColWidth="11.453125" defaultRowHeight="12.5" x14ac:dyDescent="0.25"/>
  <cols>
    <col min="1" max="1" width="9.36328125" customWidth="1"/>
    <col min="2" max="2" width="37.6328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2" bestFit="1" customWidth="1"/>
    <col min="11" max="11" width="20.6328125" bestFit="1" customWidth="1"/>
    <col min="12" max="12" width="3.54296875" bestFit="1" customWidth="1"/>
    <col min="13" max="13" width="6.54296875" bestFit="1" customWidth="1"/>
    <col min="14" max="14" width="7.54296875" bestFit="1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</row>
    <row r="2" spans="1:14" ht="13" x14ac:dyDescent="0.25">
      <c r="A2" s="162"/>
      <c r="B2" s="162"/>
      <c r="C2" s="162"/>
      <c r="D2" s="162"/>
      <c r="E2" s="162"/>
      <c r="F2" s="240" t="s">
        <v>78</v>
      </c>
      <c r="G2" s="446" t="s">
        <v>613</v>
      </c>
      <c r="H2" s="162"/>
      <c r="I2" s="1"/>
      <c r="J2" s="1"/>
      <c r="K2" s="1"/>
      <c r="L2" s="1"/>
      <c r="M2" s="1"/>
      <c r="N2" s="1"/>
    </row>
    <row r="3" spans="1:14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</row>
    <row r="4" spans="1:14" ht="13" x14ac:dyDescent="0.3">
      <c r="A4" s="122"/>
      <c r="B4" s="122"/>
      <c r="C4" s="122"/>
      <c r="D4" s="122"/>
      <c r="E4" s="122"/>
      <c r="F4" s="123" t="s">
        <v>580</v>
      </c>
      <c r="G4" s="126">
        <v>36</v>
      </c>
      <c r="H4" s="162"/>
      <c r="I4" s="1"/>
      <c r="J4" s="1"/>
      <c r="K4" s="1"/>
      <c r="L4" s="1"/>
      <c r="M4" s="1"/>
      <c r="N4" s="1"/>
    </row>
    <row r="5" spans="1:14" ht="13" x14ac:dyDescent="0.25">
      <c r="A5" s="127" t="s">
        <v>581</v>
      </c>
      <c r="B5" s="892" t="s">
        <v>613</v>
      </c>
      <c r="C5" s="893"/>
      <c r="D5" s="893"/>
      <c r="E5" s="893"/>
      <c r="F5" s="893"/>
      <c r="G5" s="893"/>
      <c r="H5" s="162"/>
      <c r="I5" s="1"/>
      <c r="J5" s="1"/>
      <c r="K5" s="1"/>
      <c r="L5" s="1"/>
      <c r="M5" s="1"/>
      <c r="N5" s="1"/>
    </row>
    <row r="6" spans="1:14" ht="13" x14ac:dyDescent="0.3">
      <c r="A6" s="128" t="s">
        <v>582</v>
      </c>
      <c r="B6" s="446" t="s">
        <v>613</v>
      </c>
      <c r="C6" s="122"/>
      <c r="D6" s="122"/>
      <c r="E6" s="122"/>
      <c r="F6" s="123" t="s">
        <v>583</v>
      </c>
      <c r="G6" s="446" t="s">
        <v>613</v>
      </c>
      <c r="H6" s="162"/>
      <c r="I6" s="1"/>
      <c r="J6" s="1"/>
      <c r="K6" s="1"/>
      <c r="L6" s="1"/>
      <c r="M6" s="1"/>
      <c r="N6" s="1"/>
    </row>
    <row r="7" spans="1:14" ht="15.5" x14ac:dyDescent="0.25">
      <c r="A7" s="197" t="s">
        <v>584</v>
      </c>
      <c r="B7" s="873" t="s">
        <v>625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</row>
    <row r="8" spans="1:14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  <c r="N8" s="1"/>
    </row>
    <row r="9" spans="1:14" ht="13" x14ac:dyDescent="0.3">
      <c r="A9" s="122"/>
      <c r="B9" s="122" t="s">
        <v>626</v>
      </c>
      <c r="C9" s="132" t="s">
        <v>45</v>
      </c>
      <c r="D9" s="122"/>
      <c r="E9" s="564">
        <v>100</v>
      </c>
      <c r="F9" s="33">
        <v>15</v>
      </c>
      <c r="G9" s="158" t="s">
        <v>615</v>
      </c>
      <c r="H9" s="162"/>
      <c r="I9" s="1"/>
      <c r="J9" s="1"/>
      <c r="K9" s="1"/>
      <c r="L9" s="1"/>
      <c r="M9" s="1"/>
      <c r="N9" s="1"/>
    </row>
    <row r="10" spans="1:14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</row>
    <row r="11" spans="1:14" ht="13" x14ac:dyDescent="0.3">
      <c r="A11" s="435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  <c r="I11" s="3"/>
      <c r="J11" s="3"/>
      <c r="K11" s="3"/>
      <c r="L11" s="3"/>
      <c r="M11" s="3"/>
      <c r="N11" s="3"/>
    </row>
    <row r="12" spans="1:14" ht="13" x14ac:dyDescent="0.3">
      <c r="A12" s="264" t="s">
        <v>392</v>
      </c>
      <c r="B12" s="175" t="s">
        <v>393</v>
      </c>
      <c r="C12" s="298" t="s">
        <v>17</v>
      </c>
      <c r="D12" s="372">
        <v>15</v>
      </c>
      <c r="E12" s="175">
        <f>VLOOKUP(B12,Materiales!$B$8:$D$118,3,FALSE)</f>
        <v>519.12</v>
      </c>
      <c r="F12" s="175">
        <v>5</v>
      </c>
      <c r="G12" s="246">
        <f>+D12*E12*((F12+100)/100)</f>
        <v>8176.14</v>
      </c>
      <c r="H12" s="176">
        <f>+D12*$E$9</f>
        <v>1500</v>
      </c>
      <c r="I12" s="1"/>
      <c r="J12" s="1"/>
      <c r="K12" s="175"/>
      <c r="L12" s="264"/>
      <c r="M12" s="423" t="s">
        <v>623</v>
      </c>
      <c r="N12" s="423" t="s">
        <v>623</v>
      </c>
    </row>
    <row r="13" spans="1:14" ht="13" x14ac:dyDescent="0.3">
      <c r="A13" s="320" t="s">
        <v>377</v>
      </c>
      <c r="B13" s="178" t="s">
        <v>378</v>
      </c>
      <c r="C13" s="428" t="s">
        <v>17</v>
      </c>
      <c r="D13" s="374">
        <v>0.17</v>
      </c>
      <c r="E13" s="178">
        <f>VLOOKUP(B13,Materiales!$B$8:$D$118,3,FALSE)</f>
        <v>3424.53</v>
      </c>
      <c r="F13" s="178">
        <v>10</v>
      </c>
      <c r="G13" s="247">
        <f t="shared" ref="G13:G17" si="0">+D13*E13*((F13+100)/100)</f>
        <v>640.38711000000012</v>
      </c>
      <c r="H13" s="179">
        <f t="shared" ref="H13:H16" si="1">+D13*$E$9</f>
        <v>17</v>
      </c>
      <c r="I13" s="1"/>
      <c r="J13" s="1"/>
      <c r="K13" s="178"/>
      <c r="L13" s="320"/>
      <c r="M13" s="247">
        <v>10</v>
      </c>
      <c r="N13" s="247">
        <v>20</v>
      </c>
    </row>
    <row r="14" spans="1:14" ht="13" x14ac:dyDescent="0.3">
      <c r="A14" s="320" t="s">
        <v>372</v>
      </c>
      <c r="B14" s="178" t="s">
        <v>373</v>
      </c>
      <c r="C14" s="428" t="s">
        <v>374</v>
      </c>
      <c r="D14" s="374">
        <v>0.2</v>
      </c>
      <c r="E14" s="178">
        <f>VLOOKUP(B14,Materiales!$B$8:$D$118,3,FALSE)</f>
        <v>3837.96</v>
      </c>
      <c r="F14" s="178">
        <v>10</v>
      </c>
      <c r="G14" s="247">
        <f>+D14*E14*((F14+100)/100)</f>
        <v>844.35120000000018</v>
      </c>
      <c r="H14" s="179">
        <f t="shared" si="1"/>
        <v>20</v>
      </c>
      <c r="I14" s="1"/>
      <c r="J14" s="1"/>
      <c r="K14" s="178" t="s">
        <v>373</v>
      </c>
      <c r="L14" s="320" t="s">
        <v>374</v>
      </c>
      <c r="M14" s="320">
        <v>0.1</v>
      </c>
      <c r="N14" s="457">
        <f t="shared" ref="N14:N15" si="2">+$N$13*M14/$M$13</f>
        <v>0.2</v>
      </c>
    </row>
    <row r="15" spans="1:14" ht="13" x14ac:dyDescent="0.3">
      <c r="A15" s="320" t="s">
        <v>368</v>
      </c>
      <c r="B15" s="178" t="s">
        <v>369</v>
      </c>
      <c r="C15" s="428" t="s">
        <v>374</v>
      </c>
      <c r="D15" s="374">
        <v>0.1</v>
      </c>
      <c r="E15" s="178">
        <f>VLOOKUP(B15,Materiales!$B$8:$D$118,3,FALSE)</f>
        <v>7809.48</v>
      </c>
      <c r="F15" s="178">
        <v>10</v>
      </c>
      <c r="G15" s="247">
        <f t="shared" si="0"/>
        <v>859.04280000000006</v>
      </c>
      <c r="H15" s="179">
        <f t="shared" si="1"/>
        <v>10</v>
      </c>
      <c r="I15" s="1"/>
      <c r="J15" s="1"/>
      <c r="K15" s="178" t="s">
        <v>369</v>
      </c>
      <c r="L15" s="320" t="s">
        <v>374</v>
      </c>
      <c r="M15" s="320">
        <v>0.05</v>
      </c>
      <c r="N15" s="457">
        <f t="shared" si="2"/>
        <v>0.1</v>
      </c>
    </row>
    <row r="16" spans="1:14" ht="13" x14ac:dyDescent="0.3">
      <c r="A16" s="320" t="s">
        <v>362</v>
      </c>
      <c r="B16" s="178" t="s">
        <v>363</v>
      </c>
      <c r="C16" s="428" t="s">
        <v>59</v>
      </c>
      <c r="D16" s="374">
        <v>2.4E-2</v>
      </c>
      <c r="E16" s="178">
        <f>VLOOKUP(B16,Materiales!$B$8:$D$118,3,FALSE)</f>
        <v>32399.77</v>
      </c>
      <c r="F16" s="178">
        <v>10</v>
      </c>
      <c r="G16" s="247">
        <f t="shared" si="0"/>
        <v>855.353928</v>
      </c>
      <c r="H16" s="179">
        <f t="shared" si="1"/>
        <v>2.4</v>
      </c>
      <c r="I16" s="1"/>
      <c r="J16" s="1"/>
      <c r="K16" s="178" t="s">
        <v>363</v>
      </c>
      <c r="L16" s="320" t="s">
        <v>59</v>
      </c>
      <c r="M16" s="320">
        <v>1.2E-2</v>
      </c>
      <c r="N16" s="457">
        <f>+$N$13*M16/$M$13</f>
        <v>2.4E-2</v>
      </c>
    </row>
    <row r="17" spans="1:8" ht="13" x14ac:dyDescent="0.3">
      <c r="A17" s="265"/>
      <c r="B17" s="420" t="s">
        <v>617</v>
      </c>
      <c r="C17" s="265" t="s">
        <v>352</v>
      </c>
      <c r="D17" s="373">
        <v>0.01</v>
      </c>
      <c r="E17" s="80">
        <f>+SUM(G12:G16)</f>
        <v>11375.275038000002</v>
      </c>
      <c r="F17" s="180">
        <v>3</v>
      </c>
      <c r="G17" s="248">
        <f t="shared" si="0"/>
        <v>117.16533289140003</v>
      </c>
      <c r="H17" s="182">
        <f>+D17*$E$9</f>
        <v>1</v>
      </c>
    </row>
    <row r="18" spans="1:8" ht="13" x14ac:dyDescent="0.3">
      <c r="A18" s="139"/>
      <c r="B18" s="139"/>
      <c r="C18" s="139"/>
      <c r="D18" s="139"/>
      <c r="E18" s="140"/>
      <c r="F18" s="141" t="s">
        <v>598</v>
      </c>
      <c r="G18" s="391">
        <f>SUM(G12:G17)</f>
        <v>11492.440370891401</v>
      </c>
    </row>
    <row r="19" spans="1:8" ht="13" x14ac:dyDescent="0.3">
      <c r="A19" s="122"/>
      <c r="B19" s="122"/>
      <c r="C19" s="122"/>
      <c r="D19" s="122"/>
      <c r="E19" s="143"/>
      <c r="F19" s="144" t="s">
        <v>9</v>
      </c>
      <c r="G19" s="156">
        <f>+G18</f>
        <v>11492.440370891401</v>
      </c>
      <c r="H19" s="162"/>
    </row>
    <row r="20" spans="1:8" ht="13" x14ac:dyDescent="0.3">
      <c r="A20" s="128" t="s">
        <v>599</v>
      </c>
      <c r="B20" s="122"/>
      <c r="C20" s="122"/>
      <c r="D20" s="193"/>
      <c r="E20" s="122"/>
      <c r="F20" s="122"/>
      <c r="G20" s="122"/>
      <c r="H20" s="162"/>
    </row>
    <row r="21" spans="1:8" ht="13" x14ac:dyDescent="0.3">
      <c r="A21" s="435" t="s">
        <v>79</v>
      </c>
      <c r="B21" s="134" t="s">
        <v>591</v>
      </c>
      <c r="C21" s="134" t="s">
        <v>592</v>
      </c>
      <c r="D21" s="194" t="s">
        <v>593</v>
      </c>
      <c r="E21" s="134" t="s">
        <v>600</v>
      </c>
      <c r="F21" s="417" t="s">
        <v>87</v>
      </c>
      <c r="G21" s="135" t="s">
        <v>596</v>
      </c>
      <c r="H21" s="167"/>
    </row>
    <row r="22" spans="1:8" ht="13" x14ac:dyDescent="0.25">
      <c r="A22" s="264" t="s">
        <v>93</v>
      </c>
      <c r="B22" s="429" t="s">
        <v>94</v>
      </c>
      <c r="C22" s="264" t="s">
        <v>352</v>
      </c>
      <c r="D22" s="473">
        <v>1</v>
      </c>
      <c r="E22" s="429">
        <f>VLOOKUP(B22,'Rend. Equipos'!$B$7:$E$222,4,FALSE)</f>
        <v>2470106.6047045495</v>
      </c>
      <c r="F22" s="464">
        <f>VLOOKUP(B22,'Rend. Equipos'!$B$6:$L$166,MATCH($F$21,'Rend. Equipos'!$B$6:$L$6,0),0)</f>
        <v>9.2592592592592596E-4</v>
      </c>
      <c r="G22" s="465">
        <f>+E22*D22*F22</f>
        <v>2287.1357450968053</v>
      </c>
      <c r="H22" s="162"/>
    </row>
    <row r="23" spans="1:8" ht="13" x14ac:dyDescent="0.25">
      <c r="A23" s="60" t="s">
        <v>88</v>
      </c>
      <c r="B23" s="454" t="s">
        <v>89</v>
      </c>
      <c r="C23" s="320" t="s">
        <v>352</v>
      </c>
      <c r="D23" s="474">
        <v>0.5</v>
      </c>
      <c r="E23" s="430">
        <f>VLOOKUP(B23,'Rend. Equipos'!$B$7:$E$222,4,FALSE)</f>
        <v>1028123.0837653707</v>
      </c>
      <c r="F23" s="466">
        <f>VLOOKUP(B23,'Rend. Equipos'!$B$6:$L$166,MATCH($F$21,'Rend. Equipos'!$B$6:$L$6,0),0)</f>
        <v>5.5555555555555556E-4</v>
      </c>
      <c r="G23" s="467">
        <f t="shared" ref="G23:G24" si="3">+E23*D23*F23</f>
        <v>285.58974549038072</v>
      </c>
      <c r="H23" s="162"/>
    </row>
    <row r="24" spans="1:8" ht="26" x14ac:dyDescent="0.25">
      <c r="A24" s="265" t="s">
        <v>163</v>
      </c>
      <c r="B24" s="463" t="s">
        <v>164</v>
      </c>
      <c r="C24" s="265" t="s">
        <v>17</v>
      </c>
      <c r="D24" s="475">
        <v>1</v>
      </c>
      <c r="E24" s="432">
        <f>VLOOKUP(B24,'Rend. Equipos'!$B$7:$E$222,4,FALSE)</f>
        <v>689222.30122796178</v>
      </c>
      <c r="F24" s="468">
        <f>VLOOKUP(B24,'Rend. Equipos'!$B$6:$L$166,MATCH($F$21,'Rend. Equipos'!$B$6:$L$6,0),0)</f>
        <v>1.3888888888888889E-3</v>
      </c>
      <c r="G24" s="469">
        <f t="shared" si="3"/>
        <v>957.25319614994692</v>
      </c>
      <c r="H24" s="162"/>
    </row>
    <row r="25" spans="1:8" ht="13" x14ac:dyDescent="0.3">
      <c r="A25" s="139"/>
      <c r="B25" s="139"/>
      <c r="C25" s="139"/>
      <c r="D25" s="139"/>
      <c r="E25" s="140"/>
      <c r="F25" s="141" t="s">
        <v>602</v>
      </c>
      <c r="G25" s="391">
        <f>SUM(G22:G24)</f>
        <v>3529.9786867371331</v>
      </c>
      <c r="H25" s="162"/>
    </row>
    <row r="26" spans="1:8" ht="13" x14ac:dyDescent="0.3">
      <c r="A26" s="122"/>
      <c r="B26" s="122"/>
      <c r="C26" s="122"/>
      <c r="D26" s="122"/>
      <c r="E26" s="143"/>
      <c r="F26" s="144" t="s">
        <v>11</v>
      </c>
      <c r="G26" s="156">
        <f>+G25/F9</f>
        <v>235.33191244914221</v>
      </c>
      <c r="H26" s="162"/>
    </row>
    <row r="27" spans="1:8" ht="13" x14ac:dyDescent="0.3">
      <c r="A27" s="128" t="s">
        <v>603</v>
      </c>
      <c r="B27" s="122"/>
      <c r="C27" s="122"/>
      <c r="D27" s="122"/>
      <c r="E27" s="122"/>
      <c r="F27" s="122"/>
      <c r="G27" s="122"/>
      <c r="H27" s="162"/>
    </row>
    <row r="28" spans="1:8" ht="13" x14ac:dyDescent="0.3">
      <c r="A28" s="435" t="s">
        <v>79</v>
      </c>
      <c r="B28" s="134" t="s">
        <v>591</v>
      </c>
      <c r="C28" s="134" t="s">
        <v>592</v>
      </c>
      <c r="D28" s="134" t="s">
        <v>593</v>
      </c>
      <c r="E28" s="134" t="s">
        <v>604</v>
      </c>
      <c r="F28" s="134"/>
      <c r="G28" s="135" t="s">
        <v>596</v>
      </c>
      <c r="H28" s="167"/>
    </row>
    <row r="29" spans="1:8" ht="13" x14ac:dyDescent="0.3">
      <c r="A29" s="264" t="s">
        <v>255</v>
      </c>
      <c r="B29" s="175" t="s">
        <v>256</v>
      </c>
      <c r="C29" s="264" t="s">
        <v>605</v>
      </c>
      <c r="D29" s="195">
        <v>1</v>
      </c>
      <c r="E29" s="175">
        <f>VLOOKUP(B29,'Mano de Obra'!$B$8:$C$100,2,FALSE)</f>
        <v>85927.097156571981</v>
      </c>
      <c r="F29" s="175"/>
      <c r="G29" s="176">
        <f>+E29*D29</f>
        <v>85927.097156571981</v>
      </c>
      <c r="H29" s="162"/>
    </row>
    <row r="30" spans="1:8" ht="13" x14ac:dyDescent="0.3">
      <c r="A30" s="608" t="s">
        <v>228</v>
      </c>
      <c r="B30" s="161" t="s">
        <v>230</v>
      </c>
      <c r="C30" s="265" t="s">
        <v>605</v>
      </c>
      <c r="D30" s="326">
        <v>1</v>
      </c>
      <c r="E30" s="180">
        <f>VLOOKUP(B30,'Mano de Obra'!$B$8:$C$100,2,FALSE)</f>
        <v>60860.580776571966</v>
      </c>
      <c r="F30" s="180"/>
      <c r="G30" s="182">
        <f>+E30*D30</f>
        <v>60860.580776571966</v>
      </c>
      <c r="H30" s="162"/>
    </row>
    <row r="31" spans="1:8" ht="13" x14ac:dyDescent="0.3">
      <c r="A31" s="139"/>
      <c r="B31" s="139"/>
      <c r="C31" s="139"/>
      <c r="D31" s="192"/>
      <c r="E31" s="140"/>
      <c r="F31" s="141" t="s">
        <v>606</v>
      </c>
      <c r="G31" s="391">
        <f>SUM(G29:G30)</f>
        <v>146787.67793314395</v>
      </c>
      <c r="H31" s="162"/>
    </row>
    <row r="32" spans="1:8" ht="13" x14ac:dyDescent="0.3">
      <c r="A32" s="122"/>
      <c r="B32" s="122"/>
      <c r="C32" s="122"/>
      <c r="D32" s="122"/>
      <c r="E32" s="360"/>
      <c r="F32" s="123" t="s">
        <v>607</v>
      </c>
      <c r="G32" s="349">
        <v>1</v>
      </c>
      <c r="H32" s="162"/>
    </row>
    <row r="33" spans="1:8" ht="13" x14ac:dyDescent="0.3">
      <c r="A33" s="122"/>
      <c r="B33" s="122"/>
      <c r="C33" s="122"/>
      <c r="D33" s="122"/>
      <c r="E33" s="360"/>
      <c r="F33" s="123" t="s">
        <v>608</v>
      </c>
      <c r="G33" s="390">
        <f>+G32*G31</f>
        <v>146787.67793314395</v>
      </c>
      <c r="H33" s="162"/>
    </row>
    <row r="34" spans="1:8" ht="13" x14ac:dyDescent="0.3">
      <c r="A34" s="122"/>
      <c r="B34" s="122"/>
      <c r="C34" s="122"/>
      <c r="D34" s="122"/>
      <c r="E34" s="143"/>
      <c r="F34" s="144" t="s">
        <v>10</v>
      </c>
      <c r="G34" s="156">
        <f>+G33/F9</f>
        <v>9785.84519554293</v>
      </c>
      <c r="H34" s="162"/>
    </row>
    <row r="35" spans="1:8" ht="13" x14ac:dyDescent="0.3">
      <c r="A35" s="122"/>
      <c r="B35" s="122"/>
      <c r="C35" s="122"/>
      <c r="D35" s="122"/>
      <c r="H35" s="162"/>
    </row>
    <row r="36" spans="1:8" ht="13" x14ac:dyDescent="0.3">
      <c r="A36" s="122"/>
      <c r="B36" s="122"/>
      <c r="C36" s="122"/>
      <c r="D36" s="122"/>
      <c r="E36" s="122"/>
      <c r="F36" s="123" t="s">
        <v>609</v>
      </c>
      <c r="G36" s="123">
        <f>+G34+G26+G19</f>
        <v>21513.617478883476</v>
      </c>
      <c r="H36" s="162"/>
    </row>
    <row r="37" spans="1:8" ht="13" x14ac:dyDescent="0.3">
      <c r="A37" s="122"/>
      <c r="B37" s="122"/>
      <c r="C37" s="122"/>
      <c r="D37" s="122"/>
      <c r="E37" s="123" t="s">
        <v>610</v>
      </c>
      <c r="F37" s="198">
        <f>+RESUMEN!$I$2</f>
        <v>0</v>
      </c>
      <c r="G37" s="130">
        <f>IF(F37=0,0,F37*G36)</f>
        <v>0</v>
      </c>
      <c r="H37" s="162"/>
    </row>
    <row r="38" spans="1:8" ht="13" x14ac:dyDescent="0.3">
      <c r="A38" s="122"/>
      <c r="B38" s="122"/>
      <c r="C38" s="122"/>
      <c r="D38" s="122"/>
      <c r="E38" s="123" t="s">
        <v>611</v>
      </c>
      <c r="F38" s="198">
        <f>+RESUMEN!$I$3</f>
        <v>0</v>
      </c>
      <c r="G38" s="130">
        <f>IF(F38=0,0,F38*G36)</f>
        <v>0</v>
      </c>
      <c r="H38" s="162"/>
    </row>
    <row r="39" spans="1:8" ht="13" x14ac:dyDescent="0.3">
      <c r="A39" s="122"/>
      <c r="B39" s="122"/>
      <c r="C39" s="122"/>
      <c r="D39" s="122"/>
      <c r="E39" s="151"/>
      <c r="F39" s="152" t="s">
        <v>612</v>
      </c>
      <c r="G39" s="389">
        <f>SUM(G36:G38)</f>
        <v>21513.617478883476</v>
      </c>
      <c r="H39" s="162"/>
    </row>
    <row r="40" spans="1:8" ht="13" x14ac:dyDescent="0.3">
      <c r="A40" s="122"/>
      <c r="B40" s="122"/>
      <c r="C40" s="122"/>
      <c r="D40" s="122"/>
      <c r="E40" s="1"/>
      <c r="F40" s="1"/>
      <c r="G40" s="1"/>
      <c r="H40" s="162"/>
    </row>
    <row r="41" spans="1:8" ht="13" x14ac:dyDescent="0.3">
      <c r="A41" s="875"/>
      <c r="B41" s="870"/>
      <c r="C41" s="122"/>
      <c r="D41" s="122"/>
      <c r="E41" s="1"/>
      <c r="F41" s="1"/>
      <c r="G41" s="1"/>
      <c r="H41" s="162"/>
    </row>
    <row r="42" spans="1:8" ht="13" x14ac:dyDescent="0.3">
      <c r="A42" s="875"/>
      <c r="B42" s="870"/>
      <c r="C42" s="122"/>
      <c r="D42" s="122"/>
      <c r="E42" s="1"/>
      <c r="F42" s="1"/>
      <c r="G42" s="1"/>
      <c r="H42" s="162"/>
    </row>
  </sheetData>
  <mergeCells count="5">
    <mergeCell ref="A1:G1"/>
    <mergeCell ref="B5:G5"/>
    <mergeCell ref="B7:G7"/>
    <mergeCell ref="A41:B41"/>
    <mergeCell ref="A42:B42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1:Q57"/>
  <sheetViews>
    <sheetView workbookViewId="0">
      <selection activeCell="A29" sqref="A29"/>
    </sheetView>
  </sheetViews>
  <sheetFormatPr defaultColWidth="11.453125" defaultRowHeight="12.5" x14ac:dyDescent="0.25"/>
  <cols>
    <col min="1" max="1" width="9.36328125" customWidth="1"/>
    <col min="2" max="2" width="34.90625" bestFit="1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2" bestFit="1" customWidth="1"/>
    <col min="8" max="8" width="10.6328125" bestFit="1" customWidth="1"/>
  </cols>
  <sheetData>
    <row r="1" spans="1:17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  <c r="P1" s="1"/>
      <c r="Q1" s="1"/>
    </row>
    <row r="2" spans="1:17" ht="13" x14ac:dyDescent="0.25">
      <c r="A2" s="162"/>
      <c r="B2" s="162"/>
      <c r="C2" s="162"/>
      <c r="D2" s="162"/>
      <c r="E2" s="162"/>
      <c r="F2" s="240" t="s">
        <v>78</v>
      </c>
      <c r="G2" s="446" t="s">
        <v>613</v>
      </c>
      <c r="H2" s="162"/>
      <c r="I2" s="1"/>
      <c r="J2" s="1"/>
      <c r="K2" s="1"/>
      <c r="L2" s="1"/>
      <c r="M2" s="1"/>
      <c r="N2" s="1"/>
      <c r="O2" s="1"/>
      <c r="P2" s="1"/>
      <c r="Q2" s="1"/>
    </row>
    <row r="3" spans="1:17" ht="13" x14ac:dyDescent="0.3">
      <c r="A3" s="124" t="s">
        <v>579</v>
      </c>
      <c r="B3" s="125"/>
      <c r="C3" s="125"/>
      <c r="D3" s="125"/>
      <c r="E3" s="125"/>
      <c r="F3" s="125"/>
      <c r="G3" s="125"/>
      <c r="H3" s="162"/>
      <c r="I3" s="1"/>
      <c r="J3" s="1"/>
      <c r="K3" s="1"/>
      <c r="L3" s="1"/>
      <c r="M3" s="1"/>
      <c r="N3" s="1"/>
      <c r="O3" s="1"/>
      <c r="P3" s="1"/>
      <c r="Q3" s="1"/>
    </row>
    <row r="4" spans="1:17" ht="13" x14ac:dyDescent="0.3">
      <c r="A4" s="122"/>
      <c r="B4" s="122"/>
      <c r="C4" s="122"/>
      <c r="D4" s="122"/>
      <c r="E4" s="122"/>
      <c r="F4" s="123" t="s">
        <v>580</v>
      </c>
      <c r="G4" s="126">
        <v>37</v>
      </c>
      <c r="H4" s="162"/>
      <c r="I4" s="1"/>
      <c r="J4" s="1"/>
      <c r="K4" s="1"/>
      <c r="L4" s="1"/>
      <c r="M4" s="1"/>
      <c r="N4" s="1"/>
      <c r="O4" s="1"/>
      <c r="P4" s="1"/>
      <c r="Q4" s="1"/>
    </row>
    <row r="5" spans="1:17" ht="13" x14ac:dyDescent="0.25">
      <c r="A5" s="127" t="s">
        <v>581</v>
      </c>
      <c r="B5" s="892" t="s">
        <v>613</v>
      </c>
      <c r="C5" s="893"/>
      <c r="D5" s="893"/>
      <c r="E5" s="893"/>
      <c r="F5" s="893"/>
      <c r="G5" s="893"/>
      <c r="H5" s="162"/>
      <c r="I5" s="1"/>
      <c r="J5" s="1"/>
      <c r="K5" s="1"/>
      <c r="L5" s="1"/>
      <c r="M5" s="1"/>
      <c r="N5" s="1"/>
      <c r="O5" s="1"/>
      <c r="P5" s="1"/>
      <c r="Q5" s="1"/>
    </row>
    <row r="6" spans="1:17" ht="13" x14ac:dyDescent="0.3">
      <c r="A6" s="128" t="s">
        <v>582</v>
      </c>
      <c r="B6" s="446" t="s">
        <v>613</v>
      </c>
      <c r="C6" s="122"/>
      <c r="D6" s="122"/>
      <c r="E6" s="122"/>
      <c r="F6" s="123" t="s">
        <v>583</v>
      </c>
      <c r="G6" s="446" t="s">
        <v>613</v>
      </c>
      <c r="H6" s="162"/>
      <c r="I6" s="1"/>
      <c r="J6" s="1"/>
      <c r="K6" s="1"/>
      <c r="L6" s="1"/>
      <c r="M6" s="1"/>
      <c r="N6" s="1"/>
      <c r="O6" s="1"/>
      <c r="P6" s="1"/>
      <c r="Q6" s="1"/>
    </row>
    <row r="7" spans="1:17" ht="15.5" x14ac:dyDescent="0.25">
      <c r="A7" s="197" t="s">
        <v>584</v>
      </c>
      <c r="B7" s="873" t="s">
        <v>627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  <c r="P7" s="1"/>
      <c r="Q7" s="1"/>
    </row>
    <row r="8" spans="1:17" ht="13" x14ac:dyDescent="0.3">
      <c r="A8" s="128"/>
      <c r="B8" s="122"/>
      <c r="C8" s="131" t="s">
        <v>586</v>
      </c>
      <c r="D8" s="122"/>
      <c r="E8" s="240" t="s">
        <v>587</v>
      </c>
      <c r="F8" s="337" t="s">
        <v>588</v>
      </c>
      <c r="G8" s="122"/>
      <c r="H8" s="162"/>
      <c r="I8" s="1"/>
      <c r="J8" s="1"/>
      <c r="K8" s="1"/>
      <c r="L8" s="1"/>
      <c r="M8" s="1"/>
      <c r="N8" s="1"/>
      <c r="O8" s="1"/>
      <c r="P8" s="1"/>
      <c r="Q8" s="1"/>
    </row>
    <row r="9" spans="1:17" ht="13" x14ac:dyDescent="0.3">
      <c r="A9" s="122"/>
      <c r="B9" s="122"/>
      <c r="C9" s="132" t="s">
        <v>45</v>
      </c>
      <c r="D9" s="122"/>
      <c r="E9" s="564">
        <v>100</v>
      </c>
      <c r="F9" s="339">
        <v>4</v>
      </c>
      <c r="G9" s="158" t="s">
        <v>615</v>
      </c>
      <c r="H9" s="162"/>
      <c r="I9" s="1"/>
      <c r="J9" s="1"/>
      <c r="K9" s="1"/>
      <c r="L9" s="1"/>
      <c r="M9" s="1"/>
      <c r="N9" s="1"/>
      <c r="O9" s="1"/>
      <c r="P9" s="1"/>
      <c r="Q9" s="1"/>
    </row>
    <row r="10" spans="1:17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  <c r="P10" s="1"/>
      <c r="Q10" s="1"/>
    </row>
    <row r="11" spans="1:17" ht="13" x14ac:dyDescent="0.3">
      <c r="A11" s="435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  <c r="I11" s="3"/>
      <c r="J11" s="3"/>
      <c r="K11" s="3"/>
      <c r="L11" s="3"/>
      <c r="M11" s="3"/>
      <c r="N11" s="3"/>
      <c r="O11" s="1"/>
      <c r="P11" s="1"/>
      <c r="Q11" s="1"/>
    </row>
    <row r="12" spans="1:17" ht="13" x14ac:dyDescent="0.3">
      <c r="A12" s="480"/>
      <c r="B12" s="483" t="s">
        <v>628</v>
      </c>
      <c r="C12" s="481"/>
      <c r="D12" s="481"/>
      <c r="E12" s="481"/>
      <c r="F12" s="481"/>
      <c r="G12" s="131"/>
      <c r="H12" s="482"/>
      <c r="I12" s="3"/>
      <c r="J12" s="3"/>
      <c r="K12" s="3"/>
      <c r="L12" s="3"/>
      <c r="M12" s="3"/>
      <c r="N12" s="3"/>
      <c r="O12" s="1"/>
      <c r="P12" s="1"/>
      <c r="Q12" s="1"/>
    </row>
    <row r="13" spans="1:17" ht="13" x14ac:dyDescent="0.3">
      <c r="A13" s="264" t="s">
        <v>372</v>
      </c>
      <c r="B13" s="175" t="s">
        <v>389</v>
      </c>
      <c r="C13" s="264" t="s">
        <v>17</v>
      </c>
      <c r="D13" s="433">
        <v>15</v>
      </c>
      <c r="E13" s="175">
        <f>VLOOKUP(B13,Materiales!$B$8:$D$118,3,FALSE)</f>
        <v>292.32</v>
      </c>
      <c r="F13" s="175">
        <v>5</v>
      </c>
      <c r="G13" s="246">
        <f>+D13*E13*((F13+100)/100)</f>
        <v>4604.04</v>
      </c>
      <c r="H13" s="176">
        <f>+D13*$E$9</f>
        <v>1500</v>
      </c>
      <c r="I13" s="1">
        <v>7.3</v>
      </c>
      <c r="J13" s="1">
        <v>25</v>
      </c>
      <c r="K13" s="1">
        <f>+I13/J13</f>
        <v>0.29199999999999998</v>
      </c>
      <c r="L13" s="1"/>
      <c r="M13" s="1"/>
      <c r="N13" s="1"/>
      <c r="O13" s="1"/>
      <c r="P13" s="1"/>
      <c r="Q13" s="1"/>
    </row>
    <row r="14" spans="1:17" ht="13" x14ac:dyDescent="0.3">
      <c r="A14" s="320" t="s">
        <v>368</v>
      </c>
      <c r="B14" s="178" t="s">
        <v>378</v>
      </c>
      <c r="C14" s="320" t="s">
        <v>17</v>
      </c>
      <c r="D14" s="457">
        <v>0.17</v>
      </c>
      <c r="E14" s="178">
        <f>VLOOKUP(B14,Materiales!$B$8:$D$118,3,FALSE)</f>
        <v>3424.53</v>
      </c>
      <c r="F14" s="178">
        <v>10</v>
      </c>
      <c r="G14" s="247">
        <f t="shared" ref="G14:G17" si="0">+D14*E14*((F14+100)/100)</f>
        <v>640.38711000000012</v>
      </c>
      <c r="H14" s="179">
        <f t="shared" ref="H14:H30" si="1">+D14*$E$9</f>
        <v>17</v>
      </c>
      <c r="I14" s="1">
        <v>7.5</v>
      </c>
      <c r="J14" s="1">
        <v>50</v>
      </c>
      <c r="K14" s="1">
        <f>+I14/J14</f>
        <v>0.15</v>
      </c>
      <c r="L14" s="1"/>
      <c r="M14" s="1"/>
      <c r="N14" s="1"/>
      <c r="O14" s="1"/>
      <c r="P14" s="1"/>
      <c r="Q14" s="1"/>
    </row>
    <row r="15" spans="1:17" ht="13" x14ac:dyDescent="0.3">
      <c r="A15" s="320" t="s">
        <v>362</v>
      </c>
      <c r="B15" s="178" t="s">
        <v>363</v>
      </c>
      <c r="C15" s="320" t="s">
        <v>59</v>
      </c>
      <c r="D15" s="457">
        <v>1.2E-2</v>
      </c>
      <c r="E15" s="178">
        <f>VLOOKUP(B15,Materiales!$B$8:$D$118,3,FALSE)</f>
        <v>32399.77</v>
      </c>
      <c r="F15" s="178">
        <v>10</v>
      </c>
      <c r="G15" s="247">
        <f t="shared" si="0"/>
        <v>427.676964</v>
      </c>
      <c r="H15" s="179">
        <f t="shared" si="1"/>
        <v>1.2</v>
      </c>
      <c r="I15" s="1">
        <v>0.04</v>
      </c>
      <c r="J15" s="1">
        <v>1</v>
      </c>
      <c r="K15" s="1">
        <f>+I15/J15</f>
        <v>0.04</v>
      </c>
      <c r="L15" s="1"/>
      <c r="M15" s="1"/>
      <c r="N15" s="1"/>
      <c r="O15" s="1"/>
      <c r="P15" s="1"/>
      <c r="Q15" s="1"/>
    </row>
    <row r="16" spans="1:17" ht="13" x14ac:dyDescent="0.3">
      <c r="A16" s="320" t="s">
        <v>385</v>
      </c>
      <c r="B16" s="178" t="s">
        <v>373</v>
      </c>
      <c r="C16" s="320" t="s">
        <v>374</v>
      </c>
      <c r="D16" s="457">
        <v>0.1</v>
      </c>
      <c r="E16" s="178">
        <f>VLOOKUP(B16,Materiales!$B$8:$D$118,3,FALSE)</f>
        <v>3837.96</v>
      </c>
      <c r="F16" s="178">
        <v>10</v>
      </c>
      <c r="G16" s="247">
        <f t="shared" si="0"/>
        <v>422.17560000000009</v>
      </c>
      <c r="H16" s="179">
        <f t="shared" si="1"/>
        <v>10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ht="13" x14ac:dyDescent="0.3">
      <c r="A17" s="265" t="s">
        <v>377</v>
      </c>
      <c r="B17" s="180" t="s">
        <v>369</v>
      </c>
      <c r="C17" s="265" t="s">
        <v>374</v>
      </c>
      <c r="D17" s="434">
        <v>0.05</v>
      </c>
      <c r="E17" s="180">
        <f>VLOOKUP(B17,Materiales!$B$8:$D$118,3,FALSE)</f>
        <v>7809.48</v>
      </c>
      <c r="F17" s="180">
        <v>10</v>
      </c>
      <c r="G17" s="248">
        <f t="shared" si="0"/>
        <v>429.52140000000003</v>
      </c>
      <c r="H17" s="182">
        <f t="shared" si="1"/>
        <v>5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ht="13" x14ac:dyDescent="0.3">
      <c r="A18" s="484"/>
      <c r="B18" s="337" t="s">
        <v>629</v>
      </c>
      <c r="C18" s="131"/>
      <c r="D18" s="131"/>
      <c r="E18" s="131"/>
      <c r="F18" s="131"/>
      <c r="G18" s="131"/>
      <c r="H18" s="485"/>
      <c r="I18" s="1"/>
      <c r="J18" s="1"/>
      <c r="K18" s="1"/>
      <c r="L18" s="1"/>
      <c r="M18" s="1"/>
      <c r="N18" s="1"/>
      <c r="O18" s="1"/>
      <c r="P18" s="1"/>
      <c r="Q18" s="1"/>
    </row>
    <row r="19" spans="1:17" ht="13" x14ac:dyDescent="0.3">
      <c r="A19" s="264" t="s">
        <v>362</v>
      </c>
      <c r="B19" s="175" t="s">
        <v>363</v>
      </c>
      <c r="C19" s="264" t="s">
        <v>59</v>
      </c>
      <c r="D19" s="372">
        <v>6.0000000000000001E-3</v>
      </c>
      <c r="E19" s="175">
        <f>VLOOKUP(B19,Materiales!$B$8:$D$118,3,FALSE)</f>
        <v>32399.77</v>
      </c>
      <c r="F19" s="175">
        <v>10</v>
      </c>
      <c r="G19" s="246">
        <f t="shared" ref="G19:G24" si="2">+D19*E19*((F19+100)/100)</f>
        <v>213.838482</v>
      </c>
      <c r="H19" s="176">
        <f t="shared" si="1"/>
        <v>0.6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13" x14ac:dyDescent="0.3">
      <c r="A20" s="320" t="s">
        <v>411</v>
      </c>
      <c r="B20" s="178" t="s">
        <v>412</v>
      </c>
      <c r="C20" s="320" t="s">
        <v>403</v>
      </c>
      <c r="D20" s="374">
        <v>0.1</v>
      </c>
      <c r="E20" s="178">
        <f>VLOOKUP(B20,Materiales!$B$8:$D$118,3,FALSE)</f>
        <v>1256.1280000000002</v>
      </c>
      <c r="F20" s="178">
        <v>5</v>
      </c>
      <c r="G20" s="247">
        <f t="shared" si="2"/>
        <v>131.89344000000003</v>
      </c>
      <c r="H20" s="179">
        <f t="shared" si="1"/>
        <v>10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ht="13" x14ac:dyDescent="0.3">
      <c r="A21" s="320" t="s">
        <v>368</v>
      </c>
      <c r="B21" s="178" t="s">
        <v>369</v>
      </c>
      <c r="C21" s="320" t="s">
        <v>374</v>
      </c>
      <c r="D21" s="374">
        <v>5.4000000000000006E-2</v>
      </c>
      <c r="E21" s="178">
        <f>VLOOKUP(B21,Materiales!$B$8:$D$118,3,FALSE)</f>
        <v>7809.48</v>
      </c>
      <c r="F21" s="178">
        <v>10</v>
      </c>
      <c r="G21" s="247">
        <f t="shared" si="2"/>
        <v>463.88311200000004</v>
      </c>
      <c r="H21" s="179">
        <f t="shared" si="1"/>
        <v>5.4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ht="13" x14ac:dyDescent="0.3">
      <c r="A22" s="320"/>
      <c r="B22" s="41" t="s">
        <v>474</v>
      </c>
      <c r="C22" s="9" t="s">
        <v>355</v>
      </c>
      <c r="D22" s="374">
        <f>1/36</f>
        <v>2.7777777777777776E-2</v>
      </c>
      <c r="E22" s="178">
        <f>VLOOKUP(B22,Materiales!$B$8:$D$118,3,FALSE)</f>
        <v>32845.78</v>
      </c>
      <c r="F22" s="178">
        <v>10</v>
      </c>
      <c r="G22" s="247">
        <f t="shared" si="2"/>
        <v>1003.6210555555556</v>
      </c>
      <c r="H22" s="179">
        <f t="shared" si="1"/>
        <v>2.7777777777777777</v>
      </c>
      <c r="I22" s="1" t="s">
        <v>630</v>
      </c>
      <c r="J22" s="1"/>
      <c r="K22" s="1"/>
      <c r="L22" s="1"/>
      <c r="M22" s="1"/>
      <c r="N22" s="1"/>
      <c r="O22" s="1"/>
      <c r="P22" s="1"/>
      <c r="Q22" s="1"/>
    </row>
    <row r="23" spans="1:17" ht="13" x14ac:dyDescent="0.3">
      <c r="A23" s="60" t="s">
        <v>489</v>
      </c>
      <c r="B23" s="41" t="s">
        <v>490</v>
      </c>
      <c r="C23" s="320" t="s">
        <v>355</v>
      </c>
      <c r="D23" s="374">
        <v>5.0000000000000001E-3</v>
      </c>
      <c r="E23" s="178">
        <f>VLOOKUP(B23,Materiales!$B$8:$D$118,3,FALSE)</f>
        <v>26907.33</v>
      </c>
      <c r="F23" s="178">
        <v>5</v>
      </c>
      <c r="G23" s="247">
        <f t="shared" si="2"/>
        <v>141.26348250000001</v>
      </c>
      <c r="H23" s="179">
        <f t="shared" si="1"/>
        <v>0.5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ht="13" x14ac:dyDescent="0.3">
      <c r="A24" s="265"/>
      <c r="B24" s="180" t="s">
        <v>501</v>
      </c>
      <c r="C24" s="265" t="s">
        <v>17</v>
      </c>
      <c r="D24" s="373">
        <v>0.01</v>
      </c>
      <c r="E24" s="180">
        <f>VLOOKUP(B24,Materiales!$B$8:$D$118,3,FALSE)</f>
        <v>6678.36</v>
      </c>
      <c r="F24" s="180">
        <v>5</v>
      </c>
      <c r="G24" s="248">
        <f t="shared" si="2"/>
        <v>70.122779999999992</v>
      </c>
      <c r="H24" s="182">
        <f t="shared" si="1"/>
        <v>1</v>
      </c>
      <c r="I24" s="1"/>
      <c r="J24" s="1"/>
      <c r="K24" s="1"/>
      <c r="L24" s="1"/>
      <c r="M24" s="1"/>
      <c r="N24" s="1"/>
      <c r="O24" s="1"/>
      <c r="P24" s="1"/>
      <c r="Q24" s="1"/>
    </row>
    <row r="25" spans="1:17" ht="13" x14ac:dyDescent="0.3">
      <c r="A25" s="493"/>
      <c r="B25" s="494" t="s">
        <v>631</v>
      </c>
      <c r="C25" s="495"/>
      <c r="D25" s="496"/>
      <c r="E25" s="495"/>
      <c r="F25" s="495"/>
      <c r="G25" s="497"/>
      <c r="H25" s="153"/>
      <c r="I25" s="1"/>
      <c r="J25" s="1"/>
      <c r="K25" s="1"/>
      <c r="L25" s="1"/>
      <c r="M25" s="1"/>
      <c r="N25" s="1"/>
      <c r="O25" s="1"/>
      <c r="P25" s="1"/>
      <c r="Q25" s="1"/>
    </row>
    <row r="26" spans="1:17" ht="13" x14ac:dyDescent="0.3">
      <c r="A26" s="264" t="s">
        <v>368</v>
      </c>
      <c r="B26" s="418" t="s">
        <v>369</v>
      </c>
      <c r="C26" s="264" t="s">
        <v>374</v>
      </c>
      <c r="D26" s="423">
        <v>0.15</v>
      </c>
      <c r="E26" s="175">
        <f>VLOOKUP(B26,Materiales!$B$8:$D$118,3,FALSE)</f>
        <v>7809.48</v>
      </c>
      <c r="F26" s="246">
        <v>10</v>
      </c>
      <c r="G26" s="246">
        <f>+D26*E26*((F26+100)/100)</f>
        <v>1288.5641999999998</v>
      </c>
      <c r="H26" s="176">
        <f t="shared" si="1"/>
        <v>15</v>
      </c>
      <c r="I26" s="1"/>
      <c r="J26" s="1"/>
      <c r="K26" s="1"/>
      <c r="L26" s="1"/>
      <c r="M26" s="1"/>
      <c r="N26" s="1"/>
      <c r="O26" s="1"/>
      <c r="P26" s="1"/>
      <c r="Q26" s="1"/>
    </row>
    <row r="27" spans="1:17" ht="13" x14ac:dyDescent="0.3">
      <c r="A27" s="320" t="s">
        <v>372</v>
      </c>
      <c r="B27" s="419" t="s">
        <v>373</v>
      </c>
      <c r="C27" s="320" t="s">
        <v>374</v>
      </c>
      <c r="D27" s="424">
        <v>0.3</v>
      </c>
      <c r="E27" s="178">
        <f>VLOOKUP(B27,Materiales!$B$8:$D$118,3,FALSE)</f>
        <v>3837.96</v>
      </c>
      <c r="F27" s="247">
        <v>10</v>
      </c>
      <c r="G27" s="247">
        <f>+D27*E27*((F27+100)/100)</f>
        <v>1266.5268000000001</v>
      </c>
      <c r="H27" s="179">
        <f t="shared" si="1"/>
        <v>30</v>
      </c>
      <c r="I27" s="1"/>
      <c r="J27" s="1"/>
      <c r="K27" s="1"/>
      <c r="L27" s="1"/>
      <c r="M27" s="1"/>
      <c r="N27" s="1"/>
      <c r="O27" s="1"/>
      <c r="P27" s="1"/>
      <c r="Q27" s="1"/>
    </row>
    <row r="28" spans="1:17" ht="13" x14ac:dyDescent="0.3">
      <c r="A28" s="320" t="s">
        <v>377</v>
      </c>
      <c r="B28" s="419" t="s">
        <v>378</v>
      </c>
      <c r="C28" s="320" t="s">
        <v>17</v>
      </c>
      <c r="D28" s="424">
        <v>0.17</v>
      </c>
      <c r="E28" s="178">
        <f>VLOOKUP(B28,Materiales!$B$8:$D$118,3,FALSE)</f>
        <v>3424.53</v>
      </c>
      <c r="F28" s="247">
        <v>10</v>
      </c>
      <c r="G28" s="247">
        <f t="shared" ref="G28:G32" si="3">+D28*E28*((F28+100)/100)</f>
        <v>640.38711000000012</v>
      </c>
      <c r="H28" s="179">
        <f t="shared" si="1"/>
        <v>17</v>
      </c>
      <c r="I28" s="1"/>
      <c r="J28" s="1"/>
      <c r="K28" s="1"/>
      <c r="L28" s="1"/>
      <c r="M28" s="1"/>
      <c r="N28" s="1"/>
      <c r="O28" s="1"/>
      <c r="P28" s="1"/>
      <c r="Q28" s="1"/>
    </row>
    <row r="29" spans="1:17" ht="13" x14ac:dyDescent="0.3">
      <c r="A29" s="320" t="s">
        <v>385</v>
      </c>
      <c r="B29" s="419" t="s">
        <v>386</v>
      </c>
      <c r="C29" s="320" t="s">
        <v>17</v>
      </c>
      <c r="D29" s="424">
        <v>60</v>
      </c>
      <c r="E29" s="178">
        <f>VLOOKUP(B29,Materiales!$B$8:$D$118,3,FALSE)</f>
        <v>233.44</v>
      </c>
      <c r="F29" s="247">
        <v>5</v>
      </c>
      <c r="G29" s="247">
        <f t="shared" si="3"/>
        <v>14706.72</v>
      </c>
      <c r="H29" s="179">
        <f t="shared" si="1"/>
        <v>6000</v>
      </c>
      <c r="I29" s="1"/>
      <c r="J29" s="1"/>
      <c r="K29" s="1"/>
      <c r="L29" s="1"/>
      <c r="M29" s="1"/>
      <c r="N29" s="1"/>
      <c r="O29" s="1"/>
      <c r="P29" s="1"/>
      <c r="Q29" s="1"/>
    </row>
    <row r="30" spans="1:17" ht="13" x14ac:dyDescent="0.3">
      <c r="A30" s="265" t="s">
        <v>362</v>
      </c>
      <c r="B30" s="420" t="s">
        <v>363</v>
      </c>
      <c r="C30" s="265" t="s">
        <v>59</v>
      </c>
      <c r="D30" s="425">
        <v>3.5000000000000003E-2</v>
      </c>
      <c r="E30" s="180">
        <f>VLOOKUP(B30,Materiales!$B$8:$D$118,3,FALSE)</f>
        <v>32399.77</v>
      </c>
      <c r="F30" s="248">
        <v>10</v>
      </c>
      <c r="G30" s="248">
        <f t="shared" si="3"/>
        <v>1247.3911450000003</v>
      </c>
      <c r="H30" s="182">
        <f t="shared" si="1"/>
        <v>3.5000000000000004</v>
      </c>
      <c r="I30" s="1"/>
      <c r="J30" s="1"/>
      <c r="K30" s="1"/>
      <c r="L30" s="1"/>
      <c r="M30" s="1"/>
      <c r="N30" s="1"/>
      <c r="O30" s="1"/>
      <c r="P30" s="1"/>
      <c r="Q30" s="1"/>
    </row>
    <row r="31" spans="1:17" ht="13" x14ac:dyDescent="0.3">
      <c r="A31" s="493"/>
      <c r="B31" s="494" t="s">
        <v>632</v>
      </c>
      <c r="C31" s="495"/>
      <c r="D31" s="496"/>
      <c r="E31" s="495"/>
      <c r="F31" s="495"/>
      <c r="G31" s="497"/>
      <c r="H31" s="153"/>
      <c r="I31" s="1"/>
      <c r="J31" s="1"/>
      <c r="K31" s="278"/>
      <c r="L31" s="1"/>
      <c r="M31" s="1"/>
      <c r="N31" s="1"/>
      <c r="O31" s="1"/>
      <c r="P31" s="1"/>
      <c r="Q31" s="1"/>
    </row>
    <row r="32" spans="1:17" ht="13.5" customHeight="1" x14ac:dyDescent="0.3">
      <c r="A32" s="280"/>
      <c r="B32" s="420" t="s">
        <v>617</v>
      </c>
      <c r="C32" s="138" t="s">
        <v>352</v>
      </c>
      <c r="D32" s="155">
        <v>0.01</v>
      </c>
      <c r="E32" s="138">
        <f>+SUM(G13:G30)</f>
        <v>27698.012681055559</v>
      </c>
      <c r="F32" s="138">
        <v>3</v>
      </c>
      <c r="G32" s="248">
        <f t="shared" si="3"/>
        <v>285.28953061487226</v>
      </c>
      <c r="H32" s="182">
        <f>+D32*$E$9</f>
        <v>1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ht="13" x14ac:dyDescent="0.3">
      <c r="A33" s="139"/>
      <c r="B33" s="139"/>
      <c r="C33" s="139"/>
      <c r="D33" s="139"/>
      <c r="E33" s="140"/>
      <c r="F33" s="141" t="s">
        <v>598</v>
      </c>
      <c r="G33" s="391">
        <f>SUM(G13:G32)</f>
        <v>27983.302211670431</v>
      </c>
      <c r="H33" s="162"/>
      <c r="I33" s="1"/>
      <c r="J33" s="1"/>
      <c r="K33" s="1"/>
      <c r="L33" s="1"/>
      <c r="M33" s="1"/>
      <c r="N33" s="1"/>
      <c r="O33" s="1"/>
      <c r="P33" s="1"/>
      <c r="Q33" s="1"/>
    </row>
    <row r="34" spans="1:17" ht="13" x14ac:dyDescent="0.3">
      <c r="A34" s="122"/>
      <c r="B34" s="122"/>
      <c r="C34" s="122"/>
      <c r="D34" s="193"/>
      <c r="E34" s="143"/>
      <c r="F34" s="144" t="s">
        <v>9</v>
      </c>
      <c r="G34" s="156">
        <f>+G33</f>
        <v>27983.302211670431</v>
      </c>
      <c r="H34" s="162"/>
      <c r="I34" s="1"/>
      <c r="J34" s="1"/>
      <c r="K34" s="1"/>
      <c r="L34" s="1"/>
      <c r="M34" s="1"/>
      <c r="N34" s="1"/>
      <c r="O34" s="1"/>
      <c r="P34" s="1"/>
      <c r="Q34" s="1"/>
    </row>
    <row r="35" spans="1:17" ht="13" x14ac:dyDescent="0.3">
      <c r="A35" s="128" t="s">
        <v>599</v>
      </c>
      <c r="B35" s="122"/>
      <c r="C35" s="122"/>
      <c r="D35" s="193"/>
      <c r="E35" s="122"/>
      <c r="F35" s="122"/>
      <c r="G35" s="122"/>
      <c r="H35" s="162"/>
      <c r="I35" s="1"/>
      <c r="J35" s="1"/>
      <c r="K35" s="1"/>
      <c r="L35" s="1"/>
      <c r="M35" s="1"/>
      <c r="N35" s="1"/>
      <c r="O35" s="1"/>
      <c r="P35" s="1"/>
      <c r="Q35" s="1"/>
    </row>
    <row r="36" spans="1:17" ht="13" x14ac:dyDescent="0.3">
      <c r="A36" s="133" t="s">
        <v>79</v>
      </c>
      <c r="B36" s="134" t="s">
        <v>591</v>
      </c>
      <c r="C36" s="134" t="s">
        <v>592</v>
      </c>
      <c r="D36" s="194" t="s">
        <v>593</v>
      </c>
      <c r="E36" s="134" t="s">
        <v>600</v>
      </c>
      <c r="F36" s="417" t="s">
        <v>87</v>
      </c>
      <c r="G36" s="135" t="s">
        <v>596</v>
      </c>
      <c r="H36" s="167"/>
      <c r="I36" s="3"/>
      <c r="J36" s="3"/>
      <c r="K36" s="3"/>
      <c r="L36" s="3"/>
      <c r="M36" s="3"/>
      <c r="N36" s="3"/>
      <c r="O36" s="1"/>
      <c r="P36" s="1"/>
      <c r="Q36" s="1"/>
    </row>
    <row r="37" spans="1:17" ht="13" x14ac:dyDescent="0.3">
      <c r="A37" s="175" t="s">
        <v>93</v>
      </c>
      <c r="B37" s="175" t="s">
        <v>94</v>
      </c>
      <c r="C37" s="264" t="s">
        <v>352</v>
      </c>
      <c r="D37" s="489">
        <v>1</v>
      </c>
      <c r="E37" s="175">
        <f>VLOOKUP(B37,'Rend. Equipos'!$B$7:$E$222,4,FALSE)</f>
        <v>2470106.6047045495</v>
      </c>
      <c r="F37" s="464">
        <f>VLOOKUP(B37,'Rend. Equipos'!$B$6:$L$166,MATCH($F$36,'Rend. Equipos'!$B$6:$L$6,0),0)</f>
        <v>9.2592592592592596E-4</v>
      </c>
      <c r="G37" s="176">
        <f>+E37*D37*F37</f>
        <v>2287.1357450968053</v>
      </c>
      <c r="H37" s="162"/>
      <c r="I37" s="1"/>
      <c r="J37" s="1"/>
      <c r="K37" s="1"/>
      <c r="L37" s="1"/>
      <c r="M37" s="1"/>
      <c r="N37" s="1"/>
      <c r="O37" s="1"/>
      <c r="P37" s="1"/>
      <c r="Q37" s="1"/>
    </row>
    <row r="38" spans="1:17" ht="26" x14ac:dyDescent="0.3">
      <c r="A38" s="60" t="s">
        <v>88</v>
      </c>
      <c r="B38" s="454" t="s">
        <v>89</v>
      </c>
      <c r="C38" s="320" t="s">
        <v>352</v>
      </c>
      <c r="D38" s="490">
        <v>0.5</v>
      </c>
      <c r="E38" s="178">
        <f>VLOOKUP(B38,'Rend. Equipos'!$B$7:$E$222,4,FALSE)</f>
        <v>1028123.0837653707</v>
      </c>
      <c r="F38" s="466">
        <f>VLOOKUP(B38,'Rend. Equipos'!$B$6:$L$166,MATCH($F$36,'Rend. Equipos'!$B$6:$L$6,0),0)</f>
        <v>5.5555555555555556E-4</v>
      </c>
      <c r="G38" s="179">
        <f t="shared" ref="G38:G39" si="4">+E38*D38*F38</f>
        <v>285.58974549038072</v>
      </c>
      <c r="H38" s="162"/>
      <c r="I38" s="1"/>
      <c r="J38" s="1"/>
      <c r="K38" s="1"/>
      <c r="L38" s="1"/>
      <c r="M38" s="1"/>
      <c r="N38" s="1"/>
      <c r="O38" s="1"/>
      <c r="P38" s="1"/>
      <c r="Q38" s="1"/>
    </row>
    <row r="39" spans="1:17" ht="26" x14ac:dyDescent="0.3">
      <c r="A39" s="265" t="s">
        <v>163</v>
      </c>
      <c r="B39" s="463" t="s">
        <v>164</v>
      </c>
      <c r="C39" s="265" t="s">
        <v>17</v>
      </c>
      <c r="D39" s="491">
        <v>1</v>
      </c>
      <c r="E39" s="180">
        <f>VLOOKUP(B39,'Rend. Equipos'!$B$7:$E$222,4,FALSE)</f>
        <v>689222.30122796178</v>
      </c>
      <c r="F39" s="468">
        <f>VLOOKUP(B39,'Rend. Equipos'!$B$6:$L$166,MATCH($F$36,'Rend. Equipos'!$B$6:$L$6,0),0)</f>
        <v>1.3888888888888889E-3</v>
      </c>
      <c r="G39" s="182">
        <f t="shared" si="4"/>
        <v>957.25319614994692</v>
      </c>
      <c r="H39" s="162"/>
      <c r="I39" s="1"/>
      <c r="J39" s="1"/>
      <c r="K39" s="1"/>
      <c r="L39" s="1"/>
      <c r="M39" s="1"/>
      <c r="N39" s="1"/>
      <c r="O39" s="1"/>
      <c r="P39" s="1"/>
      <c r="Q39" s="1"/>
    </row>
    <row r="40" spans="1:17" ht="13" x14ac:dyDescent="0.3">
      <c r="A40" s="139"/>
      <c r="B40" s="139"/>
      <c r="C40" s="139"/>
      <c r="D40" s="139"/>
      <c r="E40" s="140"/>
      <c r="F40" s="141" t="s">
        <v>602</v>
      </c>
      <c r="G40" s="391">
        <f>SUM(G37:G39)</f>
        <v>3529.9786867371331</v>
      </c>
      <c r="H40" s="162"/>
      <c r="I40" s="1"/>
      <c r="J40" s="1"/>
      <c r="K40" s="1"/>
      <c r="L40" s="1"/>
      <c r="M40" s="1"/>
      <c r="N40" s="1"/>
      <c r="O40" s="1"/>
      <c r="P40" s="1"/>
      <c r="Q40" s="1"/>
    </row>
    <row r="41" spans="1:17" ht="13" x14ac:dyDescent="0.3">
      <c r="A41" s="122"/>
      <c r="B41" s="122"/>
      <c r="C41" s="122"/>
      <c r="D41" s="122"/>
      <c r="E41" s="143"/>
      <c r="F41" s="144" t="s">
        <v>11</v>
      </c>
      <c r="G41" s="156">
        <f>+G40/F9</f>
        <v>882.49467168428328</v>
      </c>
      <c r="H41" s="162"/>
      <c r="I41" s="1"/>
      <c r="J41" s="1"/>
      <c r="K41" s="1"/>
      <c r="L41" s="1"/>
      <c r="M41" s="1"/>
      <c r="N41" s="1"/>
      <c r="O41" s="1"/>
      <c r="P41" s="1"/>
      <c r="Q41" s="1"/>
    </row>
    <row r="42" spans="1:17" ht="13" x14ac:dyDescent="0.3">
      <c r="A42" s="128" t="s">
        <v>603</v>
      </c>
      <c r="B42" s="122"/>
      <c r="C42" s="122"/>
      <c r="D42" s="122"/>
      <c r="E42" s="122"/>
      <c r="F42" s="122"/>
      <c r="G42" s="122"/>
      <c r="H42" s="162"/>
      <c r="J42" s="3" t="s">
        <v>633</v>
      </c>
      <c r="K42" s="1" t="s">
        <v>634</v>
      </c>
      <c r="L42" s="1" t="s">
        <v>635</v>
      </c>
      <c r="M42" s="1" t="s">
        <v>636</v>
      </c>
      <c r="N42" s="1" t="s">
        <v>637</v>
      </c>
      <c r="O42" s="3" t="s">
        <v>638</v>
      </c>
      <c r="P42" s="3" t="s">
        <v>639</v>
      </c>
      <c r="Q42" s="3"/>
    </row>
    <row r="43" spans="1:17" ht="13" x14ac:dyDescent="0.3">
      <c r="A43" s="133" t="s">
        <v>79</v>
      </c>
      <c r="B43" s="134" t="s">
        <v>591</v>
      </c>
      <c r="C43" s="134" t="s">
        <v>592</v>
      </c>
      <c r="D43" s="194" t="s">
        <v>593</v>
      </c>
      <c r="E43" s="134" t="s">
        <v>604</v>
      </c>
      <c r="F43" s="134"/>
      <c r="G43" s="135" t="s">
        <v>596</v>
      </c>
      <c r="H43" s="167"/>
      <c r="I43" s="3"/>
      <c r="J43" s="498" t="s">
        <v>640</v>
      </c>
      <c r="K43" s="1">
        <v>0.25</v>
      </c>
      <c r="L43" s="433">
        <v>0.5</v>
      </c>
      <c r="M43" s="433">
        <v>1</v>
      </c>
      <c r="N43" s="499">
        <f>+SUM(K43:M43)</f>
        <v>1.75</v>
      </c>
      <c r="O43" s="1">
        <v>7</v>
      </c>
      <c r="P43" s="1">
        <f>+O43/N43</f>
        <v>4</v>
      </c>
      <c r="Q43" s="1"/>
    </row>
    <row r="44" spans="1:17" ht="13" x14ac:dyDescent="0.3">
      <c r="A44" s="175" t="s">
        <v>255</v>
      </c>
      <c r="B44" s="175" t="s">
        <v>256</v>
      </c>
      <c r="C44" s="264" t="s">
        <v>605</v>
      </c>
      <c r="D44" s="195">
        <v>1</v>
      </c>
      <c r="E44" s="175">
        <f>VLOOKUP(B44,'Mano de Obra'!$B$8:$C$100,2,FALSE)</f>
        <v>85927.097156571981</v>
      </c>
      <c r="F44" s="175"/>
      <c r="G44" s="176">
        <f>+E44*D44</f>
        <v>85927.097156571981</v>
      </c>
      <c r="H44" s="162"/>
      <c r="I44" s="1"/>
      <c r="J44" s="498" t="s">
        <v>641</v>
      </c>
      <c r="K44" s="1">
        <v>0.1</v>
      </c>
      <c r="L44" s="434">
        <v>0.5</v>
      </c>
      <c r="M44" s="434">
        <v>1</v>
      </c>
      <c r="N44" s="499">
        <f>+SUM(K44:M44)</f>
        <v>1.6</v>
      </c>
      <c r="O44" s="1">
        <v>7</v>
      </c>
      <c r="P44" s="1">
        <f>+O44/N44</f>
        <v>4.375</v>
      </c>
      <c r="Q44" s="1">
        <f>+P43/P44</f>
        <v>0.91428571428571426</v>
      </c>
    </row>
    <row r="45" spans="1:17" ht="13" x14ac:dyDescent="0.3">
      <c r="A45" s="608" t="s">
        <v>228</v>
      </c>
      <c r="B45" s="161" t="s">
        <v>230</v>
      </c>
      <c r="C45" s="265" t="s">
        <v>605</v>
      </c>
      <c r="D45" s="326">
        <v>0.91</v>
      </c>
      <c r="E45" s="180">
        <f>VLOOKUP(B45,'Mano de Obra'!$B$8:$C$100,2,FALSE)</f>
        <v>60860.580776571966</v>
      </c>
      <c r="F45" s="180"/>
      <c r="G45" s="182">
        <f>+E45*D45</f>
        <v>55383.128506680492</v>
      </c>
      <c r="H45" s="162"/>
      <c r="I45" s="1"/>
      <c r="J45" s="1"/>
      <c r="K45" s="1"/>
      <c r="L45" s="1"/>
      <c r="M45" s="1"/>
      <c r="N45" s="1"/>
      <c r="O45" s="1"/>
      <c r="P45" s="1"/>
      <c r="Q45" s="1"/>
    </row>
    <row r="46" spans="1:17" ht="13" x14ac:dyDescent="0.3">
      <c r="A46" s="139"/>
      <c r="B46" s="139"/>
      <c r="C46" s="139"/>
      <c r="D46" s="139"/>
      <c r="E46" s="140"/>
      <c r="F46" s="141" t="s">
        <v>606</v>
      </c>
      <c r="G46" s="391">
        <f>SUM(G44:G45)</f>
        <v>141310.22566325247</v>
      </c>
      <c r="H46" s="162"/>
      <c r="I46" s="1"/>
      <c r="J46" s="1"/>
      <c r="K46" s="1"/>
      <c r="L46" s="1"/>
      <c r="M46" s="1"/>
      <c r="N46" s="1"/>
      <c r="O46" s="1"/>
      <c r="P46" s="1"/>
      <c r="Q46" s="1"/>
    </row>
    <row r="47" spans="1:17" ht="13" x14ac:dyDescent="0.3">
      <c r="A47" s="122"/>
      <c r="B47" s="122"/>
      <c r="C47" s="122"/>
      <c r="D47" s="122"/>
      <c r="E47" s="360"/>
      <c r="F47" s="123" t="s">
        <v>607</v>
      </c>
      <c r="G47" s="349">
        <v>1</v>
      </c>
      <c r="H47" s="162"/>
      <c r="I47" s="1"/>
      <c r="J47" s="1"/>
      <c r="K47" s="1"/>
      <c r="L47" s="1"/>
      <c r="M47" s="1"/>
      <c r="N47" s="1"/>
      <c r="O47" s="1"/>
      <c r="P47" s="1"/>
      <c r="Q47" s="1"/>
    </row>
    <row r="48" spans="1:17" ht="13" x14ac:dyDescent="0.3">
      <c r="A48" s="122"/>
      <c r="B48" s="122"/>
      <c r="C48" s="122"/>
      <c r="D48" s="122"/>
      <c r="E48" s="360"/>
      <c r="F48" s="123" t="s">
        <v>608</v>
      </c>
      <c r="G48" s="390">
        <f>+G47*G46</f>
        <v>141310.22566325247</v>
      </c>
      <c r="H48" s="162"/>
      <c r="I48" s="1"/>
      <c r="J48" s="1"/>
      <c r="K48" s="1"/>
      <c r="L48" s="1"/>
      <c r="M48" s="1"/>
      <c r="N48" s="1"/>
      <c r="O48" s="1"/>
      <c r="P48" s="1"/>
      <c r="Q48" s="1"/>
    </row>
    <row r="49" spans="1:17" ht="13" x14ac:dyDescent="0.3">
      <c r="A49" s="122"/>
      <c r="B49" s="122"/>
      <c r="C49" s="122"/>
      <c r="D49" s="122"/>
      <c r="E49" s="143"/>
      <c r="F49" s="144" t="s">
        <v>10</v>
      </c>
      <c r="G49" s="156">
        <f>+G48/F9</f>
        <v>35327.556415813116</v>
      </c>
      <c r="H49" s="162"/>
      <c r="I49" s="1"/>
      <c r="J49" s="1"/>
      <c r="K49" s="1"/>
      <c r="L49" s="1"/>
      <c r="M49" s="1"/>
      <c r="N49" s="1"/>
      <c r="O49" s="1"/>
      <c r="P49" s="1"/>
      <c r="Q49" s="1"/>
    </row>
    <row r="50" spans="1:17" ht="13" x14ac:dyDescent="0.3">
      <c r="A50" s="122"/>
      <c r="B50" s="122"/>
      <c r="C50" s="122"/>
      <c r="D50" s="122"/>
      <c r="H50" s="162"/>
      <c r="I50" s="1"/>
      <c r="J50" s="1"/>
      <c r="K50" s="1"/>
      <c r="L50" s="1"/>
      <c r="M50" s="1"/>
      <c r="N50" s="1"/>
      <c r="O50" s="1"/>
      <c r="P50" s="1"/>
      <c r="Q50" s="1"/>
    </row>
    <row r="51" spans="1:17" ht="13" x14ac:dyDescent="0.3">
      <c r="A51" s="122"/>
      <c r="B51" s="122"/>
      <c r="C51" s="122"/>
      <c r="D51" s="122"/>
      <c r="E51" s="122"/>
      <c r="F51" s="123" t="s">
        <v>609</v>
      </c>
      <c r="G51" s="123">
        <f>+G49+G41+G34</f>
        <v>64193.353299167829</v>
      </c>
      <c r="H51" s="162"/>
      <c r="I51" s="1"/>
      <c r="J51" s="1"/>
      <c r="K51" s="1"/>
      <c r="L51" s="1"/>
      <c r="M51" s="1"/>
      <c r="N51" s="1"/>
      <c r="O51" s="1"/>
      <c r="P51" s="1"/>
      <c r="Q51" s="1"/>
    </row>
    <row r="52" spans="1:17" ht="13" x14ac:dyDescent="0.3">
      <c r="A52" s="122"/>
      <c r="B52" s="122"/>
      <c r="C52" s="122"/>
      <c r="D52" s="122"/>
      <c r="E52" s="123" t="s">
        <v>610</v>
      </c>
      <c r="F52" s="198">
        <f>+RESUMEN!$I$2</f>
        <v>0</v>
      </c>
      <c r="G52" s="130">
        <f>IF(F52=0,0,F52*G51)</f>
        <v>0</v>
      </c>
      <c r="H52" s="168"/>
      <c r="I52" s="1"/>
      <c r="J52" s="1"/>
      <c r="K52" s="1"/>
      <c r="L52" s="1"/>
      <c r="M52" s="1"/>
      <c r="N52" s="1"/>
      <c r="O52" s="1"/>
      <c r="P52" s="1"/>
      <c r="Q52" s="1"/>
    </row>
    <row r="53" spans="1:17" ht="13" x14ac:dyDescent="0.3">
      <c r="A53" s="122"/>
      <c r="B53" s="122"/>
      <c r="C53" s="122"/>
      <c r="D53" s="122"/>
      <c r="E53" s="123" t="s">
        <v>611</v>
      </c>
      <c r="F53" s="198">
        <f>+RESUMEN!$I$3</f>
        <v>0</v>
      </c>
      <c r="G53" s="130">
        <f>IF(F53=0,0,F53*G51)</f>
        <v>0</v>
      </c>
      <c r="H53" s="162"/>
      <c r="I53" s="1"/>
      <c r="J53" s="1"/>
      <c r="K53" s="1"/>
      <c r="L53" s="1"/>
      <c r="M53" s="1"/>
      <c r="N53" s="1"/>
      <c r="O53" s="1"/>
      <c r="P53" s="1"/>
      <c r="Q53" s="1"/>
    </row>
    <row r="54" spans="1:17" ht="13" x14ac:dyDescent="0.3">
      <c r="A54" s="122"/>
      <c r="B54" s="122"/>
      <c r="C54" s="122"/>
      <c r="D54" s="122"/>
      <c r="E54" s="151"/>
      <c r="F54" s="152" t="s">
        <v>612</v>
      </c>
      <c r="G54" s="389">
        <f>SUM(G51:G53)</f>
        <v>64193.353299167829</v>
      </c>
      <c r="H54" s="162"/>
      <c r="I54" s="1"/>
      <c r="J54" s="1"/>
      <c r="K54" s="1"/>
      <c r="L54" s="1"/>
      <c r="M54" s="1"/>
      <c r="N54" s="1"/>
      <c r="O54" s="1"/>
      <c r="P54" s="1"/>
      <c r="Q54" s="1"/>
    </row>
    <row r="55" spans="1:17" ht="13" x14ac:dyDescent="0.3">
      <c r="A55" s="122"/>
      <c r="B55" s="122"/>
      <c r="C55" s="122"/>
      <c r="D55" s="122"/>
      <c r="E55" s="1"/>
      <c r="F55" s="1"/>
      <c r="G55" s="1"/>
      <c r="H55" s="162"/>
      <c r="I55" s="1"/>
      <c r="J55" s="1"/>
      <c r="K55" s="1"/>
      <c r="L55" s="1"/>
      <c r="M55" s="1"/>
      <c r="N55" s="1"/>
      <c r="O55" s="1"/>
      <c r="P55" s="1"/>
      <c r="Q55" s="1"/>
    </row>
    <row r="56" spans="1:17" ht="13" x14ac:dyDescent="0.3">
      <c r="A56" s="875"/>
      <c r="B56" s="870"/>
      <c r="C56" s="122"/>
      <c r="D56" s="122"/>
      <c r="E56" s="1"/>
      <c r="F56" s="1"/>
      <c r="G56" s="1"/>
      <c r="H56" s="162"/>
      <c r="I56" s="1"/>
      <c r="J56" s="1"/>
      <c r="K56" s="1"/>
      <c r="L56" s="1"/>
      <c r="M56" s="1"/>
      <c r="N56" s="1"/>
      <c r="O56" s="1"/>
      <c r="P56" s="1"/>
      <c r="Q56" s="1"/>
    </row>
    <row r="57" spans="1:17" ht="13" x14ac:dyDescent="0.3">
      <c r="A57" s="875"/>
      <c r="B57" s="870"/>
      <c r="C57" s="122"/>
      <c r="D57" s="122"/>
      <c r="E57" s="1"/>
      <c r="F57" s="1"/>
      <c r="G57" s="1"/>
      <c r="H57" s="162"/>
      <c r="I57" s="1"/>
      <c r="J57" s="1"/>
      <c r="K57" s="1"/>
      <c r="L57" s="1"/>
      <c r="M57" s="1"/>
      <c r="N57" s="1"/>
      <c r="O57" s="1"/>
      <c r="P57" s="1"/>
      <c r="Q57" s="1"/>
    </row>
  </sheetData>
  <mergeCells count="5">
    <mergeCell ref="A1:G1"/>
    <mergeCell ref="B5:G5"/>
    <mergeCell ref="B7:G7"/>
    <mergeCell ref="A56:B56"/>
    <mergeCell ref="A57:B5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J42"/>
  <sheetViews>
    <sheetView workbookViewId="0">
      <selection activeCell="H18" sqref="H18"/>
    </sheetView>
  </sheetViews>
  <sheetFormatPr defaultColWidth="11.453125" defaultRowHeight="12.5" x14ac:dyDescent="0.25"/>
  <cols>
    <col min="1" max="1" width="9.90625" customWidth="1"/>
    <col min="2" max="2" width="35.6328125" customWidth="1"/>
    <col min="3" max="3" width="7.08984375" style="201" bestFit="1" customWidth="1"/>
    <col min="4" max="4" width="8.6328125" style="427" customWidth="1"/>
    <col min="5" max="5" width="15.36328125" bestFit="1" customWidth="1"/>
    <col min="6" max="6" width="9.453125" customWidth="1"/>
    <col min="7" max="7" width="10.90625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62"/>
    </row>
    <row r="2" spans="1:8" ht="13" x14ac:dyDescent="0.3">
      <c r="A2" s="162"/>
      <c r="B2" s="162"/>
      <c r="C2" s="315"/>
      <c r="D2" s="501"/>
      <c r="E2" s="162"/>
      <c r="F2" s="240" t="s">
        <v>78</v>
      </c>
      <c r="G2" s="500" t="s">
        <v>613</v>
      </c>
      <c r="H2" s="162"/>
    </row>
    <row r="3" spans="1:8" ht="15.5" x14ac:dyDescent="0.35">
      <c r="A3" s="165" t="s">
        <v>579</v>
      </c>
      <c r="B3" s="166"/>
      <c r="C3" s="383"/>
      <c r="D3" s="502"/>
      <c r="E3" s="166"/>
      <c r="F3" s="166"/>
      <c r="G3" s="166"/>
      <c r="H3" s="162"/>
    </row>
    <row r="4" spans="1:8" ht="13" x14ac:dyDescent="0.3">
      <c r="A4" s="122"/>
      <c r="B4" s="122"/>
      <c r="C4" s="199"/>
      <c r="D4" s="421"/>
      <c r="E4" s="122"/>
      <c r="F4" s="123" t="s">
        <v>580</v>
      </c>
      <c r="G4" s="126">
        <v>38</v>
      </c>
      <c r="H4" s="162"/>
    </row>
    <row r="5" spans="1:8" ht="13" x14ac:dyDescent="0.25">
      <c r="A5" s="127" t="s">
        <v>581</v>
      </c>
      <c r="B5" s="892" t="s">
        <v>613</v>
      </c>
      <c r="C5" s="893"/>
      <c r="D5" s="893"/>
      <c r="E5" s="893"/>
      <c r="F5" s="893"/>
      <c r="G5" s="893"/>
      <c r="H5" s="162"/>
    </row>
    <row r="6" spans="1:8" ht="13" x14ac:dyDescent="0.3">
      <c r="A6" s="128" t="s">
        <v>582</v>
      </c>
      <c r="B6" s="500" t="s">
        <v>613</v>
      </c>
      <c r="C6" s="199"/>
      <c r="D6" s="421"/>
      <c r="E6" s="122"/>
      <c r="F6" s="123" t="s">
        <v>583</v>
      </c>
      <c r="G6" s="500" t="s">
        <v>613</v>
      </c>
      <c r="H6" s="162"/>
    </row>
    <row r="7" spans="1:8" ht="15.5" x14ac:dyDescent="0.25">
      <c r="A7" s="197" t="s">
        <v>584</v>
      </c>
      <c r="B7" s="873" t="s">
        <v>642</v>
      </c>
      <c r="C7" s="874"/>
      <c r="D7" s="874"/>
      <c r="E7" s="874"/>
      <c r="F7" s="874"/>
      <c r="G7" s="874"/>
      <c r="H7" s="162"/>
    </row>
    <row r="8" spans="1:8" ht="13" x14ac:dyDescent="0.3">
      <c r="A8" s="128"/>
      <c r="B8" s="122"/>
      <c r="C8" s="240" t="s">
        <v>586</v>
      </c>
      <c r="D8" s="421"/>
      <c r="E8" s="131" t="s">
        <v>587</v>
      </c>
      <c r="F8" s="128" t="s">
        <v>588</v>
      </c>
      <c r="G8" s="122"/>
      <c r="H8" s="162"/>
    </row>
    <row r="9" spans="1:8" ht="13" x14ac:dyDescent="0.3">
      <c r="A9" s="122"/>
      <c r="B9" s="122" t="s">
        <v>622</v>
      </c>
      <c r="C9" s="158" t="s">
        <v>45</v>
      </c>
      <c r="D9" s="421"/>
      <c r="E9" s="564">
        <v>100</v>
      </c>
      <c r="F9" s="185">
        <v>15</v>
      </c>
      <c r="G9" s="122" t="s">
        <v>615</v>
      </c>
      <c r="H9" s="162"/>
    </row>
    <row r="10" spans="1:8" ht="13" x14ac:dyDescent="0.3">
      <c r="A10" s="128" t="s">
        <v>590</v>
      </c>
      <c r="B10" s="122"/>
      <c r="C10" s="199"/>
      <c r="D10" s="421"/>
      <c r="E10" s="122"/>
      <c r="F10" s="122"/>
      <c r="G10" s="122"/>
      <c r="H10" s="162"/>
    </row>
    <row r="11" spans="1:8" ht="13" x14ac:dyDescent="0.3">
      <c r="A11" s="133" t="s">
        <v>79</v>
      </c>
      <c r="B11" s="134" t="s">
        <v>591</v>
      </c>
      <c r="C11" s="261" t="s">
        <v>592</v>
      </c>
      <c r="D11" s="503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</row>
    <row r="12" spans="1:8" ht="13" x14ac:dyDescent="0.3">
      <c r="A12" s="264" t="s">
        <v>396</v>
      </c>
      <c r="B12" s="507" t="s">
        <v>397</v>
      </c>
      <c r="C12" s="508" t="s">
        <v>17</v>
      </c>
      <c r="D12" s="433">
        <v>15</v>
      </c>
      <c r="E12" s="175">
        <f>VLOOKUP(B12,Materiales!$B$8:$D$118,3,FALSE)</f>
        <v>563.22</v>
      </c>
      <c r="F12" s="175">
        <v>5</v>
      </c>
      <c r="G12" s="246">
        <f>+D12*E12*((F12+100)/100)</f>
        <v>8870.715000000002</v>
      </c>
      <c r="H12" s="176">
        <f>+D12*$E$9</f>
        <v>1500</v>
      </c>
    </row>
    <row r="13" spans="1:8" ht="13" x14ac:dyDescent="0.3">
      <c r="A13" s="320" t="s">
        <v>377</v>
      </c>
      <c r="B13" s="178" t="s">
        <v>378</v>
      </c>
      <c r="C13" s="320" t="s">
        <v>17</v>
      </c>
      <c r="D13" s="457">
        <v>0.17</v>
      </c>
      <c r="E13" s="178">
        <f>VLOOKUP(B13,Materiales!$B$8:$D$118,3,FALSE)</f>
        <v>3424.53</v>
      </c>
      <c r="F13" s="178">
        <v>10</v>
      </c>
      <c r="G13" s="179">
        <f t="shared" ref="G13:G17" si="0">+D13*E13*((F13+100)/100)</f>
        <v>640.38711000000012</v>
      </c>
      <c r="H13" s="179">
        <f t="shared" ref="H13:H17" si="1">+D13*$E$9</f>
        <v>17</v>
      </c>
    </row>
    <row r="14" spans="1:8" ht="13" x14ac:dyDescent="0.3">
      <c r="A14" s="320" t="s">
        <v>372</v>
      </c>
      <c r="B14" s="178" t="s">
        <v>373</v>
      </c>
      <c r="C14" s="320" t="s">
        <v>374</v>
      </c>
      <c r="D14" s="457">
        <v>0.15</v>
      </c>
      <c r="E14" s="178">
        <f>VLOOKUP(B14,Materiales!$B$8:$D$118,3,FALSE)</f>
        <v>3837.96</v>
      </c>
      <c r="F14" s="178">
        <v>10</v>
      </c>
      <c r="G14" s="179">
        <f t="shared" si="0"/>
        <v>633.26340000000005</v>
      </c>
      <c r="H14" s="179">
        <f t="shared" si="1"/>
        <v>15</v>
      </c>
    </row>
    <row r="15" spans="1:8" ht="13" x14ac:dyDescent="0.3">
      <c r="A15" s="320" t="s">
        <v>368</v>
      </c>
      <c r="B15" s="178" t="s">
        <v>369</v>
      </c>
      <c r="C15" s="320" t="s">
        <v>374</v>
      </c>
      <c r="D15" s="457">
        <v>7.4999999999999997E-2</v>
      </c>
      <c r="E15" s="178">
        <f>VLOOKUP(B15,Materiales!$B$8:$D$118,3,FALSE)</f>
        <v>7809.48</v>
      </c>
      <c r="F15" s="178">
        <v>10</v>
      </c>
      <c r="G15" s="179">
        <f t="shared" si="0"/>
        <v>644.2820999999999</v>
      </c>
      <c r="H15" s="179">
        <f t="shared" si="1"/>
        <v>7.5</v>
      </c>
    </row>
    <row r="16" spans="1:8" ht="13" x14ac:dyDescent="0.3">
      <c r="A16" s="320" t="s">
        <v>362</v>
      </c>
      <c r="B16" s="178" t="s">
        <v>363</v>
      </c>
      <c r="C16" s="320" t="s">
        <v>59</v>
      </c>
      <c r="D16" s="457">
        <v>1.7999999999999999E-2</v>
      </c>
      <c r="E16" s="178">
        <f>VLOOKUP(B16,Materiales!$B$8:$D$118,3,FALSE)</f>
        <v>32399.77</v>
      </c>
      <c r="F16" s="178">
        <v>10</v>
      </c>
      <c r="G16" s="179">
        <f t="shared" si="0"/>
        <v>641.515446</v>
      </c>
      <c r="H16" s="179">
        <f t="shared" si="1"/>
        <v>1.7999999999999998</v>
      </c>
    </row>
    <row r="17" spans="1:10" ht="13" x14ac:dyDescent="0.3">
      <c r="A17" s="265"/>
      <c r="B17" s="420" t="s">
        <v>617</v>
      </c>
      <c r="C17" s="265" t="s">
        <v>352</v>
      </c>
      <c r="D17" s="434">
        <v>0.01</v>
      </c>
      <c r="E17" s="180">
        <f>+SUM(G12:G16)</f>
        <v>11430.163056000001</v>
      </c>
      <c r="F17" s="180">
        <v>3</v>
      </c>
      <c r="G17" s="182">
        <f t="shared" si="0"/>
        <v>117.73067947680002</v>
      </c>
      <c r="H17" s="182">
        <f t="shared" si="1"/>
        <v>1</v>
      </c>
      <c r="I17" s="1"/>
      <c r="J17" s="1">
        <f>+G17*100</f>
        <v>11773.067947680001</v>
      </c>
    </row>
    <row r="18" spans="1:10" ht="13" x14ac:dyDescent="0.3">
      <c r="A18" s="122"/>
      <c r="B18" s="122"/>
      <c r="C18" s="158"/>
      <c r="D18" s="504"/>
      <c r="E18" s="360"/>
      <c r="F18" s="123" t="s">
        <v>598</v>
      </c>
      <c r="G18" s="390">
        <f>SUM(G12:G17)</f>
        <v>11547.8937354768</v>
      </c>
      <c r="H18" s="162"/>
      <c r="I18" s="1"/>
      <c r="J18" s="1"/>
    </row>
    <row r="19" spans="1:10" ht="13" x14ac:dyDescent="0.3">
      <c r="A19" s="122"/>
      <c r="B19" s="122"/>
      <c r="C19" s="158"/>
      <c r="D19" s="421"/>
      <c r="E19" s="143"/>
      <c r="F19" s="144" t="s">
        <v>9</v>
      </c>
      <c r="G19" s="156">
        <f>+G18</f>
        <v>11547.8937354768</v>
      </c>
      <c r="H19" s="168"/>
      <c r="I19" s="1"/>
      <c r="J19" s="1"/>
    </row>
    <row r="20" spans="1:10" ht="13" x14ac:dyDescent="0.3">
      <c r="A20" s="128" t="s">
        <v>599</v>
      </c>
      <c r="B20" s="122"/>
      <c r="C20" s="158"/>
      <c r="D20" s="421"/>
      <c r="E20" s="122"/>
      <c r="F20" s="122"/>
      <c r="G20" s="122"/>
      <c r="H20" s="162"/>
      <c r="I20" s="1"/>
      <c r="J20" s="1"/>
    </row>
    <row r="21" spans="1:10" ht="13" x14ac:dyDescent="0.3">
      <c r="A21" s="133" t="s">
        <v>79</v>
      </c>
      <c r="B21" s="134" t="s">
        <v>591</v>
      </c>
      <c r="C21" s="261" t="s">
        <v>592</v>
      </c>
      <c r="D21" s="503" t="s">
        <v>593</v>
      </c>
      <c r="E21" s="134" t="s">
        <v>600</v>
      </c>
      <c r="F21" s="417" t="s">
        <v>87</v>
      </c>
      <c r="G21" s="135" t="s">
        <v>596</v>
      </c>
      <c r="H21" s="167"/>
      <c r="I21" s="3"/>
      <c r="J21" s="3"/>
    </row>
    <row r="22" spans="1:10" ht="13" x14ac:dyDescent="0.25">
      <c r="A22" s="264" t="s">
        <v>93</v>
      </c>
      <c r="B22" s="429" t="s">
        <v>94</v>
      </c>
      <c r="C22" s="264" t="s">
        <v>352</v>
      </c>
      <c r="D22" s="464">
        <v>1</v>
      </c>
      <c r="E22" s="429">
        <f>VLOOKUP(B22,'Rend. Equipos'!$B$7:$E$222,4,FALSE)</f>
        <v>2470106.6047045495</v>
      </c>
      <c r="F22" s="464">
        <f>VLOOKUP(B22,'Rend. Equipos'!$B$6:$L$166,MATCH($F$21,'Rend. Equipos'!$B$6:$L$6,0),0)</f>
        <v>9.2592592592592596E-4</v>
      </c>
      <c r="G22" s="465">
        <f>+E22*D22*F22</f>
        <v>2287.1357450968053</v>
      </c>
      <c r="H22" s="162"/>
      <c r="I22" s="1"/>
      <c r="J22" s="1"/>
    </row>
    <row r="23" spans="1:10" ht="26" x14ac:dyDescent="0.25">
      <c r="A23" s="60" t="s">
        <v>88</v>
      </c>
      <c r="B23" s="454" t="s">
        <v>89</v>
      </c>
      <c r="C23" s="320" t="s">
        <v>352</v>
      </c>
      <c r="D23" s="424">
        <v>0.5</v>
      </c>
      <c r="E23" s="430">
        <f>VLOOKUP(B23,'Rend. Equipos'!$B$7:$E$222,4,FALSE)</f>
        <v>1028123.0837653707</v>
      </c>
      <c r="F23" s="466">
        <f>VLOOKUP(B23,'Rend. Equipos'!$B$6:$L$166,MATCH($F$21,'Rend. Equipos'!$B$6:$L$6,0),0)</f>
        <v>5.5555555555555556E-4</v>
      </c>
      <c r="G23" s="467">
        <f t="shared" ref="G23:G24" si="2">+E23*D23*F23</f>
        <v>285.58974549038072</v>
      </c>
      <c r="H23" s="162"/>
      <c r="I23" s="1"/>
      <c r="J23" s="1"/>
    </row>
    <row r="24" spans="1:10" ht="26" x14ac:dyDescent="0.25">
      <c r="A24" s="265" t="s">
        <v>163</v>
      </c>
      <c r="B24" s="463" t="s">
        <v>164</v>
      </c>
      <c r="C24" s="265" t="s">
        <v>17</v>
      </c>
      <c r="D24" s="425">
        <v>1</v>
      </c>
      <c r="E24" s="432">
        <f>VLOOKUP(B24,'Rend. Equipos'!$B$7:$E$222,4,FALSE)</f>
        <v>689222.30122796178</v>
      </c>
      <c r="F24" s="468">
        <f>VLOOKUP(B24,'Rend. Equipos'!$B$6:$L$166,MATCH($F$21,'Rend. Equipos'!$B$6:$L$6,0),0)</f>
        <v>1.3888888888888889E-3</v>
      </c>
      <c r="G24" s="469">
        <f t="shared" si="2"/>
        <v>957.25319614994692</v>
      </c>
      <c r="H24" s="162"/>
      <c r="I24" s="1"/>
      <c r="J24" s="1"/>
    </row>
    <row r="25" spans="1:10" ht="13" x14ac:dyDescent="0.3">
      <c r="A25" s="139"/>
      <c r="B25" s="139"/>
      <c r="C25" s="262"/>
      <c r="D25" s="426"/>
      <c r="E25" s="140"/>
      <c r="F25" s="141" t="s">
        <v>602</v>
      </c>
      <c r="G25" s="391">
        <f>SUM(G22:G24)</f>
        <v>3529.9786867371331</v>
      </c>
      <c r="H25" s="162"/>
      <c r="I25" s="1"/>
      <c r="J25" s="1"/>
    </row>
    <row r="26" spans="1:10" ht="13" x14ac:dyDescent="0.3">
      <c r="A26" s="122"/>
      <c r="B26" s="122"/>
      <c r="C26" s="158"/>
      <c r="D26" s="421"/>
      <c r="E26" s="143"/>
      <c r="F26" s="144" t="s">
        <v>11</v>
      </c>
      <c r="G26" s="156">
        <f>+G25/F9</f>
        <v>235.33191244914221</v>
      </c>
      <c r="H26" s="162"/>
      <c r="I26" s="1"/>
      <c r="J26" s="1"/>
    </row>
    <row r="27" spans="1:10" ht="13" x14ac:dyDescent="0.3">
      <c r="A27" s="128" t="s">
        <v>603</v>
      </c>
      <c r="B27" s="122"/>
      <c r="C27" s="158"/>
      <c r="D27" s="421"/>
      <c r="E27" s="122"/>
      <c r="F27" s="122"/>
      <c r="G27" s="122"/>
      <c r="H27" s="162"/>
      <c r="I27" s="1"/>
      <c r="J27" s="1"/>
    </row>
    <row r="28" spans="1:10" ht="13" x14ac:dyDescent="0.3">
      <c r="A28" s="133" t="s">
        <v>79</v>
      </c>
      <c r="B28" s="134" t="s">
        <v>591</v>
      </c>
      <c r="C28" s="261" t="s">
        <v>592</v>
      </c>
      <c r="D28" s="503" t="s">
        <v>593</v>
      </c>
      <c r="E28" s="134" t="s">
        <v>604</v>
      </c>
      <c r="F28" s="134"/>
      <c r="G28" s="135" t="s">
        <v>596</v>
      </c>
      <c r="H28" s="167"/>
      <c r="I28" s="3"/>
      <c r="J28" s="3"/>
    </row>
    <row r="29" spans="1:10" ht="13" x14ac:dyDescent="0.3">
      <c r="A29" s="264" t="s">
        <v>255</v>
      </c>
      <c r="B29" s="175" t="s">
        <v>256</v>
      </c>
      <c r="C29" s="264" t="s">
        <v>605</v>
      </c>
      <c r="D29" s="433">
        <v>1</v>
      </c>
      <c r="E29" s="175">
        <f>VLOOKUP(B29,'Mano de Obra'!$B$8:$C$100,2,FALSE)</f>
        <v>85927.097156571981</v>
      </c>
      <c r="F29" s="175"/>
      <c r="G29" s="176">
        <f>+E29*D29</f>
        <v>85927.097156571981</v>
      </c>
      <c r="H29" s="162"/>
      <c r="I29" s="1"/>
      <c r="J29" s="1"/>
    </row>
    <row r="30" spans="1:10" ht="13" x14ac:dyDescent="0.3">
      <c r="A30" s="608" t="s">
        <v>228</v>
      </c>
      <c r="B30" s="161" t="s">
        <v>230</v>
      </c>
      <c r="C30" s="265" t="s">
        <v>605</v>
      </c>
      <c r="D30" s="434">
        <v>1</v>
      </c>
      <c r="E30" s="180">
        <f>VLOOKUP(B30,'Mano de Obra'!$B$8:$C$100,2,FALSE)</f>
        <v>60860.580776571966</v>
      </c>
      <c r="F30" s="180"/>
      <c r="G30" s="182">
        <f>+E30*D30</f>
        <v>60860.580776571966</v>
      </c>
      <c r="H30" s="162"/>
      <c r="I30" s="1"/>
      <c r="J30" s="1"/>
    </row>
    <row r="31" spans="1:10" ht="13" x14ac:dyDescent="0.3">
      <c r="A31" s="139"/>
      <c r="B31" s="139"/>
      <c r="C31" s="262"/>
      <c r="D31" s="426"/>
      <c r="E31" s="140"/>
      <c r="F31" s="141" t="s">
        <v>606</v>
      </c>
      <c r="G31" s="391">
        <f>SUM(G29:G30)</f>
        <v>146787.67793314395</v>
      </c>
      <c r="H31" s="162"/>
      <c r="I31" s="1"/>
      <c r="J31" s="1"/>
    </row>
    <row r="32" spans="1:10" ht="13" x14ac:dyDescent="0.3">
      <c r="A32" s="122"/>
      <c r="B32" s="122"/>
      <c r="C32" s="158"/>
      <c r="D32" s="421"/>
      <c r="E32" s="360"/>
      <c r="F32" s="123" t="s">
        <v>607</v>
      </c>
      <c r="G32" s="349">
        <v>1</v>
      </c>
      <c r="H32" s="162"/>
      <c r="I32" s="1"/>
      <c r="J32" s="1"/>
    </row>
    <row r="33" spans="1:8" ht="13" x14ac:dyDescent="0.3">
      <c r="A33" s="122"/>
      <c r="B33" s="122"/>
      <c r="C33" s="158"/>
      <c r="D33" s="421"/>
      <c r="E33" s="360"/>
      <c r="F33" s="123" t="s">
        <v>608</v>
      </c>
      <c r="G33" s="390">
        <f>+G32*G31</f>
        <v>146787.67793314395</v>
      </c>
      <c r="H33" s="162"/>
    </row>
    <row r="34" spans="1:8" ht="13" x14ac:dyDescent="0.3">
      <c r="A34" s="122"/>
      <c r="B34" s="122"/>
      <c r="C34" s="158"/>
      <c r="D34" s="421"/>
      <c r="E34" s="143"/>
      <c r="F34" s="144" t="s">
        <v>10</v>
      </c>
      <c r="G34" s="156">
        <f>+G33/F9</f>
        <v>9785.84519554293</v>
      </c>
      <c r="H34" s="162"/>
    </row>
    <row r="35" spans="1:8" ht="13" x14ac:dyDescent="0.3">
      <c r="A35" s="122"/>
      <c r="B35" s="122"/>
      <c r="C35" s="158"/>
      <c r="D35" s="421"/>
      <c r="H35" s="162"/>
    </row>
    <row r="36" spans="1:8" ht="13" x14ac:dyDescent="0.3">
      <c r="A36" s="122"/>
      <c r="B36" s="122"/>
      <c r="C36" s="158"/>
      <c r="D36" s="421"/>
      <c r="E36" s="122"/>
      <c r="F36" s="123" t="s">
        <v>609</v>
      </c>
      <c r="G36" s="123">
        <f>+G34+G26+G19</f>
        <v>21569.070843468871</v>
      </c>
      <c r="H36" s="162"/>
    </row>
    <row r="37" spans="1:8" ht="13" x14ac:dyDescent="0.3">
      <c r="A37" s="122"/>
      <c r="B37" s="122"/>
      <c r="C37" s="158"/>
      <c r="D37" s="421"/>
      <c r="E37" s="123" t="s">
        <v>610</v>
      </c>
      <c r="F37" s="198">
        <f>+RESUMEN!$I$2</f>
        <v>0</v>
      </c>
      <c r="G37" s="130">
        <f>IF(F37=0,0,F37*G36)</f>
        <v>0</v>
      </c>
      <c r="H37" s="168"/>
    </row>
    <row r="38" spans="1:8" ht="13" x14ac:dyDescent="0.3">
      <c r="A38" s="122"/>
      <c r="B38" s="122"/>
      <c r="C38" s="158"/>
      <c r="D38" s="421"/>
      <c r="E38" s="123" t="s">
        <v>611</v>
      </c>
      <c r="F38" s="198">
        <f>+RESUMEN!$I$3</f>
        <v>0</v>
      </c>
      <c r="G38" s="130">
        <f>IF(F38=0,0,F38*G36)</f>
        <v>0</v>
      </c>
      <c r="H38" s="162"/>
    </row>
    <row r="39" spans="1:8" ht="13" x14ac:dyDescent="0.3">
      <c r="A39" s="122"/>
      <c r="B39" s="122"/>
      <c r="C39" s="158"/>
      <c r="D39" s="421"/>
      <c r="E39" s="151"/>
      <c r="F39" s="152" t="s">
        <v>612</v>
      </c>
      <c r="G39" s="389">
        <f>SUM(G36:G38)</f>
        <v>21569.070843468871</v>
      </c>
      <c r="H39" s="162"/>
    </row>
    <row r="40" spans="1:8" ht="13" x14ac:dyDescent="0.3">
      <c r="A40" s="122"/>
      <c r="B40" s="122"/>
      <c r="C40" s="158"/>
      <c r="D40" s="421"/>
      <c r="E40" s="1"/>
      <c r="F40" s="1"/>
      <c r="G40" s="1"/>
      <c r="H40" s="162"/>
    </row>
    <row r="41" spans="1:8" ht="13" x14ac:dyDescent="0.3">
      <c r="A41" s="875"/>
      <c r="B41" s="870"/>
      <c r="C41" s="158"/>
      <c r="D41" s="421"/>
      <c r="E41" s="1"/>
      <c r="F41" s="1"/>
      <c r="G41" s="1"/>
      <c r="H41" s="162"/>
    </row>
    <row r="42" spans="1:8" ht="13" x14ac:dyDescent="0.3">
      <c r="A42" s="875"/>
      <c r="B42" s="870"/>
      <c r="C42" s="158"/>
      <c r="D42" s="421"/>
      <c r="E42" s="1"/>
      <c r="F42" s="1"/>
      <c r="G42" s="1"/>
      <c r="H42" s="162"/>
    </row>
  </sheetData>
  <mergeCells count="5">
    <mergeCell ref="A1:G1"/>
    <mergeCell ref="B5:G5"/>
    <mergeCell ref="B7:G7"/>
    <mergeCell ref="A41:B41"/>
    <mergeCell ref="A42:B4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P37"/>
  <sheetViews>
    <sheetView workbookViewId="0">
      <selection sqref="A1:G1"/>
    </sheetView>
  </sheetViews>
  <sheetFormatPr defaultColWidth="11.54296875" defaultRowHeight="12.5" x14ac:dyDescent="0.25"/>
  <cols>
    <col min="1" max="1" width="10.6328125" style="201" customWidth="1"/>
    <col min="2" max="2" width="33.90625" style="201" bestFit="1" customWidth="1"/>
    <col min="3" max="3" width="7.08984375" style="202" bestFit="1" customWidth="1"/>
    <col min="4" max="4" width="8.6328125" style="201" customWidth="1"/>
    <col min="5" max="5" width="15.36328125" style="201" bestFit="1" customWidth="1"/>
    <col min="6" max="6" width="9.453125" style="201" customWidth="1"/>
    <col min="7" max="7" width="10.90625" style="201" bestFit="1" customWidth="1"/>
    <col min="8" max="13" width="11.54296875" style="201"/>
    <col min="14" max="14" width="8.08984375" style="201" bestFit="1" customWidth="1"/>
    <col min="15" max="15" width="6" style="201" bestFit="1" customWidth="1"/>
    <col min="16" max="16" width="4.36328125" style="201" bestFit="1" customWidth="1"/>
    <col min="17" max="16384" width="11.54296875" style="201"/>
  </cols>
  <sheetData>
    <row r="1" spans="1:16" ht="15.5" x14ac:dyDescent="0.25">
      <c r="A1" s="869"/>
      <c r="B1" s="870"/>
      <c r="C1" s="870"/>
      <c r="D1" s="870"/>
      <c r="E1" s="870"/>
      <c r="F1" s="870"/>
      <c r="G1" s="870"/>
      <c r="H1" s="315"/>
      <c r="I1" s="506"/>
      <c r="J1" s="506"/>
      <c r="K1" s="506"/>
      <c r="L1" s="506"/>
      <c r="M1" s="506"/>
      <c r="N1" s="506"/>
      <c r="O1" s="506"/>
      <c r="P1" s="506"/>
    </row>
    <row r="2" spans="1:16" ht="13" x14ac:dyDescent="0.25">
      <c r="A2" s="315"/>
      <c r="B2" s="315"/>
      <c r="C2" s="260"/>
      <c r="D2" s="315"/>
      <c r="E2" s="315"/>
      <c r="F2" s="240" t="s">
        <v>78</v>
      </c>
      <c r="G2" s="415" t="s">
        <v>613</v>
      </c>
      <c r="H2" s="315"/>
      <c r="I2" s="506"/>
      <c r="J2" s="506"/>
      <c r="K2" s="506"/>
      <c r="L2" s="506"/>
      <c r="M2" s="506"/>
      <c r="N2" s="506"/>
      <c r="O2" s="506"/>
      <c r="P2" s="506"/>
    </row>
    <row r="3" spans="1:16" ht="15.5" x14ac:dyDescent="0.25">
      <c r="A3" s="382" t="s">
        <v>579</v>
      </c>
      <c r="B3" s="383"/>
      <c r="C3" s="383"/>
      <c r="D3" s="383"/>
      <c r="E3" s="383"/>
      <c r="F3" s="383"/>
      <c r="G3" s="383"/>
      <c r="H3" s="315"/>
      <c r="I3" s="506"/>
      <c r="J3" s="506"/>
      <c r="K3" s="506"/>
      <c r="L3" s="506"/>
      <c r="M3" s="506"/>
      <c r="N3" s="506"/>
      <c r="O3" s="506"/>
      <c r="P3" s="506"/>
    </row>
    <row r="4" spans="1:16" ht="13" x14ac:dyDescent="0.25">
      <c r="A4" s="199"/>
      <c r="B4" s="199"/>
      <c r="C4" s="158"/>
      <c r="D4" s="199"/>
      <c r="E4" s="199"/>
      <c r="F4" s="336" t="s">
        <v>580</v>
      </c>
      <c r="G4" s="384">
        <v>39</v>
      </c>
      <c r="H4" s="315"/>
      <c r="I4" s="506"/>
      <c r="J4" s="506"/>
      <c r="K4" s="506"/>
      <c r="L4" s="506"/>
      <c r="M4" s="506"/>
      <c r="N4" s="506"/>
      <c r="O4" s="506"/>
      <c r="P4" s="506"/>
    </row>
    <row r="5" spans="1:16" ht="13" x14ac:dyDescent="0.25">
      <c r="A5" s="337" t="s">
        <v>581</v>
      </c>
      <c r="B5" s="894" t="s">
        <v>613</v>
      </c>
      <c r="C5" s="895"/>
      <c r="D5" s="895"/>
      <c r="E5" s="895"/>
      <c r="F5" s="895"/>
      <c r="G5" s="895"/>
      <c r="H5" s="315"/>
      <c r="I5" s="506"/>
      <c r="J5" s="506"/>
      <c r="K5" s="506"/>
      <c r="L5" s="506"/>
      <c r="M5" s="506"/>
      <c r="N5" s="506"/>
      <c r="O5" s="506"/>
      <c r="P5" s="506"/>
    </row>
    <row r="6" spans="1:16" ht="13" x14ac:dyDescent="0.25">
      <c r="A6" s="378" t="s">
        <v>582</v>
      </c>
      <c r="B6" s="415" t="s">
        <v>613</v>
      </c>
      <c r="C6" s="158"/>
      <c r="D6" s="199"/>
      <c r="E6" s="199"/>
      <c r="F6" s="336" t="s">
        <v>583</v>
      </c>
      <c r="G6" s="415" t="s">
        <v>613</v>
      </c>
      <c r="H6" s="315"/>
      <c r="I6" s="506"/>
      <c r="J6" s="506"/>
      <c r="K6" s="506"/>
      <c r="L6" s="506"/>
      <c r="M6" s="506"/>
      <c r="N6" s="506"/>
      <c r="O6" s="506"/>
      <c r="P6" s="506"/>
    </row>
    <row r="7" spans="1:16" ht="15.5" x14ac:dyDescent="0.25">
      <c r="A7" s="359" t="s">
        <v>584</v>
      </c>
      <c r="B7" s="896" t="s">
        <v>643</v>
      </c>
      <c r="C7" s="897"/>
      <c r="D7" s="897"/>
      <c r="E7" s="897"/>
      <c r="F7" s="897"/>
      <c r="G7" s="897"/>
      <c r="H7" s="315"/>
      <c r="I7" s="315"/>
      <c r="J7" s="506"/>
      <c r="K7" s="506"/>
      <c r="L7" s="506"/>
      <c r="M7" s="506"/>
      <c r="N7" s="506"/>
      <c r="O7" s="506"/>
      <c r="P7" s="506"/>
    </row>
    <row r="8" spans="1:16" ht="13" x14ac:dyDescent="0.25">
      <c r="A8" s="378"/>
      <c r="B8" s="199"/>
      <c r="C8" s="240" t="s">
        <v>586</v>
      </c>
      <c r="D8" s="199"/>
      <c r="E8" s="240" t="s">
        <v>587</v>
      </c>
      <c r="F8" s="378" t="s">
        <v>588</v>
      </c>
      <c r="G8" s="199"/>
      <c r="H8" s="315"/>
      <c r="I8" s="506"/>
      <c r="J8" s="263" t="s">
        <v>644</v>
      </c>
      <c r="K8" s="263" t="s">
        <v>645</v>
      </c>
      <c r="L8" s="263" t="s">
        <v>646</v>
      </c>
      <c r="M8" s="263" t="s">
        <v>647</v>
      </c>
      <c r="N8" s="506"/>
      <c r="O8" s="506"/>
      <c r="P8" s="506"/>
    </row>
    <row r="9" spans="1:16" ht="13" x14ac:dyDescent="0.25">
      <c r="A9" s="199"/>
      <c r="B9" s="199" t="s">
        <v>648</v>
      </c>
      <c r="C9" s="158" t="s">
        <v>17</v>
      </c>
      <c r="D9" s="199"/>
      <c r="E9" s="561">
        <v>100</v>
      </c>
      <c r="F9" s="385">
        <v>2</v>
      </c>
      <c r="G9" s="199" t="s">
        <v>649</v>
      </c>
      <c r="H9" s="315"/>
      <c r="I9" s="506"/>
      <c r="J9" s="506">
        <v>0.05</v>
      </c>
      <c r="K9" s="506">
        <f>2+1+2</f>
        <v>5</v>
      </c>
      <c r="L9" s="263">
        <v>0.12</v>
      </c>
      <c r="M9" s="528">
        <f>+J9*K9*L9</f>
        <v>0.03</v>
      </c>
      <c r="N9" s="506"/>
      <c r="O9" s="506"/>
      <c r="P9" s="506"/>
    </row>
    <row r="10" spans="1:16" ht="13" x14ac:dyDescent="0.25">
      <c r="A10" s="378" t="s">
        <v>590</v>
      </c>
      <c r="B10" s="199"/>
      <c r="C10" s="158"/>
      <c r="D10" s="199"/>
      <c r="E10" s="199"/>
      <c r="F10" s="199"/>
      <c r="G10" s="199"/>
      <c r="H10" s="315"/>
      <c r="I10" s="506"/>
      <c r="J10" s="506"/>
      <c r="K10" s="506"/>
      <c r="L10" s="506"/>
      <c r="M10" s="506"/>
      <c r="N10" s="506"/>
      <c r="O10" s="506"/>
      <c r="P10" s="506"/>
    </row>
    <row r="11" spans="1:16" ht="13" x14ac:dyDescent="0.25">
      <c r="A11" s="435" t="s">
        <v>79</v>
      </c>
      <c r="B11" s="261" t="s">
        <v>591</v>
      </c>
      <c r="C11" s="261" t="s">
        <v>592</v>
      </c>
      <c r="D11" s="261" t="s">
        <v>593</v>
      </c>
      <c r="E11" s="261" t="s">
        <v>594</v>
      </c>
      <c r="F11" s="261" t="s">
        <v>595</v>
      </c>
      <c r="G11" s="261" t="s">
        <v>596</v>
      </c>
      <c r="H11" s="399" t="s">
        <v>597</v>
      </c>
      <c r="I11" s="322"/>
      <c r="J11" s="322"/>
      <c r="K11" s="322"/>
      <c r="L11" s="322"/>
      <c r="M11" s="322"/>
      <c r="N11" s="322"/>
      <c r="O11" s="506"/>
      <c r="P11" s="506"/>
    </row>
    <row r="12" spans="1:16" ht="14.4" customHeight="1" x14ac:dyDescent="0.25">
      <c r="A12" s="264" t="s">
        <v>362</v>
      </c>
      <c r="B12" s="418" t="s">
        <v>363</v>
      </c>
      <c r="C12" s="264" t="s">
        <v>59</v>
      </c>
      <c r="D12" s="526">
        <f>+P16</f>
        <v>3.5999999999999997E-2</v>
      </c>
      <c r="E12" s="429">
        <f>VLOOKUP(B12,Materiales!$B$8:$D$118,3,FALSE)</f>
        <v>32399.77</v>
      </c>
      <c r="F12" s="429">
        <v>10</v>
      </c>
      <c r="G12" s="246">
        <f>+D12*E12*((F12+100)/100)</f>
        <v>1283.030892</v>
      </c>
      <c r="H12" s="465">
        <f>+D12*$E$9</f>
        <v>3.5999999999999996</v>
      </c>
      <c r="I12" s="506"/>
      <c r="J12" s="506"/>
      <c r="K12" s="506"/>
      <c r="L12" s="506"/>
      <c r="M12" s="506"/>
      <c r="N12" s="506"/>
      <c r="O12" s="506"/>
      <c r="P12" s="506"/>
    </row>
    <row r="13" spans="1:16" ht="13" x14ac:dyDescent="0.25">
      <c r="A13" s="265" t="s">
        <v>368</v>
      </c>
      <c r="B13" s="420" t="s">
        <v>369</v>
      </c>
      <c r="C13" s="265" t="s">
        <v>374</v>
      </c>
      <c r="D13" s="527">
        <f>+P15</f>
        <v>0.32400000000000001</v>
      </c>
      <c r="E13" s="432">
        <f>VLOOKUP(B13,Materiales!$B$8:$D$118,3,FALSE)</f>
        <v>7809.48</v>
      </c>
      <c r="F13" s="432">
        <v>10</v>
      </c>
      <c r="G13" s="248">
        <f>+D13*E13*((F13+100)/100)</f>
        <v>2783.2986719999999</v>
      </c>
      <c r="H13" s="469">
        <f t="shared" ref="H13" si="0">+D13*$E$9</f>
        <v>32.4</v>
      </c>
      <c r="I13" s="506"/>
      <c r="J13" s="506"/>
      <c r="K13" s="506"/>
      <c r="L13" s="529"/>
      <c r="M13" s="506"/>
      <c r="N13" s="506"/>
      <c r="O13" s="506" t="s">
        <v>650</v>
      </c>
      <c r="P13" s="506" t="s">
        <v>651</v>
      </c>
    </row>
    <row r="14" spans="1:16" ht="13" x14ac:dyDescent="0.25">
      <c r="A14" s="199"/>
      <c r="B14" s="199"/>
      <c r="C14" s="158"/>
      <c r="D14" s="385"/>
      <c r="E14" s="530"/>
      <c r="F14" s="336" t="s">
        <v>598</v>
      </c>
      <c r="G14" s="531">
        <f>SUM(G12:G13)</f>
        <v>4066.3295639999997</v>
      </c>
      <c r="H14" s="315"/>
      <c r="I14" s="506"/>
      <c r="J14" s="506"/>
      <c r="K14" s="506"/>
      <c r="L14" s="506"/>
      <c r="M14" s="506" t="s">
        <v>652</v>
      </c>
      <c r="N14" s="263" t="s">
        <v>653</v>
      </c>
      <c r="O14" s="529">
        <v>0.02</v>
      </c>
      <c r="P14" s="529">
        <f>+M9</f>
        <v>0.03</v>
      </c>
    </row>
    <row r="15" spans="1:16" ht="13" x14ac:dyDescent="0.25">
      <c r="A15" s="199"/>
      <c r="B15" s="199"/>
      <c r="C15" s="158"/>
      <c r="D15" s="199"/>
      <c r="E15" s="532"/>
      <c r="F15" s="441" t="s">
        <v>9</v>
      </c>
      <c r="G15" s="533">
        <f>+G14</f>
        <v>4066.3295639999997</v>
      </c>
      <c r="H15" s="315"/>
      <c r="I15" s="506"/>
      <c r="J15" s="506"/>
      <c r="K15" s="506"/>
      <c r="L15" s="506" t="s">
        <v>654</v>
      </c>
      <c r="M15" s="529">
        <v>10.8</v>
      </c>
      <c r="N15" s="506">
        <v>50</v>
      </c>
      <c r="O15" s="529">
        <f>+M15/N15</f>
        <v>0.21600000000000003</v>
      </c>
      <c r="P15" s="529">
        <f>+O15*P14/O14</f>
        <v>0.32400000000000001</v>
      </c>
    </row>
    <row r="16" spans="1:16" ht="13" x14ac:dyDescent="0.25">
      <c r="A16" s="378" t="s">
        <v>599</v>
      </c>
      <c r="B16" s="199"/>
      <c r="C16" s="158"/>
      <c r="D16" s="199"/>
      <c r="E16" s="199"/>
      <c r="F16" s="199"/>
      <c r="G16" s="199"/>
      <c r="H16" s="315"/>
      <c r="I16" s="506"/>
      <c r="J16" s="506"/>
      <c r="K16" s="506"/>
      <c r="L16" s="506" t="s">
        <v>655</v>
      </c>
      <c r="M16" s="529">
        <v>2.4E-2</v>
      </c>
      <c r="N16" s="506">
        <v>1</v>
      </c>
      <c r="O16" s="529">
        <f>+M16/N16</f>
        <v>2.4E-2</v>
      </c>
      <c r="P16" s="529">
        <f>+O16*P14/O14</f>
        <v>3.5999999999999997E-2</v>
      </c>
    </row>
    <row r="17" spans="1:8" ht="13" x14ac:dyDescent="0.25">
      <c r="A17" s="435" t="s">
        <v>79</v>
      </c>
      <c r="B17" s="261" t="s">
        <v>591</v>
      </c>
      <c r="C17" s="261" t="s">
        <v>592</v>
      </c>
      <c r="D17" s="261" t="s">
        <v>593</v>
      </c>
      <c r="E17" s="261" t="s">
        <v>600</v>
      </c>
      <c r="F17" s="417" t="s">
        <v>87</v>
      </c>
      <c r="G17" s="399" t="s">
        <v>596</v>
      </c>
      <c r="H17" s="534"/>
    </row>
    <row r="18" spans="1:8" ht="13" x14ac:dyDescent="0.25">
      <c r="A18" s="264" t="s">
        <v>93</v>
      </c>
      <c r="B18" s="418" t="s">
        <v>94</v>
      </c>
      <c r="C18" s="264" t="s">
        <v>352</v>
      </c>
      <c r="D18" s="526">
        <v>0.25</v>
      </c>
      <c r="E18" s="429">
        <f>VLOOKUP(B18,'Rend. Equipos'!$B$7:$E$222,4,FALSE)</f>
        <v>2470106.6047045495</v>
      </c>
      <c r="F18" s="464">
        <f>VLOOKUP(B18,'Rend. Equipos'!$B$6:$L$166,MATCH($F$17,'Rend. Equipos'!$B$6:$L$6,0),0)</f>
        <v>9.2592592592592596E-4</v>
      </c>
      <c r="G18" s="465">
        <f>+E18*D18*F18</f>
        <v>571.78393627420132</v>
      </c>
      <c r="H18" s="315"/>
    </row>
    <row r="19" spans="1:8" ht="26" x14ac:dyDescent="0.25">
      <c r="A19" s="265" t="s">
        <v>163</v>
      </c>
      <c r="B19" s="463" t="s">
        <v>164</v>
      </c>
      <c r="C19" s="265" t="s">
        <v>17</v>
      </c>
      <c r="D19" s="527">
        <v>0.25</v>
      </c>
      <c r="E19" s="432">
        <f>VLOOKUP(B19,'Rend. Equipos'!$B$7:$E$222,4,FALSE)</f>
        <v>689222.30122796178</v>
      </c>
      <c r="F19" s="468">
        <f>VLOOKUP(B19,'Rend. Equipos'!$B$6:$L$166,MATCH($F$17,'Rend. Equipos'!$B$6:$L$6,0),0)</f>
        <v>1.3888888888888889E-3</v>
      </c>
      <c r="G19" s="469">
        <f t="shared" ref="G19" si="1">+E19*D19*F19</f>
        <v>239.31329903748673</v>
      </c>
      <c r="H19" s="315"/>
    </row>
    <row r="20" spans="1:8" ht="13" x14ac:dyDescent="0.25">
      <c r="A20" s="505"/>
      <c r="B20" s="505"/>
      <c r="C20" s="262"/>
      <c r="D20" s="535"/>
      <c r="E20" s="536"/>
      <c r="F20" s="440" t="s">
        <v>602</v>
      </c>
      <c r="G20" s="537">
        <f>SUM(G18:G19)</f>
        <v>811.09723531168811</v>
      </c>
      <c r="H20" s="315"/>
    </row>
    <row r="21" spans="1:8" ht="13" x14ac:dyDescent="0.25">
      <c r="A21" s="199"/>
      <c r="B21" s="199"/>
      <c r="C21" s="158"/>
      <c r="D21" s="538"/>
      <c r="E21" s="532"/>
      <c r="F21" s="441" t="s">
        <v>11</v>
      </c>
      <c r="G21" s="533">
        <f>+G20/F9</f>
        <v>405.54861765584405</v>
      </c>
      <c r="H21" s="315"/>
    </row>
    <row r="22" spans="1:8" ht="13" x14ac:dyDescent="0.25">
      <c r="A22" s="378" t="s">
        <v>603</v>
      </c>
      <c r="B22" s="199"/>
      <c r="C22" s="158"/>
      <c r="D22" s="538"/>
      <c r="E22" s="199"/>
      <c r="F22" s="199"/>
      <c r="G22" s="199"/>
      <c r="H22" s="315"/>
    </row>
    <row r="23" spans="1:8" ht="13" x14ac:dyDescent="0.25">
      <c r="A23" s="435" t="s">
        <v>79</v>
      </c>
      <c r="B23" s="261" t="s">
        <v>591</v>
      </c>
      <c r="C23" s="261" t="s">
        <v>592</v>
      </c>
      <c r="D23" s="261" t="s">
        <v>593</v>
      </c>
      <c r="E23" s="261" t="s">
        <v>604</v>
      </c>
      <c r="F23" s="261"/>
      <c r="G23" s="399" t="s">
        <v>596</v>
      </c>
      <c r="H23" s="534"/>
    </row>
    <row r="24" spans="1:8" ht="13" x14ac:dyDescent="0.25">
      <c r="A24" s="608" t="s">
        <v>228</v>
      </c>
      <c r="B24" s="161" t="s">
        <v>230</v>
      </c>
      <c r="C24" s="264" t="s">
        <v>605</v>
      </c>
      <c r="D24" s="470">
        <v>0.75</v>
      </c>
      <c r="E24" s="429">
        <f>VLOOKUP(B24,'Mano de Obra'!$B$8:$C$100,2,FALSE)</f>
        <v>60860.580776571966</v>
      </c>
      <c r="F24" s="429"/>
      <c r="G24" s="465">
        <f>+E24*D24</f>
        <v>45645.435582428974</v>
      </c>
      <c r="H24" s="315"/>
    </row>
    <row r="25" spans="1:8" ht="13" x14ac:dyDescent="0.25">
      <c r="A25" s="265" t="s">
        <v>255</v>
      </c>
      <c r="B25" s="432" t="s">
        <v>256</v>
      </c>
      <c r="C25" s="265" t="s">
        <v>605</v>
      </c>
      <c r="D25" s="471">
        <v>0.75</v>
      </c>
      <c r="E25" s="432">
        <f>VLOOKUP(B25,'Mano de Obra'!$B$8:$C$100,2,FALSE)</f>
        <v>85927.097156571981</v>
      </c>
      <c r="F25" s="432"/>
      <c r="G25" s="469">
        <f>+E25*D25</f>
        <v>64445.322867428986</v>
      </c>
      <c r="H25" s="315"/>
    </row>
    <row r="26" spans="1:8" ht="13" x14ac:dyDescent="0.25">
      <c r="A26" s="505"/>
      <c r="B26" s="505"/>
      <c r="C26" s="262"/>
      <c r="D26" s="505"/>
      <c r="E26" s="536"/>
      <c r="F26" s="440" t="s">
        <v>606</v>
      </c>
      <c r="G26" s="537">
        <f>SUM(G24:G25)</f>
        <v>110090.75844985797</v>
      </c>
      <c r="H26" s="315"/>
    </row>
    <row r="27" spans="1:8" ht="13" x14ac:dyDescent="0.25">
      <c r="A27" s="199"/>
      <c r="B27" s="199"/>
      <c r="C27" s="158"/>
      <c r="D27" s="538"/>
      <c r="E27" s="530"/>
      <c r="F27" s="336" t="s">
        <v>607</v>
      </c>
      <c r="G27" s="539">
        <v>1</v>
      </c>
      <c r="H27" s="315"/>
    </row>
    <row r="28" spans="1:8" ht="13" x14ac:dyDescent="0.25">
      <c r="A28" s="199"/>
      <c r="B28" s="199"/>
      <c r="C28" s="158"/>
      <c r="D28" s="538"/>
      <c r="E28" s="530"/>
      <c r="F28" s="336" t="s">
        <v>608</v>
      </c>
      <c r="G28" s="531">
        <f>+G27*G26</f>
        <v>110090.75844985797</v>
      </c>
      <c r="H28" s="315"/>
    </row>
    <row r="29" spans="1:8" ht="13" x14ac:dyDescent="0.25">
      <c r="A29" s="199"/>
      <c r="B29" s="199"/>
      <c r="C29" s="158"/>
      <c r="D29" s="538"/>
      <c r="E29" s="532"/>
      <c r="F29" s="441" t="s">
        <v>10</v>
      </c>
      <c r="G29" s="533">
        <f>+G28/F9</f>
        <v>55045.379224928984</v>
      </c>
      <c r="H29" s="315"/>
    </row>
    <row r="30" spans="1:8" ht="13" x14ac:dyDescent="0.25">
      <c r="A30" s="199"/>
      <c r="B30" s="199"/>
      <c r="C30" s="158"/>
      <c r="D30" s="199"/>
      <c r="H30" s="315"/>
    </row>
    <row r="31" spans="1:8" ht="13" x14ac:dyDescent="0.25">
      <c r="A31" s="199"/>
      <c r="B31" s="199"/>
      <c r="C31" s="158"/>
      <c r="D31" s="199"/>
      <c r="E31" s="199"/>
      <c r="F31" s="336" t="s">
        <v>609</v>
      </c>
      <c r="G31" s="336">
        <f>+G29+G21+G15</f>
        <v>59517.257406584824</v>
      </c>
      <c r="H31" s="315"/>
    </row>
    <row r="32" spans="1:8" ht="13" x14ac:dyDescent="0.25">
      <c r="A32" s="199"/>
      <c r="B32" s="199"/>
      <c r="C32" s="158"/>
      <c r="D32" s="199"/>
      <c r="E32" s="336" t="s">
        <v>610</v>
      </c>
      <c r="F32" s="540">
        <f>+RESUMEN!$I$2</f>
        <v>0</v>
      </c>
      <c r="G32" s="379">
        <f>IF(F32=0,0,F32*G31)</f>
        <v>0</v>
      </c>
      <c r="H32" s="541"/>
    </row>
    <row r="33" spans="1:7" ht="13" x14ac:dyDescent="0.25">
      <c r="A33" s="199"/>
      <c r="B33" s="199"/>
      <c r="C33" s="158"/>
      <c r="D33" s="199"/>
      <c r="E33" s="336" t="s">
        <v>611</v>
      </c>
      <c r="F33" s="540">
        <f>+RESUMEN!$I$3</f>
        <v>0</v>
      </c>
      <c r="G33" s="379">
        <f>IF(F33=0,0,F33*G31)</f>
        <v>0</v>
      </c>
    </row>
    <row r="34" spans="1:7" ht="13" x14ac:dyDescent="0.25">
      <c r="A34" s="199"/>
      <c r="B34" s="199"/>
      <c r="C34" s="158"/>
      <c r="D34" s="199"/>
      <c r="E34" s="542"/>
      <c r="F34" s="543" t="s">
        <v>612</v>
      </c>
      <c r="G34" s="544">
        <f>SUM(G31:G33)</f>
        <v>59517.257406584824</v>
      </c>
    </row>
    <row r="35" spans="1:7" ht="13" x14ac:dyDescent="0.25">
      <c r="A35" s="199"/>
      <c r="B35" s="199"/>
      <c r="C35" s="158"/>
      <c r="D35" s="199"/>
      <c r="E35" s="199"/>
      <c r="F35" s="199"/>
      <c r="G35" s="199"/>
    </row>
    <row r="36" spans="1:7" ht="13" x14ac:dyDescent="0.25">
      <c r="A36" s="875"/>
      <c r="B36" s="870"/>
      <c r="C36" s="158"/>
      <c r="D36" s="199"/>
      <c r="E36" s="199"/>
      <c r="F36" s="199"/>
      <c r="G36" s="199"/>
    </row>
    <row r="37" spans="1:7" ht="13" x14ac:dyDescent="0.25">
      <c r="A37" s="875"/>
      <c r="B37" s="870"/>
      <c r="C37" s="158"/>
      <c r="D37" s="199"/>
      <c r="E37" s="199"/>
      <c r="F37" s="199"/>
      <c r="G37" s="199"/>
    </row>
  </sheetData>
  <mergeCells count="5">
    <mergeCell ref="A1:G1"/>
    <mergeCell ref="B5:G5"/>
    <mergeCell ref="B7:G7"/>
    <mergeCell ref="A36:B36"/>
    <mergeCell ref="A37:B3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1:U37"/>
  <sheetViews>
    <sheetView workbookViewId="0">
      <selection sqref="A1:G1"/>
    </sheetView>
  </sheetViews>
  <sheetFormatPr defaultColWidth="11.453125" defaultRowHeight="12.5" x14ac:dyDescent="0.25"/>
  <cols>
    <col min="1" max="1" width="9.90625" customWidth="1"/>
    <col min="2" max="2" width="35.6328125" style="201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10.90625" bestFit="1" customWidth="1"/>
    <col min="11" max="11" width="5" bestFit="1" customWidth="1"/>
    <col min="12" max="13" width="4.36328125" bestFit="1" customWidth="1"/>
    <col min="14" max="14" width="5" bestFit="1" customWidth="1"/>
    <col min="15" max="15" width="4.36328125" bestFit="1" customWidth="1"/>
    <col min="16" max="16" width="5.08984375" bestFit="1" customWidth="1"/>
  </cols>
  <sheetData>
    <row r="1" spans="1:21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3" x14ac:dyDescent="0.25">
      <c r="A2" s="162"/>
      <c r="B2" s="315"/>
      <c r="C2" s="162"/>
      <c r="D2" s="162"/>
      <c r="E2" s="162"/>
      <c r="F2" s="240" t="s">
        <v>78</v>
      </c>
      <c r="G2" s="510" t="s">
        <v>613</v>
      </c>
      <c r="H2" s="16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5" x14ac:dyDescent="0.35">
      <c r="A3" s="165" t="s">
        <v>579</v>
      </c>
      <c r="B3" s="383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3" x14ac:dyDescent="0.3">
      <c r="A4" s="122"/>
      <c r="B4" s="199"/>
      <c r="C4" s="122"/>
      <c r="D4" s="122"/>
      <c r="E4" s="122"/>
      <c r="F4" s="123" t="s">
        <v>580</v>
      </c>
      <c r="G4" s="126">
        <v>40</v>
      </c>
      <c r="H4" s="16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3" x14ac:dyDescent="0.25">
      <c r="A5" s="127" t="s">
        <v>581</v>
      </c>
      <c r="B5" s="562" t="s">
        <v>613</v>
      </c>
      <c r="C5" s="563"/>
      <c r="D5" s="563"/>
      <c r="E5" s="563"/>
      <c r="F5" s="563"/>
      <c r="G5" s="563"/>
      <c r="H5" s="16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3" x14ac:dyDescent="0.3">
      <c r="A6" s="128" t="s">
        <v>582</v>
      </c>
      <c r="B6" s="510" t="s">
        <v>613</v>
      </c>
      <c r="C6" s="122"/>
      <c r="D6" s="122"/>
      <c r="E6" s="122"/>
      <c r="F6" s="123" t="s">
        <v>583</v>
      </c>
      <c r="G6" s="510" t="s">
        <v>613</v>
      </c>
      <c r="H6" s="16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5" x14ac:dyDescent="0.25">
      <c r="A7" s="197" t="s">
        <v>584</v>
      </c>
      <c r="B7" s="873" t="s">
        <v>656</v>
      </c>
      <c r="C7" s="874"/>
      <c r="D7" s="874"/>
      <c r="E7" s="874"/>
      <c r="F7" s="874"/>
      <c r="G7" s="874"/>
      <c r="H7" s="162"/>
      <c r="I7" s="162"/>
      <c r="J7" s="1"/>
      <c r="K7" s="263" t="s">
        <v>657</v>
      </c>
      <c r="L7" s="263" t="s">
        <v>658</v>
      </c>
      <c r="M7" s="263" t="s">
        <v>45</v>
      </c>
      <c r="N7" s="263" t="s">
        <v>659</v>
      </c>
      <c r="O7" s="263" t="s">
        <v>660</v>
      </c>
      <c r="P7" s="263" t="s">
        <v>59</v>
      </c>
      <c r="Q7" s="1"/>
      <c r="R7" s="1" t="s">
        <v>661</v>
      </c>
      <c r="S7" s="1"/>
      <c r="T7" s="1"/>
      <c r="U7" s="1"/>
    </row>
    <row r="8" spans="1:21" ht="13" x14ac:dyDescent="0.3">
      <c r="A8" s="128"/>
      <c r="B8" s="199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1" t="s">
        <v>662</v>
      </c>
      <c r="K8" s="300">
        <v>2.4</v>
      </c>
      <c r="L8" s="300">
        <v>2.2999999999999998</v>
      </c>
      <c r="M8" s="300">
        <f>+K8*L8</f>
        <v>5.52</v>
      </c>
      <c r="N8" s="300">
        <v>0.05</v>
      </c>
      <c r="O8" s="300">
        <v>0.05</v>
      </c>
      <c r="P8" s="300">
        <f>+((K8*2)+(L8*2))*N8*O8</f>
        <v>2.35E-2</v>
      </c>
      <c r="Q8" s="1"/>
      <c r="R8" s="1">
        <f>+K8*2+L8*2</f>
        <v>9.3999999999999986</v>
      </c>
      <c r="S8" s="1"/>
      <c r="T8" s="1"/>
      <c r="U8" s="1"/>
    </row>
    <row r="9" spans="1:21" ht="13" x14ac:dyDescent="0.3">
      <c r="A9" s="122"/>
      <c r="B9" s="199" t="s">
        <v>663</v>
      </c>
      <c r="C9" s="132" t="s">
        <v>17</v>
      </c>
      <c r="D9" s="122"/>
      <c r="E9" s="564">
        <v>100</v>
      </c>
      <c r="F9" s="185">
        <v>4</v>
      </c>
      <c r="G9" s="122" t="s">
        <v>649</v>
      </c>
      <c r="H9" s="162"/>
      <c r="I9" s="1"/>
      <c r="J9" s="1" t="s">
        <v>664</v>
      </c>
      <c r="K9" s="300">
        <v>1.6</v>
      </c>
      <c r="L9" s="300">
        <v>1.2</v>
      </c>
      <c r="M9" s="300">
        <f>+K9*L9</f>
        <v>1.92</v>
      </c>
      <c r="N9" s="300">
        <v>0.05</v>
      </c>
      <c r="O9" s="300">
        <v>0.05</v>
      </c>
      <c r="P9" s="300">
        <f>+((K9*2)+(L9*2))*N9*O9</f>
        <v>1.3999999999999999E-2</v>
      </c>
      <c r="Q9" s="1"/>
      <c r="R9" s="1">
        <f>+K9*2+L9*2</f>
        <v>5.6</v>
      </c>
      <c r="S9" s="1"/>
      <c r="T9" s="1"/>
      <c r="U9" s="1"/>
    </row>
    <row r="10" spans="1:21" ht="13" x14ac:dyDescent="0.3">
      <c r="A10" s="128" t="s">
        <v>590</v>
      </c>
      <c r="B10" s="199"/>
      <c r="C10" s="122"/>
      <c r="D10" s="122"/>
      <c r="E10" s="122"/>
      <c r="F10" s="122"/>
      <c r="G10" s="122"/>
      <c r="H10" s="162"/>
      <c r="I10" s="1"/>
      <c r="J10" s="1" t="s">
        <v>665</v>
      </c>
      <c r="K10" s="300">
        <v>0.6</v>
      </c>
      <c r="L10" s="300">
        <v>1.2</v>
      </c>
      <c r="M10" s="300">
        <f>+K10*L10</f>
        <v>0.72</v>
      </c>
      <c r="N10" s="300">
        <v>0.05</v>
      </c>
      <c r="O10" s="300">
        <v>0.05</v>
      </c>
      <c r="P10" s="300">
        <f>+((K10*2)+(L10*2))*N10*O10</f>
        <v>8.9999999999999993E-3</v>
      </c>
      <c r="Q10" s="1"/>
      <c r="R10" s="1">
        <f>+K10*2+L10*2</f>
        <v>3.5999999999999996</v>
      </c>
      <c r="S10" s="1"/>
      <c r="T10" s="1"/>
      <c r="U10" s="1"/>
    </row>
    <row r="11" spans="1:21" ht="13" x14ac:dyDescent="0.3">
      <c r="A11" s="133" t="s">
        <v>79</v>
      </c>
      <c r="B11" s="261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399" t="s">
        <v>597</v>
      </c>
      <c r="I11" s="3"/>
      <c r="J11" s="1" t="s">
        <v>666</v>
      </c>
      <c r="K11" s="545">
        <v>1</v>
      </c>
      <c r="L11" s="300">
        <v>1.2</v>
      </c>
      <c r="M11" s="300">
        <f>+K11*L11</f>
        <v>1.2</v>
      </c>
      <c r="N11" s="300">
        <v>0.05</v>
      </c>
      <c r="O11" s="300">
        <v>0.05</v>
      </c>
      <c r="P11" s="300">
        <f>+((K11*2)+(L11*2))*N11*O11</f>
        <v>1.1000000000000003E-2</v>
      </c>
      <c r="Q11" s="1"/>
      <c r="R11" s="1">
        <f>+K11*2+L11*2</f>
        <v>4.4000000000000004</v>
      </c>
      <c r="S11" s="1"/>
      <c r="T11" s="1"/>
      <c r="U11" s="1"/>
    </row>
    <row r="12" spans="1:21" ht="13" x14ac:dyDescent="0.3">
      <c r="A12" s="264" t="s">
        <v>362</v>
      </c>
      <c r="B12" s="429" t="s">
        <v>363</v>
      </c>
      <c r="C12" s="264" t="s">
        <v>59</v>
      </c>
      <c r="D12" s="372">
        <f>+U17</f>
        <v>1.38E-2</v>
      </c>
      <c r="E12" s="175">
        <f>VLOOKUP(B12,Materiales!$B$8:$D$118,3,FALSE)</f>
        <v>32399.77</v>
      </c>
      <c r="F12" s="175">
        <v>5</v>
      </c>
      <c r="G12" s="246">
        <f>+D12*E12*((F12+100)/100)</f>
        <v>469.47266730000001</v>
      </c>
      <c r="H12" s="465">
        <f>+D12*$E$9</f>
        <v>1.38</v>
      </c>
      <c r="I12" s="1"/>
      <c r="J12" s="1"/>
      <c r="K12" s="1"/>
      <c r="L12" s="1"/>
      <c r="M12" s="1">
        <f>AVERAGE(M8:M11,0)</f>
        <v>1.8719999999999999</v>
      </c>
      <c r="N12" s="1"/>
      <c r="O12" s="1"/>
      <c r="P12" s="278">
        <f>AVERAGE(P8:P11,0)</f>
        <v>1.15E-2</v>
      </c>
      <c r="Q12" s="263" t="s">
        <v>647</v>
      </c>
      <c r="R12" s="1">
        <f>AVERAGE(R8:R11,0)</f>
        <v>4.5999999999999996</v>
      </c>
      <c r="S12" s="1"/>
      <c r="T12" s="1"/>
      <c r="U12" s="1"/>
    </row>
    <row r="13" spans="1:21" ht="13" x14ac:dyDescent="0.3">
      <c r="A13" s="265" t="s">
        <v>368</v>
      </c>
      <c r="B13" s="432" t="s">
        <v>369</v>
      </c>
      <c r="C13" s="265" t="s">
        <v>374</v>
      </c>
      <c r="D13" s="373">
        <f>+U16</f>
        <v>0.1242</v>
      </c>
      <c r="E13" s="180">
        <f>VLOOKUP(B13,Materiales!$B$8:$D$118,3,FALSE)</f>
        <v>7809.48</v>
      </c>
      <c r="F13" s="180">
        <v>5</v>
      </c>
      <c r="G13" s="248">
        <f>+D13*E13*((F13+100)/100)</f>
        <v>1018.4342868</v>
      </c>
      <c r="H13" s="469">
        <f t="shared" ref="H13" si="0">+D13*$E$9</f>
        <v>12.42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3" x14ac:dyDescent="0.3">
      <c r="A14" s="139"/>
      <c r="B14" s="505"/>
      <c r="C14" s="139"/>
      <c r="D14" s="188"/>
      <c r="E14" s="140"/>
      <c r="F14" s="141" t="s">
        <v>598</v>
      </c>
      <c r="G14" s="391">
        <f>SUM(G12:G13)</f>
        <v>1487.9069540999999</v>
      </c>
      <c r="H14" s="162"/>
      <c r="I14" s="1"/>
      <c r="J14" s="1"/>
      <c r="K14" s="1"/>
      <c r="L14" s="1"/>
      <c r="M14" s="1"/>
      <c r="N14" s="1"/>
      <c r="O14" s="1"/>
      <c r="P14" s="1"/>
      <c r="Q14" s="529"/>
      <c r="R14" s="506"/>
      <c r="S14" s="506"/>
      <c r="T14" s="506" t="s">
        <v>650</v>
      </c>
      <c r="U14" s="506" t="s">
        <v>651</v>
      </c>
    </row>
    <row r="15" spans="1:21" ht="13" x14ac:dyDescent="0.3">
      <c r="A15" s="122"/>
      <c r="B15" s="199"/>
      <c r="C15" s="122"/>
      <c r="D15" s="122"/>
      <c r="E15" s="143"/>
      <c r="F15" s="144" t="s">
        <v>9</v>
      </c>
      <c r="G15" s="156">
        <f>+G14</f>
        <v>1487.9069540999999</v>
      </c>
      <c r="H15" s="162"/>
      <c r="I15" s="1"/>
      <c r="J15" s="1"/>
      <c r="K15" s="1"/>
      <c r="L15" s="1"/>
      <c r="M15" s="1"/>
      <c r="N15" s="1"/>
      <c r="O15" s="1"/>
      <c r="P15" s="1"/>
      <c r="Q15" s="506"/>
      <c r="R15" s="506" t="s">
        <v>652</v>
      </c>
      <c r="S15" s="263" t="s">
        <v>653</v>
      </c>
      <c r="T15" s="529">
        <v>0.02</v>
      </c>
      <c r="U15" s="529">
        <f>+P12</f>
        <v>1.15E-2</v>
      </c>
    </row>
    <row r="16" spans="1:21" ht="13" x14ac:dyDescent="0.3">
      <c r="A16" s="128" t="s">
        <v>599</v>
      </c>
      <c r="B16" s="199"/>
      <c r="C16" s="122"/>
      <c r="D16" s="122"/>
      <c r="E16" s="122"/>
      <c r="F16" s="122"/>
      <c r="G16" s="122"/>
      <c r="H16" s="162"/>
      <c r="I16" s="1"/>
      <c r="J16" s="263"/>
      <c r="K16" s="263"/>
      <c r="L16" s="263"/>
      <c r="M16" s="263"/>
      <c r="N16" s="506"/>
      <c r="O16" s="506"/>
      <c r="P16" s="506"/>
      <c r="Q16" s="506" t="s">
        <v>654</v>
      </c>
      <c r="R16" s="529">
        <v>10.8</v>
      </c>
      <c r="S16" s="506">
        <v>50</v>
      </c>
      <c r="T16" s="529">
        <f>+R16/S16</f>
        <v>0.21600000000000003</v>
      </c>
      <c r="U16" s="529">
        <f>+T16*U15/T15</f>
        <v>0.1242</v>
      </c>
    </row>
    <row r="17" spans="1:21" ht="13" x14ac:dyDescent="0.3">
      <c r="A17" s="435" t="s">
        <v>79</v>
      </c>
      <c r="B17" s="261" t="s">
        <v>591</v>
      </c>
      <c r="C17" s="134" t="s">
        <v>592</v>
      </c>
      <c r="D17" s="134" t="s">
        <v>593</v>
      </c>
      <c r="E17" s="134" t="s">
        <v>600</v>
      </c>
      <c r="F17" s="417" t="s">
        <v>87</v>
      </c>
      <c r="G17" s="135" t="s">
        <v>596</v>
      </c>
      <c r="H17" s="167"/>
      <c r="I17" s="3"/>
      <c r="J17" s="506"/>
      <c r="K17" s="506"/>
      <c r="L17" s="263"/>
      <c r="M17" s="528"/>
      <c r="N17" s="506"/>
      <c r="O17" s="506"/>
      <c r="P17" s="506"/>
      <c r="Q17" s="506" t="s">
        <v>655</v>
      </c>
      <c r="R17" s="529">
        <v>2.4E-2</v>
      </c>
      <c r="S17" s="506">
        <v>1</v>
      </c>
      <c r="T17" s="529">
        <f>+R17/S17</f>
        <v>2.4E-2</v>
      </c>
      <c r="U17" s="529">
        <f>+T17*U15/T15</f>
        <v>1.38E-2</v>
      </c>
    </row>
    <row r="18" spans="1:21" ht="13" x14ac:dyDescent="0.3">
      <c r="A18" s="264" t="s">
        <v>93</v>
      </c>
      <c r="B18" s="418" t="s">
        <v>94</v>
      </c>
      <c r="C18" s="264" t="s">
        <v>352</v>
      </c>
      <c r="D18" s="458">
        <v>0.25</v>
      </c>
      <c r="E18" s="175">
        <f>VLOOKUP(B18,'Rend. Equipos'!$B$7:$E$222,4,FALSE)</f>
        <v>2470106.6047045495</v>
      </c>
      <c r="F18" s="464">
        <f>VLOOKUP(B18,'Rend. Equipos'!$B$6:$L$166,MATCH($F$17,'Rend. Equipos'!$B$6:$L$6,0),0)</f>
        <v>9.2592592592592596E-4</v>
      </c>
      <c r="G18" s="176">
        <f>+E18*D18*F18</f>
        <v>571.78393627420132</v>
      </c>
      <c r="H18" s="162"/>
      <c r="I18" s="1"/>
      <c r="J18" s="506"/>
      <c r="K18" s="506"/>
      <c r="L18" s="506"/>
      <c r="M18" s="506"/>
      <c r="N18" s="506"/>
      <c r="O18" s="506"/>
      <c r="P18" s="506"/>
      <c r="Q18" s="1"/>
      <c r="R18" s="1"/>
      <c r="S18" s="1"/>
      <c r="T18" s="1"/>
      <c r="U18" s="1"/>
    </row>
    <row r="19" spans="1:21" ht="26" x14ac:dyDescent="0.25">
      <c r="A19" s="265" t="s">
        <v>163</v>
      </c>
      <c r="B19" s="463" t="s">
        <v>164</v>
      </c>
      <c r="C19" s="265" t="s">
        <v>17</v>
      </c>
      <c r="D19" s="527">
        <v>0.25</v>
      </c>
      <c r="E19" s="432">
        <f>VLOOKUP(B19,'Rend. Equipos'!$B$7:$E$222,4,FALSE)</f>
        <v>689222.30122796178</v>
      </c>
      <c r="F19" s="468">
        <f>VLOOKUP(B19,'Rend. Equipos'!$B$6:$L$166,MATCH($F$17,'Rend. Equipos'!$B$6:$L$6,0),0)</f>
        <v>1.3888888888888889E-3</v>
      </c>
      <c r="G19" s="469">
        <f>+E19*D19*F19</f>
        <v>239.31329903748673</v>
      </c>
      <c r="H19" s="162"/>
      <c r="I19" s="1"/>
      <c r="J19" s="506"/>
      <c r="K19" s="506"/>
      <c r="L19" s="506"/>
      <c r="M19" s="506"/>
      <c r="N19" s="506"/>
      <c r="O19" s="506"/>
      <c r="P19" s="506"/>
      <c r="Q19" s="1"/>
      <c r="R19" s="1"/>
      <c r="S19" s="1"/>
      <c r="T19" s="1"/>
      <c r="U19" s="1"/>
    </row>
    <row r="20" spans="1:21" ht="13" x14ac:dyDescent="0.3">
      <c r="A20" s="139"/>
      <c r="B20" s="505"/>
      <c r="C20" s="139"/>
      <c r="D20" s="192"/>
      <c r="E20" s="140"/>
      <c r="F20" s="141" t="s">
        <v>602</v>
      </c>
      <c r="G20" s="391">
        <f>SUM(G18:G19)</f>
        <v>811.09723531168811</v>
      </c>
      <c r="H20" s="162"/>
      <c r="I20" s="1"/>
      <c r="J20" s="322"/>
      <c r="K20" s="322"/>
      <c r="L20" s="322"/>
      <c r="M20" s="322"/>
      <c r="N20" s="322"/>
      <c r="O20" s="506"/>
      <c r="P20" s="506"/>
      <c r="Q20" s="1"/>
      <c r="R20" s="1"/>
      <c r="S20" s="1"/>
      <c r="T20" s="1"/>
      <c r="U20" s="1"/>
    </row>
    <row r="21" spans="1:21" ht="13" x14ac:dyDescent="0.3">
      <c r="A21" s="122"/>
      <c r="B21" s="199"/>
      <c r="C21" s="122"/>
      <c r="D21" s="193"/>
      <c r="E21" s="143"/>
      <c r="F21" s="144" t="s">
        <v>11</v>
      </c>
      <c r="G21" s="156">
        <f>+G20/F9</f>
        <v>202.77430882792203</v>
      </c>
      <c r="H21" s="162"/>
      <c r="I21" s="1"/>
      <c r="J21" s="506"/>
      <c r="K21" s="506"/>
      <c r="L21" s="506"/>
      <c r="M21" s="506"/>
      <c r="N21" s="506"/>
      <c r="O21" s="506"/>
      <c r="P21" s="506"/>
      <c r="Q21" s="1"/>
      <c r="R21" s="1"/>
      <c r="S21" s="1"/>
      <c r="T21" s="1"/>
      <c r="U21" s="1"/>
    </row>
    <row r="22" spans="1:21" ht="13" x14ac:dyDescent="0.3">
      <c r="A22" s="128" t="s">
        <v>603</v>
      </c>
      <c r="B22" s="199"/>
      <c r="C22" s="122"/>
      <c r="D22" s="193"/>
      <c r="E22" s="122"/>
      <c r="F22" s="122"/>
      <c r="G22" s="122"/>
      <c r="H22" s="162"/>
      <c r="I22" s="1"/>
      <c r="J22" s="506"/>
      <c r="K22" s="506"/>
      <c r="Q22" s="1"/>
      <c r="R22" s="1"/>
      <c r="S22" s="1"/>
      <c r="T22" s="1"/>
      <c r="U22" s="1"/>
    </row>
    <row r="23" spans="1:21" ht="13" x14ac:dyDescent="0.3">
      <c r="A23" s="435" t="s">
        <v>79</v>
      </c>
      <c r="B23" s="261" t="s">
        <v>591</v>
      </c>
      <c r="C23" s="134" t="s">
        <v>592</v>
      </c>
      <c r="D23" s="134" t="s">
        <v>593</v>
      </c>
      <c r="E23" s="134" t="s">
        <v>604</v>
      </c>
      <c r="F23" s="134"/>
      <c r="G23" s="135" t="s">
        <v>596</v>
      </c>
      <c r="H23" s="167"/>
      <c r="I23" s="3"/>
      <c r="J23" s="506"/>
      <c r="K23" s="506"/>
      <c r="Q23" s="1"/>
      <c r="R23" s="1"/>
      <c r="S23" s="1"/>
      <c r="T23" s="1"/>
      <c r="U23" s="1"/>
    </row>
    <row r="24" spans="1:21" ht="13" x14ac:dyDescent="0.3">
      <c r="A24" s="161" t="s">
        <v>228</v>
      </c>
      <c r="B24" s="26" t="s">
        <v>230</v>
      </c>
      <c r="C24" s="264" t="s">
        <v>605</v>
      </c>
      <c r="D24" s="266">
        <v>1</v>
      </c>
      <c r="E24" s="175">
        <f>VLOOKUP(B24,'Mano de Obra'!$B$8:$C$100,2,FALSE)</f>
        <v>60860.580776571966</v>
      </c>
      <c r="F24" s="175"/>
      <c r="G24" s="176">
        <f>+E24*D24</f>
        <v>60860.580776571966</v>
      </c>
      <c r="H24" s="162"/>
      <c r="I24" s="1"/>
      <c r="J24" s="506"/>
      <c r="K24" s="506"/>
      <c r="Q24" s="1"/>
      <c r="R24" s="1"/>
      <c r="S24" s="1"/>
      <c r="T24" s="1"/>
      <c r="U24" s="1"/>
    </row>
    <row r="25" spans="1:21" ht="13" x14ac:dyDescent="0.3">
      <c r="A25" s="265" t="s">
        <v>255</v>
      </c>
      <c r="B25" s="432" t="s">
        <v>256</v>
      </c>
      <c r="C25" s="265" t="s">
        <v>605</v>
      </c>
      <c r="D25" s="181">
        <v>1</v>
      </c>
      <c r="E25" s="180">
        <f>VLOOKUP(B25,'Mano de Obra'!$B$8:$C$100,2,FALSE)</f>
        <v>85927.097156571981</v>
      </c>
      <c r="F25" s="180"/>
      <c r="G25" s="182">
        <f>+E25*D25</f>
        <v>85927.097156571981</v>
      </c>
      <c r="H25" s="162"/>
      <c r="I25" s="1"/>
      <c r="J25" s="506"/>
      <c r="K25" s="506"/>
      <c r="Q25" s="1"/>
      <c r="R25" s="1"/>
      <c r="S25" s="1"/>
      <c r="T25" s="1"/>
      <c r="U25" s="1"/>
    </row>
    <row r="26" spans="1:21" ht="13" x14ac:dyDescent="0.3">
      <c r="A26" s="139"/>
      <c r="B26" s="505"/>
      <c r="C26" s="139"/>
      <c r="D26" s="139"/>
      <c r="E26" s="140"/>
      <c r="F26" s="141" t="s">
        <v>606</v>
      </c>
      <c r="G26" s="391">
        <f>SUM(G24:G25)</f>
        <v>146787.67793314395</v>
      </c>
      <c r="H26" s="16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3" x14ac:dyDescent="0.3">
      <c r="A27" s="122"/>
      <c r="B27" s="199"/>
      <c r="C27" s="122"/>
      <c r="D27" s="193"/>
      <c r="E27" s="360"/>
      <c r="F27" s="123" t="s">
        <v>607</v>
      </c>
      <c r="G27" s="349">
        <v>1</v>
      </c>
      <c r="H27" s="16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3" x14ac:dyDescent="0.3">
      <c r="A28" s="122"/>
      <c r="B28" s="199"/>
      <c r="C28" s="122"/>
      <c r="D28" s="193"/>
      <c r="E28" s="360"/>
      <c r="F28" s="123" t="s">
        <v>608</v>
      </c>
      <c r="G28" s="390">
        <f>+G27*G26</f>
        <v>146787.67793314395</v>
      </c>
      <c r="H28" s="16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3" x14ac:dyDescent="0.3">
      <c r="A29" s="122"/>
      <c r="B29" s="199"/>
      <c r="C29" s="122"/>
      <c r="D29" s="193"/>
      <c r="E29" s="143"/>
      <c r="F29" s="144" t="s">
        <v>10</v>
      </c>
      <c r="G29" s="156">
        <f>+G28/F9</f>
        <v>36696.919483285987</v>
      </c>
      <c r="H29" s="16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3" x14ac:dyDescent="0.3">
      <c r="A30" s="122"/>
      <c r="B30" s="199"/>
      <c r="C30" s="122"/>
      <c r="D30" s="122"/>
      <c r="H30" s="16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3" x14ac:dyDescent="0.3">
      <c r="A31" s="122"/>
      <c r="B31" s="199"/>
      <c r="C31" s="122"/>
      <c r="D31" s="122"/>
      <c r="E31" s="122"/>
      <c r="F31" s="123" t="s">
        <v>609</v>
      </c>
      <c r="G31" s="123">
        <f>+G29+G21+G15</f>
        <v>38387.60074621391</v>
      </c>
      <c r="H31" s="16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3" x14ac:dyDescent="0.3">
      <c r="A32" s="122"/>
      <c r="B32" s="199"/>
      <c r="C32" s="122"/>
      <c r="D32" s="122"/>
      <c r="E32" s="123" t="s">
        <v>610</v>
      </c>
      <c r="F32" s="198">
        <f>+RESUMEN!$I$2</f>
        <v>0</v>
      </c>
      <c r="G32" s="130">
        <f>IF(F32=0,0,F32*G31)</f>
        <v>0</v>
      </c>
      <c r="H32" s="16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7" ht="13" x14ac:dyDescent="0.3">
      <c r="A33" s="122"/>
      <c r="B33" s="199"/>
      <c r="C33" s="122"/>
      <c r="D33" s="122"/>
      <c r="E33" s="123" t="s">
        <v>611</v>
      </c>
      <c r="F33" s="198">
        <f>+RESUMEN!$I$3</f>
        <v>0</v>
      </c>
      <c r="G33" s="130">
        <f>IF(F33=0,0,F33*G31)</f>
        <v>0</v>
      </c>
    </row>
    <row r="34" spans="1:7" ht="13" x14ac:dyDescent="0.3">
      <c r="A34" s="122"/>
      <c r="B34" s="199"/>
      <c r="C34" s="122"/>
      <c r="D34" s="122"/>
      <c r="E34" s="151"/>
      <c r="F34" s="152" t="s">
        <v>612</v>
      </c>
      <c r="G34" s="389">
        <f>SUM(G31:G33)</f>
        <v>38387.60074621391</v>
      </c>
    </row>
    <row r="35" spans="1:7" ht="13" x14ac:dyDescent="0.3">
      <c r="A35" s="122"/>
      <c r="B35" s="199"/>
      <c r="C35" s="122"/>
      <c r="D35" s="122"/>
      <c r="E35" s="122"/>
      <c r="F35" s="122"/>
      <c r="G35" s="122"/>
    </row>
    <row r="36" spans="1:7" ht="13" x14ac:dyDescent="0.3">
      <c r="A36" s="875"/>
      <c r="B36" s="870"/>
      <c r="C36" s="122"/>
      <c r="D36" s="122"/>
      <c r="E36" s="122"/>
      <c r="F36" s="122"/>
      <c r="G36" s="122"/>
    </row>
    <row r="37" spans="1:7" ht="13" x14ac:dyDescent="0.3">
      <c r="A37" s="875"/>
      <c r="B37" s="870"/>
      <c r="C37" s="122"/>
      <c r="D37" s="122"/>
      <c r="E37" s="122"/>
      <c r="F37" s="122"/>
      <c r="G37" s="122"/>
    </row>
  </sheetData>
  <mergeCells count="4">
    <mergeCell ref="A1:G1"/>
    <mergeCell ref="B7:G7"/>
    <mergeCell ref="A36:B36"/>
    <mergeCell ref="A37:B3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/>
  </sheetPr>
  <dimension ref="A1:N38"/>
  <sheetViews>
    <sheetView workbookViewId="0">
      <selection activeCell="G15" sqref="G15"/>
    </sheetView>
  </sheetViews>
  <sheetFormatPr defaultColWidth="11.453125" defaultRowHeight="12.5" x14ac:dyDescent="0.25"/>
  <cols>
    <col min="1" max="1" width="10.36328125" customWidth="1"/>
    <col min="2" max="2" width="35.6328125" customWidth="1"/>
    <col min="3" max="3" width="7.08984375" bestFit="1" customWidth="1"/>
    <col min="4" max="4" width="8.6328125" style="347" customWidth="1"/>
    <col min="5" max="5" width="15.36328125" bestFit="1" customWidth="1"/>
    <col min="6" max="6" width="9.453125" customWidth="1"/>
    <col min="7" max="7" width="10.90625" bestFit="1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</row>
    <row r="2" spans="1:14" ht="13" x14ac:dyDescent="0.25">
      <c r="A2" s="162"/>
      <c r="B2" s="162"/>
      <c r="C2" s="162"/>
      <c r="D2" s="340"/>
      <c r="E2" s="162"/>
      <c r="F2" s="240" t="s">
        <v>78</v>
      </c>
      <c r="G2" s="510" t="s">
        <v>613</v>
      </c>
      <c r="H2" s="162"/>
      <c r="I2" s="1"/>
      <c r="J2" s="1"/>
      <c r="K2" s="1"/>
      <c r="L2" s="1"/>
      <c r="M2" s="1"/>
      <c r="N2" s="1"/>
    </row>
    <row r="3" spans="1:14" ht="15.5" x14ac:dyDescent="0.35">
      <c r="A3" s="165" t="s">
        <v>579</v>
      </c>
      <c r="B3" s="166"/>
      <c r="C3" s="166"/>
      <c r="D3" s="341"/>
      <c r="E3" s="166"/>
      <c r="F3" s="166"/>
      <c r="G3" s="166"/>
      <c r="H3" s="162"/>
      <c r="I3" s="1"/>
      <c r="J3" s="1"/>
      <c r="K3" s="1"/>
      <c r="L3" s="1"/>
      <c r="M3" s="1"/>
      <c r="N3" s="1"/>
    </row>
    <row r="4" spans="1:14" ht="13" x14ac:dyDescent="0.3">
      <c r="A4" s="122"/>
      <c r="B4" s="122"/>
      <c r="C4" s="122"/>
      <c r="D4" s="342"/>
      <c r="E4" s="122"/>
      <c r="F4" s="123" t="s">
        <v>580</v>
      </c>
      <c r="G4" s="126">
        <v>41</v>
      </c>
      <c r="H4" s="162"/>
      <c r="I4" s="1"/>
      <c r="J4" s="1"/>
      <c r="K4" s="1"/>
      <c r="L4" s="1"/>
      <c r="M4" s="1"/>
      <c r="N4" s="1"/>
    </row>
    <row r="5" spans="1:14" ht="13" x14ac:dyDescent="0.25">
      <c r="A5" s="127" t="s">
        <v>581</v>
      </c>
      <c r="B5" s="562" t="s">
        <v>613</v>
      </c>
      <c r="C5" s="563"/>
      <c r="D5" s="563"/>
      <c r="E5" s="563"/>
      <c r="F5" s="563"/>
      <c r="G5" s="563"/>
      <c r="H5" s="162"/>
      <c r="I5" s="1"/>
      <c r="J5" s="1"/>
      <c r="K5" s="1"/>
      <c r="L5" s="1"/>
      <c r="M5" s="1"/>
      <c r="N5" s="1"/>
    </row>
    <row r="6" spans="1:14" ht="13" x14ac:dyDescent="0.3">
      <c r="A6" s="128" t="s">
        <v>582</v>
      </c>
      <c r="B6" s="510" t="s">
        <v>613</v>
      </c>
      <c r="C6" s="122"/>
      <c r="D6" s="342"/>
      <c r="E6" s="122"/>
      <c r="F6" s="123" t="s">
        <v>583</v>
      </c>
      <c r="G6" s="510" t="s">
        <v>613</v>
      </c>
      <c r="H6" s="162"/>
      <c r="I6" s="1"/>
      <c r="J6" s="1"/>
      <c r="K6" s="1"/>
      <c r="L6" s="1"/>
      <c r="M6" s="1"/>
      <c r="N6" s="1"/>
    </row>
    <row r="7" spans="1:14" ht="15.5" x14ac:dyDescent="0.25">
      <c r="A7" s="197" t="s">
        <v>584</v>
      </c>
      <c r="B7" s="873" t="s">
        <v>667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</row>
    <row r="8" spans="1:14" ht="13" x14ac:dyDescent="0.3">
      <c r="A8" s="128"/>
      <c r="B8" s="122"/>
      <c r="C8" s="131" t="s">
        <v>586</v>
      </c>
      <c r="D8" s="342"/>
      <c r="E8" s="131" t="s">
        <v>587</v>
      </c>
      <c r="F8" s="378" t="s">
        <v>588</v>
      </c>
      <c r="G8" s="122"/>
      <c r="H8" s="162"/>
      <c r="I8" s="1"/>
      <c r="J8" s="1"/>
      <c r="K8" s="1"/>
      <c r="L8" s="1"/>
      <c r="M8" s="1"/>
      <c r="N8" s="1"/>
    </row>
    <row r="9" spans="1:14" ht="13" x14ac:dyDescent="0.3">
      <c r="A9" s="122"/>
      <c r="B9" s="122"/>
      <c r="C9" s="132" t="s">
        <v>52</v>
      </c>
      <c r="D9" s="342"/>
      <c r="E9" s="564">
        <v>100</v>
      </c>
      <c r="F9" s="185">
        <v>5</v>
      </c>
      <c r="G9" s="158" t="s">
        <v>668</v>
      </c>
      <c r="H9" s="162"/>
      <c r="I9" s="1"/>
      <c r="J9" s="1"/>
      <c r="K9" s="1"/>
      <c r="L9" s="1"/>
      <c r="M9" s="1"/>
      <c r="N9" s="1"/>
    </row>
    <row r="10" spans="1:14" ht="13" x14ac:dyDescent="0.3">
      <c r="A10" s="128" t="s">
        <v>590</v>
      </c>
      <c r="B10" s="122"/>
      <c r="C10" s="122"/>
      <c r="D10" s="342"/>
      <c r="E10" s="122"/>
      <c r="F10" s="122"/>
      <c r="G10" s="122"/>
      <c r="H10" s="162"/>
      <c r="I10" s="1"/>
      <c r="J10" s="1"/>
      <c r="K10" s="1"/>
      <c r="L10" s="1"/>
      <c r="M10" s="1"/>
      <c r="N10" s="1"/>
    </row>
    <row r="11" spans="1:14" ht="13" x14ac:dyDescent="0.3">
      <c r="A11" s="133" t="s">
        <v>79</v>
      </c>
      <c r="B11" s="134" t="s">
        <v>591</v>
      </c>
      <c r="C11" s="134" t="s">
        <v>592</v>
      </c>
      <c r="D11" s="345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 t="s">
        <v>669</v>
      </c>
      <c r="K11" s="3"/>
      <c r="L11" s="3"/>
      <c r="M11" s="3"/>
      <c r="N11" s="3">
        <v>1.25</v>
      </c>
    </row>
    <row r="12" spans="1:14" ht="13" x14ac:dyDescent="0.3">
      <c r="A12" s="264" t="s">
        <v>362</v>
      </c>
      <c r="B12" s="175" t="s">
        <v>363</v>
      </c>
      <c r="C12" s="264" t="s">
        <v>59</v>
      </c>
      <c r="D12" s="372">
        <f>+N19</f>
        <v>1.8E-3</v>
      </c>
      <c r="E12" s="175">
        <f>VLOOKUP(B12,Materiales!$B$8:$D$118,3,FALSE)</f>
        <v>32399.77</v>
      </c>
      <c r="F12" s="175">
        <v>10</v>
      </c>
      <c r="G12" s="246">
        <f>+D12*E12*((F12+100)/100)</f>
        <v>64.151544600000008</v>
      </c>
      <c r="H12" s="162"/>
      <c r="I12" s="1"/>
      <c r="J12" s="263" t="s">
        <v>644</v>
      </c>
      <c r="K12" s="263" t="s">
        <v>670</v>
      </c>
      <c r="L12" s="263" t="s">
        <v>658</v>
      </c>
      <c r="M12" s="263" t="s">
        <v>671</v>
      </c>
      <c r="N12" s="263" t="s">
        <v>672</v>
      </c>
    </row>
    <row r="13" spans="1:14" ht="13" x14ac:dyDescent="0.3">
      <c r="A13" s="320" t="s">
        <v>368</v>
      </c>
      <c r="B13" s="178" t="s">
        <v>369</v>
      </c>
      <c r="C13" s="320" t="s">
        <v>374</v>
      </c>
      <c r="D13" s="374">
        <f>+N18</f>
        <v>1.6200000000000003E-2</v>
      </c>
      <c r="E13" s="178">
        <f>VLOOKUP(B13,Materiales!$B$8:$D$118,3,FALSE)</f>
        <v>7809.48</v>
      </c>
      <c r="F13" s="178">
        <v>10</v>
      </c>
      <c r="G13" s="247">
        <f>+D13*E13*((F13+100)/100)</f>
        <v>139.16493360000004</v>
      </c>
      <c r="H13" s="162"/>
      <c r="I13" s="1"/>
      <c r="J13" s="263">
        <v>0.1</v>
      </c>
      <c r="K13" s="263">
        <v>0.12</v>
      </c>
      <c r="L13" s="263">
        <v>0.1</v>
      </c>
      <c r="M13" s="546">
        <f>+J13*K13*L13</f>
        <v>1.2000000000000001E-3</v>
      </c>
      <c r="N13" s="278">
        <f>+M13*N11</f>
        <v>1.5E-3</v>
      </c>
    </row>
    <row r="14" spans="1:14" ht="13" x14ac:dyDescent="0.3">
      <c r="A14" s="265"/>
      <c r="B14" s="420" t="s">
        <v>617</v>
      </c>
      <c r="C14" s="265" t="s">
        <v>352</v>
      </c>
      <c r="D14" s="373">
        <v>0.5</v>
      </c>
      <c r="E14" s="180">
        <f>+SUM(G12:G13)</f>
        <v>203.31647820000006</v>
      </c>
      <c r="F14" s="180">
        <v>3</v>
      </c>
      <c r="G14" s="248">
        <f>+D14*E14*((F14+100)/100)</f>
        <v>104.70798627300003</v>
      </c>
      <c r="H14" s="162"/>
      <c r="I14" s="1"/>
      <c r="J14" s="263"/>
      <c r="K14" s="263"/>
      <c r="L14" s="263"/>
      <c r="M14" s="546"/>
      <c r="N14" s="278"/>
    </row>
    <row r="15" spans="1:14" ht="13" x14ac:dyDescent="0.3">
      <c r="A15" s="139"/>
      <c r="B15" s="139"/>
      <c r="C15" s="139"/>
      <c r="D15" s="346"/>
      <c r="E15" s="140"/>
      <c r="F15" s="141" t="s">
        <v>598</v>
      </c>
      <c r="G15" s="391">
        <f>SUM(G12:G14)</f>
        <v>308.02446447300008</v>
      </c>
      <c r="H15" s="162"/>
      <c r="I15" s="1"/>
      <c r="J15" s="1"/>
      <c r="K15" s="1"/>
      <c r="L15" s="1"/>
      <c r="M15" s="1"/>
      <c r="N15" s="1"/>
    </row>
    <row r="16" spans="1:14" ht="13" x14ac:dyDescent="0.3">
      <c r="A16" s="122"/>
      <c r="B16" s="122"/>
      <c r="C16" s="122"/>
      <c r="D16" s="342"/>
      <c r="E16" s="143"/>
      <c r="F16" s="144" t="s">
        <v>9</v>
      </c>
      <c r="G16" s="156">
        <f>+G15</f>
        <v>308.02446447300008</v>
      </c>
      <c r="H16" s="168"/>
      <c r="I16" s="1"/>
      <c r="J16" s="529"/>
      <c r="K16" s="506"/>
      <c r="L16" s="506"/>
      <c r="M16" s="263" t="s">
        <v>650</v>
      </c>
      <c r="N16" s="263" t="s">
        <v>651</v>
      </c>
    </row>
    <row r="17" spans="1:14" ht="13" x14ac:dyDescent="0.3">
      <c r="A17" s="128" t="s">
        <v>599</v>
      </c>
      <c r="B17" s="122"/>
      <c r="C17" s="122"/>
      <c r="D17" s="342"/>
      <c r="E17" s="122"/>
      <c r="F17" s="122"/>
      <c r="G17" s="122"/>
      <c r="H17" s="162"/>
      <c r="I17" s="1"/>
      <c r="J17" s="506"/>
      <c r="K17" s="506" t="s">
        <v>652</v>
      </c>
      <c r="L17" s="263" t="s">
        <v>653</v>
      </c>
      <c r="M17" s="529">
        <v>0.02</v>
      </c>
      <c r="N17" s="529">
        <f>+N13</f>
        <v>1.5E-3</v>
      </c>
    </row>
    <row r="18" spans="1:14" ht="13" x14ac:dyDescent="0.3">
      <c r="A18" s="435" t="s">
        <v>79</v>
      </c>
      <c r="B18" s="134" t="s">
        <v>591</v>
      </c>
      <c r="C18" s="134" t="s">
        <v>592</v>
      </c>
      <c r="D18" s="345" t="s">
        <v>593</v>
      </c>
      <c r="E18" s="134" t="s">
        <v>600</v>
      </c>
      <c r="F18" s="417" t="s">
        <v>87</v>
      </c>
      <c r="G18" s="135" t="s">
        <v>596</v>
      </c>
      <c r="H18" s="167"/>
      <c r="I18" s="3"/>
      <c r="J18" s="506" t="s">
        <v>654</v>
      </c>
      <c r="K18" s="529">
        <v>10.8</v>
      </c>
      <c r="L18" s="506">
        <v>50</v>
      </c>
      <c r="M18" s="529">
        <f>+K18/L18</f>
        <v>0.21600000000000003</v>
      </c>
      <c r="N18" s="529">
        <f>+M18*N17/M17</f>
        <v>1.6200000000000003E-2</v>
      </c>
    </row>
    <row r="19" spans="1:14" ht="13" x14ac:dyDescent="0.25">
      <c r="A19" s="429" t="s">
        <v>673</v>
      </c>
      <c r="B19" s="418" t="s">
        <v>94</v>
      </c>
      <c r="C19" s="264" t="s">
        <v>352</v>
      </c>
      <c r="D19" s="526">
        <v>0.5</v>
      </c>
      <c r="E19" s="429">
        <f>VLOOKUP(B19,'Rend. Equipos'!$B$7:$E$222,4,FALSE)</f>
        <v>2470106.6047045495</v>
      </c>
      <c r="F19" s="464">
        <f>VLOOKUP(B19,'Rend. Equipos'!$B$6:$L$166,MATCH($F$18,'Rend. Equipos'!$B$6:$L$6,0),0)</f>
        <v>9.2592592592592596E-4</v>
      </c>
      <c r="G19" s="465">
        <f>+E19*D19*F19</f>
        <v>1143.5678725484026</v>
      </c>
      <c r="H19" s="162"/>
      <c r="I19" s="1"/>
      <c r="J19" s="506" t="s">
        <v>655</v>
      </c>
      <c r="K19" s="529">
        <v>2.4E-2</v>
      </c>
      <c r="L19" s="506">
        <v>1</v>
      </c>
      <c r="M19" s="529">
        <f>+K19/L19</f>
        <v>2.4E-2</v>
      </c>
      <c r="N19" s="529">
        <f>+M19*N17/M17</f>
        <v>1.8E-3</v>
      </c>
    </row>
    <row r="20" spans="1:14" ht="26" x14ac:dyDescent="0.25">
      <c r="A20" s="265" t="s">
        <v>163</v>
      </c>
      <c r="B20" s="463" t="s">
        <v>164</v>
      </c>
      <c r="C20" s="265" t="s">
        <v>17</v>
      </c>
      <c r="D20" s="527">
        <v>0.25</v>
      </c>
      <c r="E20" s="432">
        <f>VLOOKUP(B20,'Rend. Equipos'!$B$7:$E$222,4,FALSE)</f>
        <v>689222.30122796178</v>
      </c>
      <c r="F20" s="468">
        <f>VLOOKUP(B20,'Rend. Equipos'!$B$6:$L$166,MATCH($F$18,'Rend. Equipos'!$B$6:$L$6,0),0)</f>
        <v>1.3888888888888889E-3</v>
      </c>
      <c r="G20" s="469">
        <f>+E20*D20*F20</f>
        <v>239.31329903748673</v>
      </c>
      <c r="H20" s="162"/>
      <c r="I20" s="1"/>
      <c r="J20" s="1"/>
      <c r="K20" s="1"/>
      <c r="L20" s="1"/>
      <c r="M20" s="1"/>
      <c r="N20" s="1"/>
    </row>
    <row r="21" spans="1:14" ht="13" x14ac:dyDescent="0.3">
      <c r="A21" s="139"/>
      <c r="B21" s="139"/>
      <c r="C21" s="139"/>
      <c r="D21" s="346"/>
      <c r="E21" s="140"/>
      <c r="F21" s="141" t="s">
        <v>602</v>
      </c>
      <c r="G21" s="391">
        <f>SUM(G19:G20)</f>
        <v>1382.8811715858894</v>
      </c>
      <c r="H21" s="162"/>
      <c r="I21" s="1"/>
      <c r="J21" s="1"/>
      <c r="K21" s="1"/>
      <c r="L21" s="1"/>
      <c r="M21" s="1"/>
      <c r="N21" s="1"/>
    </row>
    <row r="22" spans="1:14" ht="13" x14ac:dyDescent="0.3">
      <c r="A22" s="122"/>
      <c r="B22" s="122"/>
      <c r="C22" s="122"/>
      <c r="D22" s="342"/>
      <c r="E22" s="143"/>
      <c r="F22" s="144" t="s">
        <v>11</v>
      </c>
      <c r="G22" s="156">
        <f>+G21/F9</f>
        <v>276.57623431717786</v>
      </c>
      <c r="H22" s="162"/>
      <c r="I22" s="1"/>
      <c r="J22" s="1"/>
      <c r="K22" s="1"/>
      <c r="L22" s="1"/>
      <c r="M22" s="1"/>
      <c r="N22" s="1"/>
    </row>
    <row r="23" spans="1:14" ht="13" x14ac:dyDescent="0.3">
      <c r="A23" s="128" t="s">
        <v>603</v>
      </c>
      <c r="B23" s="122"/>
      <c r="C23" s="122"/>
      <c r="D23" s="342"/>
      <c r="E23" s="122"/>
      <c r="F23" s="122"/>
      <c r="G23" s="122"/>
      <c r="H23" s="162"/>
      <c r="I23" s="1"/>
      <c r="J23" s="1"/>
      <c r="K23" s="1"/>
      <c r="L23" s="1"/>
      <c r="M23" s="1"/>
      <c r="N23" s="1"/>
    </row>
    <row r="24" spans="1:14" ht="13" x14ac:dyDescent="0.3">
      <c r="A24" s="435" t="s">
        <v>79</v>
      </c>
      <c r="B24" s="134" t="s">
        <v>591</v>
      </c>
      <c r="C24" s="134"/>
      <c r="D24" s="345" t="s">
        <v>593</v>
      </c>
      <c r="E24" s="134" t="s">
        <v>604</v>
      </c>
      <c r="F24" s="134"/>
      <c r="G24" s="135" t="s">
        <v>596</v>
      </c>
      <c r="H24" s="167"/>
      <c r="I24" s="3"/>
      <c r="J24" s="3"/>
      <c r="K24" s="3"/>
      <c r="L24" s="3"/>
      <c r="M24" s="3"/>
      <c r="N24" s="3"/>
    </row>
    <row r="25" spans="1:14" ht="13" x14ac:dyDescent="0.3">
      <c r="A25" s="161" t="s">
        <v>228</v>
      </c>
      <c r="B25" s="26" t="s">
        <v>230</v>
      </c>
      <c r="C25" s="175"/>
      <c r="D25" s="372">
        <v>1</v>
      </c>
      <c r="E25" s="175">
        <f>VLOOKUP(B25,'Mano de Obra'!$B$8:$C$100,2,FALSE)</f>
        <v>60860.580776571966</v>
      </c>
      <c r="F25" s="175"/>
      <c r="G25" s="176">
        <f>+E25*D25</f>
        <v>60860.580776571966</v>
      </c>
      <c r="H25" s="162"/>
      <c r="I25" s="1"/>
      <c r="J25" s="1"/>
      <c r="K25" s="1"/>
      <c r="L25" s="1"/>
      <c r="M25" s="1"/>
      <c r="N25" s="1"/>
    </row>
    <row r="26" spans="1:14" ht="13" x14ac:dyDescent="0.3">
      <c r="A26" s="265" t="s">
        <v>255</v>
      </c>
      <c r="B26" s="180" t="s">
        <v>256</v>
      </c>
      <c r="C26" s="180"/>
      <c r="D26" s="373">
        <v>1</v>
      </c>
      <c r="E26" s="180">
        <f>VLOOKUP(B26,'Mano de Obra'!$B$8:$C$100,2,FALSE)</f>
        <v>85927.097156571981</v>
      </c>
      <c r="F26" s="180"/>
      <c r="G26" s="182">
        <f>+E26*D26</f>
        <v>85927.097156571981</v>
      </c>
      <c r="H26" s="162"/>
      <c r="I26" s="1"/>
      <c r="J26" s="1"/>
      <c r="K26" s="1"/>
      <c r="L26" s="1"/>
      <c r="M26" s="1"/>
      <c r="N26" s="1"/>
    </row>
    <row r="27" spans="1:14" ht="13" x14ac:dyDescent="0.3">
      <c r="A27" s="139"/>
      <c r="B27" s="139"/>
      <c r="C27" s="139"/>
      <c r="D27" s="346"/>
      <c r="E27" s="140"/>
      <c r="F27" s="141" t="s">
        <v>606</v>
      </c>
      <c r="G27" s="391">
        <f>SUM(G25:G26)</f>
        <v>146787.67793314395</v>
      </c>
      <c r="H27" s="162"/>
      <c r="I27" s="1"/>
      <c r="J27" s="1"/>
      <c r="K27" s="1"/>
      <c r="L27" s="1"/>
      <c r="M27" s="1"/>
      <c r="N27" s="1"/>
    </row>
    <row r="28" spans="1:14" ht="13" x14ac:dyDescent="0.3">
      <c r="A28" s="122"/>
      <c r="B28" s="122"/>
      <c r="C28" s="122"/>
      <c r="D28" s="342"/>
      <c r="E28" s="360"/>
      <c r="F28" s="123" t="s">
        <v>607</v>
      </c>
      <c r="G28" s="349">
        <v>1</v>
      </c>
      <c r="H28" s="162"/>
      <c r="I28" s="1"/>
      <c r="J28" s="1"/>
      <c r="K28" s="1"/>
      <c r="L28" s="1"/>
      <c r="M28" s="1"/>
      <c r="N28" s="1"/>
    </row>
    <row r="29" spans="1:14" ht="13" x14ac:dyDescent="0.3">
      <c r="A29" s="122"/>
      <c r="B29" s="122"/>
      <c r="C29" s="122"/>
      <c r="D29" s="342"/>
      <c r="E29" s="360"/>
      <c r="F29" s="123" t="s">
        <v>608</v>
      </c>
      <c r="G29" s="390">
        <f>+G28*G27</f>
        <v>146787.67793314395</v>
      </c>
      <c r="H29" s="162"/>
      <c r="I29" s="1"/>
      <c r="J29" s="1"/>
      <c r="K29" s="1"/>
      <c r="L29" s="1"/>
      <c r="M29" s="1"/>
      <c r="N29" s="1"/>
    </row>
    <row r="30" spans="1:14" ht="13" x14ac:dyDescent="0.3">
      <c r="A30" s="122"/>
      <c r="B30" s="122"/>
      <c r="C30" s="122"/>
      <c r="D30" s="342"/>
      <c r="E30" s="143"/>
      <c r="F30" s="144" t="s">
        <v>10</v>
      </c>
      <c r="G30" s="156">
        <f>+G29/F9</f>
        <v>29357.53558662879</v>
      </c>
      <c r="H30" s="162"/>
      <c r="I30" s="1"/>
      <c r="J30" s="1"/>
      <c r="K30" s="1"/>
      <c r="L30" s="1"/>
      <c r="M30" s="1"/>
      <c r="N30" s="1"/>
    </row>
    <row r="31" spans="1:14" ht="13" x14ac:dyDescent="0.3">
      <c r="A31" s="122"/>
      <c r="B31" s="122"/>
      <c r="C31" s="122"/>
      <c r="D31" s="342"/>
      <c r="H31" s="162"/>
      <c r="I31" s="1"/>
      <c r="J31" s="1"/>
      <c r="K31" s="1"/>
      <c r="L31" s="1"/>
      <c r="M31" s="1"/>
      <c r="N31" s="1"/>
    </row>
    <row r="32" spans="1:14" ht="13" x14ac:dyDescent="0.3">
      <c r="A32" s="122"/>
      <c r="B32" s="122"/>
      <c r="C32" s="122"/>
      <c r="D32" s="342"/>
      <c r="E32" s="122"/>
      <c r="F32" s="123" t="s">
        <v>609</v>
      </c>
      <c r="G32" s="123">
        <f>+G30+G22+G16</f>
        <v>29942.136285418968</v>
      </c>
      <c r="H32" s="162"/>
      <c r="I32" s="1"/>
      <c r="J32" s="1"/>
      <c r="K32" s="1"/>
      <c r="L32" s="1"/>
      <c r="M32" s="1"/>
      <c r="N32" s="1"/>
    </row>
    <row r="33" spans="1:7" ht="13" x14ac:dyDescent="0.3">
      <c r="A33" s="122"/>
      <c r="B33" s="122"/>
      <c r="C33" s="122"/>
      <c r="D33" s="342"/>
      <c r="E33" s="123" t="s">
        <v>610</v>
      </c>
      <c r="F33" s="198">
        <f>+RESUMEN!$I$2</f>
        <v>0</v>
      </c>
      <c r="G33" s="130">
        <f>IF(F33=0,0,F33*G32)</f>
        <v>0</v>
      </c>
    </row>
    <row r="34" spans="1:7" ht="13" x14ac:dyDescent="0.3">
      <c r="A34" s="122"/>
      <c r="B34" s="122"/>
      <c r="C34" s="122"/>
      <c r="D34" s="342"/>
      <c r="E34" s="123" t="s">
        <v>611</v>
      </c>
      <c r="F34" s="198">
        <f>+RESUMEN!$I$3</f>
        <v>0</v>
      </c>
      <c r="G34" s="130">
        <f>IF(F34=0,0,F34*G32)</f>
        <v>0</v>
      </c>
    </row>
    <row r="35" spans="1:7" ht="13" x14ac:dyDescent="0.3">
      <c r="A35" s="122"/>
      <c r="B35" s="122"/>
      <c r="C35" s="122"/>
      <c r="D35" s="342"/>
      <c r="E35" s="151"/>
      <c r="F35" s="152" t="s">
        <v>612</v>
      </c>
      <c r="G35" s="389">
        <f>SUM(G32:G34)</f>
        <v>29942.136285418968</v>
      </c>
    </row>
    <row r="36" spans="1:7" ht="13" x14ac:dyDescent="0.3">
      <c r="A36" s="122"/>
      <c r="B36" s="122"/>
      <c r="C36" s="122"/>
      <c r="D36" s="342"/>
      <c r="E36" s="122"/>
      <c r="F36" s="122"/>
      <c r="G36" s="122"/>
    </row>
    <row r="37" spans="1:7" ht="13" x14ac:dyDescent="0.3">
      <c r="A37" s="875"/>
      <c r="B37" s="870"/>
      <c r="C37" s="122"/>
      <c r="D37" s="342"/>
      <c r="E37" s="122"/>
      <c r="F37" s="122"/>
      <c r="G37" s="122"/>
    </row>
    <row r="38" spans="1:7" ht="13" x14ac:dyDescent="0.3">
      <c r="A38" s="875"/>
      <c r="B38" s="870"/>
      <c r="C38" s="122"/>
      <c r="D38" s="342"/>
      <c r="E38" s="122"/>
      <c r="F38" s="122"/>
      <c r="G38" s="122"/>
    </row>
  </sheetData>
  <mergeCells count="4">
    <mergeCell ref="A1:G1"/>
    <mergeCell ref="B7:G7"/>
    <mergeCell ref="A37:B37"/>
    <mergeCell ref="A38:B3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/>
  </sheetPr>
  <dimension ref="A1:P39"/>
  <sheetViews>
    <sheetView topLeftCell="A3" workbookViewId="0">
      <selection activeCell="G15" sqref="G15"/>
    </sheetView>
  </sheetViews>
  <sheetFormatPr defaultColWidth="11.453125" defaultRowHeight="12.5" x14ac:dyDescent="0.25"/>
  <cols>
    <col min="1" max="1" width="10.36328125" customWidth="1"/>
    <col min="2" max="2" width="37" bestFit="1" customWidth="1"/>
    <col min="3" max="3" width="7.08984375" bestFit="1" customWidth="1"/>
    <col min="4" max="4" width="7.90625" style="347" bestFit="1" customWidth="1"/>
    <col min="5" max="5" width="15.36328125" bestFit="1" customWidth="1"/>
    <col min="6" max="6" width="9.453125" customWidth="1"/>
    <col min="7" max="7" width="9.6328125" customWidth="1"/>
    <col min="8" max="8" width="10.6328125" bestFit="1" customWidth="1"/>
    <col min="9" max="9" width="4.453125" customWidth="1"/>
    <col min="10" max="10" width="9.54296875" bestFit="1" customWidth="1"/>
    <col min="11" max="11" width="5.54296875" bestFit="1" customWidth="1"/>
    <col min="12" max="12" width="7.36328125" bestFit="1" customWidth="1"/>
    <col min="13" max="13" width="7.453125" customWidth="1"/>
    <col min="14" max="14" width="14.54296875" bestFit="1" customWidth="1"/>
  </cols>
  <sheetData>
    <row r="1" spans="1:16" ht="15.5" x14ac:dyDescent="0.25">
      <c r="A1" s="869"/>
      <c r="B1" s="870"/>
      <c r="C1" s="870"/>
      <c r="D1" s="870"/>
      <c r="E1" s="870"/>
      <c r="F1" s="870"/>
      <c r="G1" s="870"/>
      <c r="H1" s="162"/>
      <c r="I1" s="162"/>
      <c r="J1" s="1"/>
      <c r="K1" s="1"/>
      <c r="L1" s="1"/>
      <c r="M1" s="1"/>
      <c r="N1" s="1"/>
      <c r="O1" s="1"/>
      <c r="P1" s="1"/>
    </row>
    <row r="2" spans="1:16" ht="13" x14ac:dyDescent="0.25">
      <c r="A2" s="162"/>
      <c r="B2" s="162"/>
      <c r="C2" s="162"/>
      <c r="D2" s="340"/>
      <c r="E2" s="162"/>
      <c r="F2" s="163" t="s">
        <v>78</v>
      </c>
      <c r="G2" s="446" t="s">
        <v>613</v>
      </c>
      <c r="H2" s="162"/>
      <c r="I2" s="162"/>
      <c r="J2" s="1"/>
      <c r="K2" s="1"/>
      <c r="L2" s="1"/>
      <c r="M2" s="1"/>
      <c r="N2" s="1"/>
      <c r="O2" s="1"/>
      <c r="P2" s="1"/>
    </row>
    <row r="3" spans="1:16" ht="15.5" x14ac:dyDescent="0.35">
      <c r="A3" s="165" t="s">
        <v>579</v>
      </c>
      <c r="B3" s="166"/>
      <c r="C3" s="166"/>
      <c r="D3" s="341"/>
      <c r="E3" s="166"/>
      <c r="F3" s="166"/>
      <c r="G3" s="166"/>
      <c r="H3" s="162"/>
      <c r="I3" s="162"/>
      <c r="J3" s="1"/>
      <c r="K3" s="1"/>
      <c r="L3" s="1"/>
      <c r="M3" s="1"/>
      <c r="N3" s="1"/>
      <c r="O3" s="1"/>
      <c r="P3" s="1"/>
    </row>
    <row r="4" spans="1:16" ht="13" x14ac:dyDescent="0.3">
      <c r="A4" s="122"/>
      <c r="B4" s="122"/>
      <c r="C4" s="122"/>
      <c r="D4" s="342"/>
      <c r="E4" s="122"/>
      <c r="F4" s="123" t="s">
        <v>580</v>
      </c>
      <c r="G4" s="126">
        <v>42</v>
      </c>
      <c r="H4" s="162"/>
      <c r="I4" s="162"/>
      <c r="J4" s="1"/>
      <c r="K4" s="1"/>
      <c r="L4" s="1"/>
      <c r="M4" s="1"/>
      <c r="N4" s="1"/>
      <c r="O4" s="1"/>
      <c r="P4" s="1"/>
    </row>
    <row r="5" spans="1:16" ht="13" x14ac:dyDescent="0.25">
      <c r="A5" s="127" t="s">
        <v>581</v>
      </c>
      <c r="B5" s="562" t="s">
        <v>613</v>
      </c>
      <c r="C5" s="563"/>
      <c r="D5" s="563"/>
      <c r="E5" s="563"/>
      <c r="F5" s="563"/>
      <c r="G5" s="563"/>
      <c r="H5" s="162"/>
      <c r="I5" s="162"/>
      <c r="J5" s="1"/>
      <c r="K5" s="1"/>
      <c r="L5" s="1"/>
      <c r="M5" s="1"/>
      <c r="N5" s="1"/>
      <c r="O5" s="1"/>
      <c r="P5" s="1"/>
    </row>
    <row r="6" spans="1:16" ht="13" x14ac:dyDescent="0.3">
      <c r="A6" s="128" t="s">
        <v>582</v>
      </c>
      <c r="B6" s="446" t="s">
        <v>613</v>
      </c>
      <c r="C6" s="122"/>
      <c r="D6" s="342"/>
      <c r="E6" s="122"/>
      <c r="F6" s="123" t="s">
        <v>583</v>
      </c>
      <c r="G6" s="446" t="s">
        <v>613</v>
      </c>
      <c r="H6" s="162"/>
      <c r="I6" s="162"/>
      <c r="J6" s="1"/>
      <c r="K6" s="1"/>
      <c r="L6" s="1"/>
      <c r="M6" s="1"/>
      <c r="N6" s="1"/>
      <c r="O6" s="1"/>
      <c r="P6" s="1"/>
    </row>
    <row r="7" spans="1:16" ht="15.5" x14ac:dyDescent="0.25">
      <c r="A7" s="197" t="s">
        <v>584</v>
      </c>
      <c r="B7" s="873" t="s">
        <v>674</v>
      </c>
      <c r="C7" s="874"/>
      <c r="D7" s="874"/>
      <c r="E7" s="874"/>
      <c r="F7" s="874"/>
      <c r="G7" s="874"/>
      <c r="H7" s="162"/>
      <c r="I7" s="162"/>
      <c r="J7" s="162"/>
      <c r="K7" s="1"/>
      <c r="L7" s="1"/>
      <c r="M7" s="1"/>
      <c r="N7" s="1"/>
      <c r="O7" s="1"/>
      <c r="P7" s="1"/>
    </row>
    <row r="8" spans="1:16" ht="13" x14ac:dyDescent="0.3">
      <c r="A8" s="128"/>
      <c r="B8" s="122"/>
      <c r="C8" s="131" t="s">
        <v>586</v>
      </c>
      <c r="D8" s="342"/>
      <c r="E8" s="131" t="s">
        <v>587</v>
      </c>
      <c r="F8" s="128" t="s">
        <v>588</v>
      </c>
      <c r="G8" s="122"/>
      <c r="H8" s="162"/>
      <c r="I8" s="162"/>
      <c r="J8" s="1"/>
      <c r="K8" s="1"/>
      <c r="L8" s="1"/>
      <c r="M8" s="1"/>
      <c r="N8" s="1"/>
      <c r="O8" s="1"/>
      <c r="P8" s="1"/>
    </row>
    <row r="9" spans="1:16" ht="13" x14ac:dyDescent="0.3">
      <c r="A9" s="122"/>
      <c r="B9" s="122"/>
      <c r="C9" s="132" t="s">
        <v>45</v>
      </c>
      <c r="D9" s="342"/>
      <c r="E9" s="564">
        <v>100</v>
      </c>
      <c r="F9" s="185">
        <v>28</v>
      </c>
      <c r="G9" s="158" t="s">
        <v>615</v>
      </c>
      <c r="H9" s="162"/>
      <c r="I9" s="162"/>
      <c r="J9" s="1"/>
      <c r="K9" s="1"/>
      <c r="L9" s="1"/>
      <c r="M9" s="1"/>
      <c r="N9" s="1"/>
      <c r="O9" s="1"/>
      <c r="P9" s="1"/>
    </row>
    <row r="10" spans="1:16" ht="13" x14ac:dyDescent="0.3">
      <c r="A10" s="128" t="s">
        <v>590</v>
      </c>
      <c r="B10" s="122"/>
      <c r="C10" s="122"/>
      <c r="D10" s="342"/>
      <c r="E10" s="122"/>
      <c r="F10" s="122"/>
      <c r="G10" s="122"/>
      <c r="H10" s="162"/>
      <c r="I10" s="162"/>
      <c r="J10" s="162"/>
      <c r="K10" s="74"/>
      <c r="L10" s="74"/>
      <c r="M10" s="260" t="s">
        <v>675</v>
      </c>
      <c r="N10" s="162"/>
      <c r="O10" s="1"/>
      <c r="P10" s="1"/>
    </row>
    <row r="11" spans="1:16" ht="13" x14ac:dyDescent="0.3">
      <c r="A11" s="133" t="s">
        <v>79</v>
      </c>
      <c r="B11" s="134" t="s">
        <v>591</v>
      </c>
      <c r="C11" s="134" t="s">
        <v>592</v>
      </c>
      <c r="D11" s="345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  <c r="I11" s="167"/>
      <c r="J11" s="318" t="s">
        <v>676</v>
      </c>
      <c r="K11" s="318" t="s">
        <v>677</v>
      </c>
      <c r="L11" s="318" t="s">
        <v>678</v>
      </c>
      <c r="M11" s="318" t="s">
        <v>679</v>
      </c>
      <c r="N11" s="318" t="s">
        <v>680</v>
      </c>
      <c r="O11" s="1"/>
      <c r="P11" s="1"/>
    </row>
    <row r="12" spans="1:16" ht="13" x14ac:dyDescent="0.3">
      <c r="A12" s="264" t="s">
        <v>362</v>
      </c>
      <c r="B12" s="175" t="s">
        <v>363</v>
      </c>
      <c r="C12" s="264" t="s">
        <v>59</v>
      </c>
      <c r="D12" s="372">
        <v>6.0000000000000001E-3</v>
      </c>
      <c r="E12" s="175">
        <f>VLOOKUP(B12,Materiales!$B$8:$D$118,3,FALSE)</f>
        <v>32399.77</v>
      </c>
      <c r="F12" s="175">
        <v>10</v>
      </c>
      <c r="G12" s="176">
        <f>+D12*E12*((F12+100)/100)</f>
        <v>213.838482</v>
      </c>
      <c r="H12" s="176">
        <f>+D12*$E$9</f>
        <v>0.6</v>
      </c>
      <c r="I12" s="162"/>
      <c r="J12" s="315">
        <v>3</v>
      </c>
      <c r="K12" s="317">
        <v>6.0000000000000001E-3</v>
      </c>
      <c r="L12" s="316" t="s">
        <v>59</v>
      </c>
      <c r="M12" s="317">
        <f>+K12/N12</f>
        <v>6.0000000000000001E-3</v>
      </c>
      <c r="N12" s="162">
        <v>1</v>
      </c>
      <c r="O12" s="1"/>
      <c r="P12" s="1"/>
    </row>
    <row r="13" spans="1:16" ht="13" x14ac:dyDescent="0.3">
      <c r="A13" s="320" t="s">
        <v>411</v>
      </c>
      <c r="B13" s="178" t="s">
        <v>412</v>
      </c>
      <c r="C13" s="320" t="s">
        <v>403</v>
      </c>
      <c r="D13" s="374">
        <v>0.1</v>
      </c>
      <c r="E13" s="178">
        <f>VLOOKUP(B13,Materiales!$B$8:$D$118,3,FALSE)</f>
        <v>1256.1280000000002</v>
      </c>
      <c r="F13" s="178">
        <v>5</v>
      </c>
      <c r="G13" s="179">
        <f t="shared" ref="G13:G14" si="0">+D13*E13*((F13+100)/100)</f>
        <v>131.89344000000003</v>
      </c>
      <c r="H13" s="179">
        <f t="shared" ref="H13:H14" si="1">+D13*$E$9</f>
        <v>10</v>
      </c>
      <c r="I13" s="162"/>
      <c r="J13" s="315"/>
      <c r="K13" s="317">
        <v>0.1</v>
      </c>
      <c r="L13" s="316" t="s">
        <v>403</v>
      </c>
      <c r="M13" s="317">
        <f>+K13/N13</f>
        <v>0.1</v>
      </c>
      <c r="N13" s="162">
        <v>1</v>
      </c>
      <c r="O13" s="1"/>
      <c r="P13" s="1" t="s">
        <v>681</v>
      </c>
    </row>
    <row r="14" spans="1:16" ht="13" x14ac:dyDescent="0.3">
      <c r="A14" s="265" t="s">
        <v>368</v>
      </c>
      <c r="B14" s="180" t="s">
        <v>369</v>
      </c>
      <c r="C14" s="265" t="s">
        <v>370</v>
      </c>
      <c r="D14" s="373">
        <v>5.4000000000000006E-2</v>
      </c>
      <c r="E14" s="180">
        <f>VLOOKUP(B14,Materiales!$B$8:$D$118,3,FALSE)</f>
        <v>7809.48</v>
      </c>
      <c r="F14" s="180">
        <v>10</v>
      </c>
      <c r="G14" s="182">
        <f t="shared" si="0"/>
        <v>463.88311200000004</v>
      </c>
      <c r="H14" s="182">
        <f t="shared" si="1"/>
        <v>5.4</v>
      </c>
      <c r="I14" s="162"/>
      <c r="J14" s="315">
        <v>1</v>
      </c>
      <c r="K14" s="317">
        <v>2.7</v>
      </c>
      <c r="L14" s="316" t="s">
        <v>403</v>
      </c>
      <c r="M14" s="317">
        <f>+K14/N14</f>
        <v>5.4000000000000006E-2</v>
      </c>
      <c r="N14" s="162">
        <v>50</v>
      </c>
      <c r="O14" s="1"/>
      <c r="P14" s="1"/>
    </row>
    <row r="15" spans="1:16" ht="13" x14ac:dyDescent="0.3">
      <c r="A15" s="122"/>
      <c r="B15" s="122"/>
      <c r="C15" s="122"/>
      <c r="D15" s="342"/>
      <c r="E15" s="360"/>
      <c r="F15" s="123" t="s">
        <v>598</v>
      </c>
      <c r="G15" s="390">
        <f>SUM(G12:G14)</f>
        <v>809.61503400000015</v>
      </c>
      <c r="H15" s="162"/>
      <c r="I15" s="162"/>
      <c r="J15" s="1"/>
      <c r="K15" s="1"/>
      <c r="L15" s="1"/>
      <c r="M15" s="1"/>
      <c r="N15" s="1"/>
      <c r="O15" s="1"/>
      <c r="P15" s="1"/>
    </row>
    <row r="16" spans="1:16" ht="13" x14ac:dyDescent="0.3">
      <c r="A16" s="122"/>
      <c r="B16" s="122"/>
      <c r="C16" s="122"/>
      <c r="D16" s="342"/>
      <c r="E16" s="143"/>
      <c r="F16" s="144" t="s">
        <v>9</v>
      </c>
      <c r="G16" s="156">
        <f>+G15</f>
        <v>809.61503400000015</v>
      </c>
      <c r="H16" s="162"/>
      <c r="I16" s="162"/>
      <c r="J16" s="1"/>
      <c r="K16" s="1"/>
      <c r="L16" s="1"/>
      <c r="M16" s="1"/>
      <c r="N16" s="1"/>
      <c r="O16" s="1"/>
      <c r="P16" s="1"/>
    </row>
    <row r="17" spans="1:13" ht="13" x14ac:dyDescent="0.3">
      <c r="A17" s="128" t="s">
        <v>599</v>
      </c>
      <c r="B17" s="122"/>
      <c r="C17" s="122"/>
      <c r="D17" s="342"/>
      <c r="E17" s="122"/>
      <c r="F17" s="122"/>
      <c r="G17" s="122"/>
      <c r="H17" s="162"/>
      <c r="I17" s="162"/>
      <c r="J17" s="1"/>
      <c r="K17" s="1"/>
      <c r="L17" s="1"/>
      <c r="M17" s="1"/>
    </row>
    <row r="18" spans="1:13" ht="13" x14ac:dyDescent="0.3">
      <c r="A18" s="133" t="s">
        <v>79</v>
      </c>
      <c r="B18" s="134" t="s">
        <v>591</v>
      </c>
      <c r="C18" s="134" t="s">
        <v>592</v>
      </c>
      <c r="D18" s="345" t="s">
        <v>593</v>
      </c>
      <c r="E18" s="134" t="s">
        <v>600</v>
      </c>
      <c r="F18" s="417" t="s">
        <v>87</v>
      </c>
      <c r="G18" s="135" t="s">
        <v>596</v>
      </c>
      <c r="H18" s="167"/>
      <c r="I18" s="167"/>
      <c r="J18" s="3"/>
      <c r="K18" s="3"/>
      <c r="L18" s="3"/>
      <c r="M18" s="3"/>
    </row>
    <row r="19" spans="1:13" ht="13" x14ac:dyDescent="0.3">
      <c r="A19" s="264" t="s">
        <v>88</v>
      </c>
      <c r="B19" s="175" t="s">
        <v>89</v>
      </c>
      <c r="C19" s="264" t="s">
        <v>352</v>
      </c>
      <c r="D19" s="372">
        <v>0.5</v>
      </c>
      <c r="E19" s="492">
        <f>VLOOKUP(B19,'Rend. Equipos'!$B$7:$E$222,4,FALSE)</f>
        <v>1028123.0837653707</v>
      </c>
      <c r="F19" s="464">
        <f>VLOOKUP(B19,'Rend. Equipos'!$B$6:$L$166,MATCH($F$18,'Rend. Equipos'!$B$6:$L$6,0),0)</f>
        <v>5.5555555555555556E-4</v>
      </c>
      <c r="G19" s="176">
        <f>+E19*D19*F19</f>
        <v>285.58974549038072</v>
      </c>
      <c r="H19" s="162"/>
      <c r="I19" s="162"/>
      <c r="J19" s="1"/>
      <c r="K19" s="1"/>
      <c r="L19" s="1"/>
      <c r="M19" s="1"/>
    </row>
    <row r="20" spans="1:13" ht="13" x14ac:dyDescent="0.3">
      <c r="A20" s="320" t="s">
        <v>93</v>
      </c>
      <c r="B20" s="178" t="s">
        <v>94</v>
      </c>
      <c r="C20" s="320" t="s">
        <v>352</v>
      </c>
      <c r="D20" s="374">
        <v>1</v>
      </c>
      <c r="E20" s="548">
        <f>VLOOKUP(B20,'Rend. Equipos'!$B$7:$E$222,4,FALSE)</f>
        <v>2470106.6047045495</v>
      </c>
      <c r="F20" s="466">
        <f>VLOOKUP(B20,'Rend. Equipos'!$B$6:$L$166,MATCH($F$18,'Rend. Equipos'!$B$6:$L$6,0),0)</f>
        <v>9.2592592592592596E-4</v>
      </c>
      <c r="G20" s="179">
        <f>+E20*D20*F20</f>
        <v>2287.1357450968053</v>
      </c>
      <c r="H20" s="162"/>
      <c r="I20" s="162"/>
      <c r="J20" s="1"/>
      <c r="K20" s="1"/>
      <c r="L20" s="1"/>
      <c r="M20" s="1"/>
    </row>
    <row r="21" spans="1:13" ht="26" x14ac:dyDescent="0.25">
      <c r="A21" s="265" t="s">
        <v>163</v>
      </c>
      <c r="B21" s="463" t="s">
        <v>164</v>
      </c>
      <c r="C21" s="265" t="s">
        <v>17</v>
      </c>
      <c r="D21" s="527">
        <v>1</v>
      </c>
      <c r="E21" s="432">
        <f>VLOOKUP(B21,'Rend. Equipos'!$B$7:$E$222,4,FALSE)</f>
        <v>689222.30122796178</v>
      </c>
      <c r="F21" s="468">
        <f>VLOOKUP(B21,'Rend. Equipos'!$B$6:$L$166,MATCH($F$18,'Rend. Equipos'!$B$6:$L$6,0),0)</f>
        <v>1.3888888888888889E-3</v>
      </c>
      <c r="G21" s="469">
        <f>+E21*D21*F21</f>
        <v>957.25319614994692</v>
      </c>
      <c r="H21" s="162"/>
      <c r="I21" s="162"/>
      <c r="J21" s="1"/>
      <c r="K21" s="1"/>
      <c r="L21" s="1"/>
      <c r="M21" s="1"/>
    </row>
    <row r="22" spans="1:13" ht="13" x14ac:dyDescent="0.3">
      <c r="A22" s="139"/>
      <c r="B22" s="139"/>
      <c r="C22" s="139"/>
      <c r="D22" s="346"/>
      <c r="E22" s="140"/>
      <c r="F22" s="141" t="s">
        <v>602</v>
      </c>
      <c r="G22" s="391">
        <f>SUM(G19:G21)</f>
        <v>3529.9786867371331</v>
      </c>
      <c r="H22" s="162"/>
      <c r="I22" s="162"/>
      <c r="J22" s="1"/>
      <c r="K22" s="1"/>
      <c r="L22" s="1"/>
      <c r="M22" s="1"/>
    </row>
    <row r="23" spans="1:13" ht="13" x14ac:dyDescent="0.3">
      <c r="A23" s="122"/>
      <c r="B23" s="122"/>
      <c r="C23" s="122"/>
      <c r="D23" s="342"/>
      <c r="E23" s="143"/>
      <c r="F23" s="144" t="s">
        <v>11</v>
      </c>
      <c r="G23" s="156">
        <f>+G22/F9</f>
        <v>126.07066738346904</v>
      </c>
      <c r="H23" s="162"/>
      <c r="I23" s="162"/>
      <c r="J23" s="1"/>
      <c r="K23" s="1"/>
      <c r="L23" s="1"/>
      <c r="M23" s="1"/>
    </row>
    <row r="24" spans="1:13" ht="13" x14ac:dyDescent="0.3">
      <c r="A24" s="128" t="s">
        <v>603</v>
      </c>
      <c r="B24" s="122"/>
      <c r="C24" s="122"/>
      <c r="D24" s="342"/>
      <c r="E24" s="122"/>
      <c r="F24" s="122"/>
      <c r="G24" s="122"/>
      <c r="H24" s="162"/>
      <c r="I24" s="162"/>
      <c r="J24" s="1"/>
      <c r="K24" s="1"/>
      <c r="L24" s="1"/>
      <c r="M24" s="1"/>
    </row>
    <row r="25" spans="1:13" ht="13" x14ac:dyDescent="0.3">
      <c r="A25" s="133" t="s">
        <v>79</v>
      </c>
      <c r="B25" s="134" t="s">
        <v>591</v>
      </c>
      <c r="C25" s="261" t="s">
        <v>592</v>
      </c>
      <c r="D25" s="345" t="s">
        <v>593</v>
      </c>
      <c r="E25" s="134" t="s">
        <v>604</v>
      </c>
      <c r="F25" s="134"/>
      <c r="G25" s="135" t="s">
        <v>596</v>
      </c>
      <c r="H25" s="167"/>
      <c r="I25" s="167"/>
      <c r="J25" s="3" t="s">
        <v>633</v>
      </c>
      <c r="K25" s="3" t="s">
        <v>638</v>
      </c>
      <c r="L25" s="3" t="s">
        <v>682</v>
      </c>
      <c r="M25" s="3"/>
    </row>
    <row r="26" spans="1:13" ht="13" x14ac:dyDescent="0.3">
      <c r="A26" s="161" t="s">
        <v>228</v>
      </c>
      <c r="B26" s="26" t="s">
        <v>230</v>
      </c>
      <c r="C26" s="264" t="s">
        <v>605</v>
      </c>
      <c r="D26" s="372">
        <v>0.4</v>
      </c>
      <c r="E26" s="175">
        <f>VLOOKUP(B26,'Mano de Obra'!$B$8:$C$100,2,FALSE)</f>
        <v>60860.580776571966</v>
      </c>
      <c r="F26" s="175"/>
      <c r="G26" s="176">
        <f>+E26*D26</f>
        <v>24344.232310628788</v>
      </c>
      <c r="H26" s="162"/>
      <c r="I26" s="162"/>
      <c r="J26" s="1">
        <v>0.25</v>
      </c>
      <c r="K26" s="1">
        <v>7</v>
      </c>
      <c r="L26" s="1">
        <f>+K26/J26</f>
        <v>28</v>
      </c>
      <c r="M26" s="1"/>
    </row>
    <row r="27" spans="1:13" ht="13" x14ac:dyDescent="0.3">
      <c r="A27" s="265" t="s">
        <v>255</v>
      </c>
      <c r="B27" s="180" t="s">
        <v>256</v>
      </c>
      <c r="C27" s="265" t="s">
        <v>605</v>
      </c>
      <c r="D27" s="373">
        <v>1</v>
      </c>
      <c r="E27" s="180">
        <f>VLOOKUP(B27,'Mano de Obra'!$B$8:$C$100,2,FALSE)</f>
        <v>85927.097156571981</v>
      </c>
      <c r="F27" s="180"/>
      <c r="G27" s="182">
        <f>+E27*D27</f>
        <v>85927.097156571981</v>
      </c>
      <c r="H27" s="162"/>
      <c r="I27" s="162"/>
      <c r="J27" s="1">
        <v>0.1</v>
      </c>
      <c r="K27" s="1">
        <v>7</v>
      </c>
      <c r="L27" s="1">
        <f>+K27/J27</f>
        <v>70</v>
      </c>
      <c r="M27" s="1">
        <f>+J27/J26</f>
        <v>0.4</v>
      </c>
    </row>
    <row r="28" spans="1:13" ht="13" x14ac:dyDescent="0.3">
      <c r="A28" s="139"/>
      <c r="B28" s="139"/>
      <c r="C28" s="139"/>
      <c r="D28" s="346"/>
      <c r="E28" s="140"/>
      <c r="F28" s="141" t="s">
        <v>606</v>
      </c>
      <c r="G28" s="391">
        <f>SUM(G26:G27)</f>
        <v>110271.32946720076</v>
      </c>
      <c r="H28" s="162"/>
      <c r="I28" s="162"/>
      <c r="J28" s="1"/>
      <c r="K28" s="1"/>
      <c r="L28" s="1"/>
      <c r="M28" s="1"/>
    </row>
    <row r="29" spans="1:13" ht="13" x14ac:dyDescent="0.3">
      <c r="A29" s="122"/>
      <c r="B29" s="122"/>
      <c r="C29" s="122"/>
      <c r="D29" s="342"/>
      <c r="E29" s="360"/>
      <c r="F29" s="123" t="s">
        <v>607</v>
      </c>
      <c r="G29" s="349">
        <v>1</v>
      </c>
      <c r="H29" s="162"/>
      <c r="I29" s="162"/>
      <c r="J29" s="1"/>
      <c r="K29" s="1"/>
      <c r="L29" s="1"/>
      <c r="M29" s="1"/>
    </row>
    <row r="30" spans="1:13" ht="13" x14ac:dyDescent="0.3">
      <c r="A30" s="122"/>
      <c r="B30" s="122"/>
      <c r="C30" s="122"/>
      <c r="D30" s="342"/>
      <c r="E30" s="360"/>
      <c r="F30" s="123" t="s">
        <v>608</v>
      </c>
      <c r="G30" s="390">
        <f>+G29*G28</f>
        <v>110271.32946720076</v>
      </c>
      <c r="H30" s="162"/>
      <c r="I30" s="162"/>
      <c r="J30" s="1"/>
      <c r="K30" s="1"/>
      <c r="L30" s="1"/>
      <c r="M30" s="1"/>
    </row>
    <row r="31" spans="1:13" ht="13" x14ac:dyDescent="0.3">
      <c r="A31" s="122"/>
      <c r="B31" s="122"/>
      <c r="C31" s="122"/>
      <c r="D31" s="342"/>
      <c r="E31" s="143"/>
      <c r="F31" s="144" t="s">
        <v>10</v>
      </c>
      <c r="G31" s="156">
        <f>+G30/F9</f>
        <v>3938.2617666857413</v>
      </c>
      <c r="H31" s="162"/>
      <c r="I31" s="162"/>
      <c r="J31" s="1"/>
      <c r="K31" s="1"/>
      <c r="L31" s="1"/>
      <c r="M31" s="1"/>
    </row>
    <row r="33" spans="1:7" ht="13" x14ac:dyDescent="0.3">
      <c r="A33" s="122"/>
      <c r="B33" s="122"/>
      <c r="C33" s="122"/>
      <c r="D33" s="342"/>
      <c r="E33" s="122"/>
      <c r="F33" s="123" t="s">
        <v>609</v>
      </c>
      <c r="G33" s="130">
        <f>+G31+G23+G16</f>
        <v>4873.9474680692101</v>
      </c>
    </row>
    <row r="34" spans="1:7" ht="13" x14ac:dyDescent="0.3">
      <c r="A34" s="122"/>
      <c r="B34" s="122"/>
      <c r="C34" s="122"/>
      <c r="D34" s="342"/>
      <c r="E34" s="123" t="s">
        <v>610</v>
      </c>
      <c r="F34" s="198">
        <v>0</v>
      </c>
      <c r="G34" s="130">
        <f>IF(F34=0,0,F34*G33)</f>
        <v>0</v>
      </c>
    </row>
    <row r="35" spans="1:7" ht="13" x14ac:dyDescent="0.3">
      <c r="A35" s="122"/>
      <c r="B35" s="122"/>
      <c r="C35" s="122"/>
      <c r="D35" s="342"/>
      <c r="E35" s="123" t="s">
        <v>611</v>
      </c>
      <c r="F35" s="198">
        <v>0</v>
      </c>
      <c r="G35" s="130">
        <f>IF(F35=0,0,F35*G33)</f>
        <v>0</v>
      </c>
    </row>
    <row r="36" spans="1:7" ht="13" x14ac:dyDescent="0.3">
      <c r="A36" s="122"/>
      <c r="B36" s="122"/>
      <c r="C36" s="122"/>
      <c r="D36" s="342"/>
      <c r="E36" s="151"/>
      <c r="F36" s="152" t="s">
        <v>612</v>
      </c>
      <c r="G36" s="154">
        <f>SUM(G33:G35)</f>
        <v>4873.9474680692101</v>
      </c>
    </row>
    <row r="37" spans="1:7" ht="13" x14ac:dyDescent="0.3">
      <c r="A37" s="122"/>
      <c r="B37" s="122"/>
      <c r="C37" s="122"/>
      <c r="D37" s="342"/>
      <c r="E37" s="122"/>
      <c r="F37" s="122"/>
      <c r="G37" s="122"/>
    </row>
    <row r="38" spans="1:7" ht="13" x14ac:dyDescent="0.3">
      <c r="A38" s="875"/>
      <c r="B38" s="870"/>
      <c r="C38" s="122"/>
      <c r="D38" s="342"/>
      <c r="E38" s="1"/>
      <c r="F38" s="1"/>
      <c r="G38" s="1"/>
    </row>
    <row r="39" spans="1:7" ht="13" x14ac:dyDescent="0.3">
      <c r="A39" s="875"/>
      <c r="B39" s="870"/>
      <c r="C39" s="122"/>
      <c r="D39" s="342"/>
      <c r="E39" s="1"/>
      <c r="F39" s="1"/>
      <c r="G39" s="1"/>
    </row>
  </sheetData>
  <mergeCells count="4">
    <mergeCell ref="A1:G1"/>
    <mergeCell ref="B7:G7"/>
    <mergeCell ref="A38:B38"/>
    <mergeCell ref="A39:B3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/>
  </sheetPr>
  <dimension ref="A1:O44"/>
  <sheetViews>
    <sheetView workbookViewId="0">
      <selection activeCell="G20" sqref="G20"/>
    </sheetView>
  </sheetViews>
  <sheetFormatPr defaultColWidth="11.54296875" defaultRowHeight="12.5" x14ac:dyDescent="0.25"/>
  <cols>
    <col min="1" max="1" width="10.6328125" style="201" customWidth="1"/>
    <col min="2" max="2" width="35.6328125" style="201" customWidth="1"/>
    <col min="3" max="3" width="7.08984375" style="201" bestFit="1" customWidth="1"/>
    <col min="4" max="4" width="8.6328125" style="201" customWidth="1"/>
    <col min="5" max="5" width="15.36328125" style="201" bestFit="1" customWidth="1"/>
    <col min="6" max="6" width="9.453125" style="201" customWidth="1"/>
    <col min="7" max="7" width="12" style="201" bestFit="1" customWidth="1"/>
    <col min="8" max="9" width="11.54296875" style="201"/>
    <col min="10" max="10" width="6.90625" style="201" bestFit="1" customWidth="1"/>
    <col min="11" max="11" width="3.453125" style="201" bestFit="1" customWidth="1"/>
    <col min="12" max="12" width="4.54296875" style="201" bestFit="1" customWidth="1"/>
    <col min="13" max="13" width="5" style="201" bestFit="1" customWidth="1"/>
    <col min="14" max="14" width="4.6328125" style="201" bestFit="1" customWidth="1"/>
    <col min="15" max="15" width="3.453125" style="201" bestFit="1" customWidth="1"/>
    <col min="16" max="16384" width="11.54296875" style="20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315"/>
      <c r="I1" s="506"/>
      <c r="J1" s="506"/>
      <c r="K1" s="506"/>
      <c r="L1" s="506"/>
      <c r="M1" s="506"/>
      <c r="N1" s="506"/>
      <c r="O1" s="506"/>
    </row>
    <row r="2" spans="1:15" ht="13" x14ac:dyDescent="0.25">
      <c r="A2" s="315"/>
      <c r="B2" s="315"/>
      <c r="C2" s="315"/>
      <c r="D2" s="315"/>
      <c r="E2" s="315"/>
      <c r="F2" s="240" t="s">
        <v>78</v>
      </c>
      <c r="G2" s="446" t="s">
        <v>613</v>
      </c>
      <c r="H2" s="315"/>
      <c r="I2" s="506"/>
      <c r="J2" s="506"/>
      <c r="K2" s="506"/>
      <c r="L2" s="506"/>
      <c r="M2" s="506"/>
      <c r="N2" s="506"/>
      <c r="O2" s="506"/>
    </row>
    <row r="3" spans="1:15" ht="15.5" x14ac:dyDescent="0.25">
      <c r="A3" s="382" t="s">
        <v>579</v>
      </c>
      <c r="B3" s="383"/>
      <c r="C3" s="383"/>
      <c r="D3" s="383"/>
      <c r="E3" s="383"/>
      <c r="F3" s="383"/>
      <c r="G3" s="383"/>
      <c r="H3" s="315"/>
      <c r="I3" s="506"/>
      <c r="J3" s="506"/>
      <c r="K3" s="506"/>
      <c r="L3" s="506"/>
      <c r="M3" s="506"/>
      <c r="N3" s="506"/>
      <c r="O3" s="506"/>
    </row>
    <row r="4" spans="1:15" ht="13" x14ac:dyDescent="0.25">
      <c r="A4" s="199"/>
      <c r="B4" s="199"/>
      <c r="C4" s="199"/>
      <c r="D4" s="199"/>
      <c r="E4" s="199"/>
      <c r="F4" s="336" t="s">
        <v>580</v>
      </c>
      <c r="G4" s="384">
        <v>43</v>
      </c>
      <c r="H4" s="315"/>
      <c r="I4" s="506"/>
      <c r="J4" s="506"/>
      <c r="K4" s="506"/>
      <c r="L4" s="506"/>
      <c r="M4" s="506"/>
      <c r="N4" s="506"/>
      <c r="O4" s="506"/>
    </row>
    <row r="5" spans="1:15" ht="13" x14ac:dyDescent="0.25">
      <c r="A5" s="337" t="s">
        <v>581</v>
      </c>
      <c r="B5" s="392" t="s">
        <v>613</v>
      </c>
      <c r="C5" s="574"/>
      <c r="D5" s="574"/>
      <c r="E5" s="574"/>
      <c r="F5" s="574"/>
      <c r="G5" s="574"/>
      <c r="H5" s="315"/>
      <c r="I5" s="506"/>
      <c r="J5" s="506"/>
      <c r="K5" s="506"/>
      <c r="L5" s="506"/>
      <c r="M5" s="506"/>
      <c r="N5" s="506"/>
      <c r="O5" s="506"/>
    </row>
    <row r="6" spans="1:15" ht="13" x14ac:dyDescent="0.25">
      <c r="A6" s="378" t="s">
        <v>582</v>
      </c>
      <c r="B6" s="549" t="s">
        <v>613</v>
      </c>
      <c r="C6" s="199"/>
      <c r="D6" s="199"/>
      <c r="E6" s="199"/>
      <c r="F6" s="336" t="s">
        <v>583</v>
      </c>
      <c r="G6" s="446" t="s">
        <v>613</v>
      </c>
      <c r="H6" s="315"/>
      <c r="I6" s="506"/>
      <c r="J6" s="506"/>
      <c r="K6" s="506"/>
      <c r="L6" s="506"/>
      <c r="M6" s="506"/>
      <c r="N6" s="506"/>
      <c r="O6" s="506"/>
    </row>
    <row r="7" spans="1:15" ht="15.5" x14ac:dyDescent="0.25">
      <c r="A7" s="359" t="s">
        <v>584</v>
      </c>
      <c r="B7" s="896" t="s">
        <v>683</v>
      </c>
      <c r="C7" s="897"/>
      <c r="D7" s="897"/>
      <c r="E7" s="897"/>
      <c r="F7" s="897"/>
      <c r="G7" s="897"/>
      <c r="H7" s="315"/>
      <c r="I7" s="315"/>
      <c r="J7" s="506"/>
      <c r="K7" s="506"/>
      <c r="L7" s="506"/>
      <c r="M7" s="506"/>
      <c r="N7" s="506"/>
      <c r="O7" s="506"/>
    </row>
    <row r="8" spans="1:15" ht="13" x14ac:dyDescent="0.25">
      <c r="A8" s="378"/>
      <c r="B8" s="199"/>
      <c r="C8" s="240" t="s">
        <v>586</v>
      </c>
      <c r="D8" s="199"/>
      <c r="E8" s="240" t="s">
        <v>587</v>
      </c>
      <c r="F8" s="378" t="s">
        <v>588</v>
      </c>
      <c r="G8" s="199"/>
      <c r="H8" s="315"/>
      <c r="I8" s="506"/>
      <c r="J8" s="506"/>
      <c r="K8" s="506"/>
      <c r="L8" s="506"/>
      <c r="M8" s="506"/>
      <c r="N8" s="506"/>
      <c r="O8" s="506"/>
    </row>
    <row r="9" spans="1:15" ht="13" x14ac:dyDescent="0.25">
      <c r="A9" s="199"/>
      <c r="B9" s="199"/>
      <c r="C9" s="158" t="s">
        <v>45</v>
      </c>
      <c r="D9" s="199"/>
      <c r="E9" s="561">
        <v>100</v>
      </c>
      <c r="F9" s="385">
        <v>6</v>
      </c>
      <c r="G9" s="199" t="s">
        <v>615</v>
      </c>
      <c r="H9" s="315"/>
      <c r="I9" s="506"/>
      <c r="J9" s="506"/>
      <c r="K9" s="506"/>
      <c r="L9" s="506"/>
      <c r="M9" s="506"/>
      <c r="N9" s="506"/>
      <c r="O9" s="506"/>
    </row>
    <row r="10" spans="1:15" ht="13" x14ac:dyDescent="0.25">
      <c r="A10" s="378" t="s">
        <v>590</v>
      </c>
      <c r="B10" s="199"/>
      <c r="C10" s="199"/>
      <c r="D10" s="199"/>
      <c r="E10" s="199"/>
      <c r="F10" s="199"/>
      <c r="G10" s="199"/>
      <c r="H10" s="315"/>
      <c r="I10" s="506"/>
      <c r="J10" s="506"/>
      <c r="K10" s="506"/>
      <c r="L10" s="506"/>
      <c r="M10" s="506"/>
      <c r="N10" s="506"/>
      <c r="O10" s="506"/>
    </row>
    <row r="11" spans="1:15" ht="13" x14ac:dyDescent="0.3">
      <c r="A11" s="435" t="s">
        <v>79</v>
      </c>
      <c r="B11" s="261" t="s">
        <v>591</v>
      </c>
      <c r="C11" s="261" t="s">
        <v>592</v>
      </c>
      <c r="D11" s="261" t="s">
        <v>593</v>
      </c>
      <c r="E11" s="261" t="s">
        <v>594</v>
      </c>
      <c r="F11" s="261" t="s">
        <v>595</v>
      </c>
      <c r="G11" s="261" t="s">
        <v>596</v>
      </c>
      <c r="H11" s="135" t="s">
        <v>597</v>
      </c>
      <c r="I11" s="322"/>
      <c r="J11" s="322"/>
      <c r="K11" s="322"/>
      <c r="L11" s="322"/>
      <c r="M11" s="322"/>
      <c r="N11" s="322"/>
      <c r="O11" s="506"/>
    </row>
    <row r="12" spans="1:15" ht="13" x14ac:dyDescent="0.3">
      <c r="A12" s="435"/>
      <c r="B12" s="494" t="s">
        <v>684</v>
      </c>
      <c r="C12" s="261"/>
      <c r="D12" s="261"/>
      <c r="E12" s="261"/>
      <c r="F12" s="261"/>
      <c r="G12" s="152"/>
      <c r="H12" s="154"/>
      <c r="I12" s="322"/>
      <c r="J12" s="322"/>
      <c r="K12" s="322"/>
      <c r="L12" s="322"/>
      <c r="M12" s="322"/>
      <c r="N12" s="322"/>
      <c r="O12" s="506"/>
    </row>
    <row r="13" spans="1:15" ht="13" x14ac:dyDescent="0.3">
      <c r="A13" s="264" t="s">
        <v>362</v>
      </c>
      <c r="B13" s="175" t="s">
        <v>363</v>
      </c>
      <c r="C13" s="264" t="s">
        <v>59</v>
      </c>
      <c r="D13" s="372">
        <v>1.7000000000000001E-2</v>
      </c>
      <c r="E13" s="429">
        <f>VLOOKUP(B13,Materiales!$B$8:$D$118,3,FALSE)</f>
        <v>32399.77</v>
      </c>
      <c r="F13" s="246">
        <v>10</v>
      </c>
      <c r="G13" s="176">
        <f t="shared" ref="G13" si="0">+D13*E13*((F13+100)/100)</f>
        <v>605.87569900000005</v>
      </c>
      <c r="H13" s="176">
        <f t="shared" ref="H13:H19" si="1">+D13*$E$9</f>
        <v>1.7000000000000002</v>
      </c>
      <c r="I13" s="322"/>
      <c r="J13" s="322"/>
      <c r="K13" s="322"/>
      <c r="L13" s="322"/>
      <c r="M13" s="322"/>
      <c r="N13" s="322"/>
      <c r="O13" s="506"/>
    </row>
    <row r="14" spans="1:15" ht="13" x14ac:dyDescent="0.3">
      <c r="A14" s="320" t="s">
        <v>372</v>
      </c>
      <c r="B14" s="178" t="s">
        <v>373</v>
      </c>
      <c r="C14" s="320" t="s">
        <v>374</v>
      </c>
      <c r="D14" s="374">
        <v>0.14400000000000002</v>
      </c>
      <c r="E14" s="430">
        <f>VLOOKUP(B14,Materiales!$B$8:$D$118,3,FALSE)</f>
        <v>3837.96</v>
      </c>
      <c r="F14" s="41">
        <v>10</v>
      </c>
      <c r="G14" s="179">
        <f>+D14*E14*((F14+100)/100)</f>
        <v>607.93286400000011</v>
      </c>
      <c r="H14" s="179">
        <f t="shared" si="1"/>
        <v>14.400000000000002</v>
      </c>
      <c r="I14" s="506"/>
      <c r="J14" s="506"/>
      <c r="K14" s="506"/>
      <c r="L14" s="506"/>
      <c r="M14" s="506"/>
      <c r="N14" s="506"/>
      <c r="O14" s="506"/>
    </row>
    <row r="15" spans="1:15" ht="13" x14ac:dyDescent="0.3">
      <c r="A15" s="265" t="s">
        <v>368</v>
      </c>
      <c r="B15" s="180" t="s">
        <v>369</v>
      </c>
      <c r="C15" s="265" t="s">
        <v>374</v>
      </c>
      <c r="D15" s="373">
        <v>3.7000000000000005E-2</v>
      </c>
      <c r="E15" s="432">
        <f>VLOOKUP(B15,Materiales!$B$8:$D$118,3,FALSE)</f>
        <v>7809.48</v>
      </c>
      <c r="F15" s="56">
        <v>10</v>
      </c>
      <c r="G15" s="182">
        <f t="shared" ref="G15:G19" si="2">+D15*E15*((F15+100)/100)</f>
        <v>317.84583600000002</v>
      </c>
      <c r="H15" s="182">
        <f t="shared" si="1"/>
        <v>3.7000000000000006</v>
      </c>
      <c r="I15" s="506"/>
      <c r="J15" s="506"/>
      <c r="K15" s="506"/>
      <c r="L15" s="506"/>
      <c r="M15" s="506"/>
      <c r="N15" s="506"/>
      <c r="O15" s="506"/>
    </row>
    <row r="16" spans="1:15" ht="13" x14ac:dyDescent="0.3">
      <c r="A16" s="435"/>
      <c r="B16" s="494" t="s">
        <v>685</v>
      </c>
      <c r="C16" s="261"/>
      <c r="D16" s="550"/>
      <c r="E16" s="261"/>
      <c r="F16" s="261"/>
      <c r="G16" s="152"/>
      <c r="H16" s="154"/>
      <c r="I16" s="506"/>
      <c r="J16" s="506"/>
      <c r="K16" s="506"/>
      <c r="L16" s="506"/>
      <c r="M16" s="506"/>
      <c r="N16" s="506"/>
      <c r="O16" s="506"/>
    </row>
    <row r="17" spans="1:15" ht="13" x14ac:dyDescent="0.3">
      <c r="A17" s="264" t="s">
        <v>362</v>
      </c>
      <c r="B17" s="175" t="s">
        <v>363</v>
      </c>
      <c r="C17" s="264" t="s">
        <v>59</v>
      </c>
      <c r="D17" s="372">
        <v>0.01</v>
      </c>
      <c r="E17" s="429">
        <f>VLOOKUP(B17,Materiales!$B$8:$D$118,3,FALSE)</f>
        <v>32399.77</v>
      </c>
      <c r="F17" s="272">
        <v>10</v>
      </c>
      <c r="G17" s="176">
        <f t="shared" si="2"/>
        <v>356.39747000000006</v>
      </c>
      <c r="H17" s="176">
        <f t="shared" si="1"/>
        <v>1</v>
      </c>
      <c r="I17" s="506"/>
      <c r="J17" s="506"/>
      <c r="K17" s="506"/>
      <c r="L17" s="506"/>
      <c r="M17" s="506"/>
      <c r="N17" s="506"/>
      <c r="O17" s="506"/>
    </row>
    <row r="18" spans="1:15" ht="13" x14ac:dyDescent="0.3">
      <c r="A18" s="320" t="s">
        <v>372</v>
      </c>
      <c r="B18" s="10" t="s">
        <v>376</v>
      </c>
      <c r="C18" s="320" t="s">
        <v>374</v>
      </c>
      <c r="D18" s="374">
        <v>6.4000000000000001E-2</v>
      </c>
      <c r="E18" s="430">
        <f>VLOOKUP(B18,Materiales!$B$8:$D$118,3,FALSE)</f>
        <v>10936.8</v>
      </c>
      <c r="F18" s="41">
        <v>10</v>
      </c>
      <c r="G18" s="179">
        <f t="shared" si="2"/>
        <v>769.95072000000005</v>
      </c>
      <c r="H18" s="179">
        <f t="shared" si="1"/>
        <v>6.4</v>
      </c>
      <c r="I18" s="506"/>
      <c r="J18" s="506"/>
      <c r="K18" s="506"/>
      <c r="L18" s="506"/>
      <c r="M18" s="506"/>
      <c r="N18" s="506"/>
      <c r="O18" s="506"/>
    </row>
    <row r="19" spans="1:15" ht="13" x14ac:dyDescent="0.3">
      <c r="A19" s="265" t="s">
        <v>368</v>
      </c>
      <c r="B19" s="180" t="s">
        <v>369</v>
      </c>
      <c r="C19" s="265" t="s">
        <v>374</v>
      </c>
      <c r="D19" s="373">
        <v>9.0000000000000011E-3</v>
      </c>
      <c r="E19" s="432">
        <f>VLOOKUP(B19,Materiales!$B$8:$D$118,3,FALSE)</f>
        <v>7809.48</v>
      </c>
      <c r="F19" s="56">
        <v>10</v>
      </c>
      <c r="G19" s="182">
        <f t="shared" si="2"/>
        <v>77.313852000000011</v>
      </c>
      <c r="H19" s="182">
        <f t="shared" si="1"/>
        <v>0.90000000000000013</v>
      </c>
      <c r="I19" s="506"/>
      <c r="J19" s="506"/>
      <c r="K19" s="506"/>
      <c r="L19" s="506"/>
      <c r="M19" s="506"/>
      <c r="N19" s="506"/>
      <c r="O19" s="506"/>
    </row>
    <row r="20" spans="1:15" ht="13" x14ac:dyDescent="0.25">
      <c r="A20" s="199"/>
      <c r="B20" s="199"/>
      <c r="C20" s="199"/>
      <c r="D20" s="199"/>
      <c r="E20" s="530"/>
      <c r="F20" s="336" t="s">
        <v>598</v>
      </c>
      <c r="G20" s="531">
        <f>SUM(G12:G19)</f>
        <v>2735.3164410000004</v>
      </c>
      <c r="H20" s="315"/>
      <c r="I20" s="506"/>
      <c r="J20" s="506"/>
      <c r="K20" s="506"/>
      <c r="L20" s="506"/>
      <c r="M20" s="506"/>
      <c r="N20" s="506"/>
      <c r="O20" s="506"/>
    </row>
    <row r="21" spans="1:15" ht="13" x14ac:dyDescent="0.25">
      <c r="A21" s="199"/>
      <c r="B21" s="199"/>
      <c r="C21" s="199"/>
      <c r="D21" s="199"/>
      <c r="E21" s="532"/>
      <c r="F21" s="441" t="s">
        <v>9</v>
      </c>
      <c r="G21" s="533">
        <f>+G20</f>
        <v>2735.3164410000004</v>
      </c>
      <c r="H21" s="541"/>
      <c r="I21" s="506"/>
      <c r="J21" s="506"/>
      <c r="K21" s="506"/>
      <c r="L21" s="506"/>
      <c r="M21" s="506"/>
      <c r="N21" s="506"/>
      <c r="O21" s="506"/>
    </row>
    <row r="22" spans="1:15" ht="13" x14ac:dyDescent="0.25">
      <c r="A22" s="378" t="s">
        <v>599</v>
      </c>
      <c r="B22" s="199"/>
      <c r="C22" s="199"/>
      <c r="D22" s="199"/>
      <c r="E22" s="199"/>
      <c r="F22" s="199"/>
      <c r="G22" s="199"/>
      <c r="H22" s="315"/>
      <c r="I22" s="506"/>
      <c r="J22" s="506"/>
      <c r="K22" s="506"/>
      <c r="L22" s="506"/>
      <c r="M22" s="506"/>
      <c r="N22" s="506"/>
      <c r="O22" s="506"/>
    </row>
    <row r="23" spans="1:15" ht="13" x14ac:dyDescent="0.25">
      <c r="A23" s="435" t="s">
        <v>79</v>
      </c>
      <c r="B23" s="261" t="s">
        <v>591</v>
      </c>
      <c r="C23" s="261" t="s">
        <v>592</v>
      </c>
      <c r="D23" s="348" t="s">
        <v>593</v>
      </c>
      <c r="E23" s="261" t="s">
        <v>600</v>
      </c>
      <c r="F23" s="417" t="s">
        <v>87</v>
      </c>
      <c r="G23" s="399" t="s">
        <v>596</v>
      </c>
      <c r="H23" s="534"/>
      <c r="I23" s="322"/>
      <c r="J23" s="322"/>
      <c r="K23" s="322"/>
      <c r="L23" s="322"/>
      <c r="M23" s="322"/>
      <c r="N23" s="322"/>
      <c r="O23" s="506"/>
    </row>
    <row r="24" spans="1:15" ht="13" x14ac:dyDescent="0.3">
      <c r="A24" s="264" t="s">
        <v>88</v>
      </c>
      <c r="B24" s="175" t="s">
        <v>89</v>
      </c>
      <c r="C24" s="264" t="s">
        <v>352</v>
      </c>
      <c r="D24" s="372">
        <v>0.5</v>
      </c>
      <c r="E24" s="492">
        <f>VLOOKUP(B24,'Rend. Equipos'!$B$7:$E$222,4,FALSE)</f>
        <v>1028123.0837653707</v>
      </c>
      <c r="F24" s="464">
        <f>VLOOKUP(B24,'Rend. Equipos'!$B$6:$L$166,MATCH($F$23,'Rend. Equipos'!$B$6:$L$6,0),0)</f>
        <v>5.5555555555555556E-4</v>
      </c>
      <c r="G24" s="176">
        <f>+E24*D24*F24</f>
        <v>285.58974549038072</v>
      </c>
      <c r="H24" s="315"/>
      <c r="I24" s="506"/>
      <c r="J24" s="506"/>
      <c r="K24" s="506"/>
      <c r="L24" s="506"/>
      <c r="M24" s="506"/>
      <c r="N24" s="506"/>
      <c r="O24" s="506"/>
    </row>
    <row r="25" spans="1:15" ht="13" x14ac:dyDescent="0.3">
      <c r="A25" s="320" t="s">
        <v>93</v>
      </c>
      <c r="B25" s="178" t="s">
        <v>94</v>
      </c>
      <c r="C25" s="320" t="s">
        <v>352</v>
      </c>
      <c r="D25" s="374">
        <v>1</v>
      </c>
      <c r="E25" s="548">
        <f>VLOOKUP(B25,'Rend. Equipos'!$B$7:$E$222,4,FALSE)</f>
        <v>2470106.6047045495</v>
      </c>
      <c r="F25" s="466">
        <f>VLOOKUP(B25,'Rend. Equipos'!$B$6:$L$166,MATCH($F$23,'Rend. Equipos'!$B$6:$L$6,0),0)</f>
        <v>9.2592592592592596E-4</v>
      </c>
      <c r="G25" s="179">
        <f>+E25*D25*F25</f>
        <v>2287.1357450968053</v>
      </c>
      <c r="H25" s="315"/>
      <c r="I25" s="506"/>
      <c r="J25" s="506"/>
      <c r="K25" s="506"/>
      <c r="L25" s="506"/>
      <c r="M25" s="506"/>
      <c r="N25" s="506"/>
      <c r="O25" s="506"/>
    </row>
    <row r="26" spans="1:15" ht="26" x14ac:dyDescent="0.25">
      <c r="A26" s="265" t="s">
        <v>163</v>
      </c>
      <c r="B26" s="463" t="s">
        <v>164</v>
      </c>
      <c r="C26" s="265" t="s">
        <v>17</v>
      </c>
      <c r="D26" s="527">
        <v>1</v>
      </c>
      <c r="E26" s="432">
        <f>VLOOKUP(B26,'Rend. Equipos'!$B$7:$E$222,4,FALSE)</f>
        <v>689222.30122796178</v>
      </c>
      <c r="F26" s="468">
        <f>VLOOKUP(B26,'Rend. Equipos'!$B$6:$L$166,MATCH($F$23,'Rend. Equipos'!$B$6:$L$6,0),0)</f>
        <v>1.3888888888888889E-3</v>
      </c>
      <c r="G26" s="469">
        <f>+E26*D26*F26</f>
        <v>957.25319614994692</v>
      </c>
      <c r="H26" s="315"/>
      <c r="I26" s="506"/>
      <c r="J26" s="506"/>
      <c r="K26" s="506"/>
      <c r="L26" s="506"/>
      <c r="M26" s="506"/>
      <c r="N26" s="506"/>
      <c r="O26" s="506"/>
    </row>
    <row r="27" spans="1:15" ht="13" x14ac:dyDescent="0.25">
      <c r="A27" s="505"/>
      <c r="B27" s="505"/>
      <c r="C27" s="505"/>
      <c r="D27" s="505"/>
      <c r="E27" s="536"/>
      <c r="F27" s="440" t="s">
        <v>602</v>
      </c>
      <c r="G27" s="537">
        <f>SUM(G24:G26)</f>
        <v>3529.9786867371331</v>
      </c>
      <c r="H27" s="315"/>
      <c r="I27" s="506"/>
      <c r="J27" s="506"/>
      <c r="K27" s="506"/>
      <c r="L27" s="506"/>
      <c r="M27" s="506"/>
      <c r="N27" s="506"/>
      <c r="O27" s="506"/>
    </row>
    <row r="28" spans="1:15" ht="13" x14ac:dyDescent="0.25">
      <c r="A28" s="199"/>
      <c r="B28" s="199"/>
      <c r="C28" s="199"/>
      <c r="D28" s="199"/>
      <c r="E28" s="532"/>
      <c r="F28" s="441" t="s">
        <v>11</v>
      </c>
      <c r="G28" s="533">
        <f>+G27/F9</f>
        <v>588.32978112285548</v>
      </c>
      <c r="H28" s="315"/>
      <c r="I28" s="506"/>
      <c r="J28" s="506"/>
      <c r="K28" s="506"/>
      <c r="L28" s="506"/>
      <c r="M28" s="506"/>
      <c r="N28" s="506"/>
      <c r="O28" s="506"/>
    </row>
    <row r="29" spans="1:15" ht="13" x14ac:dyDescent="0.25">
      <c r="A29" s="378" t="s">
        <v>603</v>
      </c>
      <c r="B29" s="199"/>
      <c r="C29" s="199"/>
      <c r="D29" s="199"/>
      <c r="E29" s="199"/>
      <c r="F29" s="199"/>
      <c r="G29" s="199"/>
      <c r="H29" s="315"/>
      <c r="I29" s="506"/>
      <c r="J29" s="506"/>
      <c r="K29" s="506"/>
      <c r="L29" s="506"/>
      <c r="M29" s="506"/>
      <c r="N29" s="506"/>
      <c r="O29" s="506"/>
    </row>
    <row r="30" spans="1:15" ht="13" x14ac:dyDescent="0.25">
      <c r="A30" s="435" t="s">
        <v>79</v>
      </c>
      <c r="B30" s="261" t="s">
        <v>591</v>
      </c>
      <c r="C30" s="261" t="s">
        <v>592</v>
      </c>
      <c r="D30" s="348" t="s">
        <v>593</v>
      </c>
      <c r="E30" s="261" t="s">
        <v>604</v>
      </c>
      <c r="F30" s="261"/>
      <c r="G30" s="399" t="s">
        <v>596</v>
      </c>
      <c r="H30" s="534"/>
      <c r="I30" s="322" t="s">
        <v>686</v>
      </c>
      <c r="J30" s="552" t="s">
        <v>687</v>
      </c>
      <c r="K30" s="322" t="s">
        <v>688</v>
      </c>
      <c r="L30" s="322" t="s">
        <v>689</v>
      </c>
      <c r="M30" s="322" t="s">
        <v>690</v>
      </c>
      <c r="N30" s="322" t="s">
        <v>691</v>
      </c>
      <c r="O30" s="506"/>
    </row>
    <row r="31" spans="1:15" ht="13" x14ac:dyDescent="0.25">
      <c r="A31" s="161" t="s">
        <v>228</v>
      </c>
      <c r="B31" s="26" t="s">
        <v>230</v>
      </c>
      <c r="C31" s="264" t="s">
        <v>605</v>
      </c>
      <c r="D31" s="470">
        <v>0.65</v>
      </c>
      <c r="E31" s="429">
        <f>VLOOKUP(B31,'Mano de Obra'!$B$8:$C$100,2,FALSE)</f>
        <v>60860.580776571966</v>
      </c>
      <c r="F31" s="429"/>
      <c r="G31" s="465">
        <f>+E31*D31</f>
        <v>39559.377504771779</v>
      </c>
      <c r="H31" s="315"/>
      <c r="I31" s="506" t="s">
        <v>641</v>
      </c>
      <c r="J31" s="506">
        <v>0.25</v>
      </c>
      <c r="K31" s="506">
        <v>0.45</v>
      </c>
      <c r="L31" s="506">
        <f>+J31+K31</f>
        <v>0.7</v>
      </c>
      <c r="M31" s="506">
        <v>7</v>
      </c>
      <c r="N31" s="506">
        <f>+M31/L31</f>
        <v>10</v>
      </c>
      <c r="O31" s="506"/>
    </row>
    <row r="32" spans="1:15" ht="13" x14ac:dyDescent="0.25">
      <c r="A32" s="265" t="s">
        <v>255</v>
      </c>
      <c r="B32" s="432" t="s">
        <v>256</v>
      </c>
      <c r="C32" s="265" t="s">
        <v>605</v>
      </c>
      <c r="D32" s="471">
        <v>1</v>
      </c>
      <c r="E32" s="432">
        <f>VLOOKUP(B32,'Mano de Obra'!$B$8:$C$100,2,FALSE)</f>
        <v>85927.097156571981</v>
      </c>
      <c r="F32" s="432"/>
      <c r="G32" s="469">
        <f>+E32*D32</f>
        <v>85927.097156571981</v>
      </c>
      <c r="H32" s="315"/>
      <c r="I32" s="506" t="s">
        <v>640</v>
      </c>
      <c r="J32" s="506">
        <v>0.35</v>
      </c>
      <c r="K32" s="506">
        <v>0.8</v>
      </c>
      <c r="L32" s="506">
        <f>+J32+K32</f>
        <v>1.1499999999999999</v>
      </c>
      <c r="M32" s="506">
        <v>7</v>
      </c>
      <c r="N32" s="506">
        <f>+M32/L32</f>
        <v>6.0869565217391308</v>
      </c>
      <c r="O32" s="506">
        <f>+N32/N31</f>
        <v>0.60869565217391308</v>
      </c>
    </row>
    <row r="33" spans="1:15" ht="13" x14ac:dyDescent="0.25">
      <c r="A33" s="505"/>
      <c r="B33" s="505"/>
      <c r="C33" s="505"/>
      <c r="D33" s="505"/>
      <c r="E33" s="536"/>
      <c r="F33" s="440" t="s">
        <v>606</v>
      </c>
      <c r="G33" s="537">
        <f>SUM(G31:G32)</f>
        <v>125486.47466134376</v>
      </c>
      <c r="H33" s="315"/>
      <c r="I33" s="506"/>
      <c r="J33" s="506"/>
      <c r="K33" s="506"/>
      <c r="L33" s="506"/>
      <c r="M33" s="506"/>
      <c r="N33" s="506"/>
      <c r="O33" s="506"/>
    </row>
    <row r="34" spans="1:15" ht="13" x14ac:dyDescent="0.25">
      <c r="A34" s="199"/>
      <c r="B34" s="199"/>
      <c r="C34" s="199"/>
      <c r="D34" s="199"/>
      <c r="E34" s="530"/>
      <c r="F34" s="336" t="s">
        <v>607</v>
      </c>
      <c r="G34" s="539">
        <v>1</v>
      </c>
      <c r="H34" s="315"/>
      <c r="I34" s="506"/>
      <c r="J34" s="506"/>
      <c r="K34" s="506"/>
      <c r="L34" s="506"/>
      <c r="M34" s="506"/>
      <c r="N34" s="506"/>
      <c r="O34" s="506"/>
    </row>
    <row r="35" spans="1:15" ht="13" x14ac:dyDescent="0.25">
      <c r="A35" s="199"/>
      <c r="B35" s="199"/>
      <c r="C35" s="199"/>
      <c r="D35" s="199"/>
      <c r="E35" s="530"/>
      <c r="F35" s="336" t="s">
        <v>608</v>
      </c>
      <c r="G35" s="531">
        <f>+G34*G33</f>
        <v>125486.47466134376</v>
      </c>
      <c r="H35" s="315"/>
      <c r="I35" s="506"/>
      <c r="J35" s="506"/>
      <c r="K35" s="506"/>
      <c r="L35" s="506"/>
      <c r="M35" s="506"/>
      <c r="N35" s="506"/>
      <c r="O35" s="506"/>
    </row>
    <row r="36" spans="1:15" ht="13" x14ac:dyDescent="0.25">
      <c r="A36" s="199"/>
      <c r="B36" s="199"/>
      <c r="C36" s="199"/>
      <c r="D36" s="199"/>
      <c r="E36" s="532"/>
      <c r="F36" s="441" t="s">
        <v>10</v>
      </c>
      <c r="G36" s="533">
        <f>+G35/F9</f>
        <v>20914.412443557292</v>
      </c>
      <c r="H36" s="315"/>
      <c r="I36" s="506"/>
      <c r="J36" s="506"/>
      <c r="K36" s="506"/>
      <c r="L36" s="506"/>
      <c r="M36" s="506"/>
      <c r="N36" s="506"/>
      <c r="O36" s="506"/>
    </row>
    <row r="37" spans="1:15" ht="13" x14ac:dyDescent="0.25">
      <c r="A37" s="199"/>
      <c r="B37" s="199"/>
      <c r="C37" s="199"/>
      <c r="D37" s="199"/>
      <c r="I37" s="506"/>
      <c r="J37" s="506"/>
      <c r="K37" s="506"/>
      <c r="L37" s="506"/>
      <c r="M37" s="506"/>
      <c r="N37" s="506"/>
      <c r="O37" s="506"/>
    </row>
    <row r="38" spans="1:15" ht="13" x14ac:dyDescent="0.25">
      <c r="A38" s="199"/>
      <c r="B38" s="199"/>
      <c r="C38" s="199"/>
      <c r="D38" s="199"/>
      <c r="E38" s="199"/>
      <c r="F38" s="336" t="s">
        <v>609</v>
      </c>
      <c r="G38" s="336">
        <f>+G36+G28+G21</f>
        <v>24238.058665680146</v>
      </c>
      <c r="H38" s="315"/>
      <c r="I38" s="506"/>
      <c r="J38" s="506"/>
      <c r="K38" s="506"/>
      <c r="L38" s="506"/>
      <c r="M38" s="506"/>
      <c r="N38" s="506"/>
      <c r="O38" s="506"/>
    </row>
    <row r="39" spans="1:15" ht="13" x14ac:dyDescent="0.25">
      <c r="A39" s="199"/>
      <c r="B39" s="199"/>
      <c r="C39" s="199"/>
      <c r="D39" s="199"/>
      <c r="E39" s="336" t="s">
        <v>610</v>
      </c>
      <c r="F39" s="540">
        <f>+RESUMEN!$I$2</f>
        <v>0</v>
      </c>
      <c r="G39" s="379">
        <f>IF(F39=0,0,F39*G38)</f>
        <v>0</v>
      </c>
      <c r="H39" s="315"/>
      <c r="I39" s="506"/>
      <c r="J39" s="506"/>
      <c r="K39" s="506"/>
      <c r="L39" s="506"/>
      <c r="M39" s="506"/>
      <c r="N39" s="506"/>
      <c r="O39" s="506"/>
    </row>
    <row r="40" spans="1:15" ht="13" x14ac:dyDescent="0.25">
      <c r="A40" s="199"/>
      <c r="B40" s="199"/>
      <c r="C40" s="199"/>
      <c r="D40" s="199"/>
      <c r="E40" s="336" t="s">
        <v>611</v>
      </c>
      <c r="F40" s="540">
        <f>+RESUMEN!$I$3</f>
        <v>0</v>
      </c>
      <c r="G40" s="379">
        <f>IF(F40=0,0,F40*G38)</f>
        <v>0</v>
      </c>
      <c r="H40" s="541"/>
      <c r="I40" s="506"/>
      <c r="J40" s="506"/>
      <c r="K40" s="506"/>
      <c r="L40" s="506"/>
      <c r="M40" s="506"/>
      <c r="N40" s="506"/>
      <c r="O40" s="506"/>
    </row>
    <row r="41" spans="1:15" ht="13" x14ac:dyDescent="0.25">
      <c r="A41" s="199"/>
      <c r="B41" s="199"/>
      <c r="C41" s="199"/>
      <c r="D41" s="199"/>
      <c r="E41" s="542"/>
      <c r="F41" s="543" t="s">
        <v>612</v>
      </c>
      <c r="G41" s="544">
        <f>SUM(G38:G40)</f>
        <v>24238.058665680146</v>
      </c>
      <c r="H41" s="315"/>
      <c r="I41" s="506"/>
      <c r="J41" s="551"/>
      <c r="K41" s="506"/>
      <c r="L41" s="506"/>
      <c r="M41" s="506"/>
      <c r="N41" s="506"/>
      <c r="O41" s="506"/>
    </row>
    <row r="42" spans="1:15" ht="13" x14ac:dyDescent="0.25">
      <c r="A42" s="199"/>
      <c r="B42" s="199"/>
      <c r="C42" s="199"/>
      <c r="D42" s="199"/>
      <c r="E42" s="506"/>
      <c r="F42" s="506"/>
      <c r="G42" s="506"/>
      <c r="H42" s="315"/>
      <c r="I42" s="506"/>
      <c r="J42" s="506"/>
      <c r="K42" s="506"/>
      <c r="L42" s="506"/>
      <c r="M42" s="506"/>
      <c r="N42" s="506"/>
      <c r="O42" s="506"/>
    </row>
    <row r="43" spans="1:15" ht="13" x14ac:dyDescent="0.25">
      <c r="A43" s="875"/>
      <c r="B43" s="870"/>
      <c r="C43" s="199"/>
      <c r="D43" s="199"/>
      <c r="E43" s="506"/>
      <c r="F43" s="506"/>
      <c r="G43" s="506"/>
      <c r="H43" s="315"/>
      <c r="I43" s="506"/>
      <c r="J43" s="506"/>
      <c r="K43" s="506"/>
      <c r="L43" s="506"/>
      <c r="M43" s="506"/>
      <c r="N43" s="506"/>
      <c r="O43" s="506"/>
    </row>
    <row r="44" spans="1:15" ht="13" x14ac:dyDescent="0.25">
      <c r="A44" s="875"/>
      <c r="B44" s="870"/>
      <c r="C44" s="199"/>
      <c r="D44" s="199"/>
      <c r="E44" s="506"/>
      <c r="F44" s="506"/>
      <c r="G44" s="506"/>
      <c r="H44" s="315"/>
      <c r="I44" s="506"/>
      <c r="J44" s="506"/>
      <c r="K44" s="506"/>
      <c r="L44" s="506"/>
      <c r="M44" s="506"/>
      <c r="N44" s="506"/>
      <c r="O44" s="506"/>
    </row>
  </sheetData>
  <mergeCells count="4">
    <mergeCell ref="A1:G1"/>
    <mergeCell ref="B7:G7"/>
    <mergeCell ref="A43:B43"/>
    <mergeCell ref="A44:B4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/>
  </sheetPr>
  <dimension ref="A1:H44"/>
  <sheetViews>
    <sheetView workbookViewId="0">
      <selection activeCell="G20" sqref="G20"/>
    </sheetView>
  </sheetViews>
  <sheetFormatPr defaultColWidth="11.453125" defaultRowHeight="12.5" x14ac:dyDescent="0.25"/>
  <cols>
    <col min="1" max="1" width="10.54296875" customWidth="1"/>
    <col min="2" max="2" width="37" bestFit="1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0.453125" bestFit="1" customWidth="1"/>
    <col min="10" max="10" width="9.453125" bestFit="1" customWidth="1"/>
    <col min="11" max="11" width="7.08984375" bestFit="1" customWidth="1"/>
    <col min="12" max="12" width="9.6328125" bestFit="1" customWidth="1"/>
    <col min="13" max="13" width="6.08984375" bestFit="1" customWidth="1"/>
    <col min="14" max="14" width="4.54296875" bestFit="1" customWidth="1"/>
    <col min="15" max="15" width="5" bestFit="1" customWidth="1"/>
    <col min="16" max="16" width="4.6328125" bestFit="1" customWidth="1"/>
    <col min="17" max="17" width="3.453125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62"/>
    </row>
    <row r="2" spans="1:8" ht="13" x14ac:dyDescent="0.25">
      <c r="A2" s="162"/>
      <c r="B2" s="162"/>
      <c r="C2" s="162"/>
      <c r="D2" s="162"/>
      <c r="E2" s="162"/>
      <c r="F2" s="240" t="s">
        <v>78</v>
      </c>
      <c r="G2" s="561" t="s">
        <v>578</v>
      </c>
      <c r="H2" s="162"/>
    </row>
    <row r="3" spans="1:8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</row>
    <row r="4" spans="1:8" ht="13" x14ac:dyDescent="0.3">
      <c r="A4" s="122"/>
      <c r="B4" s="122"/>
      <c r="C4" s="122"/>
      <c r="D4" s="122"/>
      <c r="E4" s="122"/>
      <c r="F4" s="123" t="s">
        <v>580</v>
      </c>
      <c r="G4" s="126">
        <v>44</v>
      </c>
      <c r="H4" s="162"/>
    </row>
    <row r="5" spans="1:8" ht="13" x14ac:dyDescent="0.25">
      <c r="A5" s="127" t="s">
        <v>581</v>
      </c>
      <c r="B5" s="562" t="s">
        <v>578</v>
      </c>
      <c r="C5" s="563"/>
      <c r="D5" s="563"/>
      <c r="E5" s="563"/>
      <c r="F5" s="563"/>
      <c r="G5" s="563"/>
      <c r="H5" s="162"/>
    </row>
    <row r="6" spans="1:8" ht="13" x14ac:dyDescent="0.3">
      <c r="A6" s="128" t="s">
        <v>582</v>
      </c>
      <c r="B6" s="415" t="s">
        <v>578</v>
      </c>
      <c r="C6" s="122"/>
      <c r="D6" s="122"/>
      <c r="E6" s="122"/>
      <c r="F6" s="123" t="s">
        <v>583</v>
      </c>
      <c r="G6" s="415" t="s">
        <v>578</v>
      </c>
      <c r="H6" s="162"/>
    </row>
    <row r="7" spans="1:8" ht="15.5" x14ac:dyDescent="0.25">
      <c r="A7" s="197" t="s">
        <v>584</v>
      </c>
      <c r="B7" s="873" t="s">
        <v>692</v>
      </c>
      <c r="C7" s="874"/>
      <c r="D7" s="874"/>
      <c r="E7" s="874"/>
      <c r="F7" s="874"/>
      <c r="G7" s="874"/>
      <c r="H7" s="162"/>
    </row>
    <row r="8" spans="1:8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</row>
    <row r="9" spans="1:8" ht="13" x14ac:dyDescent="0.3">
      <c r="A9" s="122"/>
      <c r="B9" s="122"/>
      <c r="C9" s="132" t="s">
        <v>45</v>
      </c>
      <c r="D9" s="122"/>
      <c r="E9" s="564">
        <v>100</v>
      </c>
      <c r="F9" s="33">
        <v>11.5</v>
      </c>
      <c r="G9" s="158" t="s">
        <v>615</v>
      </c>
      <c r="H9" s="162"/>
    </row>
    <row r="10" spans="1:8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</row>
    <row r="11" spans="1:8" ht="13" x14ac:dyDescent="0.3">
      <c r="A11" s="435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</row>
    <row r="12" spans="1:8" ht="13" x14ac:dyDescent="0.3">
      <c r="A12" s="435"/>
      <c r="B12" s="565" t="s">
        <v>693</v>
      </c>
      <c r="C12" s="134"/>
      <c r="D12" s="134"/>
      <c r="E12" s="134"/>
      <c r="F12" s="134"/>
      <c r="G12" s="134"/>
      <c r="H12" s="135"/>
    </row>
    <row r="13" spans="1:8" ht="13" x14ac:dyDescent="0.3">
      <c r="A13" s="264" t="s">
        <v>362</v>
      </c>
      <c r="B13" s="175" t="s">
        <v>363</v>
      </c>
      <c r="C13" s="264" t="s">
        <v>59</v>
      </c>
      <c r="D13" s="372">
        <v>6.0000000000000001E-3</v>
      </c>
      <c r="E13" s="175">
        <f>VLOOKUP(B13,Materiales!$B$8:$D$118,3,FALSE)</f>
        <v>32399.77</v>
      </c>
      <c r="F13" s="175">
        <v>10</v>
      </c>
      <c r="G13" s="176">
        <f t="shared" ref="G13:G15" si="0">+D13*E13*((F13+100)/100)</f>
        <v>213.838482</v>
      </c>
      <c r="H13" s="176">
        <f t="shared" ref="H13:H15" si="1">+D13*$E$9</f>
        <v>0.6</v>
      </c>
    </row>
    <row r="14" spans="1:8" ht="13" x14ac:dyDescent="0.3">
      <c r="A14" s="320" t="s">
        <v>411</v>
      </c>
      <c r="B14" s="178" t="s">
        <v>412</v>
      </c>
      <c r="C14" s="320" t="s">
        <v>403</v>
      </c>
      <c r="D14" s="374">
        <v>0.1</v>
      </c>
      <c r="E14" s="178">
        <f>VLOOKUP(B14,Materiales!$B$8:$D$118,3,FALSE)</f>
        <v>1256.1280000000002</v>
      </c>
      <c r="F14" s="178">
        <v>5</v>
      </c>
      <c r="G14" s="179">
        <f t="shared" si="0"/>
        <v>131.89344000000003</v>
      </c>
      <c r="H14" s="179">
        <f t="shared" si="1"/>
        <v>10</v>
      </c>
    </row>
    <row r="15" spans="1:8" ht="13" x14ac:dyDescent="0.3">
      <c r="A15" s="265" t="s">
        <v>368</v>
      </c>
      <c r="B15" s="180" t="s">
        <v>369</v>
      </c>
      <c r="C15" s="265" t="s">
        <v>374</v>
      </c>
      <c r="D15" s="373">
        <v>5.4000000000000006E-2</v>
      </c>
      <c r="E15" s="180">
        <f>VLOOKUP(B15,Materiales!$B$8:$D$118,3,FALSE)</f>
        <v>7809.48</v>
      </c>
      <c r="F15" s="178">
        <v>10</v>
      </c>
      <c r="G15" s="182">
        <f t="shared" si="0"/>
        <v>463.88311200000004</v>
      </c>
      <c r="H15" s="182">
        <f t="shared" si="1"/>
        <v>5.4</v>
      </c>
    </row>
    <row r="16" spans="1:8" ht="13" x14ac:dyDescent="0.3">
      <c r="A16" s="435"/>
      <c r="B16" s="565" t="s">
        <v>694</v>
      </c>
      <c r="C16" s="134"/>
      <c r="D16" s="134"/>
      <c r="E16" s="134"/>
      <c r="F16" s="134"/>
      <c r="G16" s="134"/>
      <c r="H16" s="135"/>
    </row>
    <row r="17" spans="1:8" ht="13" x14ac:dyDescent="0.3">
      <c r="A17" s="264" t="s">
        <v>362</v>
      </c>
      <c r="B17" s="175" t="s">
        <v>363</v>
      </c>
      <c r="C17" s="264" t="s">
        <v>59</v>
      </c>
      <c r="D17" s="433">
        <v>0.02</v>
      </c>
      <c r="E17" s="175">
        <f>VLOOKUP(B17,Materiales!$B$8:$D$118,3,FALSE)</f>
        <v>32399.77</v>
      </c>
      <c r="F17" s="175">
        <v>10</v>
      </c>
      <c r="G17" s="176">
        <f t="shared" ref="G17:G19" si="2">+D17*E17*((F17+100)/100)</f>
        <v>712.79494000000011</v>
      </c>
      <c r="H17" s="176">
        <f t="shared" ref="H17:H19" si="3">+D17*$E$9</f>
        <v>2</v>
      </c>
    </row>
    <row r="18" spans="1:8" ht="13" x14ac:dyDescent="0.3">
      <c r="A18" s="320" t="s">
        <v>372</v>
      </c>
      <c r="B18" s="178" t="s">
        <v>373</v>
      </c>
      <c r="C18" s="320" t="s">
        <v>374</v>
      </c>
      <c r="D18" s="457">
        <v>0.06</v>
      </c>
      <c r="E18" s="178">
        <f>VLOOKUP(B18,Materiales!$B$8:$D$118,3,FALSE)</f>
        <v>3837.96</v>
      </c>
      <c r="F18" s="178">
        <v>10</v>
      </c>
      <c r="G18" s="179">
        <f t="shared" si="2"/>
        <v>253.30536000000004</v>
      </c>
      <c r="H18" s="179">
        <f t="shared" si="3"/>
        <v>6</v>
      </c>
    </row>
    <row r="19" spans="1:8" ht="13" x14ac:dyDescent="0.3">
      <c r="A19" s="265" t="s">
        <v>368</v>
      </c>
      <c r="B19" s="180" t="s">
        <v>369</v>
      </c>
      <c r="C19" s="265" t="s">
        <v>374</v>
      </c>
      <c r="D19" s="434">
        <v>0.26</v>
      </c>
      <c r="E19" s="180">
        <f>VLOOKUP(B19,Materiales!$B$8:$D$118,3,FALSE)</f>
        <v>7809.48</v>
      </c>
      <c r="F19" s="180">
        <v>10</v>
      </c>
      <c r="G19" s="182">
        <f t="shared" si="2"/>
        <v>2233.5112800000002</v>
      </c>
      <c r="H19" s="182">
        <f t="shared" si="3"/>
        <v>26</v>
      </c>
    </row>
    <row r="20" spans="1:8" ht="13" x14ac:dyDescent="0.3">
      <c r="A20" s="122"/>
      <c r="B20" s="122"/>
      <c r="C20" s="122"/>
      <c r="D20" s="122"/>
      <c r="E20" s="360"/>
      <c r="F20" s="123" t="s">
        <v>598</v>
      </c>
      <c r="G20" s="390">
        <f>SUM(G12:G19)</f>
        <v>4009.2266140000002</v>
      </c>
      <c r="H20" s="162"/>
    </row>
    <row r="21" spans="1:8" ht="13" x14ac:dyDescent="0.3">
      <c r="A21" s="122"/>
      <c r="B21" s="122"/>
      <c r="C21" s="122"/>
      <c r="D21" s="122"/>
      <c r="E21" s="143"/>
      <c r="F21" s="144" t="s">
        <v>9</v>
      </c>
      <c r="G21" s="156">
        <f>+G20</f>
        <v>4009.2266140000002</v>
      </c>
      <c r="H21" s="168"/>
    </row>
    <row r="22" spans="1:8" ht="13" x14ac:dyDescent="0.3">
      <c r="A22" s="128" t="s">
        <v>599</v>
      </c>
      <c r="B22" s="122"/>
      <c r="C22" s="122"/>
      <c r="D22" s="122"/>
      <c r="E22" s="122"/>
      <c r="F22" s="122"/>
      <c r="G22" s="122"/>
      <c r="H22" s="162"/>
    </row>
    <row r="23" spans="1:8" ht="13" x14ac:dyDescent="0.3">
      <c r="A23" s="435" t="s">
        <v>79</v>
      </c>
      <c r="B23" s="134" t="s">
        <v>591</v>
      </c>
      <c r="C23" s="134" t="s">
        <v>592</v>
      </c>
      <c r="D23" s="194" t="s">
        <v>593</v>
      </c>
      <c r="E23" s="134" t="s">
        <v>600</v>
      </c>
      <c r="F23" s="417" t="s">
        <v>87</v>
      </c>
      <c r="G23" s="135" t="s">
        <v>596</v>
      </c>
      <c r="H23" s="167"/>
    </row>
    <row r="24" spans="1:8" ht="13" x14ac:dyDescent="0.3">
      <c r="A24" s="264" t="s">
        <v>88</v>
      </c>
      <c r="B24" s="175" t="s">
        <v>89</v>
      </c>
      <c r="C24" s="264" t="s">
        <v>352</v>
      </c>
      <c r="D24" s="458">
        <v>0.5</v>
      </c>
      <c r="E24" s="175">
        <f>VLOOKUP(B24,'Rend. Equipos'!$B$7:$E$222,4,FALSE)</f>
        <v>1028123.0837653707</v>
      </c>
      <c r="F24" s="464">
        <f>VLOOKUP(B24,'Rend. Equipos'!$B$6:$L$166,MATCH($F$23,'Rend. Equipos'!$B$6:$L$6,0),0)</f>
        <v>5.5555555555555556E-4</v>
      </c>
      <c r="G24" s="176">
        <f>+E24*D24*F24</f>
        <v>285.58974549038072</v>
      </c>
      <c r="H24" s="162"/>
    </row>
    <row r="25" spans="1:8" ht="13" x14ac:dyDescent="0.3">
      <c r="A25" s="320" t="s">
        <v>93</v>
      </c>
      <c r="B25" s="178" t="s">
        <v>94</v>
      </c>
      <c r="C25" s="320" t="s">
        <v>352</v>
      </c>
      <c r="D25" s="511">
        <v>1</v>
      </c>
      <c r="E25" s="178">
        <f>VLOOKUP(B25,'Rend. Equipos'!$B$7:$E$222,4,FALSE)</f>
        <v>2470106.6047045495</v>
      </c>
      <c r="F25" s="466">
        <f>VLOOKUP(B25,'Rend. Equipos'!$B$6:$L$166,MATCH($F$23,'Rend. Equipos'!$B$6:$L$6,0),0)</f>
        <v>9.2592592592592596E-4</v>
      </c>
      <c r="G25" s="179">
        <f t="shared" ref="G25:G26" si="4">+E25*D25*F25</f>
        <v>2287.1357450968053</v>
      </c>
      <c r="H25" s="162"/>
    </row>
    <row r="26" spans="1:8" ht="26" x14ac:dyDescent="0.25">
      <c r="A26" s="265" t="s">
        <v>163</v>
      </c>
      <c r="B26" s="463" t="s">
        <v>164</v>
      </c>
      <c r="C26" s="265" t="s">
        <v>17</v>
      </c>
      <c r="D26" s="527">
        <v>1</v>
      </c>
      <c r="E26" s="432">
        <f>VLOOKUP(B26,'Rend. Equipos'!$B$7:$E$222,4,FALSE)</f>
        <v>689222.30122796178</v>
      </c>
      <c r="F26" s="468">
        <f>VLOOKUP(B26,'Rend. Equipos'!$B$6:$L$166,MATCH($F$23,'Rend. Equipos'!$B$6:$L$6,0),0)</f>
        <v>1.3888888888888889E-3</v>
      </c>
      <c r="G26" s="467">
        <f t="shared" si="4"/>
        <v>957.25319614994692</v>
      </c>
      <c r="H26" s="162"/>
    </row>
    <row r="27" spans="1:8" ht="13" x14ac:dyDescent="0.3">
      <c r="A27" s="139"/>
      <c r="B27" s="139"/>
      <c r="C27" s="139"/>
      <c r="D27" s="139"/>
      <c r="E27" s="140"/>
      <c r="F27" s="141" t="s">
        <v>602</v>
      </c>
      <c r="G27" s="391">
        <f>SUM(G24:G26)</f>
        <v>3529.9786867371331</v>
      </c>
      <c r="H27" s="162"/>
    </row>
    <row r="28" spans="1:8" ht="13" x14ac:dyDescent="0.3">
      <c r="A28" s="122"/>
      <c r="B28" s="122"/>
      <c r="C28" s="122"/>
      <c r="D28" s="122"/>
      <c r="E28" s="143"/>
      <c r="F28" s="144" t="s">
        <v>11</v>
      </c>
      <c r="G28" s="156">
        <f>+G27/F9</f>
        <v>306.95466841192462</v>
      </c>
      <c r="H28" s="162"/>
    </row>
    <row r="29" spans="1:8" ht="13" x14ac:dyDescent="0.3">
      <c r="A29" s="128" t="s">
        <v>603</v>
      </c>
      <c r="B29" s="122"/>
      <c r="C29" s="122"/>
      <c r="D29" s="122"/>
      <c r="E29" s="122"/>
      <c r="F29" s="122"/>
      <c r="G29" s="122"/>
      <c r="H29" s="162"/>
    </row>
    <row r="30" spans="1:8" ht="13" x14ac:dyDescent="0.3">
      <c r="A30" s="133" t="s">
        <v>79</v>
      </c>
      <c r="B30" s="134" t="s">
        <v>591</v>
      </c>
      <c r="C30" s="134" t="s">
        <v>592</v>
      </c>
      <c r="D30" s="134" t="s">
        <v>593</v>
      </c>
      <c r="E30" s="134" t="s">
        <v>604</v>
      </c>
      <c r="F30" s="134"/>
      <c r="G30" s="135" t="s">
        <v>596</v>
      </c>
      <c r="H30" s="167"/>
    </row>
    <row r="31" spans="1:8" ht="13" x14ac:dyDescent="0.3">
      <c r="A31" s="298" t="s">
        <v>255</v>
      </c>
      <c r="B31" s="175" t="s">
        <v>256</v>
      </c>
      <c r="C31" s="264" t="s">
        <v>605</v>
      </c>
      <c r="D31" s="195">
        <v>1</v>
      </c>
      <c r="E31" s="175">
        <f>VLOOKUP(B31,'Mano de Obra'!$B$8:$C$100,2,FALSE)</f>
        <v>85927.097156571981</v>
      </c>
      <c r="F31" s="175"/>
      <c r="G31" s="176">
        <f>+E31*D31</f>
        <v>85927.097156571981</v>
      </c>
      <c r="H31" s="162"/>
    </row>
    <row r="32" spans="1:8" ht="13" x14ac:dyDescent="0.3">
      <c r="A32" s="299" t="s">
        <v>228</v>
      </c>
      <c r="B32" s="180" t="s">
        <v>230</v>
      </c>
      <c r="C32" s="265" t="s">
        <v>605</v>
      </c>
      <c r="D32" s="326">
        <v>0.6</v>
      </c>
      <c r="E32" s="180">
        <f>VLOOKUP(B32,'Mano de Obra'!$B$8:$C$100,2,FALSE)</f>
        <v>60860.580776571966</v>
      </c>
      <c r="F32" s="180"/>
      <c r="G32" s="182">
        <f>+E32*D32</f>
        <v>36516.348465943178</v>
      </c>
      <c r="H32" s="162"/>
    </row>
    <row r="33" spans="1:8" ht="13" x14ac:dyDescent="0.3">
      <c r="A33" s="139"/>
      <c r="B33" s="139"/>
      <c r="C33" s="139"/>
      <c r="D33" s="139"/>
      <c r="E33" s="140"/>
      <c r="F33" s="141" t="s">
        <v>606</v>
      </c>
      <c r="G33" s="391">
        <f>SUM(G31:G32)</f>
        <v>122443.44562251517</v>
      </c>
      <c r="H33" s="162"/>
    </row>
    <row r="34" spans="1:8" ht="13" x14ac:dyDescent="0.3">
      <c r="A34" s="122"/>
      <c r="B34" s="122"/>
      <c r="C34" s="122"/>
      <c r="D34" s="122"/>
      <c r="E34" s="360"/>
      <c r="F34" s="123" t="s">
        <v>607</v>
      </c>
      <c r="G34" s="349">
        <v>1</v>
      </c>
      <c r="H34" s="162"/>
    </row>
    <row r="35" spans="1:8" ht="13" x14ac:dyDescent="0.3">
      <c r="A35" s="122"/>
      <c r="B35" s="122"/>
      <c r="C35" s="122"/>
      <c r="D35" s="122"/>
      <c r="E35" s="360"/>
      <c r="F35" s="123" t="s">
        <v>608</v>
      </c>
      <c r="G35" s="390">
        <f>+G34*G33</f>
        <v>122443.44562251517</v>
      </c>
      <c r="H35" s="162"/>
    </row>
    <row r="36" spans="1:8" ht="13" x14ac:dyDescent="0.3">
      <c r="A36" s="122"/>
      <c r="B36" s="122"/>
      <c r="C36" s="122"/>
      <c r="D36" s="122"/>
      <c r="E36" s="143"/>
      <c r="F36" s="144" t="s">
        <v>10</v>
      </c>
      <c r="G36" s="156">
        <f>+G35/F9</f>
        <v>10647.256141088275</v>
      </c>
      <c r="H36" s="162"/>
    </row>
    <row r="37" spans="1:8" ht="13" x14ac:dyDescent="0.3">
      <c r="A37" s="122"/>
      <c r="B37" s="122"/>
      <c r="C37" s="122"/>
      <c r="D37" s="122"/>
      <c r="H37" s="162"/>
    </row>
    <row r="38" spans="1:8" ht="13" x14ac:dyDescent="0.3">
      <c r="A38" s="122"/>
      <c r="B38" s="122"/>
      <c r="C38" s="122"/>
      <c r="D38" s="122"/>
      <c r="E38" s="122"/>
      <c r="F38" s="123" t="s">
        <v>609</v>
      </c>
      <c r="G38" s="123">
        <f>+G36+G28+G21</f>
        <v>14963.4374235002</v>
      </c>
      <c r="H38" s="162"/>
    </row>
    <row r="39" spans="1:8" ht="13" x14ac:dyDescent="0.3">
      <c r="A39" s="122"/>
      <c r="B39" s="122"/>
      <c r="C39" s="122"/>
      <c r="D39" s="122"/>
      <c r="E39" s="123" t="s">
        <v>610</v>
      </c>
      <c r="F39" s="198">
        <f>+RESUMEN!$I$2</f>
        <v>0</v>
      </c>
      <c r="G39" s="130">
        <f>IF(F39=0,0,F39*G38)</f>
        <v>0</v>
      </c>
      <c r="H39" s="168"/>
    </row>
    <row r="40" spans="1:8" ht="13" x14ac:dyDescent="0.3">
      <c r="A40" s="122"/>
      <c r="B40" s="122"/>
      <c r="C40" s="122"/>
      <c r="D40" s="122"/>
      <c r="E40" s="123" t="s">
        <v>611</v>
      </c>
      <c r="F40" s="198">
        <f>+RESUMEN!$I$3</f>
        <v>0</v>
      </c>
      <c r="G40" s="130">
        <f>IF(F40=0,0,F40*G38)</f>
        <v>0</v>
      </c>
      <c r="H40" s="162"/>
    </row>
    <row r="41" spans="1:8" ht="13" x14ac:dyDescent="0.3">
      <c r="A41" s="122"/>
      <c r="B41" s="122"/>
      <c r="C41" s="122"/>
      <c r="D41" s="122"/>
      <c r="E41" s="151"/>
      <c r="F41" s="152" t="s">
        <v>612</v>
      </c>
      <c r="G41" s="389">
        <f>SUM(G38:G40)</f>
        <v>14963.4374235002</v>
      </c>
      <c r="H41" s="162"/>
    </row>
    <row r="42" spans="1:8" ht="13" x14ac:dyDescent="0.3">
      <c r="A42" s="122"/>
      <c r="B42" s="122"/>
      <c r="C42" s="122"/>
      <c r="D42" s="122"/>
      <c r="E42" s="1"/>
      <c r="F42" s="1"/>
      <c r="G42" s="1"/>
      <c r="H42" s="162"/>
    </row>
    <row r="43" spans="1:8" ht="13" x14ac:dyDescent="0.3">
      <c r="A43" s="875"/>
      <c r="B43" s="870"/>
      <c r="C43" s="122"/>
      <c r="D43" s="122"/>
      <c r="E43" s="1"/>
      <c r="F43" s="1"/>
      <c r="G43" s="1"/>
      <c r="H43" s="162"/>
    </row>
    <row r="44" spans="1:8" ht="13" x14ac:dyDescent="0.3">
      <c r="A44" s="875"/>
      <c r="B44" s="870"/>
      <c r="C44" s="122"/>
      <c r="D44" s="122"/>
      <c r="E44" s="1"/>
      <c r="F44" s="1"/>
      <c r="G44" s="1"/>
      <c r="H44" s="162"/>
    </row>
  </sheetData>
  <mergeCells count="4">
    <mergeCell ref="A1:G1"/>
    <mergeCell ref="B7:G7"/>
    <mergeCell ref="A43:B43"/>
    <mergeCell ref="A44:B44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/>
  </sheetPr>
  <dimension ref="A1:Q42"/>
  <sheetViews>
    <sheetView workbookViewId="0">
      <selection activeCell="G20" sqref="G20"/>
    </sheetView>
  </sheetViews>
  <sheetFormatPr defaultColWidth="11.453125" defaultRowHeight="12.5" x14ac:dyDescent="0.25"/>
  <cols>
    <col min="1" max="1" width="9.54296875" customWidth="1"/>
    <col min="2" max="2" width="37" bestFit="1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0.453125" bestFit="1" customWidth="1"/>
    <col min="10" max="10" width="5.90625" bestFit="1" customWidth="1"/>
    <col min="11" max="11" width="6.36328125" bestFit="1" customWidth="1"/>
    <col min="12" max="12" width="4.54296875" bestFit="1" customWidth="1"/>
    <col min="13" max="13" width="11.36328125" bestFit="1" customWidth="1"/>
    <col min="14" max="14" width="4.54296875" bestFit="1" customWidth="1"/>
    <col min="15" max="15" width="5" bestFit="1" customWidth="1"/>
    <col min="16" max="16" width="4.6328125" bestFit="1" customWidth="1"/>
    <col min="17" max="17" width="3.453125" bestFit="1" customWidth="1"/>
  </cols>
  <sheetData>
    <row r="1" spans="1:17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  <c r="P1" s="1"/>
      <c r="Q1" s="1"/>
    </row>
    <row r="2" spans="1:17" ht="13" x14ac:dyDescent="0.25">
      <c r="A2" s="162"/>
      <c r="B2" s="162"/>
      <c r="C2" s="162"/>
      <c r="D2" s="162"/>
      <c r="E2" s="162"/>
      <c r="F2" s="163" t="s">
        <v>78</v>
      </c>
      <c r="G2" s="561" t="s">
        <v>578</v>
      </c>
      <c r="H2" s="162"/>
      <c r="I2" s="1"/>
      <c r="J2" s="1"/>
      <c r="K2" s="1"/>
      <c r="L2" s="1"/>
      <c r="M2" s="1"/>
      <c r="N2" s="1"/>
      <c r="O2" s="1"/>
      <c r="P2" s="1"/>
      <c r="Q2" s="1"/>
    </row>
    <row r="3" spans="1:17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  <c r="P3" s="1"/>
      <c r="Q3" s="1"/>
    </row>
    <row r="4" spans="1:17" ht="13" x14ac:dyDescent="0.3">
      <c r="A4" s="122"/>
      <c r="B4" s="122"/>
      <c r="C4" s="122"/>
      <c r="D4" s="122"/>
      <c r="E4" s="122"/>
      <c r="F4" s="123" t="s">
        <v>580</v>
      </c>
      <c r="G4" s="126">
        <v>45</v>
      </c>
      <c r="H4" s="162"/>
      <c r="I4" s="1"/>
      <c r="J4" s="1"/>
      <c r="K4" s="1"/>
      <c r="L4" s="1"/>
      <c r="M4" s="1"/>
      <c r="N4" s="1"/>
      <c r="O4" s="1"/>
      <c r="P4" s="1"/>
      <c r="Q4" s="1"/>
    </row>
    <row r="5" spans="1:17" ht="13" x14ac:dyDescent="0.25">
      <c r="A5" s="127" t="s">
        <v>581</v>
      </c>
      <c r="B5" s="562" t="s">
        <v>578</v>
      </c>
      <c r="C5" s="563"/>
      <c r="D5" s="563"/>
      <c r="E5" s="563"/>
      <c r="F5" s="563"/>
      <c r="G5" s="563"/>
      <c r="H5" s="162"/>
      <c r="I5" s="1"/>
      <c r="J5" s="1"/>
      <c r="K5" s="1"/>
      <c r="L5" s="1"/>
      <c r="M5" s="1"/>
      <c r="N5" s="1"/>
      <c r="O5" s="1"/>
      <c r="P5" s="1"/>
      <c r="Q5" s="1"/>
    </row>
    <row r="6" spans="1:17" ht="13" x14ac:dyDescent="0.3">
      <c r="A6" s="128" t="s">
        <v>582</v>
      </c>
      <c r="B6" s="415" t="s">
        <v>578</v>
      </c>
      <c r="C6" s="122"/>
      <c r="D6" s="122"/>
      <c r="E6" s="122"/>
      <c r="F6" s="123" t="s">
        <v>583</v>
      </c>
      <c r="G6" s="561" t="s">
        <v>578</v>
      </c>
      <c r="H6" s="162"/>
      <c r="I6" s="1"/>
      <c r="J6" s="1"/>
      <c r="K6" s="1"/>
      <c r="L6" s="1"/>
      <c r="M6" s="1"/>
      <c r="N6" s="1"/>
      <c r="O6" s="1"/>
      <c r="P6" s="1"/>
      <c r="Q6" s="1"/>
    </row>
    <row r="7" spans="1:17" ht="15.5" x14ac:dyDescent="0.25">
      <c r="A7" s="197" t="s">
        <v>584</v>
      </c>
      <c r="B7" s="873" t="s">
        <v>695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  <c r="P7" s="1"/>
      <c r="Q7" s="1"/>
    </row>
    <row r="8" spans="1:17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  <c r="N8" s="1"/>
      <c r="O8" s="1"/>
      <c r="P8" s="1"/>
      <c r="Q8" s="1"/>
    </row>
    <row r="9" spans="1:17" ht="13" x14ac:dyDescent="0.3">
      <c r="A9" s="122"/>
      <c r="B9" s="122"/>
      <c r="C9" s="132" t="s">
        <v>45</v>
      </c>
      <c r="D9" s="122"/>
      <c r="E9" s="564">
        <v>100</v>
      </c>
      <c r="F9" s="33">
        <v>8</v>
      </c>
      <c r="G9" s="122" t="s">
        <v>615</v>
      </c>
      <c r="H9" s="162"/>
      <c r="I9" s="1"/>
      <c r="J9" s="1"/>
      <c r="K9" s="1"/>
      <c r="L9" s="1"/>
      <c r="M9" s="1"/>
      <c r="N9" s="1"/>
      <c r="O9" s="1"/>
      <c r="P9" s="1"/>
      <c r="Q9" s="1"/>
    </row>
    <row r="10" spans="1:17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  <c r="P10" s="1"/>
      <c r="Q10" s="1"/>
    </row>
    <row r="11" spans="1:17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  <c r="I11" s="3"/>
      <c r="J11" s="3"/>
      <c r="K11" s="3"/>
      <c r="L11" s="3"/>
      <c r="M11" s="3"/>
      <c r="N11" s="3"/>
      <c r="O11" s="1"/>
      <c r="P11" s="1"/>
      <c r="Q11" s="1"/>
    </row>
    <row r="12" spans="1:17" ht="13" x14ac:dyDescent="0.3">
      <c r="A12" s="435"/>
      <c r="B12" s="565" t="s">
        <v>693</v>
      </c>
      <c r="C12" s="134"/>
      <c r="D12" s="134"/>
      <c r="E12" s="134"/>
      <c r="F12" s="134"/>
      <c r="G12" s="497"/>
      <c r="H12" s="566"/>
      <c r="I12" s="1"/>
      <c r="J12" s="1"/>
      <c r="K12" s="1"/>
      <c r="L12" s="1"/>
      <c r="M12" s="1"/>
      <c r="N12" s="1"/>
      <c r="O12" s="1"/>
      <c r="P12" s="1"/>
      <c r="Q12" s="1"/>
    </row>
    <row r="13" spans="1:17" ht="13" x14ac:dyDescent="0.3">
      <c r="A13" s="264" t="s">
        <v>362</v>
      </c>
      <c r="B13" s="175" t="s">
        <v>363</v>
      </c>
      <c r="C13" s="264" t="s">
        <v>59</v>
      </c>
      <c r="D13" s="433">
        <v>6.0000000000000001E-3</v>
      </c>
      <c r="E13" s="175">
        <f>VLOOKUP(B13,Materiales!$B$8:$D$118,3,FALSE)</f>
        <v>32399.77</v>
      </c>
      <c r="F13" s="175">
        <v>10</v>
      </c>
      <c r="G13" s="176">
        <f t="shared" ref="G13:G19" si="0">+D13*E13*((F13+100)/100)</f>
        <v>213.838482</v>
      </c>
      <c r="H13" s="176">
        <f t="shared" ref="H13:H19" si="1">+D13*$E$9</f>
        <v>0.6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ht="13" x14ac:dyDescent="0.3">
      <c r="A14" s="320" t="s">
        <v>411</v>
      </c>
      <c r="B14" s="178" t="s">
        <v>412</v>
      </c>
      <c r="C14" s="320" t="s">
        <v>403</v>
      </c>
      <c r="D14" s="457">
        <v>0.1</v>
      </c>
      <c r="E14" s="178">
        <f>VLOOKUP(B14,Materiales!$B$8:$D$118,3,FALSE)</f>
        <v>1256.1280000000002</v>
      </c>
      <c r="F14" s="178">
        <v>5</v>
      </c>
      <c r="G14" s="179">
        <f t="shared" si="0"/>
        <v>131.89344000000003</v>
      </c>
      <c r="H14" s="179">
        <f t="shared" si="1"/>
        <v>10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13" x14ac:dyDescent="0.3">
      <c r="A15" s="265" t="s">
        <v>368</v>
      </c>
      <c r="B15" s="180" t="s">
        <v>369</v>
      </c>
      <c r="C15" s="265" t="s">
        <v>374</v>
      </c>
      <c r="D15" s="434">
        <v>5.4000000000000006E-2</v>
      </c>
      <c r="E15" s="180">
        <f>VLOOKUP(B15,Materiales!$B$8:$D$118,3,FALSE)</f>
        <v>7809.48</v>
      </c>
      <c r="F15" s="180">
        <v>10</v>
      </c>
      <c r="G15" s="182">
        <f t="shared" si="0"/>
        <v>463.88311200000004</v>
      </c>
      <c r="H15" s="182">
        <f t="shared" si="1"/>
        <v>5.4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13" x14ac:dyDescent="0.3">
      <c r="A16" s="435"/>
      <c r="B16" s="565" t="s">
        <v>694</v>
      </c>
      <c r="C16" s="134"/>
      <c r="D16" s="503"/>
      <c r="E16" s="134"/>
      <c r="F16" s="134"/>
      <c r="G16" s="497"/>
      <c r="H16" s="153"/>
      <c r="I16" s="1"/>
      <c r="J16" s="1"/>
      <c r="K16" s="1"/>
      <c r="L16" s="1"/>
      <c r="M16" s="1"/>
      <c r="N16" s="1"/>
      <c r="O16" s="1"/>
      <c r="P16" s="1"/>
      <c r="Q16" s="1"/>
    </row>
    <row r="17" spans="1:17" ht="13" x14ac:dyDescent="0.3">
      <c r="A17" s="264" t="s">
        <v>362</v>
      </c>
      <c r="B17" s="175" t="s">
        <v>363</v>
      </c>
      <c r="C17" s="264" t="s">
        <v>59</v>
      </c>
      <c r="D17" s="433">
        <v>0.02</v>
      </c>
      <c r="E17" s="175">
        <f>VLOOKUP(B17,Materiales!$B$8:$D$118,3,FALSE)</f>
        <v>32399.77</v>
      </c>
      <c r="F17" s="175">
        <v>10</v>
      </c>
      <c r="G17" s="176">
        <f t="shared" si="0"/>
        <v>712.79494000000011</v>
      </c>
      <c r="H17" s="176">
        <f t="shared" si="1"/>
        <v>2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ht="13" x14ac:dyDescent="0.3">
      <c r="A18" s="320" t="s">
        <v>372</v>
      </c>
      <c r="B18" s="178" t="s">
        <v>373</v>
      </c>
      <c r="C18" s="320" t="s">
        <v>374</v>
      </c>
      <c r="D18" s="457">
        <v>0.06</v>
      </c>
      <c r="E18" s="178">
        <f>VLOOKUP(B18,Materiales!$B$8:$D$118,3,FALSE)</f>
        <v>3837.96</v>
      </c>
      <c r="F18" s="178">
        <v>10</v>
      </c>
      <c r="G18" s="179">
        <f t="shared" si="0"/>
        <v>253.30536000000004</v>
      </c>
      <c r="H18" s="179">
        <f t="shared" si="1"/>
        <v>6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ht="13" x14ac:dyDescent="0.3">
      <c r="A19" s="265" t="s">
        <v>368</v>
      </c>
      <c r="B19" s="180" t="s">
        <v>369</v>
      </c>
      <c r="C19" s="265" t="s">
        <v>374</v>
      </c>
      <c r="D19" s="434">
        <v>0.26</v>
      </c>
      <c r="E19" s="180">
        <f>VLOOKUP(B19,Materiales!$B$8:$D$118,3,FALSE)</f>
        <v>7809.48</v>
      </c>
      <c r="F19" s="180">
        <v>10</v>
      </c>
      <c r="G19" s="182">
        <f t="shared" si="0"/>
        <v>2233.5112800000002</v>
      </c>
      <c r="H19" s="182">
        <f t="shared" si="1"/>
        <v>26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13" x14ac:dyDescent="0.3">
      <c r="A20" s="122"/>
      <c r="B20" s="122"/>
      <c r="C20" s="122"/>
      <c r="D20" s="504"/>
      <c r="E20" s="360"/>
      <c r="F20" s="123" t="s">
        <v>598</v>
      </c>
      <c r="G20" s="390">
        <f>SUM(G12:G19)</f>
        <v>4009.2266140000002</v>
      </c>
      <c r="H20" s="162"/>
      <c r="I20" s="1"/>
      <c r="J20" s="1"/>
      <c r="K20" s="1"/>
      <c r="L20" s="1"/>
      <c r="M20" s="1"/>
      <c r="N20" s="1"/>
      <c r="O20" s="1"/>
      <c r="P20" s="1"/>
      <c r="Q20" s="1"/>
    </row>
    <row r="21" spans="1:17" ht="13" x14ac:dyDescent="0.3">
      <c r="A21" s="122"/>
      <c r="B21" s="122"/>
      <c r="C21" s="122"/>
      <c r="D21" s="421"/>
      <c r="E21" s="143"/>
      <c r="F21" s="144" t="s">
        <v>9</v>
      </c>
      <c r="G21" s="156">
        <f>+G20</f>
        <v>4009.2266140000002</v>
      </c>
      <c r="H21" s="168"/>
      <c r="I21" s="1"/>
      <c r="J21" s="1"/>
      <c r="K21" s="1"/>
      <c r="L21" s="1"/>
      <c r="M21" s="1"/>
      <c r="N21" s="1"/>
      <c r="O21" s="1"/>
      <c r="P21" s="1"/>
      <c r="Q21" s="1"/>
    </row>
    <row r="22" spans="1:17" ht="13" x14ac:dyDescent="0.3">
      <c r="A22" s="128" t="s">
        <v>599</v>
      </c>
      <c r="B22" s="122"/>
      <c r="C22" s="122"/>
      <c r="D22" s="421"/>
      <c r="E22" s="122"/>
      <c r="F22" s="122"/>
      <c r="G22" s="122"/>
      <c r="H22" s="162"/>
      <c r="I22" s="1"/>
      <c r="J22" s="1"/>
      <c r="K22" s="1"/>
      <c r="L22" s="1"/>
      <c r="M22" s="1"/>
      <c r="N22" s="1"/>
      <c r="O22" s="1"/>
      <c r="P22" s="1"/>
      <c r="Q22" s="1"/>
    </row>
    <row r="23" spans="1:17" ht="13" x14ac:dyDescent="0.3">
      <c r="A23" s="567" t="s">
        <v>79</v>
      </c>
      <c r="B23" s="481" t="s">
        <v>591</v>
      </c>
      <c r="C23" s="481" t="s">
        <v>592</v>
      </c>
      <c r="D23" s="568" t="s">
        <v>593</v>
      </c>
      <c r="E23" s="481" t="s">
        <v>600</v>
      </c>
      <c r="F23" s="417" t="s">
        <v>87</v>
      </c>
      <c r="G23" s="482" t="s">
        <v>596</v>
      </c>
      <c r="H23" s="167"/>
      <c r="I23" s="3"/>
      <c r="J23" s="3"/>
      <c r="K23" s="3"/>
      <c r="L23" s="3"/>
      <c r="M23" s="3"/>
      <c r="N23" s="3"/>
      <c r="O23" s="1"/>
      <c r="P23" s="1"/>
      <c r="Q23" s="1"/>
    </row>
    <row r="24" spans="1:17" ht="13" x14ac:dyDescent="0.25">
      <c r="A24" s="569" t="s">
        <v>186</v>
      </c>
      <c r="B24" s="572" t="s">
        <v>187</v>
      </c>
      <c r="C24" s="569" t="s">
        <v>352</v>
      </c>
      <c r="D24" s="570">
        <v>1</v>
      </c>
      <c r="E24" s="572">
        <f>VLOOKUP(B24,'Rend. Equipos'!$B$7:$E$222,4,FALSE)</f>
        <v>10476479.399999999</v>
      </c>
      <c r="F24" s="570">
        <f>VLOOKUP(B24,'Rend. Equipos'!$B$6:$L$166,MATCH($F$23,'Rend. Equipos'!$B$6:$L$6,0),0)</f>
        <v>2.7777777777777778E-4</v>
      </c>
      <c r="G24" s="573">
        <f>+E24*D24*F24</f>
        <v>2910.1331666666661</v>
      </c>
      <c r="H24" s="162"/>
      <c r="I24" s="1"/>
      <c r="J24" s="1"/>
      <c r="K24" s="1"/>
      <c r="L24" s="1"/>
      <c r="M24" s="1"/>
      <c r="N24" s="1"/>
      <c r="O24" s="1"/>
      <c r="P24" s="1"/>
      <c r="Q24" s="1"/>
    </row>
    <row r="25" spans="1:17" ht="13" x14ac:dyDescent="0.25">
      <c r="A25" s="320" t="s">
        <v>88</v>
      </c>
      <c r="B25" s="430" t="s">
        <v>89</v>
      </c>
      <c r="C25" s="320" t="s">
        <v>352</v>
      </c>
      <c r="D25" s="466">
        <v>0</v>
      </c>
      <c r="E25" s="430">
        <f>VLOOKUP(B25,'Rend. Equipos'!$B$7:$E$222,4,FALSE)</f>
        <v>1028123.0837653707</v>
      </c>
      <c r="F25" s="466">
        <f>VLOOKUP(B25,'Rend. Equipos'!$B$6:$L$166,MATCH($F$23,'Rend. Equipos'!$B$6:$L$6,0),0)</f>
        <v>5.5555555555555556E-4</v>
      </c>
      <c r="G25" s="467">
        <f>+E25*D25*F25</f>
        <v>0</v>
      </c>
      <c r="H25" s="162"/>
      <c r="I25" s="1"/>
      <c r="J25" s="1"/>
      <c r="K25" s="1"/>
      <c r="L25" s="1"/>
      <c r="M25" s="1"/>
      <c r="N25" s="1"/>
      <c r="O25" s="1"/>
      <c r="P25" s="1"/>
      <c r="Q25" s="1"/>
    </row>
    <row r="26" spans="1:17" ht="13" x14ac:dyDescent="0.25">
      <c r="A26" s="320" t="s">
        <v>93</v>
      </c>
      <c r="B26" s="430" t="s">
        <v>94</v>
      </c>
      <c r="C26" s="320" t="s">
        <v>352</v>
      </c>
      <c r="D26" s="466">
        <v>1</v>
      </c>
      <c r="E26" s="430">
        <f>VLOOKUP(B26,'Rend. Equipos'!$B$7:$E$222,4,FALSE)</f>
        <v>2470106.6047045495</v>
      </c>
      <c r="F26" s="466">
        <f>VLOOKUP(B26,'Rend. Equipos'!$B$6:$L$166,MATCH($F$23,'Rend. Equipos'!$B$6:$L$6,0),0)</f>
        <v>9.2592592592592596E-4</v>
      </c>
      <c r="G26" s="467">
        <f>+E26*D26*F26</f>
        <v>2287.1357450968053</v>
      </c>
      <c r="H26" s="162"/>
      <c r="I26" s="1"/>
      <c r="J26" s="1"/>
      <c r="K26" s="1"/>
      <c r="L26" s="1"/>
      <c r="M26" s="1"/>
      <c r="N26" s="1"/>
      <c r="O26" s="1"/>
      <c r="P26" s="1"/>
      <c r="Q26" s="1"/>
    </row>
    <row r="27" spans="1:17" ht="26" x14ac:dyDescent="0.25">
      <c r="A27" s="265" t="s">
        <v>163</v>
      </c>
      <c r="B27" s="463" t="s">
        <v>164</v>
      </c>
      <c r="C27" s="265" t="s">
        <v>17</v>
      </c>
      <c r="D27" s="468">
        <v>1</v>
      </c>
      <c r="E27" s="432">
        <f>VLOOKUP(B27,'Rend. Equipos'!$B$7:$E$222,4,FALSE)</f>
        <v>689222.30122796178</v>
      </c>
      <c r="F27" s="468">
        <f>VLOOKUP(B27,'Rend. Equipos'!$B$6:$L$166,MATCH($F$23,'Rend. Equipos'!$B$6:$L$6,0),0)</f>
        <v>1.3888888888888889E-3</v>
      </c>
      <c r="G27" s="469">
        <f>+E27*D27*F27</f>
        <v>957.25319614994692</v>
      </c>
      <c r="H27" s="162"/>
      <c r="I27" s="1"/>
      <c r="J27" s="1"/>
      <c r="K27" s="1"/>
      <c r="L27" s="1"/>
      <c r="M27" s="1"/>
      <c r="N27" s="1"/>
      <c r="O27" s="1"/>
      <c r="P27" s="1"/>
      <c r="Q27" s="1"/>
    </row>
    <row r="28" spans="1:17" ht="13" x14ac:dyDescent="0.3">
      <c r="A28" s="139"/>
      <c r="B28" s="139"/>
      <c r="C28" s="139"/>
      <c r="D28" s="426"/>
      <c r="E28" s="140"/>
      <c r="F28" s="141" t="s">
        <v>602</v>
      </c>
      <c r="G28" s="142">
        <f>SUM(G24:G27)</f>
        <v>6154.522107913418</v>
      </c>
      <c r="H28" s="162"/>
      <c r="I28" s="1"/>
      <c r="J28" s="1"/>
      <c r="K28" s="1"/>
      <c r="L28" s="1"/>
      <c r="M28" s="1"/>
      <c r="N28" s="1"/>
      <c r="O28" s="1"/>
      <c r="P28" s="1"/>
      <c r="Q28" s="1"/>
    </row>
    <row r="29" spans="1:17" ht="13" x14ac:dyDescent="0.3">
      <c r="A29" s="122"/>
      <c r="B29" s="122"/>
      <c r="C29" s="122"/>
      <c r="D29" s="421"/>
      <c r="E29" s="143"/>
      <c r="F29" s="144" t="s">
        <v>11</v>
      </c>
      <c r="G29" s="156">
        <f>+G28/F9</f>
        <v>769.31526348917725</v>
      </c>
      <c r="H29" s="162"/>
      <c r="I29" s="1"/>
      <c r="J29" s="1"/>
      <c r="K29" s="1"/>
      <c r="L29" s="1"/>
      <c r="M29" s="1"/>
      <c r="N29" s="1"/>
      <c r="O29" s="1"/>
      <c r="P29" s="1"/>
      <c r="Q29" s="1"/>
    </row>
    <row r="30" spans="1:17" ht="13" x14ac:dyDescent="0.3">
      <c r="A30" s="128" t="s">
        <v>603</v>
      </c>
      <c r="B30" s="122"/>
      <c r="C30" s="122"/>
      <c r="D30" s="421"/>
      <c r="E30" s="122"/>
      <c r="F30" s="122"/>
      <c r="G30" s="122"/>
      <c r="H30" s="162"/>
      <c r="I30" s="1"/>
      <c r="J30" s="1"/>
      <c r="K30" s="1"/>
      <c r="L30" s="1"/>
      <c r="M30" s="1"/>
      <c r="N30" s="1"/>
      <c r="O30" s="1"/>
      <c r="P30" s="1"/>
      <c r="Q30" s="1"/>
    </row>
    <row r="31" spans="1:17" ht="13" x14ac:dyDescent="0.3">
      <c r="A31" s="133" t="s">
        <v>79</v>
      </c>
      <c r="B31" s="134" t="s">
        <v>591</v>
      </c>
      <c r="C31" s="134" t="s">
        <v>592</v>
      </c>
      <c r="D31" s="503" t="s">
        <v>593</v>
      </c>
      <c r="E31" s="134" t="s">
        <v>604</v>
      </c>
      <c r="F31" s="134"/>
      <c r="G31" s="135" t="s">
        <v>596</v>
      </c>
      <c r="H31" s="167"/>
      <c r="I31" s="3" t="s">
        <v>686</v>
      </c>
      <c r="J31" s="3" t="s">
        <v>634</v>
      </c>
      <c r="K31" s="3" t="s">
        <v>696</v>
      </c>
      <c r="L31" s="322" t="s">
        <v>689</v>
      </c>
      <c r="M31" s="3" t="s">
        <v>697</v>
      </c>
      <c r="N31" s="322" t="s">
        <v>689</v>
      </c>
      <c r="O31" s="322" t="s">
        <v>690</v>
      </c>
      <c r="P31" s="322" t="s">
        <v>691</v>
      </c>
      <c r="Q31" s="1"/>
    </row>
    <row r="32" spans="1:17" ht="13" x14ac:dyDescent="0.3">
      <c r="A32" s="264" t="s">
        <v>255</v>
      </c>
      <c r="B32" s="175" t="s">
        <v>256</v>
      </c>
      <c r="C32" s="264" t="s">
        <v>605</v>
      </c>
      <c r="D32" s="433">
        <v>1</v>
      </c>
      <c r="E32" s="175">
        <f>VLOOKUP(B32,'Mano de Obra'!$B$8:$C$100,2,FALSE)</f>
        <v>85927.097156571981</v>
      </c>
      <c r="F32" s="175"/>
      <c r="G32" s="176">
        <f>+E32*D32</f>
        <v>85927.097156571981</v>
      </c>
      <c r="H32" s="162"/>
      <c r="I32" s="1" t="s">
        <v>698</v>
      </c>
      <c r="J32" s="1">
        <v>0.25</v>
      </c>
      <c r="K32" s="1">
        <v>0.35</v>
      </c>
      <c r="L32" s="1">
        <f>+SUM(J32:K32)</f>
        <v>0.6</v>
      </c>
      <c r="M32" s="1">
        <v>1.5</v>
      </c>
      <c r="N32" s="1">
        <f>+L32*M32</f>
        <v>0.89999999999999991</v>
      </c>
      <c r="O32" s="1">
        <v>7</v>
      </c>
      <c r="P32" s="1">
        <f>+O32/N32</f>
        <v>7.7777777777777786</v>
      </c>
    </row>
    <row r="33" spans="1:17" ht="13" x14ac:dyDescent="0.3">
      <c r="A33" s="320" t="s">
        <v>228</v>
      </c>
      <c r="B33" s="178" t="s">
        <v>230</v>
      </c>
      <c r="C33" s="320" t="s">
        <v>605</v>
      </c>
      <c r="D33" s="457">
        <v>0.6</v>
      </c>
      <c r="E33" s="178">
        <f>VLOOKUP(B33,'Mano de Obra'!$B$8:$C$100,2,FALSE)</f>
        <v>60860.580776571966</v>
      </c>
      <c r="F33" s="178"/>
      <c r="G33" s="179">
        <f>+E33*D33</f>
        <v>36516.348465943178</v>
      </c>
      <c r="H33" s="162"/>
      <c r="I33" s="1" t="s">
        <v>699</v>
      </c>
      <c r="J33" s="1">
        <v>0.1</v>
      </c>
      <c r="K33" s="1">
        <v>0.25</v>
      </c>
      <c r="L33" s="1">
        <f>+SUM(J33:K33)</f>
        <v>0.35</v>
      </c>
      <c r="M33" s="1">
        <v>1</v>
      </c>
      <c r="N33" s="1">
        <f>+L33*M33</f>
        <v>0.35</v>
      </c>
      <c r="O33" s="1">
        <v>7</v>
      </c>
      <c r="P33" s="1">
        <f>+O33/N33</f>
        <v>20</v>
      </c>
      <c r="Q33" s="1">
        <f>+L33/L32</f>
        <v>0.58333333333333337</v>
      </c>
    </row>
    <row r="34" spans="1:17" ht="13" x14ac:dyDescent="0.3">
      <c r="A34" s="139"/>
      <c r="B34" s="139"/>
      <c r="C34" s="139"/>
      <c r="D34" s="139"/>
      <c r="E34" s="140"/>
      <c r="F34" s="141" t="s">
        <v>606</v>
      </c>
      <c r="G34" s="391">
        <f>SUM(G32:G33)</f>
        <v>122443.44562251517</v>
      </c>
      <c r="H34" s="162"/>
      <c r="I34" s="1"/>
      <c r="J34" s="1"/>
      <c r="K34" s="1"/>
      <c r="L34" s="1"/>
      <c r="M34" s="1"/>
      <c r="N34" s="1"/>
      <c r="O34" s="1"/>
      <c r="P34" s="1"/>
      <c r="Q34" s="1"/>
    </row>
    <row r="35" spans="1:17" ht="13" x14ac:dyDescent="0.3">
      <c r="A35" s="122"/>
      <c r="B35" s="122"/>
      <c r="C35" s="122"/>
      <c r="D35" s="122"/>
      <c r="E35" s="360"/>
      <c r="F35" s="123" t="s">
        <v>607</v>
      </c>
      <c r="G35" s="349">
        <v>1</v>
      </c>
      <c r="H35" s="162"/>
      <c r="I35" s="1"/>
      <c r="J35" s="1"/>
      <c r="K35" s="1"/>
      <c r="L35" s="1"/>
      <c r="M35" s="1"/>
      <c r="N35" s="1"/>
      <c r="O35" s="1"/>
      <c r="P35" s="1"/>
      <c r="Q35" s="1"/>
    </row>
    <row r="36" spans="1:17" ht="13" x14ac:dyDescent="0.3">
      <c r="A36" s="122"/>
      <c r="B36" s="122"/>
      <c r="C36" s="122"/>
      <c r="D36" s="122"/>
      <c r="E36" s="360"/>
      <c r="F36" s="123" t="s">
        <v>608</v>
      </c>
      <c r="G36" s="390">
        <f>+G35*G34</f>
        <v>122443.44562251517</v>
      </c>
      <c r="H36" s="162"/>
      <c r="I36" s="1"/>
      <c r="J36" s="1"/>
      <c r="K36" s="1"/>
      <c r="L36" s="1"/>
      <c r="M36" s="1"/>
      <c r="N36" s="1"/>
      <c r="O36" s="1"/>
      <c r="P36" s="1"/>
      <c r="Q36" s="1"/>
    </row>
    <row r="37" spans="1:17" ht="13" x14ac:dyDescent="0.3">
      <c r="A37" s="1"/>
      <c r="B37" s="1"/>
      <c r="C37" s="1"/>
      <c r="D37" s="122"/>
      <c r="E37" s="143"/>
      <c r="F37" s="144" t="s">
        <v>10</v>
      </c>
      <c r="G37" s="156">
        <f>+G36/F9</f>
        <v>15305.430702814396</v>
      </c>
      <c r="H37" s="168"/>
      <c r="I37" s="1"/>
      <c r="J37" s="1"/>
      <c r="K37" s="1"/>
      <c r="L37" s="1"/>
      <c r="M37" s="1"/>
      <c r="N37" s="1"/>
      <c r="O37" s="1"/>
      <c r="P37" s="1"/>
      <c r="Q37" s="1"/>
    </row>
    <row r="38" spans="1:17" ht="13" x14ac:dyDescent="0.3">
      <c r="A38" s="1"/>
      <c r="B38" s="1"/>
      <c r="C38" s="1"/>
      <c r="D38" s="122"/>
      <c r="H38" s="162"/>
      <c r="I38" s="1"/>
      <c r="J38" s="1"/>
      <c r="K38" s="1"/>
      <c r="L38" s="1"/>
      <c r="M38" s="1"/>
      <c r="N38" s="1"/>
      <c r="O38" s="1"/>
      <c r="P38" s="1"/>
      <c r="Q38" s="1"/>
    </row>
    <row r="39" spans="1:17" ht="13" x14ac:dyDescent="0.3">
      <c r="A39" s="1"/>
      <c r="B39" s="1"/>
      <c r="C39" s="1"/>
      <c r="D39" s="122"/>
      <c r="E39" s="122"/>
      <c r="F39" s="123" t="s">
        <v>609</v>
      </c>
      <c r="G39" s="123">
        <f>+G37+G29+G21</f>
        <v>20083.972580303573</v>
      </c>
      <c r="H39" s="162"/>
      <c r="I39" s="1"/>
      <c r="J39" s="1"/>
      <c r="K39" s="1"/>
      <c r="L39" s="1"/>
      <c r="M39" s="1"/>
      <c r="N39" s="1"/>
      <c r="O39" s="1"/>
      <c r="P39" s="1"/>
      <c r="Q39" s="1"/>
    </row>
    <row r="40" spans="1:17" ht="13" x14ac:dyDescent="0.3">
      <c r="A40" s="1"/>
      <c r="B40" s="1"/>
      <c r="C40" s="1"/>
      <c r="D40" s="122"/>
      <c r="E40" s="123" t="s">
        <v>610</v>
      </c>
      <c r="F40" s="198">
        <f>+RESUMEN!$I$2</f>
        <v>0</v>
      </c>
      <c r="G40" s="130">
        <f>IF(F40=0,0,F40*G39)</f>
        <v>0</v>
      </c>
      <c r="H40" s="162"/>
      <c r="I40" s="1"/>
      <c r="J40" s="1"/>
      <c r="K40" s="1"/>
      <c r="L40" s="1"/>
      <c r="M40" s="1"/>
      <c r="N40" s="1"/>
      <c r="O40" s="1"/>
      <c r="P40" s="1"/>
      <c r="Q40" s="1"/>
    </row>
    <row r="41" spans="1:17" ht="13" x14ac:dyDescent="0.3">
      <c r="A41" s="1"/>
      <c r="B41" s="1"/>
      <c r="C41" s="1"/>
      <c r="D41" s="1"/>
      <c r="E41" s="123" t="s">
        <v>611</v>
      </c>
      <c r="F41" s="198">
        <f>+RESUMEN!$I$3</f>
        <v>0</v>
      </c>
      <c r="G41" s="130">
        <f>IF(F41=0,0,F41*G39)</f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3" x14ac:dyDescent="0.3">
      <c r="A42" s="1"/>
      <c r="B42" s="1"/>
      <c r="C42" s="1"/>
      <c r="D42" s="1"/>
      <c r="E42" s="151"/>
      <c r="F42" s="152" t="s">
        <v>612</v>
      </c>
      <c r="G42" s="389">
        <f>SUM(G39:G41)</f>
        <v>20083.972580303573</v>
      </c>
      <c r="H42" s="1"/>
      <c r="I42" s="1"/>
      <c r="J42" s="1"/>
      <c r="K42" s="1"/>
      <c r="L42" s="1"/>
      <c r="M42" s="1"/>
      <c r="N42" s="1"/>
      <c r="O42" s="1"/>
      <c r="P42" s="1"/>
      <c r="Q42" s="1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/>
  </sheetPr>
  <dimension ref="A1:P36"/>
  <sheetViews>
    <sheetView workbookViewId="0">
      <selection activeCell="G17" sqref="G17"/>
    </sheetView>
  </sheetViews>
  <sheetFormatPr defaultColWidth="11.453125" defaultRowHeight="12.5" x14ac:dyDescent="0.25"/>
  <cols>
    <col min="1" max="1" width="10.36328125" customWidth="1"/>
    <col min="2" max="2" width="35.6328125" customWidth="1"/>
    <col min="3" max="3" width="7.08984375" bestFit="1" customWidth="1"/>
    <col min="4" max="4" width="9" style="427" bestFit="1" customWidth="1"/>
    <col min="5" max="5" width="15.36328125" bestFit="1" customWidth="1"/>
    <col min="6" max="6" width="9.453125" customWidth="1"/>
    <col min="7" max="7" width="9.6328125" customWidth="1"/>
    <col min="8" max="8" width="10.6328125" bestFit="1" customWidth="1"/>
    <col min="13" max="13" width="11.54296875" style="427"/>
  </cols>
  <sheetData>
    <row r="1" spans="1:16" ht="15.5" x14ac:dyDescent="0.25">
      <c r="A1" s="869"/>
      <c r="B1" s="870"/>
      <c r="C1" s="870"/>
      <c r="D1" s="870"/>
      <c r="E1" s="870"/>
      <c r="F1" s="870"/>
      <c r="G1" s="870"/>
      <c r="H1" s="159"/>
      <c r="I1" s="162"/>
      <c r="J1" s="1"/>
      <c r="K1" s="1"/>
      <c r="L1" s="1"/>
      <c r="M1" s="332"/>
      <c r="N1" s="1"/>
      <c r="O1" s="1"/>
      <c r="P1" s="1"/>
    </row>
    <row r="2" spans="1:16" ht="13" x14ac:dyDescent="0.25">
      <c r="A2" s="162"/>
      <c r="B2" s="162"/>
      <c r="C2" s="162"/>
      <c r="D2" s="501"/>
      <c r="E2" s="162"/>
      <c r="F2" s="240" t="s">
        <v>78</v>
      </c>
      <c r="G2" s="561" t="s">
        <v>578</v>
      </c>
      <c r="H2" s="164"/>
      <c r="I2" s="162"/>
      <c r="J2" s="1"/>
      <c r="K2" s="1"/>
      <c r="L2" s="1"/>
      <c r="M2" s="332"/>
      <c r="N2" s="1"/>
      <c r="O2" s="1"/>
      <c r="P2" s="1"/>
    </row>
    <row r="3" spans="1:16" ht="15.5" x14ac:dyDescent="0.35">
      <c r="A3" s="165" t="s">
        <v>579</v>
      </c>
      <c r="B3" s="166"/>
      <c r="C3" s="166"/>
      <c r="D3" s="502"/>
      <c r="E3" s="166"/>
      <c r="F3" s="166"/>
      <c r="G3" s="166"/>
      <c r="H3" s="166"/>
      <c r="I3" s="162"/>
      <c r="J3" s="1"/>
      <c r="K3" s="1"/>
      <c r="L3" s="1"/>
      <c r="M3" s="332"/>
      <c r="N3" s="1"/>
      <c r="O3" s="1"/>
      <c r="P3" s="1"/>
    </row>
    <row r="4" spans="1:16" ht="13" x14ac:dyDescent="0.3">
      <c r="A4" s="122"/>
      <c r="B4" s="122"/>
      <c r="C4" s="122"/>
      <c r="D4" s="421"/>
      <c r="E4" s="122"/>
      <c r="F4" s="123" t="s">
        <v>580</v>
      </c>
      <c r="G4" s="126">
        <v>46</v>
      </c>
      <c r="H4" s="126"/>
      <c r="I4" s="162"/>
      <c r="J4" s="1"/>
      <c r="K4" s="1"/>
      <c r="L4" s="1"/>
      <c r="M4" s="332"/>
      <c r="N4" s="1"/>
      <c r="O4" s="1"/>
      <c r="P4" s="1"/>
    </row>
    <row r="5" spans="1:16" ht="13" x14ac:dyDescent="0.25">
      <c r="A5" s="127" t="s">
        <v>581</v>
      </c>
      <c r="B5" s="562" t="s">
        <v>578</v>
      </c>
      <c r="C5" s="563"/>
      <c r="D5" s="563"/>
      <c r="E5" s="563"/>
      <c r="F5" s="563"/>
      <c r="G5" s="563"/>
      <c r="H5" s="472"/>
      <c r="I5" s="162"/>
      <c r="J5" s="1"/>
      <c r="K5" s="1"/>
      <c r="L5" s="1"/>
      <c r="M5" s="332"/>
      <c r="N5" s="1"/>
      <c r="O5" s="1"/>
      <c r="P5" s="1"/>
    </row>
    <row r="6" spans="1:16" ht="13" x14ac:dyDescent="0.3">
      <c r="A6" s="128" t="s">
        <v>582</v>
      </c>
      <c r="B6" s="415" t="s">
        <v>578</v>
      </c>
      <c r="C6" s="122"/>
      <c r="D6" s="421"/>
      <c r="E6" s="122"/>
      <c r="F6" s="123" t="s">
        <v>583</v>
      </c>
      <c r="G6" s="561" t="s">
        <v>578</v>
      </c>
      <c r="H6" s="130"/>
      <c r="I6" s="162"/>
      <c r="J6" s="1"/>
      <c r="K6" s="1"/>
      <c r="L6" s="1"/>
      <c r="M6" s="332"/>
      <c r="N6" s="1"/>
      <c r="O6" s="1"/>
      <c r="P6" s="1"/>
    </row>
    <row r="7" spans="1:16" ht="15.5" x14ac:dyDescent="0.25">
      <c r="A7" s="197" t="s">
        <v>584</v>
      </c>
      <c r="B7" s="873" t="s">
        <v>700</v>
      </c>
      <c r="C7" s="874"/>
      <c r="D7" s="874"/>
      <c r="E7" s="874"/>
      <c r="F7" s="874"/>
      <c r="G7" s="874"/>
      <c r="H7" s="571"/>
      <c r="I7" s="162"/>
      <c r="J7" s="162"/>
      <c r="K7" s="1"/>
      <c r="L7" s="1"/>
      <c r="M7" s="332"/>
      <c r="N7" s="1"/>
      <c r="O7" s="1"/>
      <c r="P7" s="1"/>
    </row>
    <row r="8" spans="1:16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22"/>
      <c r="I8" s="162"/>
      <c r="J8" s="1"/>
      <c r="K8" s="1"/>
      <c r="L8" s="1"/>
      <c r="M8" s="332"/>
      <c r="N8" s="1"/>
      <c r="O8" s="1"/>
      <c r="P8" s="1"/>
    </row>
    <row r="9" spans="1:16" ht="13" x14ac:dyDescent="0.3">
      <c r="A9" s="122"/>
      <c r="B9" s="122"/>
      <c r="C9" s="132" t="s">
        <v>59</v>
      </c>
      <c r="D9" s="421"/>
      <c r="E9" s="132">
        <v>100</v>
      </c>
      <c r="F9" s="115">
        <v>1.4</v>
      </c>
      <c r="G9" s="158" t="s">
        <v>589</v>
      </c>
      <c r="H9" s="122"/>
      <c r="I9" s="162"/>
      <c r="J9" s="1"/>
      <c r="N9" s="1">
        <v>1</v>
      </c>
      <c r="O9" s="1">
        <f>+N9/0.08</f>
        <v>12.5</v>
      </c>
      <c r="P9" s="332"/>
    </row>
    <row r="10" spans="1:16" ht="13" x14ac:dyDescent="0.3">
      <c r="A10" s="128" t="s">
        <v>590</v>
      </c>
      <c r="B10" s="122"/>
      <c r="C10" s="122"/>
      <c r="D10" s="421"/>
      <c r="E10" s="122"/>
      <c r="F10" s="122"/>
      <c r="G10" s="122"/>
      <c r="H10" s="122"/>
      <c r="I10" s="162"/>
      <c r="J10" s="1"/>
      <c r="N10" s="1">
        <f>+O10*N9/O9</f>
        <v>0.08</v>
      </c>
      <c r="O10" s="1">
        <v>1</v>
      </c>
      <c r="P10" s="332"/>
    </row>
    <row r="11" spans="1:16" ht="13" x14ac:dyDescent="0.3">
      <c r="A11" s="435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167"/>
      <c r="J11" s="3" t="s">
        <v>701</v>
      </c>
      <c r="N11" s="3" t="s">
        <v>702</v>
      </c>
      <c r="O11" s="3"/>
      <c r="P11" s="575"/>
    </row>
    <row r="12" spans="1:16" ht="13" x14ac:dyDescent="0.3">
      <c r="A12" s="264" t="s">
        <v>368</v>
      </c>
      <c r="B12" s="175" t="s">
        <v>369</v>
      </c>
      <c r="C12" s="264" t="s">
        <v>374</v>
      </c>
      <c r="D12" s="386">
        <v>0.748</v>
      </c>
      <c r="E12" s="175">
        <f>VLOOKUP(B12,Materiales!$B$8:$D$118,3,FALSE)</f>
        <v>7809.48</v>
      </c>
      <c r="F12" s="175">
        <v>10</v>
      </c>
      <c r="G12" s="176">
        <f t="shared" ref="G12:G15" si="0">+D12*E12*((F12+100)/100)</f>
        <v>6425.640144</v>
      </c>
      <c r="H12" s="176">
        <f t="shared" ref="H12:H15" si="1">+D12*$E$9</f>
        <v>74.8</v>
      </c>
      <c r="I12" s="162"/>
      <c r="J12" s="1">
        <v>38.4</v>
      </c>
      <c r="K12" s="1">
        <v>50</v>
      </c>
      <c r="L12" s="332">
        <f>+J12/K12</f>
        <v>0.76800000000000002</v>
      </c>
      <c r="N12" s="1">
        <f>+J12*$N$10</f>
        <v>3.0720000000000001</v>
      </c>
      <c r="O12" s="1">
        <v>50</v>
      </c>
      <c r="P12" s="332">
        <f>+N12/O12</f>
        <v>6.1440000000000002E-2</v>
      </c>
    </row>
    <row r="13" spans="1:16" ht="13" x14ac:dyDescent="0.3">
      <c r="A13" s="320" t="s">
        <v>372</v>
      </c>
      <c r="B13" s="178" t="s">
        <v>373</v>
      </c>
      <c r="C13" s="320" t="s">
        <v>374</v>
      </c>
      <c r="D13" s="387">
        <v>3.24</v>
      </c>
      <c r="E13" s="178">
        <f>VLOOKUP(B13,Materiales!$B$8:$D$118,3,FALSE)</f>
        <v>3837.96</v>
      </c>
      <c r="F13" s="178">
        <v>10</v>
      </c>
      <c r="G13" s="179">
        <f t="shared" si="0"/>
        <v>13678.489440000001</v>
      </c>
      <c r="H13" s="179">
        <f t="shared" si="1"/>
        <v>324</v>
      </c>
      <c r="I13" s="162"/>
      <c r="J13" s="1">
        <v>81</v>
      </c>
      <c r="K13" s="1">
        <v>25</v>
      </c>
      <c r="L13" s="332">
        <f>+J13/K13</f>
        <v>3.24</v>
      </c>
      <c r="N13" s="1">
        <f>+J13*$N$10</f>
        <v>6.48</v>
      </c>
      <c r="O13" s="1">
        <v>25</v>
      </c>
      <c r="P13" s="332">
        <f>+N13/O13</f>
        <v>0.25920000000000004</v>
      </c>
    </row>
    <row r="14" spans="1:16" ht="13" x14ac:dyDescent="0.3">
      <c r="A14" s="320"/>
      <c r="B14" s="178" t="s">
        <v>367</v>
      </c>
      <c r="C14" s="320" t="s">
        <v>59</v>
      </c>
      <c r="D14" s="387">
        <v>0.77</v>
      </c>
      <c r="E14" s="178">
        <f>VLOOKUP(B14,Materiales!$B$8:$D$118,3,FALSE)</f>
        <v>34246.800000000003</v>
      </c>
      <c r="F14" s="178">
        <v>10</v>
      </c>
      <c r="G14" s="179">
        <f t="shared" si="0"/>
        <v>29007.039600000007</v>
      </c>
      <c r="H14" s="179">
        <f t="shared" si="1"/>
        <v>77</v>
      </c>
      <c r="I14" s="162"/>
      <c r="J14" s="1">
        <v>0.77</v>
      </c>
      <c r="K14" s="1">
        <v>1</v>
      </c>
      <c r="L14" s="332">
        <f>+J14/K14</f>
        <v>0.77</v>
      </c>
      <c r="N14" s="1">
        <f>+J14*$N$10</f>
        <v>6.1600000000000002E-2</v>
      </c>
      <c r="O14" s="1">
        <v>1</v>
      </c>
      <c r="P14" s="332">
        <f>+N14/O14</f>
        <v>6.1600000000000002E-2</v>
      </c>
    </row>
    <row r="15" spans="1:16" ht="13" x14ac:dyDescent="0.3">
      <c r="A15" s="265" t="s">
        <v>362</v>
      </c>
      <c r="B15" s="180" t="s">
        <v>363</v>
      </c>
      <c r="C15" s="265" t="s">
        <v>59</v>
      </c>
      <c r="D15" s="388">
        <v>0.51500000000000001</v>
      </c>
      <c r="E15" s="180">
        <f>VLOOKUP(B15,Materiales!$B$8:$D$118,3,FALSE)</f>
        <v>32399.77</v>
      </c>
      <c r="F15" s="180">
        <v>10</v>
      </c>
      <c r="G15" s="182">
        <f t="shared" si="0"/>
        <v>18354.469705000003</v>
      </c>
      <c r="H15" s="182">
        <f t="shared" si="1"/>
        <v>51.5</v>
      </c>
      <c r="I15" s="162"/>
      <c r="J15" s="1">
        <v>0.51500000000000001</v>
      </c>
      <c r="K15" s="1">
        <v>1</v>
      </c>
      <c r="L15" s="332">
        <f>+J15/K15</f>
        <v>0.51500000000000001</v>
      </c>
      <c r="N15" s="1">
        <f>+J15*$N$10</f>
        <v>4.1200000000000001E-2</v>
      </c>
      <c r="O15" s="1">
        <v>1</v>
      </c>
      <c r="P15" s="332">
        <f>+N15/O15</f>
        <v>4.1200000000000001E-2</v>
      </c>
    </row>
    <row r="16" spans="1:16" ht="13" x14ac:dyDescent="0.3">
      <c r="A16" s="122"/>
      <c r="B16" s="122"/>
      <c r="C16" s="122"/>
      <c r="D16" s="504"/>
      <c r="E16" s="360"/>
      <c r="F16" s="123" t="s">
        <v>598</v>
      </c>
      <c r="G16" s="349">
        <f>SUM(G12:G15)</f>
        <v>67465.638889000023</v>
      </c>
      <c r="H16" s="130"/>
      <c r="I16" s="162"/>
      <c r="J16" s="1"/>
      <c r="K16" s="1"/>
      <c r="L16" s="1"/>
      <c r="M16" s="332"/>
      <c r="N16" s="1"/>
      <c r="O16" s="1"/>
      <c r="P16" s="1"/>
    </row>
    <row r="17" spans="1:16" ht="13" x14ac:dyDescent="0.3">
      <c r="A17" s="122"/>
      <c r="B17" s="122"/>
      <c r="C17" s="122"/>
      <c r="D17" s="421"/>
      <c r="E17" s="143"/>
      <c r="F17" s="144" t="s">
        <v>9</v>
      </c>
      <c r="G17" s="156">
        <f>+G16</f>
        <v>67465.638889000023</v>
      </c>
      <c r="H17" s="169"/>
      <c r="I17" s="162"/>
      <c r="J17" s="1"/>
      <c r="K17" s="1"/>
      <c r="L17" s="1"/>
      <c r="M17" s="332"/>
      <c r="N17" s="1"/>
      <c r="O17" s="1"/>
      <c r="P17" s="1"/>
    </row>
    <row r="18" spans="1:16" ht="13" x14ac:dyDescent="0.3">
      <c r="A18" s="128" t="s">
        <v>599</v>
      </c>
      <c r="B18" s="122"/>
      <c r="C18" s="122"/>
      <c r="D18" s="421"/>
      <c r="E18" s="122"/>
      <c r="F18" s="122"/>
      <c r="G18" s="122"/>
      <c r="H18" s="122"/>
      <c r="I18" s="162"/>
      <c r="J18" s="1"/>
      <c r="K18" s="1"/>
      <c r="L18" s="1"/>
      <c r="M18" s="332"/>
      <c r="N18" s="1"/>
      <c r="O18" s="1"/>
      <c r="P18" s="1"/>
    </row>
    <row r="19" spans="1:16" ht="13" x14ac:dyDescent="0.3">
      <c r="A19" s="480" t="s">
        <v>79</v>
      </c>
      <c r="B19" s="481" t="s">
        <v>591</v>
      </c>
      <c r="C19" s="481" t="s">
        <v>592</v>
      </c>
      <c r="D19" s="568" t="s">
        <v>593</v>
      </c>
      <c r="E19" s="481" t="s">
        <v>600</v>
      </c>
      <c r="F19" s="417" t="s">
        <v>87</v>
      </c>
      <c r="G19" s="482" t="s">
        <v>596</v>
      </c>
      <c r="H19" s="131"/>
      <c r="I19" s="167"/>
      <c r="J19" s="3"/>
      <c r="K19" s="3"/>
      <c r="L19" s="3"/>
      <c r="M19" s="575"/>
      <c r="N19" s="3"/>
      <c r="O19" s="3"/>
      <c r="P19" s="1"/>
    </row>
    <row r="20" spans="1:16" ht="26" x14ac:dyDescent="0.3">
      <c r="A20" s="264" t="s">
        <v>163</v>
      </c>
      <c r="B20" s="558" t="s">
        <v>164</v>
      </c>
      <c r="C20" s="264" t="s">
        <v>17</v>
      </c>
      <c r="D20" s="423">
        <v>1</v>
      </c>
      <c r="E20" s="264">
        <f>VLOOKUP(B20,'Rend. Equipos'!$B$7:$E$222,4,FALSE)</f>
        <v>689222.30122796178</v>
      </c>
      <c r="F20" s="423">
        <f>VLOOKUP(B20,'Rend. Equipos'!$B$6:$L$166,MATCH($F$19,'Rend. Equipos'!$B$6:$L$6,0),0)</f>
        <v>1.3888888888888889E-3</v>
      </c>
      <c r="G20" s="264">
        <f>+E20*D20*F20</f>
        <v>957.25319614994692</v>
      </c>
      <c r="H20" s="130"/>
      <c r="I20" s="162"/>
      <c r="J20" s="1"/>
      <c r="K20" s="1"/>
      <c r="L20" s="1"/>
      <c r="M20" s="332"/>
      <c r="N20" s="1"/>
      <c r="O20" s="1"/>
      <c r="P20" s="1"/>
    </row>
    <row r="21" spans="1:16" ht="13" x14ac:dyDescent="0.3">
      <c r="A21" s="265" t="s">
        <v>93</v>
      </c>
      <c r="B21" s="420" t="s">
        <v>94</v>
      </c>
      <c r="C21" s="265" t="s">
        <v>352</v>
      </c>
      <c r="D21" s="425">
        <v>1</v>
      </c>
      <c r="E21" s="265">
        <f>VLOOKUP(B21,'Rend. Equipos'!$B$7:$E$222,4,FALSE)</f>
        <v>2470106.6047045495</v>
      </c>
      <c r="F21" s="425">
        <f>VLOOKUP(B21,'Rend. Equipos'!$B$6:$L$166,MATCH($F$19,'Rend. Equipos'!$B$6:$L$6,0),0)</f>
        <v>9.2592592592592596E-4</v>
      </c>
      <c r="G21" s="265">
        <f>+E21*D21*F21</f>
        <v>2287.1357450968053</v>
      </c>
      <c r="H21" s="130"/>
      <c r="I21" s="162"/>
      <c r="J21" s="1"/>
      <c r="K21" s="1"/>
      <c r="L21" s="1"/>
      <c r="M21" s="332"/>
      <c r="N21" s="1"/>
      <c r="O21" s="1"/>
      <c r="P21" s="1"/>
    </row>
    <row r="22" spans="1:16" ht="13" x14ac:dyDescent="0.3">
      <c r="A22" s="139"/>
      <c r="B22" s="139"/>
      <c r="C22" s="139"/>
      <c r="D22" s="426"/>
      <c r="E22" s="140"/>
      <c r="F22" s="141" t="s">
        <v>602</v>
      </c>
      <c r="G22" s="142">
        <f>SUM(G20:G21)</f>
        <v>3244.3889412467524</v>
      </c>
      <c r="H22" s="130"/>
      <c r="I22" s="162"/>
      <c r="J22" s="1"/>
      <c r="K22" s="1"/>
      <c r="L22" s="1"/>
      <c r="M22" s="332"/>
      <c r="N22" s="1"/>
      <c r="O22" s="1"/>
      <c r="P22" s="1"/>
    </row>
    <row r="23" spans="1:16" ht="13" x14ac:dyDescent="0.3">
      <c r="A23" s="122"/>
      <c r="B23" s="122"/>
      <c r="C23" s="122"/>
      <c r="D23" s="421"/>
      <c r="E23" s="143"/>
      <c r="F23" s="144" t="s">
        <v>11</v>
      </c>
      <c r="G23" s="156">
        <f>+G22/F9</f>
        <v>2317.4206723191091</v>
      </c>
      <c r="H23" s="169"/>
      <c r="I23" s="340"/>
      <c r="J23" s="1"/>
      <c r="K23" s="1"/>
      <c r="L23" s="1"/>
      <c r="M23" s="332"/>
      <c r="N23" s="1"/>
      <c r="O23" s="1"/>
      <c r="P23" s="1"/>
    </row>
    <row r="24" spans="1:16" ht="13" x14ac:dyDescent="0.3">
      <c r="A24" s="128" t="s">
        <v>603</v>
      </c>
      <c r="B24" s="122"/>
      <c r="C24" s="122"/>
      <c r="D24" s="421"/>
      <c r="E24" s="122"/>
      <c r="F24" s="122"/>
      <c r="G24" s="122"/>
      <c r="H24" s="122"/>
      <c r="I24" s="162"/>
      <c r="J24" s="1"/>
      <c r="K24" s="1"/>
      <c r="L24" s="1"/>
      <c r="M24" s="332"/>
      <c r="N24" s="1"/>
      <c r="O24" s="1"/>
      <c r="P24" s="2">
        <f>+O9</f>
        <v>12.5</v>
      </c>
    </row>
    <row r="25" spans="1:16" ht="13" x14ac:dyDescent="0.3">
      <c r="A25" s="435" t="s">
        <v>79</v>
      </c>
      <c r="B25" s="134" t="s">
        <v>591</v>
      </c>
      <c r="C25" s="134" t="s">
        <v>592</v>
      </c>
      <c r="D25" s="503" t="s">
        <v>593</v>
      </c>
      <c r="E25" s="134" t="s">
        <v>604</v>
      </c>
      <c r="F25" s="134"/>
      <c r="G25" s="135" t="s">
        <v>596</v>
      </c>
      <c r="H25" s="131"/>
      <c r="I25" s="167"/>
      <c r="J25" s="3" t="s">
        <v>686</v>
      </c>
      <c r="K25" s="322" t="s">
        <v>689</v>
      </c>
      <c r="L25" s="322" t="s">
        <v>690</v>
      </c>
      <c r="M25" s="322" t="s">
        <v>691</v>
      </c>
      <c r="N25" s="3"/>
      <c r="O25" s="3"/>
      <c r="P25" s="2" t="s">
        <v>703</v>
      </c>
    </row>
    <row r="26" spans="1:16" ht="13" x14ac:dyDescent="0.3">
      <c r="A26" s="264" t="s">
        <v>228</v>
      </c>
      <c r="B26" s="175" t="s">
        <v>230</v>
      </c>
      <c r="C26" s="264" t="s">
        <v>605</v>
      </c>
      <c r="D26" s="433">
        <v>1</v>
      </c>
      <c r="E26" s="175">
        <f>VLOOKUP(B26,'Mano de Obra'!$B$8:$C$100,2,FALSE)</f>
        <v>60860.580776571966</v>
      </c>
      <c r="F26" s="175"/>
      <c r="G26" s="176">
        <f>+E26*D26</f>
        <v>60860.580776571966</v>
      </c>
      <c r="H26" s="130"/>
      <c r="I26" s="162"/>
      <c r="J26" s="1" t="s">
        <v>699</v>
      </c>
      <c r="K26" s="1">
        <v>0.4</v>
      </c>
      <c r="L26" s="1">
        <v>7</v>
      </c>
      <c r="M26" s="332">
        <f>+L26/K26</f>
        <v>17.5</v>
      </c>
      <c r="N26" s="1"/>
      <c r="O26" s="1"/>
      <c r="P26" s="1">
        <f>+M26/P24</f>
        <v>1.4</v>
      </c>
    </row>
    <row r="27" spans="1:16" ht="13" x14ac:dyDescent="0.3">
      <c r="A27" s="265" t="s">
        <v>255</v>
      </c>
      <c r="B27" s="180" t="s">
        <v>256</v>
      </c>
      <c r="C27" s="265" t="s">
        <v>605</v>
      </c>
      <c r="D27" s="434">
        <v>0.75</v>
      </c>
      <c r="E27" s="180">
        <f>VLOOKUP(B27,'Mano de Obra'!$B$8:$C$100,2,FALSE)</f>
        <v>85927.097156571981</v>
      </c>
      <c r="F27" s="180"/>
      <c r="G27" s="182">
        <f>+E27*D27</f>
        <v>64445.322867428986</v>
      </c>
      <c r="H27" s="130"/>
      <c r="I27" s="162"/>
      <c r="J27" s="1" t="s">
        <v>698</v>
      </c>
      <c r="K27" s="1">
        <v>0.3</v>
      </c>
      <c r="L27" s="1">
        <v>7</v>
      </c>
      <c r="M27" s="332">
        <f>+L27/K27</f>
        <v>23.333333333333336</v>
      </c>
      <c r="N27" s="1">
        <f>+M26/M27</f>
        <v>0.74999999999999989</v>
      </c>
      <c r="O27" s="1"/>
      <c r="P27" s="1"/>
    </row>
    <row r="28" spans="1:16" ht="13" x14ac:dyDescent="0.3">
      <c r="A28" s="139"/>
      <c r="B28" s="139"/>
      <c r="C28" s="139"/>
      <c r="D28" s="426"/>
      <c r="E28" s="140"/>
      <c r="F28" s="141" t="s">
        <v>606</v>
      </c>
      <c r="G28" s="391">
        <f>SUM(G26:G27)</f>
        <v>125305.90364400095</v>
      </c>
      <c r="H28" s="130"/>
      <c r="I28" s="162"/>
      <c r="J28" s="1"/>
      <c r="K28" s="1"/>
      <c r="L28" s="1"/>
      <c r="M28" s="332"/>
      <c r="N28" s="1"/>
      <c r="O28" s="1"/>
      <c r="P28" s="1"/>
    </row>
    <row r="29" spans="1:16" ht="13" x14ac:dyDescent="0.3">
      <c r="A29" s="122"/>
      <c r="B29" s="122"/>
      <c r="C29" s="122"/>
      <c r="D29" s="421"/>
      <c r="E29" s="360"/>
      <c r="F29" s="123" t="s">
        <v>607</v>
      </c>
      <c r="G29" s="349">
        <v>1</v>
      </c>
      <c r="H29" s="130"/>
      <c r="I29" s="162"/>
      <c r="J29" s="1"/>
      <c r="K29" s="1"/>
      <c r="L29" s="1"/>
      <c r="M29" s="332"/>
      <c r="N29" s="1"/>
      <c r="O29" s="1"/>
      <c r="P29" s="1"/>
    </row>
    <row r="30" spans="1:16" ht="13" x14ac:dyDescent="0.3">
      <c r="A30" s="122"/>
      <c r="B30" s="122"/>
      <c r="C30" s="122"/>
      <c r="D30" s="421"/>
      <c r="E30" s="360"/>
      <c r="F30" s="123" t="s">
        <v>608</v>
      </c>
      <c r="G30" s="390">
        <f>+G29*G28</f>
        <v>125305.90364400095</v>
      </c>
      <c r="H30" s="130"/>
      <c r="I30" s="162"/>
      <c r="J30" s="1"/>
      <c r="K30" s="1"/>
      <c r="L30" s="1"/>
      <c r="M30" s="332"/>
      <c r="N30" s="1"/>
      <c r="O30" s="1"/>
      <c r="P30" s="1"/>
    </row>
    <row r="31" spans="1:16" ht="13" x14ac:dyDescent="0.3">
      <c r="A31" s="122"/>
      <c r="B31" s="122"/>
      <c r="C31" s="122"/>
      <c r="D31" s="421"/>
      <c r="E31" s="143"/>
      <c r="F31" s="144" t="s">
        <v>10</v>
      </c>
      <c r="G31" s="156">
        <f>+G30/F9</f>
        <v>89504.216888572118</v>
      </c>
      <c r="H31" s="130"/>
      <c r="I31" s="162"/>
      <c r="J31" s="1"/>
      <c r="K31" s="1"/>
      <c r="L31" s="1"/>
      <c r="M31" s="332"/>
      <c r="N31" s="1"/>
      <c r="O31" s="1"/>
      <c r="P31" s="1"/>
    </row>
    <row r="33" spans="5:7" ht="13" x14ac:dyDescent="0.3">
      <c r="E33" s="122"/>
      <c r="F33" s="123" t="s">
        <v>609</v>
      </c>
      <c r="G33" s="123">
        <f>+G31+G23+G17</f>
        <v>159287.27644989124</v>
      </c>
    </row>
    <row r="34" spans="5:7" ht="13" x14ac:dyDescent="0.3">
      <c r="E34" s="123" t="s">
        <v>610</v>
      </c>
      <c r="F34" s="198">
        <f>+RESUMEN!$I$2</f>
        <v>0</v>
      </c>
      <c r="G34" s="130">
        <f>IF(F34=0,0,F34*G33)</f>
        <v>0</v>
      </c>
    </row>
    <row r="35" spans="5:7" ht="13" x14ac:dyDescent="0.3">
      <c r="E35" s="123" t="s">
        <v>611</v>
      </c>
      <c r="F35" s="198">
        <f>+RESUMEN!$I$3</f>
        <v>0</v>
      </c>
      <c r="G35" s="130">
        <f>IF(F35=0,0,F35*G33)</f>
        <v>0</v>
      </c>
    </row>
    <row r="36" spans="5:7" ht="13" x14ac:dyDescent="0.3">
      <c r="E36" s="151"/>
      <c r="F36" s="152" t="s">
        <v>612</v>
      </c>
      <c r="G36" s="389">
        <f>SUM(G33:G35)</f>
        <v>159287.27644989124</v>
      </c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/>
  </sheetPr>
  <dimension ref="A1:M37"/>
  <sheetViews>
    <sheetView workbookViewId="0">
      <selection activeCell="G14" sqref="G14"/>
    </sheetView>
  </sheetViews>
  <sheetFormatPr defaultColWidth="11.453125" defaultRowHeight="12.5" x14ac:dyDescent="0.25"/>
  <cols>
    <col min="1" max="1" width="9.453125" customWidth="1"/>
    <col min="2" max="2" width="35.6328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0.54296875" bestFit="1" customWidth="1"/>
    <col min="9" max="9" width="3.90625" bestFit="1" customWidth="1"/>
    <col min="10" max="10" width="7.6328125" style="324" bestFit="1" customWidth="1"/>
    <col min="11" max="11" width="6.36328125" bestFit="1" customWidth="1"/>
    <col min="12" max="12" width="6.90625" bestFit="1" customWidth="1"/>
    <col min="13" max="13" width="5.6328125" style="347" bestFit="1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277"/>
      <c r="K1" s="1"/>
      <c r="L1" s="1"/>
      <c r="M1" s="278"/>
    </row>
    <row r="2" spans="1:13" ht="13" x14ac:dyDescent="0.3">
      <c r="A2" s="162"/>
      <c r="B2" s="162"/>
      <c r="C2" s="162"/>
      <c r="D2" s="162"/>
      <c r="E2" s="162"/>
      <c r="F2" s="123" t="s">
        <v>78</v>
      </c>
      <c r="G2" s="509" t="s">
        <v>578</v>
      </c>
      <c r="H2" s="162"/>
      <c r="I2" s="1"/>
      <c r="J2" s="277"/>
      <c r="K2" s="1"/>
      <c r="L2" s="1"/>
      <c r="M2" s="278"/>
    </row>
    <row r="3" spans="1:13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277"/>
      <c r="K3" s="1"/>
      <c r="L3" s="1"/>
      <c r="M3" s="278"/>
    </row>
    <row r="4" spans="1:13" ht="13" x14ac:dyDescent="0.3">
      <c r="A4" s="122"/>
      <c r="B4" s="122"/>
      <c r="C4" s="122"/>
      <c r="D4" s="122"/>
      <c r="E4" s="122"/>
      <c r="F4" s="123" t="s">
        <v>580</v>
      </c>
      <c r="G4" s="126">
        <v>47</v>
      </c>
      <c r="H4" s="162"/>
      <c r="I4" s="1"/>
      <c r="J4" s="277"/>
      <c r="K4" s="1"/>
      <c r="L4" s="1"/>
      <c r="M4" s="278"/>
    </row>
    <row r="5" spans="1:13" ht="13" x14ac:dyDescent="0.25">
      <c r="A5" s="127" t="s">
        <v>581</v>
      </c>
      <c r="B5" s="892" t="s">
        <v>578</v>
      </c>
      <c r="C5" s="893"/>
      <c r="D5" s="893"/>
      <c r="E5" s="893"/>
      <c r="F5" s="893"/>
      <c r="G5" s="893"/>
      <c r="H5" s="162"/>
      <c r="I5" s="1"/>
      <c r="J5" s="277"/>
      <c r="K5" s="1"/>
      <c r="L5" s="1"/>
      <c r="M5" s="278"/>
    </row>
    <row r="6" spans="1:13" ht="13" x14ac:dyDescent="0.3">
      <c r="A6" s="128" t="s">
        <v>582</v>
      </c>
      <c r="B6" s="510" t="s">
        <v>578</v>
      </c>
      <c r="C6" s="122"/>
      <c r="D6" s="122"/>
      <c r="E6" s="122"/>
      <c r="F6" s="123" t="s">
        <v>583</v>
      </c>
      <c r="G6" s="509" t="s">
        <v>578</v>
      </c>
      <c r="H6" s="162"/>
      <c r="I6" s="1"/>
      <c r="J6" s="277"/>
      <c r="K6" s="1"/>
      <c r="L6" s="1"/>
      <c r="M6" s="278"/>
    </row>
    <row r="7" spans="1:13" ht="15.5" x14ac:dyDescent="0.25">
      <c r="A7" s="197" t="s">
        <v>584</v>
      </c>
      <c r="B7" s="873" t="s">
        <v>704</v>
      </c>
      <c r="C7" s="874"/>
      <c r="D7" s="874"/>
      <c r="E7" s="874"/>
      <c r="F7" s="874"/>
      <c r="G7" s="874"/>
      <c r="H7" s="162"/>
      <c r="I7" s="162"/>
      <c r="J7" s="277"/>
      <c r="K7" s="1"/>
      <c r="L7" s="1"/>
      <c r="M7" s="278"/>
    </row>
    <row r="8" spans="1:13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593"/>
      <c r="K8" s="593"/>
      <c r="L8" s="1"/>
      <c r="M8" s="278"/>
    </row>
    <row r="9" spans="1:13" ht="13" x14ac:dyDescent="0.3">
      <c r="A9" s="122"/>
      <c r="B9" s="122"/>
      <c r="C9" s="132" t="s">
        <v>45</v>
      </c>
      <c r="D9" s="122"/>
      <c r="E9" s="132">
        <v>100</v>
      </c>
      <c r="F9" s="185">
        <v>15</v>
      </c>
      <c r="G9" s="122" t="s">
        <v>615</v>
      </c>
      <c r="H9" s="162"/>
      <c r="I9" s="1"/>
      <c r="J9" s="593">
        <v>2</v>
      </c>
      <c r="K9" s="593">
        <v>2.5</v>
      </c>
      <c r="L9" s="1"/>
      <c r="M9" s="278"/>
    </row>
    <row r="10" spans="1:13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592" t="s">
        <v>705</v>
      </c>
      <c r="K10" s="263" t="s">
        <v>706</v>
      </c>
      <c r="L10" s="1"/>
      <c r="M10" s="278"/>
    </row>
    <row r="11" spans="1:13" ht="13" x14ac:dyDescent="0.3">
      <c r="A11" s="435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3"/>
      <c r="J11" s="323" t="s">
        <v>707</v>
      </c>
      <c r="K11" s="323" t="s">
        <v>707</v>
      </c>
      <c r="L11" s="3" t="s">
        <v>708</v>
      </c>
      <c r="M11" s="604" t="s">
        <v>82</v>
      </c>
    </row>
    <row r="12" spans="1:13" ht="13" x14ac:dyDescent="0.3">
      <c r="A12" s="264" t="s">
        <v>368</v>
      </c>
      <c r="B12" s="175" t="s">
        <v>369</v>
      </c>
      <c r="C12" s="264" t="s">
        <v>374</v>
      </c>
      <c r="D12" s="372">
        <v>0.27</v>
      </c>
      <c r="E12" s="175">
        <f>VLOOKUP(B12,Materiales!$B$8:$D$118,3,FALSE)</f>
        <v>7809.48</v>
      </c>
      <c r="F12" s="175">
        <v>10</v>
      </c>
      <c r="G12" s="176">
        <f>+D12*E12*((F12+100)/100)</f>
        <v>2319.4155600000004</v>
      </c>
      <c r="H12" s="176">
        <f>+D12*$E$9</f>
        <v>27</v>
      </c>
      <c r="I12" s="1"/>
      <c r="J12" s="592">
        <v>10.8</v>
      </c>
      <c r="K12" s="592">
        <f>+J12*K9/J9</f>
        <v>13.5</v>
      </c>
      <c r="L12" s="593">
        <v>50</v>
      </c>
      <c r="M12" s="605">
        <f>+K12/L12</f>
        <v>0.27</v>
      </c>
    </row>
    <row r="13" spans="1:13" ht="13" x14ac:dyDescent="0.3">
      <c r="A13" s="265" t="s">
        <v>362</v>
      </c>
      <c r="B13" s="180" t="s">
        <v>363</v>
      </c>
      <c r="C13" s="265" t="s">
        <v>59</v>
      </c>
      <c r="D13" s="373">
        <v>0.03</v>
      </c>
      <c r="E13" s="180">
        <f>VLOOKUP(B13,Materiales!$B$8:$D$118,3,FALSE)</f>
        <v>32399.77</v>
      </c>
      <c r="F13" s="180">
        <v>10</v>
      </c>
      <c r="G13" s="182">
        <f>+D13*E13*((F13+100)/100)</f>
        <v>1069.1924100000001</v>
      </c>
      <c r="H13" s="182">
        <f t="shared" ref="H13" si="0">+D13*$E$9</f>
        <v>3</v>
      </c>
      <c r="I13" s="1"/>
      <c r="J13" s="592">
        <v>2.4E-2</v>
      </c>
      <c r="K13" s="592">
        <f>+J13*K9/J9</f>
        <v>0.03</v>
      </c>
      <c r="L13" s="593">
        <v>1</v>
      </c>
      <c r="M13" s="605">
        <f>+K13/L13</f>
        <v>0.03</v>
      </c>
    </row>
    <row r="14" spans="1:13" ht="13" x14ac:dyDescent="0.3">
      <c r="A14" s="122"/>
      <c r="B14" s="122"/>
      <c r="C14" s="122"/>
      <c r="D14" s="122"/>
      <c r="E14" s="360"/>
      <c r="F14" s="123" t="s">
        <v>598</v>
      </c>
      <c r="G14" s="390">
        <f>SUM(G12:G13)</f>
        <v>3388.6079700000005</v>
      </c>
      <c r="H14" s="162"/>
      <c r="I14" s="1"/>
      <c r="J14" s="277"/>
      <c r="K14" s="1"/>
      <c r="L14" s="1"/>
      <c r="M14" s="278"/>
    </row>
    <row r="15" spans="1:13" ht="13" x14ac:dyDescent="0.3">
      <c r="A15" s="122"/>
      <c r="B15" s="122"/>
      <c r="C15" s="122"/>
      <c r="D15" s="122"/>
      <c r="E15" s="143"/>
      <c r="F15" s="144" t="s">
        <v>9</v>
      </c>
      <c r="G15" s="156">
        <f>+G14</f>
        <v>3388.6079700000005</v>
      </c>
      <c r="H15" s="162"/>
      <c r="I15" s="1"/>
      <c r="J15" s="277"/>
      <c r="K15" s="1"/>
      <c r="L15" s="1"/>
      <c r="M15" s="278"/>
    </row>
    <row r="16" spans="1:13" ht="13" x14ac:dyDescent="0.3">
      <c r="A16" s="128" t="s">
        <v>599</v>
      </c>
      <c r="B16" s="122"/>
      <c r="C16" s="122"/>
      <c r="D16" s="122"/>
      <c r="E16" s="122"/>
      <c r="F16" s="122"/>
      <c r="G16" s="122"/>
      <c r="H16" s="162"/>
      <c r="I16" s="1"/>
      <c r="J16" s="277"/>
      <c r="K16" s="1"/>
      <c r="L16" s="1"/>
      <c r="M16" s="278"/>
    </row>
    <row r="17" spans="1:13" ht="13" x14ac:dyDescent="0.3">
      <c r="A17" s="133" t="s">
        <v>79</v>
      </c>
      <c r="B17" s="134" t="s">
        <v>591</v>
      </c>
      <c r="C17" s="134" t="s">
        <v>592</v>
      </c>
      <c r="D17" s="134" t="s">
        <v>593</v>
      </c>
      <c r="E17" s="134" t="s">
        <v>600</v>
      </c>
      <c r="F17" s="417" t="s">
        <v>87</v>
      </c>
      <c r="G17" s="135" t="s">
        <v>596</v>
      </c>
      <c r="H17" s="167"/>
      <c r="I17" s="3"/>
      <c r="J17" s="323"/>
      <c r="K17" s="3"/>
      <c r="L17" s="3"/>
      <c r="M17" s="604"/>
    </row>
    <row r="18" spans="1:13" ht="26" x14ac:dyDescent="0.25">
      <c r="A18" s="264" t="s">
        <v>163</v>
      </c>
      <c r="B18" s="558" t="s">
        <v>164</v>
      </c>
      <c r="C18" s="264" t="s">
        <v>17</v>
      </c>
      <c r="D18" s="526">
        <v>1</v>
      </c>
      <c r="E18" s="429">
        <f>VLOOKUP(B18,'Rend. Equipos'!$B$7:$E$222,4,FALSE)</f>
        <v>689222.30122796178</v>
      </c>
      <c r="F18" s="464">
        <f>VLOOKUP(B18,'Rend. Equipos'!$B$6:$L$166,MATCH($F$17,'Rend. Equipos'!$B$6:$L$6,0),0)</f>
        <v>1.3888888888888889E-3</v>
      </c>
      <c r="G18" s="465">
        <f>+E18*D18*F18</f>
        <v>957.25319614994692</v>
      </c>
      <c r="H18" s="162"/>
      <c r="I18" s="1"/>
      <c r="J18" s="277"/>
      <c r="K18" s="1"/>
      <c r="L18" s="1"/>
      <c r="M18" s="278"/>
    </row>
    <row r="19" spans="1:13" ht="13" x14ac:dyDescent="0.25">
      <c r="A19" s="265" t="s">
        <v>93</v>
      </c>
      <c r="B19" s="432" t="s">
        <v>94</v>
      </c>
      <c r="C19" s="265" t="s">
        <v>352</v>
      </c>
      <c r="D19" s="527">
        <v>1</v>
      </c>
      <c r="E19" s="432">
        <f>VLOOKUP(B19,'Rend. Equipos'!$B$7:$E$222,4,FALSE)</f>
        <v>2470106.6047045495</v>
      </c>
      <c r="F19" s="468">
        <f>VLOOKUP(B19,'Rend. Equipos'!$B$6:$L$166,MATCH($F$17,'Rend. Equipos'!$B$6:$L$6,0),0)</f>
        <v>9.2592592592592596E-4</v>
      </c>
      <c r="G19" s="469">
        <f>+E19*D19*F19</f>
        <v>2287.1357450968053</v>
      </c>
      <c r="H19" s="162"/>
      <c r="I19" s="1"/>
      <c r="J19" s="277"/>
      <c r="K19" s="1"/>
      <c r="L19" s="1"/>
      <c r="M19" s="278"/>
    </row>
    <row r="20" spans="1:13" ht="13" x14ac:dyDescent="0.3">
      <c r="A20" s="139"/>
      <c r="B20" s="139"/>
      <c r="C20" s="139"/>
      <c r="D20" s="139"/>
      <c r="E20" s="140"/>
      <c r="F20" s="141" t="s">
        <v>602</v>
      </c>
      <c r="G20" s="391">
        <f>SUM(G18:G19)</f>
        <v>3244.3889412467524</v>
      </c>
      <c r="H20" s="162"/>
      <c r="I20" s="1"/>
      <c r="J20" s="277"/>
      <c r="K20" s="1"/>
      <c r="L20" s="1"/>
      <c r="M20" s="278"/>
    </row>
    <row r="21" spans="1:13" ht="13" x14ac:dyDescent="0.3">
      <c r="A21" s="122"/>
      <c r="B21" s="122"/>
      <c r="C21" s="122"/>
      <c r="D21" s="122"/>
      <c r="E21" s="143"/>
      <c r="F21" s="144" t="s">
        <v>11</v>
      </c>
      <c r="G21" s="156">
        <f>+G20/F9</f>
        <v>216.29259608311682</v>
      </c>
      <c r="H21" s="162"/>
      <c r="I21" s="1"/>
      <c r="J21" s="277"/>
      <c r="K21" s="1"/>
      <c r="L21" s="1"/>
      <c r="M21" s="278"/>
    </row>
    <row r="22" spans="1:13" ht="13" x14ac:dyDescent="0.3">
      <c r="A22" s="128" t="s">
        <v>603</v>
      </c>
      <c r="B22" s="122"/>
      <c r="C22" s="122"/>
      <c r="D22" s="122"/>
      <c r="E22" s="122"/>
      <c r="F22" s="122"/>
      <c r="G22" s="122"/>
      <c r="H22" s="162"/>
      <c r="I22" s="1"/>
      <c r="J22" s="277"/>
      <c r="K22" s="1"/>
      <c r="L22" s="1"/>
      <c r="M22" s="278"/>
    </row>
    <row r="23" spans="1:13" ht="13" x14ac:dyDescent="0.3">
      <c r="A23" s="435" t="s">
        <v>79</v>
      </c>
      <c r="B23" s="134" t="s">
        <v>591</v>
      </c>
      <c r="C23" s="134" t="s">
        <v>592</v>
      </c>
      <c r="D23" s="134" t="s">
        <v>593</v>
      </c>
      <c r="E23" s="134" t="s">
        <v>604</v>
      </c>
      <c r="F23" s="134"/>
      <c r="G23" s="135" t="s">
        <v>596</v>
      </c>
      <c r="H23" s="167"/>
      <c r="I23" s="3" t="s">
        <v>709</v>
      </c>
      <c r="J23" s="323" t="s">
        <v>710</v>
      </c>
      <c r="K23" s="3" t="s">
        <v>682</v>
      </c>
      <c r="L23" s="3"/>
      <c r="M23" s="604"/>
    </row>
    <row r="24" spans="1:13" ht="13" x14ac:dyDescent="0.3">
      <c r="A24" s="264" t="s">
        <v>228</v>
      </c>
      <c r="B24" s="175" t="s">
        <v>230</v>
      </c>
      <c r="C24" s="264" t="s">
        <v>605</v>
      </c>
      <c r="D24" s="458">
        <v>0.45</v>
      </c>
      <c r="E24" s="175">
        <f>VLOOKUP(B24,'Mano de Obra'!$B$8:$C$100,2,FALSE)</f>
        <v>60860.580776571966</v>
      </c>
      <c r="F24" s="175"/>
      <c r="G24" s="176">
        <f>+E24*D24</f>
        <v>27387.261349457385</v>
      </c>
      <c r="H24" s="162"/>
      <c r="I24" s="1">
        <v>0.25</v>
      </c>
      <c r="J24" s="545">
        <v>8</v>
      </c>
      <c r="K24" s="277">
        <f>+J24/I24</f>
        <v>32</v>
      </c>
      <c r="L24" s="1">
        <f>+I24/I25</f>
        <v>0.45454545454545453</v>
      </c>
      <c r="M24" s="278"/>
    </row>
    <row r="25" spans="1:13" ht="13" x14ac:dyDescent="0.3">
      <c r="A25" s="265" t="s">
        <v>255</v>
      </c>
      <c r="B25" s="180" t="s">
        <v>256</v>
      </c>
      <c r="C25" s="265" t="s">
        <v>605</v>
      </c>
      <c r="D25" s="460">
        <v>1</v>
      </c>
      <c r="E25" s="180">
        <f>VLOOKUP(B25,'Mano de Obra'!$B$8:$C$100,2,FALSE)</f>
        <v>85927.097156571981</v>
      </c>
      <c r="F25" s="180"/>
      <c r="G25" s="182">
        <f>+E25*D25</f>
        <v>85927.097156571981</v>
      </c>
      <c r="H25" s="162"/>
      <c r="I25" s="1">
        <v>0.55000000000000004</v>
      </c>
      <c r="J25" s="545">
        <v>8</v>
      </c>
      <c r="K25" s="277">
        <f>+J25/I25</f>
        <v>14.545454545454545</v>
      </c>
      <c r="L25" s="1"/>
      <c r="M25" s="278"/>
    </row>
    <row r="26" spans="1:13" ht="13" x14ac:dyDescent="0.3">
      <c r="A26" s="139"/>
      <c r="B26" s="139"/>
      <c r="C26" s="139"/>
      <c r="D26" s="139"/>
      <c r="E26" s="140"/>
      <c r="F26" s="141" t="s">
        <v>606</v>
      </c>
      <c r="G26" s="391">
        <f>SUM(G24:G25)</f>
        <v>113314.35850602937</v>
      </c>
      <c r="H26" s="162"/>
      <c r="I26" s="1"/>
      <c r="J26" s="277"/>
      <c r="K26" s="1"/>
      <c r="L26" s="1"/>
      <c r="M26" s="278"/>
    </row>
    <row r="27" spans="1:13" ht="13" x14ac:dyDescent="0.3">
      <c r="A27" s="122"/>
      <c r="B27" s="122"/>
      <c r="C27" s="122"/>
      <c r="D27" s="122"/>
      <c r="E27" s="360"/>
      <c r="F27" s="123" t="s">
        <v>607</v>
      </c>
      <c r="G27" s="349">
        <v>1</v>
      </c>
      <c r="H27" s="162"/>
      <c r="I27" s="1"/>
      <c r="J27" s="277"/>
      <c r="K27" s="1"/>
      <c r="L27" s="1"/>
      <c r="M27" s="278"/>
    </row>
    <row r="28" spans="1:13" ht="13" x14ac:dyDescent="0.3">
      <c r="A28" s="122"/>
      <c r="B28" s="122"/>
      <c r="C28" s="122"/>
      <c r="D28" s="122"/>
      <c r="E28" s="360"/>
      <c r="F28" s="123" t="s">
        <v>608</v>
      </c>
      <c r="G28" s="390">
        <f>+G27*G26</f>
        <v>113314.35850602937</v>
      </c>
      <c r="H28" s="162"/>
      <c r="I28" s="1"/>
      <c r="J28" s="277"/>
      <c r="K28" s="1"/>
      <c r="L28" s="1"/>
      <c r="M28" s="278"/>
    </row>
    <row r="29" spans="1:13" ht="13" x14ac:dyDescent="0.3">
      <c r="A29" s="122"/>
      <c r="B29" s="122"/>
      <c r="C29" s="122"/>
      <c r="D29" s="122"/>
      <c r="E29" s="143"/>
      <c r="F29" s="144" t="s">
        <v>10</v>
      </c>
      <c r="G29" s="156">
        <f>+G28/F9</f>
        <v>7554.290567068625</v>
      </c>
      <c r="H29" s="162"/>
      <c r="I29" s="1"/>
      <c r="J29" s="277"/>
      <c r="K29" s="1"/>
      <c r="L29" s="1"/>
      <c r="M29" s="278"/>
    </row>
    <row r="30" spans="1:13" ht="13" x14ac:dyDescent="0.3">
      <c r="A30" s="122"/>
      <c r="B30" s="122"/>
      <c r="C30" s="122"/>
      <c r="D30" s="122"/>
      <c r="H30" s="162"/>
      <c r="I30" s="1"/>
      <c r="J30" s="277"/>
      <c r="K30" s="1"/>
      <c r="L30" s="1"/>
      <c r="M30" s="278"/>
    </row>
    <row r="31" spans="1:13" ht="13" x14ac:dyDescent="0.3">
      <c r="A31" s="122"/>
      <c r="B31" s="122"/>
      <c r="C31" s="122"/>
      <c r="D31" s="122"/>
      <c r="E31" s="122"/>
      <c r="F31" s="123" t="s">
        <v>609</v>
      </c>
      <c r="G31" s="123">
        <f>+G29+G21+G15</f>
        <v>11159.191133151742</v>
      </c>
      <c r="H31" s="162"/>
      <c r="I31" s="1"/>
      <c r="J31" s="277"/>
      <c r="K31" s="1"/>
      <c r="L31" s="1"/>
      <c r="M31" s="278"/>
    </row>
    <row r="32" spans="1:13" ht="13" x14ac:dyDescent="0.3">
      <c r="A32" s="122"/>
      <c r="B32" s="122"/>
      <c r="C32" s="122"/>
      <c r="D32" s="122"/>
      <c r="E32" s="123" t="s">
        <v>610</v>
      </c>
      <c r="F32" s="198">
        <f>+RESUMEN!$I$2</f>
        <v>0</v>
      </c>
      <c r="G32" s="130">
        <f>IF(F32=0,0,F32*G31)</f>
        <v>0</v>
      </c>
      <c r="H32" s="168"/>
      <c r="I32" s="1"/>
      <c r="J32" s="277"/>
      <c r="K32" s="1"/>
      <c r="L32" s="1"/>
      <c r="M32" s="278"/>
    </row>
    <row r="33" spans="1:7" ht="13" x14ac:dyDescent="0.3">
      <c r="A33" s="122"/>
      <c r="B33" s="122"/>
      <c r="C33" s="122"/>
      <c r="D33" s="1"/>
      <c r="E33" s="123" t="s">
        <v>611</v>
      </c>
      <c r="F33" s="198">
        <f>+RESUMEN!$I$3</f>
        <v>0</v>
      </c>
      <c r="G33" s="130">
        <f>IF(F33=0,0,F33*G31)</f>
        <v>0</v>
      </c>
    </row>
    <row r="34" spans="1:7" ht="13" x14ac:dyDescent="0.3">
      <c r="A34" s="122"/>
      <c r="B34" s="122"/>
      <c r="C34" s="122"/>
      <c r="D34" s="122"/>
      <c r="E34" s="151"/>
      <c r="F34" s="152" t="s">
        <v>612</v>
      </c>
      <c r="G34" s="389">
        <f>SUM(G31:G33)</f>
        <v>11159.191133151742</v>
      </c>
    </row>
    <row r="35" spans="1:7" ht="13" x14ac:dyDescent="0.3">
      <c r="A35" s="122"/>
      <c r="B35" s="122"/>
      <c r="C35" s="122"/>
      <c r="D35" s="122"/>
      <c r="E35" s="1"/>
      <c r="F35" s="1"/>
      <c r="G35" s="1"/>
    </row>
    <row r="36" spans="1:7" ht="13" x14ac:dyDescent="0.3">
      <c r="A36" s="875"/>
      <c r="B36" s="870"/>
      <c r="C36" s="122"/>
      <c r="D36" s="122"/>
      <c r="E36" s="1"/>
      <c r="F36" s="1"/>
      <c r="G36" s="1"/>
    </row>
    <row r="37" spans="1:7" ht="13" x14ac:dyDescent="0.3">
      <c r="A37" s="875"/>
      <c r="B37" s="870"/>
      <c r="C37" s="122"/>
      <c r="D37" s="122"/>
      <c r="E37" s="1"/>
      <c r="F37" s="1"/>
      <c r="G37" s="1"/>
    </row>
  </sheetData>
  <mergeCells count="5">
    <mergeCell ref="A1:G1"/>
    <mergeCell ref="B5:G5"/>
    <mergeCell ref="B7:G7"/>
    <mergeCell ref="A36:B36"/>
    <mergeCell ref="A37:B37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A1:M38"/>
  <sheetViews>
    <sheetView workbookViewId="0">
      <selection activeCell="B9" sqref="B9"/>
    </sheetView>
  </sheetViews>
  <sheetFormatPr defaultColWidth="11.453125" defaultRowHeight="12.5" x14ac:dyDescent="0.25"/>
  <cols>
    <col min="1" max="1" width="10.6328125" customWidth="1"/>
    <col min="2" max="2" width="35.6328125" customWidth="1"/>
    <col min="3" max="3" width="7.08984375" bestFit="1" customWidth="1"/>
    <col min="4" max="4" width="8.6328125" style="427" customWidth="1"/>
    <col min="5" max="5" width="15.36328125" bestFit="1" customWidth="1"/>
    <col min="6" max="6" width="9.453125" customWidth="1"/>
    <col min="7" max="7" width="10" bestFit="1" customWidth="1"/>
    <col min="11" max="11" width="16.08984375" bestFit="1" customWidth="1"/>
    <col min="12" max="12" width="8" style="580" bestFit="1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284"/>
      <c r="M1" s="1"/>
    </row>
    <row r="2" spans="1:13" ht="13" x14ac:dyDescent="0.3">
      <c r="A2" s="162"/>
      <c r="B2" s="162"/>
      <c r="C2" s="162"/>
      <c r="D2" s="501"/>
      <c r="E2" s="162"/>
      <c r="F2" s="240" t="s">
        <v>78</v>
      </c>
      <c r="G2" s="500" t="s">
        <v>711</v>
      </c>
      <c r="H2" s="162"/>
      <c r="I2" s="1"/>
      <c r="J2" s="1"/>
      <c r="K2" s="1"/>
      <c r="L2" s="284"/>
      <c r="M2" s="1"/>
    </row>
    <row r="3" spans="1:13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  <c r="I3" s="1"/>
      <c r="J3" s="1"/>
      <c r="K3" s="1"/>
      <c r="L3" s="284"/>
      <c r="M3" s="1"/>
    </row>
    <row r="4" spans="1:13" ht="13" x14ac:dyDescent="0.3">
      <c r="A4" s="122"/>
      <c r="B4" s="122"/>
      <c r="C4" s="122"/>
      <c r="D4" s="421"/>
      <c r="E4" s="122"/>
      <c r="F4" s="123" t="s">
        <v>580</v>
      </c>
      <c r="G4" s="126">
        <v>48</v>
      </c>
      <c r="H4" s="162"/>
      <c r="I4" s="1"/>
      <c r="J4" s="1"/>
      <c r="K4" s="1"/>
      <c r="L4" s="284"/>
      <c r="M4" s="1"/>
    </row>
    <row r="5" spans="1:13" ht="13" x14ac:dyDescent="0.25">
      <c r="A5" s="337" t="s">
        <v>581</v>
      </c>
      <c r="B5" s="892" t="s">
        <v>711</v>
      </c>
      <c r="C5" s="893"/>
      <c r="D5" s="893"/>
      <c r="E5" s="893"/>
      <c r="F5" s="893"/>
      <c r="G5" s="893"/>
      <c r="H5" s="162"/>
      <c r="I5" s="1"/>
      <c r="J5" s="1"/>
      <c r="K5" s="1"/>
      <c r="L5" s="284"/>
      <c r="M5" s="1"/>
    </row>
    <row r="6" spans="1:13" ht="13" x14ac:dyDescent="0.3">
      <c r="A6" s="378" t="s">
        <v>582</v>
      </c>
      <c r="B6" s="500" t="s">
        <v>711</v>
      </c>
      <c r="C6" s="122"/>
      <c r="D6" s="421"/>
      <c r="E6" s="122"/>
      <c r="F6" s="123" t="s">
        <v>583</v>
      </c>
      <c r="G6" s="500" t="s">
        <v>711</v>
      </c>
      <c r="H6" s="162"/>
      <c r="I6" s="1"/>
      <c r="J6" s="1"/>
      <c r="K6" s="1"/>
      <c r="L6" s="284"/>
      <c r="M6" s="1"/>
    </row>
    <row r="7" spans="1:13" ht="15.5" x14ac:dyDescent="0.25">
      <c r="A7" s="359" t="s">
        <v>584</v>
      </c>
      <c r="B7" s="873" t="s">
        <v>712</v>
      </c>
      <c r="C7" s="874"/>
      <c r="D7" s="874"/>
      <c r="E7" s="874"/>
      <c r="F7" s="874"/>
      <c r="G7" s="874"/>
      <c r="H7" s="162"/>
      <c r="I7" s="162"/>
      <c r="J7" s="1"/>
      <c r="K7" s="1"/>
      <c r="L7" s="284"/>
      <c r="M7" s="1"/>
    </row>
    <row r="8" spans="1:13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  <c r="I8" s="1"/>
      <c r="J8" s="1"/>
      <c r="K8" s="1" t="s">
        <v>59</v>
      </c>
      <c r="L8" s="284" t="s">
        <v>658</v>
      </c>
      <c r="M8" s="1" t="s">
        <v>45</v>
      </c>
    </row>
    <row r="9" spans="1:13" ht="13" x14ac:dyDescent="0.3">
      <c r="A9" s="122"/>
      <c r="B9" s="122"/>
      <c r="C9" s="132" t="s">
        <v>45</v>
      </c>
      <c r="D9" s="421"/>
      <c r="E9" s="132">
        <v>100</v>
      </c>
      <c r="F9" s="185">
        <v>35</v>
      </c>
      <c r="G9" s="158" t="s">
        <v>615</v>
      </c>
      <c r="H9" s="162"/>
      <c r="I9" s="1"/>
      <c r="J9" s="1"/>
      <c r="K9" s="1">
        <v>1</v>
      </c>
      <c r="L9" s="284">
        <v>7.0000000000000007E-2</v>
      </c>
      <c r="M9" s="1">
        <f>+K9/L9</f>
        <v>14.285714285714285</v>
      </c>
    </row>
    <row r="10" spans="1:13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  <c r="I10" s="1"/>
      <c r="J10" s="1"/>
      <c r="K10" s="1"/>
      <c r="L10" s="284"/>
      <c r="M10" s="1"/>
    </row>
    <row r="11" spans="1:13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  <c r="I11" s="3"/>
      <c r="J11" s="3"/>
      <c r="K11" s="322" t="s">
        <v>701</v>
      </c>
      <c r="L11" s="579" t="s">
        <v>620</v>
      </c>
      <c r="M11" s="1"/>
    </row>
    <row r="12" spans="1:13" ht="13" x14ac:dyDescent="0.3">
      <c r="A12" s="264" t="s">
        <v>362</v>
      </c>
      <c r="B12" s="175" t="s">
        <v>363</v>
      </c>
      <c r="C12" s="264" t="s">
        <v>59</v>
      </c>
      <c r="D12" s="423">
        <f>+L12</f>
        <v>5.9500000000000004E-2</v>
      </c>
      <c r="E12" s="175">
        <f>VLOOKUP(B12,Materiales!$B$8:$D$118,3,FALSE)</f>
        <v>32399.77</v>
      </c>
      <c r="F12" s="175">
        <v>10</v>
      </c>
      <c r="G12" s="176">
        <f>+D12*E12*((F12+100)/100)</f>
        <v>2120.5649465000001</v>
      </c>
      <c r="H12" s="176">
        <f>+D12*$E$9</f>
        <v>5.95</v>
      </c>
      <c r="I12" s="1"/>
      <c r="J12" s="1"/>
      <c r="K12" s="277">
        <v>0.85</v>
      </c>
      <c r="L12" s="284">
        <f>+K12/$M$9</f>
        <v>5.9500000000000004E-2</v>
      </c>
    </row>
    <row r="13" spans="1:13" ht="13" x14ac:dyDescent="0.3">
      <c r="A13" s="320" t="s">
        <v>368</v>
      </c>
      <c r="B13" s="178" t="s">
        <v>369</v>
      </c>
      <c r="C13" s="320" t="s">
        <v>374</v>
      </c>
      <c r="D13" s="424">
        <f t="shared" ref="D13:D15" si="0">+L13</f>
        <v>0.42000000000000004</v>
      </c>
      <c r="E13" s="178">
        <f>VLOOKUP(B13,Materiales!$B$8:$D$118,3,FALSE)</f>
        <v>7809.48</v>
      </c>
      <c r="F13" s="178">
        <v>10</v>
      </c>
      <c r="G13" s="179">
        <f t="shared" ref="G13:G15" si="1">+D13*E13*((F13+100)/100)</f>
        <v>3607.9797600000002</v>
      </c>
      <c r="H13" s="179">
        <f t="shared" ref="H13:H15" si="2">+D13*$E$9</f>
        <v>42.000000000000007</v>
      </c>
      <c r="I13" s="1"/>
      <c r="J13" s="1"/>
      <c r="K13" s="277">
        <v>6</v>
      </c>
      <c r="L13" s="284">
        <f t="shared" ref="L13:L15" si="3">+K13/$M$9</f>
        <v>0.42000000000000004</v>
      </c>
    </row>
    <row r="14" spans="1:13" ht="13" x14ac:dyDescent="0.3">
      <c r="A14" s="320" t="s">
        <v>372</v>
      </c>
      <c r="B14" s="178" t="s">
        <v>373</v>
      </c>
      <c r="C14" s="320" t="s">
        <v>374</v>
      </c>
      <c r="D14" s="424">
        <f t="shared" si="0"/>
        <v>0.14000000000000001</v>
      </c>
      <c r="E14" s="178">
        <f>VLOOKUP(B14,Materiales!$B$8:$D$118,3,FALSE)</f>
        <v>3837.96</v>
      </c>
      <c r="F14" s="178">
        <v>10</v>
      </c>
      <c r="G14" s="179">
        <f t="shared" si="1"/>
        <v>591.04584000000011</v>
      </c>
      <c r="H14" s="179">
        <f t="shared" si="2"/>
        <v>14.000000000000002</v>
      </c>
      <c r="I14" s="1"/>
      <c r="J14" s="1"/>
      <c r="K14" s="277">
        <v>2</v>
      </c>
      <c r="L14" s="284">
        <f t="shared" si="3"/>
        <v>0.14000000000000001</v>
      </c>
    </row>
    <row r="15" spans="1:13" ht="13" x14ac:dyDescent="0.3">
      <c r="A15" s="265"/>
      <c r="B15" s="180" t="s">
        <v>425</v>
      </c>
      <c r="C15" s="265" t="s">
        <v>713</v>
      </c>
      <c r="D15" s="425">
        <f t="shared" si="0"/>
        <v>2.4500000000000004E-3</v>
      </c>
      <c r="E15" s="180">
        <f>VLOOKUP(B15,Materiales!$B$8:$D$118,3,FALSE)</f>
        <v>252066.11570247935</v>
      </c>
      <c r="F15" s="180">
        <v>5</v>
      </c>
      <c r="G15" s="182">
        <f t="shared" si="1"/>
        <v>648.44008264462832</v>
      </c>
      <c r="H15" s="182">
        <f t="shared" si="2"/>
        <v>0.24500000000000002</v>
      </c>
      <c r="I15" s="1"/>
      <c r="J15" s="1"/>
      <c r="K15" s="277">
        <v>3.5000000000000003E-2</v>
      </c>
      <c r="L15" s="284">
        <f t="shared" si="3"/>
        <v>2.4500000000000004E-3</v>
      </c>
    </row>
    <row r="16" spans="1:13" ht="13" x14ac:dyDescent="0.3">
      <c r="A16" s="122"/>
      <c r="B16" s="122"/>
      <c r="C16" s="122"/>
      <c r="D16" s="504"/>
      <c r="E16" s="360"/>
      <c r="F16" s="123" t="s">
        <v>598</v>
      </c>
      <c r="G16" s="390">
        <f>SUM(G12:G15)</f>
        <v>6968.0306291446286</v>
      </c>
      <c r="H16" s="162"/>
      <c r="I16" s="1"/>
      <c r="J16" s="1"/>
      <c r="K16" s="1"/>
      <c r="L16" s="284"/>
      <c r="M16" s="1"/>
    </row>
    <row r="17" spans="1:8" ht="13" x14ac:dyDescent="0.3">
      <c r="A17" s="122"/>
      <c r="B17" s="122"/>
      <c r="C17" s="122"/>
      <c r="D17" s="421"/>
      <c r="E17" s="143"/>
      <c r="F17" s="144" t="s">
        <v>9</v>
      </c>
      <c r="G17" s="156">
        <f>+G16</f>
        <v>6968.0306291446286</v>
      </c>
      <c r="H17" s="168"/>
    </row>
    <row r="18" spans="1:8" ht="13" x14ac:dyDescent="0.3">
      <c r="A18" s="128" t="s">
        <v>599</v>
      </c>
      <c r="B18" s="122"/>
      <c r="C18" s="122"/>
      <c r="D18" s="421"/>
      <c r="E18" s="122"/>
      <c r="F18" s="122"/>
      <c r="G18" s="122"/>
      <c r="H18" s="162"/>
    </row>
    <row r="19" spans="1:8" ht="13" x14ac:dyDescent="0.3">
      <c r="A19" s="133" t="s">
        <v>79</v>
      </c>
      <c r="B19" s="134" t="s">
        <v>591</v>
      </c>
      <c r="C19" s="134" t="s">
        <v>592</v>
      </c>
      <c r="D19" s="503" t="s">
        <v>593</v>
      </c>
      <c r="E19" s="134" t="s">
        <v>600</v>
      </c>
      <c r="F19" s="417" t="s">
        <v>87</v>
      </c>
      <c r="G19" s="135" t="s">
        <v>596</v>
      </c>
      <c r="H19" s="167"/>
    </row>
    <row r="20" spans="1:8" ht="26" x14ac:dyDescent="0.25">
      <c r="A20" s="264" t="s">
        <v>163</v>
      </c>
      <c r="B20" s="558" t="s">
        <v>164</v>
      </c>
      <c r="C20" s="264" t="s">
        <v>17</v>
      </c>
      <c r="D20" s="423">
        <v>2</v>
      </c>
      <c r="E20" s="246">
        <f>VLOOKUP(B20,'Rend. Equipos'!$B$7:$E$222,4,FALSE)</f>
        <v>689222.30122796178</v>
      </c>
      <c r="F20" s="464">
        <f>VLOOKUP(B20,'Rend. Equipos'!$B$6:$L$166,MATCH($F$19,'Rend. Equipos'!$B$6:$L$6,0),0)</f>
        <v>1.3888888888888889E-3</v>
      </c>
      <c r="G20" s="246">
        <f>+E20*D20*F20</f>
        <v>1914.5063922998938</v>
      </c>
      <c r="H20" s="162"/>
    </row>
    <row r="21" spans="1:8" ht="13" x14ac:dyDescent="0.25">
      <c r="A21" s="265" t="s">
        <v>93</v>
      </c>
      <c r="B21" s="420" t="s">
        <v>94</v>
      </c>
      <c r="C21" s="265" t="s">
        <v>352</v>
      </c>
      <c r="D21" s="425">
        <v>1</v>
      </c>
      <c r="E21" s="248">
        <f>VLOOKUP(B21,'Rend. Equipos'!$B$7:$E$222,4,FALSE)</f>
        <v>2470106.6047045495</v>
      </c>
      <c r="F21" s="468">
        <f>VLOOKUP(B21,'Rend. Equipos'!$B$6:$L$166,MATCH($F$19,'Rend. Equipos'!$B$6:$L$6,0),0)</f>
        <v>9.2592592592592596E-4</v>
      </c>
      <c r="G21" s="248">
        <f>+E21*D21*F21</f>
        <v>2287.1357450968053</v>
      </c>
      <c r="H21" s="162"/>
    </row>
    <row r="22" spans="1:8" ht="13" x14ac:dyDescent="0.3">
      <c r="A22" s="139"/>
      <c r="B22" s="139"/>
      <c r="C22" s="139"/>
      <c r="D22" s="426"/>
      <c r="E22" s="140"/>
      <c r="F22" s="141" t="s">
        <v>602</v>
      </c>
      <c r="G22" s="390">
        <f>SUM(G20:G21)</f>
        <v>4201.6421373966987</v>
      </c>
      <c r="H22" s="162"/>
    </row>
    <row r="23" spans="1:8" ht="13" x14ac:dyDescent="0.3">
      <c r="A23" s="122"/>
      <c r="B23" s="122"/>
      <c r="C23" s="122"/>
      <c r="D23" s="421"/>
      <c r="E23" s="143"/>
      <c r="F23" s="144" t="s">
        <v>11</v>
      </c>
      <c r="G23" s="156">
        <f>+G22/F9</f>
        <v>120.04691821133424</v>
      </c>
      <c r="H23" s="162"/>
    </row>
    <row r="24" spans="1:8" ht="13" x14ac:dyDescent="0.3">
      <c r="A24" s="128" t="s">
        <v>603</v>
      </c>
      <c r="B24" s="122"/>
      <c r="C24" s="122"/>
      <c r="D24" s="421"/>
      <c r="E24" s="122"/>
      <c r="F24" s="122"/>
      <c r="G24" s="122"/>
      <c r="H24" s="162"/>
    </row>
    <row r="25" spans="1:8" ht="13" x14ac:dyDescent="0.3">
      <c r="A25" s="133" t="s">
        <v>79</v>
      </c>
      <c r="B25" s="134" t="s">
        <v>591</v>
      </c>
      <c r="C25" s="134" t="s">
        <v>592</v>
      </c>
      <c r="D25" s="503" t="s">
        <v>593</v>
      </c>
      <c r="E25" s="134" t="s">
        <v>604</v>
      </c>
      <c r="F25" s="134"/>
      <c r="G25" s="135" t="s">
        <v>596</v>
      </c>
      <c r="H25" s="167"/>
    </row>
    <row r="26" spans="1:8" ht="13" x14ac:dyDescent="0.3">
      <c r="A26" s="264" t="s">
        <v>228</v>
      </c>
      <c r="B26" s="175" t="s">
        <v>230</v>
      </c>
      <c r="C26" s="264" t="s">
        <v>605</v>
      </c>
      <c r="D26" s="433">
        <v>3</v>
      </c>
      <c r="E26" s="175">
        <f>VLOOKUP(B26,'Mano de Obra'!$B$8:$C$100,2,FALSE)</f>
        <v>60860.580776571966</v>
      </c>
      <c r="F26" s="175"/>
      <c r="G26" s="176">
        <f>+E26*D26</f>
        <v>182581.7423297159</v>
      </c>
      <c r="H26" s="162"/>
    </row>
    <row r="27" spans="1:8" ht="13" x14ac:dyDescent="0.3">
      <c r="A27" s="265" t="s">
        <v>255</v>
      </c>
      <c r="B27" s="180" t="s">
        <v>256</v>
      </c>
      <c r="C27" s="265" t="s">
        <v>605</v>
      </c>
      <c r="D27" s="434">
        <v>2</v>
      </c>
      <c r="E27" s="180">
        <f>VLOOKUP(B27,'Mano de Obra'!$B$8:$C$100,2,FALSE)</f>
        <v>85927.097156571981</v>
      </c>
      <c r="F27" s="180"/>
      <c r="G27" s="182">
        <f>+E27*D27</f>
        <v>171854.19431314396</v>
      </c>
      <c r="H27" s="162"/>
    </row>
    <row r="28" spans="1:8" ht="13" x14ac:dyDescent="0.3">
      <c r="A28" s="139"/>
      <c r="B28" s="139"/>
      <c r="C28" s="139"/>
      <c r="D28" s="426"/>
      <c r="E28" s="140"/>
      <c r="F28" s="141" t="s">
        <v>606</v>
      </c>
      <c r="G28" s="391">
        <f>SUM(G26:G27)</f>
        <v>354435.93664285983</v>
      </c>
      <c r="H28" s="162"/>
    </row>
    <row r="29" spans="1:8" ht="13" x14ac:dyDescent="0.3">
      <c r="A29" s="122"/>
      <c r="B29" s="122"/>
      <c r="C29" s="122"/>
      <c r="D29" s="421"/>
      <c r="E29" s="360"/>
      <c r="F29" s="123" t="s">
        <v>607</v>
      </c>
      <c r="G29" s="349">
        <v>1</v>
      </c>
      <c r="H29" s="162"/>
    </row>
    <row r="30" spans="1:8" ht="13" x14ac:dyDescent="0.3">
      <c r="A30" s="122"/>
      <c r="B30" s="122"/>
      <c r="C30" s="122"/>
      <c r="D30" s="421"/>
      <c r="E30" s="360"/>
      <c r="F30" s="123" t="s">
        <v>608</v>
      </c>
      <c r="G30" s="390">
        <f>+G29*G28</f>
        <v>354435.93664285983</v>
      </c>
      <c r="H30" s="162"/>
    </row>
    <row r="31" spans="1:8" ht="13" x14ac:dyDescent="0.3">
      <c r="A31" s="122"/>
      <c r="B31" s="122"/>
      <c r="C31" s="122"/>
      <c r="D31" s="421"/>
      <c r="E31" s="143"/>
      <c r="F31" s="144" t="s">
        <v>10</v>
      </c>
      <c r="G31" s="156">
        <f>+G30/F9</f>
        <v>10126.741046938852</v>
      </c>
      <c r="H31" s="162"/>
    </row>
    <row r="33" spans="1:7" ht="13" x14ac:dyDescent="0.3">
      <c r="A33" s="122"/>
      <c r="B33" s="122"/>
      <c r="C33" s="122"/>
      <c r="D33" s="421"/>
      <c r="E33" s="122"/>
      <c r="F33" s="123" t="s">
        <v>609</v>
      </c>
      <c r="G33" s="123">
        <f>+G31+G23+G17</f>
        <v>17214.818594294815</v>
      </c>
    </row>
    <row r="34" spans="1:7" ht="13" x14ac:dyDescent="0.3">
      <c r="A34" s="122"/>
      <c r="B34" s="122"/>
      <c r="C34" s="122"/>
      <c r="D34" s="421"/>
      <c r="E34" s="123" t="s">
        <v>610</v>
      </c>
      <c r="F34" s="461">
        <f>+RESUMEN!$I$2</f>
        <v>0</v>
      </c>
      <c r="G34" s="130">
        <f>IF(F34=0,0,F34*G33)</f>
        <v>0</v>
      </c>
    </row>
    <row r="35" spans="1:7" ht="13" x14ac:dyDescent="0.3">
      <c r="A35" s="122"/>
      <c r="B35" s="122"/>
      <c r="C35" s="122"/>
      <c r="D35" s="332"/>
      <c r="E35" s="144" t="s">
        <v>611</v>
      </c>
      <c r="F35" s="577">
        <f>+RESUMEN!$I$3</f>
        <v>0</v>
      </c>
      <c r="G35" s="578">
        <f>IF(F35=0,0,F35*G33)</f>
        <v>0</v>
      </c>
    </row>
    <row r="36" spans="1:7" ht="13" x14ac:dyDescent="0.3">
      <c r="A36" s="122"/>
      <c r="B36" s="122"/>
      <c r="C36" s="122"/>
      <c r="D36" s="421"/>
      <c r="E36" s="143"/>
      <c r="F36" s="144" t="s">
        <v>612</v>
      </c>
      <c r="G36" s="156">
        <f>SUM(G33:G35)</f>
        <v>17214.818594294815</v>
      </c>
    </row>
    <row r="37" spans="1:7" ht="13" x14ac:dyDescent="0.3">
      <c r="A37" s="875"/>
      <c r="B37" s="870"/>
      <c r="C37" s="122"/>
      <c r="D37" s="421"/>
      <c r="E37" s="122"/>
      <c r="F37" s="122"/>
      <c r="G37" s="122"/>
    </row>
    <row r="38" spans="1:7" ht="13" x14ac:dyDescent="0.3">
      <c r="A38" s="875"/>
      <c r="B38" s="870"/>
      <c r="C38" s="122"/>
      <c r="D38" s="421"/>
      <c r="E38" s="1"/>
      <c r="F38" s="1"/>
      <c r="G38" s="1"/>
    </row>
  </sheetData>
  <mergeCells count="5">
    <mergeCell ref="A1:G1"/>
    <mergeCell ref="B5:G5"/>
    <mergeCell ref="B7:G7"/>
    <mergeCell ref="A37:B37"/>
    <mergeCell ref="A38:B38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/>
  </sheetPr>
  <dimension ref="A1:T39"/>
  <sheetViews>
    <sheetView workbookViewId="0">
      <selection activeCell="G15" sqref="G15"/>
    </sheetView>
  </sheetViews>
  <sheetFormatPr defaultColWidth="11.453125" defaultRowHeight="12.5" x14ac:dyDescent="0.25"/>
  <cols>
    <col min="1" max="1" width="10.36328125" customWidth="1"/>
    <col min="2" max="2" width="35.6328125" customWidth="1"/>
    <col min="3" max="3" width="7.08984375" bestFit="1" customWidth="1"/>
    <col min="4" max="4" width="8.6328125" style="427" customWidth="1"/>
    <col min="5" max="5" width="15.36328125" bestFit="1" customWidth="1"/>
    <col min="6" max="6" width="9.453125" customWidth="1"/>
    <col min="7" max="7" width="10.453125" bestFit="1" customWidth="1"/>
    <col min="10" max="10" width="5.36328125" bestFit="1" customWidth="1"/>
    <col min="11" max="11" width="7.6328125" bestFit="1" customWidth="1"/>
    <col min="12" max="12" width="6.90625" bestFit="1" customWidth="1"/>
    <col min="13" max="13" width="5" bestFit="1" customWidth="1"/>
    <col min="14" max="14" width="21" bestFit="1" customWidth="1"/>
    <col min="15" max="15" width="7" bestFit="1" customWidth="1"/>
    <col min="16" max="16" width="9" bestFit="1" customWidth="1"/>
  </cols>
  <sheetData>
    <row r="1" spans="1:20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3" x14ac:dyDescent="0.3">
      <c r="A2" s="162"/>
      <c r="B2" s="162"/>
      <c r="C2" s="162"/>
      <c r="D2" s="501"/>
      <c r="E2" s="162"/>
      <c r="F2" s="240" t="s">
        <v>78</v>
      </c>
      <c r="G2" s="500" t="s">
        <v>711</v>
      </c>
      <c r="H2" s="162"/>
      <c r="I2" s="1"/>
      <c r="J2" s="1"/>
      <c r="K2" s="1"/>
      <c r="L2" s="1"/>
      <c r="M2" s="1"/>
      <c r="N2" s="1"/>
      <c r="O2" s="263"/>
      <c r="P2" s="263"/>
      <c r="Q2" s="1"/>
      <c r="R2" s="1"/>
      <c r="S2" s="1"/>
      <c r="T2" s="1"/>
    </row>
    <row r="3" spans="1:20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  <c r="P3" s="1"/>
      <c r="Q3" s="1"/>
      <c r="R3" s="1"/>
      <c r="S3" s="1">
        <v>25</v>
      </c>
      <c r="T3" s="1" t="s">
        <v>403</v>
      </c>
    </row>
    <row r="4" spans="1:20" ht="13" x14ac:dyDescent="0.3">
      <c r="A4" s="122"/>
      <c r="B4" s="122"/>
      <c r="C4" s="122"/>
      <c r="D4" s="421"/>
      <c r="E4" s="122"/>
      <c r="F4" s="123" t="s">
        <v>580</v>
      </c>
      <c r="G4" s="126">
        <v>49</v>
      </c>
      <c r="H4" s="162"/>
      <c r="I4" s="1"/>
      <c r="J4" s="1"/>
      <c r="K4" s="1"/>
      <c r="L4" s="1"/>
      <c r="M4" s="1"/>
      <c r="N4" s="1"/>
      <c r="O4" s="1"/>
      <c r="P4" s="1"/>
      <c r="Q4" s="1"/>
      <c r="R4" s="1"/>
      <c r="S4" s="1">
        <v>13.5</v>
      </c>
      <c r="T4" s="1"/>
    </row>
    <row r="5" spans="1:20" ht="13" x14ac:dyDescent="0.25">
      <c r="A5" s="127" t="s">
        <v>581</v>
      </c>
      <c r="B5" s="892" t="s">
        <v>578</v>
      </c>
      <c r="C5" s="893"/>
      <c r="D5" s="893"/>
      <c r="E5" s="893"/>
      <c r="F5" s="893"/>
      <c r="G5" s="893"/>
      <c r="H5" s="162"/>
      <c r="I5" s="1"/>
      <c r="J5" s="1"/>
      <c r="K5" s="1"/>
      <c r="L5" s="1"/>
      <c r="M5" s="1"/>
      <c r="N5" s="1"/>
      <c r="O5" s="1"/>
      <c r="P5" s="1"/>
      <c r="Q5" s="1"/>
      <c r="R5" s="1"/>
      <c r="S5" s="1">
        <f>+S3/S4</f>
        <v>1.8518518518518519</v>
      </c>
      <c r="T5" s="1"/>
    </row>
    <row r="6" spans="1:20" ht="13" x14ac:dyDescent="0.3">
      <c r="A6" s="128" t="s">
        <v>582</v>
      </c>
      <c r="B6" s="500" t="s">
        <v>578</v>
      </c>
      <c r="C6" s="122"/>
      <c r="D6" s="421"/>
      <c r="E6" s="122"/>
      <c r="F6" s="123" t="s">
        <v>583</v>
      </c>
      <c r="G6" s="500" t="s">
        <v>578</v>
      </c>
      <c r="H6" s="16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5" x14ac:dyDescent="0.25">
      <c r="A7" s="197" t="s">
        <v>584</v>
      </c>
      <c r="B7" s="873" t="s">
        <v>714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  <c r="N8" s="1"/>
      <c r="O8" s="300"/>
      <c r="P8" s="1"/>
      <c r="Q8" s="1"/>
      <c r="R8" s="1"/>
      <c r="S8" s="1"/>
      <c r="T8" s="1"/>
    </row>
    <row r="9" spans="1:20" ht="13" x14ac:dyDescent="0.3">
      <c r="A9" s="122"/>
      <c r="B9" s="122"/>
      <c r="C9" s="132" t="s">
        <v>45</v>
      </c>
      <c r="D9" s="421"/>
      <c r="E9" s="132">
        <v>100</v>
      </c>
      <c r="F9" s="185">
        <v>15</v>
      </c>
      <c r="G9" s="122" t="s">
        <v>615</v>
      </c>
      <c r="H9" s="162"/>
      <c r="I9" s="1"/>
      <c r="J9" s="1">
        <v>2</v>
      </c>
      <c r="K9" s="1">
        <v>2.5</v>
      </c>
      <c r="L9" s="1"/>
      <c r="M9" s="1"/>
      <c r="N9" s="1"/>
      <c r="O9" s="300"/>
      <c r="P9" s="1"/>
      <c r="Q9" s="1"/>
      <c r="R9" s="1"/>
      <c r="S9" s="1"/>
      <c r="T9" s="1"/>
    </row>
    <row r="10" spans="1:20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  <c r="I10" s="1"/>
      <c r="J10" s="1" t="s">
        <v>705</v>
      </c>
      <c r="K10" s="1" t="s">
        <v>706</v>
      </c>
      <c r="L10" s="1"/>
      <c r="M10" s="1"/>
      <c r="N10" s="1"/>
      <c r="O10" s="300"/>
      <c r="P10" s="1"/>
      <c r="Q10" s="1"/>
      <c r="R10" s="1"/>
      <c r="S10" s="1"/>
      <c r="T10" s="1"/>
    </row>
    <row r="11" spans="1:20" ht="13" x14ac:dyDescent="0.3">
      <c r="A11" s="133" t="s">
        <v>79</v>
      </c>
      <c r="B11" s="134" t="s">
        <v>591</v>
      </c>
      <c r="C11" s="261" t="s">
        <v>592</v>
      </c>
      <c r="D11" s="503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3"/>
      <c r="J11" s="606" t="s">
        <v>707</v>
      </c>
      <c r="K11" s="606" t="s">
        <v>707</v>
      </c>
      <c r="L11" s="322" t="s">
        <v>708</v>
      </c>
      <c r="M11" s="322" t="s">
        <v>82</v>
      </c>
      <c r="N11" s="131"/>
      <c r="O11" s="131"/>
      <c r="P11" s="131"/>
      <c r="Q11" s="131"/>
      <c r="S11" s="39"/>
      <c r="T11" s="547"/>
    </row>
    <row r="12" spans="1:20" ht="13" x14ac:dyDescent="0.3">
      <c r="A12" s="264" t="s">
        <v>411</v>
      </c>
      <c r="B12" s="175" t="s">
        <v>412</v>
      </c>
      <c r="C12" s="264" t="s">
        <v>403</v>
      </c>
      <c r="D12" s="433">
        <v>0.5</v>
      </c>
      <c r="E12" s="175">
        <f>VLOOKUP(B12,Materiales!$B$8:$D$118,3,FALSE)</f>
        <v>1256.1280000000002</v>
      </c>
      <c r="F12" s="175">
        <v>5</v>
      </c>
      <c r="G12" s="176">
        <f>+D12*E12*((F12+100)/100)</f>
        <v>659.46720000000016</v>
      </c>
      <c r="H12" s="176">
        <f>+D12*$E$9</f>
        <v>50</v>
      </c>
      <c r="I12" s="1"/>
      <c r="J12" s="277">
        <f>0.2*2</f>
        <v>0.4</v>
      </c>
      <c r="K12" s="277">
        <f>+J12*$K$9/$J$9</f>
        <v>0.5</v>
      </c>
      <c r="L12" s="1">
        <v>1</v>
      </c>
      <c r="M12" s="278">
        <f>+K12/L12</f>
        <v>0.5</v>
      </c>
      <c r="N12" s="1" t="s">
        <v>681</v>
      </c>
      <c r="O12" s="593">
        <v>2</v>
      </c>
      <c r="P12" s="593">
        <v>2.5</v>
      </c>
      <c r="Q12" s="1"/>
      <c r="R12" s="278"/>
    </row>
    <row r="13" spans="1:20" ht="13" x14ac:dyDescent="0.3">
      <c r="A13" s="320" t="s">
        <v>362</v>
      </c>
      <c r="B13" s="178" t="s">
        <v>363</v>
      </c>
      <c r="C13" s="320" t="s">
        <v>59</v>
      </c>
      <c r="D13" s="457">
        <v>0.03</v>
      </c>
      <c r="E13" s="178">
        <f>VLOOKUP(B13,Materiales!$B$8:$D$118,3,FALSE)</f>
        <v>32399.77</v>
      </c>
      <c r="F13" s="178">
        <v>10</v>
      </c>
      <c r="G13" s="179">
        <f t="shared" ref="G13:G14" si="0">+D13*E13*((F13+100)/100)</f>
        <v>1069.1924100000001</v>
      </c>
      <c r="H13" s="179">
        <f t="shared" ref="H13:H14" si="1">+D13*$E$9</f>
        <v>3</v>
      </c>
      <c r="I13" s="1"/>
      <c r="J13" s="277">
        <v>2.4E-2</v>
      </c>
      <c r="K13" s="277">
        <f>+J13*$K$9/$J$9</f>
        <v>0.03</v>
      </c>
      <c r="L13" s="1">
        <v>1</v>
      </c>
      <c r="M13" s="278">
        <f>+K13/L13</f>
        <v>0.03</v>
      </c>
      <c r="N13" s="342"/>
      <c r="O13" s="592" t="s">
        <v>705</v>
      </c>
      <c r="P13" s="263" t="s">
        <v>706</v>
      </c>
      <c r="Q13" s="1"/>
      <c r="R13" s="278"/>
    </row>
    <row r="14" spans="1:20" ht="13" x14ac:dyDescent="0.3">
      <c r="A14" s="265" t="s">
        <v>368</v>
      </c>
      <c r="B14" s="180" t="s">
        <v>369</v>
      </c>
      <c r="C14" s="265" t="s">
        <v>374</v>
      </c>
      <c r="D14" s="434">
        <v>0.27</v>
      </c>
      <c r="E14" s="180">
        <f>VLOOKUP(B14,Materiales!$B$8:$D$118,3,FALSE)</f>
        <v>7809.48</v>
      </c>
      <c r="F14" s="180">
        <v>10</v>
      </c>
      <c r="G14" s="182">
        <f t="shared" si="0"/>
        <v>2319.4155600000004</v>
      </c>
      <c r="H14" s="182">
        <f t="shared" si="1"/>
        <v>27</v>
      </c>
      <c r="I14" s="1"/>
      <c r="J14" s="592">
        <v>10.8</v>
      </c>
      <c r="K14" s="277">
        <f>+J14*$K$9/$J$9</f>
        <v>13.5</v>
      </c>
      <c r="L14" s="300">
        <v>50</v>
      </c>
      <c r="M14" s="278">
        <f>+K14/L14</f>
        <v>0.27</v>
      </c>
      <c r="N14" s="342"/>
      <c r="O14" s="323" t="s">
        <v>707</v>
      </c>
      <c r="P14" s="323" t="s">
        <v>707</v>
      </c>
      <c r="Q14" s="3" t="s">
        <v>708</v>
      </c>
      <c r="R14" s="604" t="s">
        <v>82</v>
      </c>
    </row>
    <row r="15" spans="1:20" ht="13" x14ac:dyDescent="0.3">
      <c r="A15" s="122"/>
      <c r="B15" s="122"/>
      <c r="C15" s="122"/>
      <c r="D15" s="421"/>
      <c r="E15" s="360"/>
      <c r="F15" s="123" t="s">
        <v>598</v>
      </c>
      <c r="G15" s="390">
        <f>SUM(G12:G14)</f>
        <v>4048.0751700000005</v>
      </c>
      <c r="H15" s="162"/>
      <c r="I15" s="1"/>
      <c r="J15" s="592"/>
      <c r="K15" s="1"/>
      <c r="L15" s="1"/>
      <c r="M15" s="1"/>
      <c r="N15" s="1"/>
      <c r="O15" s="592">
        <v>10.8</v>
      </c>
      <c r="P15" s="592">
        <f>+O15*P12/O12</f>
        <v>13.5</v>
      </c>
      <c r="Q15" s="593">
        <v>50</v>
      </c>
      <c r="R15" s="605">
        <f>+P15/Q15</f>
        <v>0.27</v>
      </c>
      <c r="S15" s="1"/>
      <c r="T15" s="1"/>
    </row>
    <row r="16" spans="1:20" ht="13" x14ac:dyDescent="0.3">
      <c r="A16" s="122"/>
      <c r="B16" s="122"/>
      <c r="C16" s="122"/>
      <c r="D16" s="421"/>
      <c r="E16" s="143"/>
      <c r="F16" s="144" t="s">
        <v>9</v>
      </c>
      <c r="G16" s="156">
        <f>+G15</f>
        <v>4048.0751700000005</v>
      </c>
      <c r="H16" s="168"/>
      <c r="I16" s="1"/>
      <c r="J16" s="1"/>
      <c r="K16" s="1"/>
      <c r="L16" s="1"/>
      <c r="M16" s="1"/>
      <c r="N16" s="1"/>
      <c r="O16" s="592">
        <v>2.4E-2</v>
      </c>
      <c r="P16" s="592">
        <f>+O16*P12/O12</f>
        <v>0.03</v>
      </c>
      <c r="Q16" s="593">
        <v>1</v>
      </c>
      <c r="R16" s="605">
        <f>+P16/Q16</f>
        <v>0.03</v>
      </c>
      <c r="S16" s="1"/>
      <c r="T16" s="1"/>
    </row>
    <row r="17" spans="1:13" ht="13" x14ac:dyDescent="0.3">
      <c r="A17" s="128" t="s">
        <v>599</v>
      </c>
      <c r="B17" s="122"/>
      <c r="C17" s="122"/>
      <c r="D17" s="421"/>
      <c r="E17" s="122"/>
      <c r="F17" s="122"/>
      <c r="G17" s="122"/>
      <c r="H17" s="162"/>
      <c r="I17" s="1"/>
      <c r="J17" s="1"/>
      <c r="K17" s="1"/>
      <c r="L17" s="1"/>
      <c r="M17" s="1"/>
    </row>
    <row r="18" spans="1:13" ht="13" x14ac:dyDescent="0.3">
      <c r="A18" s="133" t="s">
        <v>79</v>
      </c>
      <c r="B18" s="134" t="s">
        <v>591</v>
      </c>
      <c r="C18" s="261" t="s">
        <v>592</v>
      </c>
      <c r="D18" s="503" t="s">
        <v>593</v>
      </c>
      <c r="E18" s="134" t="s">
        <v>600</v>
      </c>
      <c r="F18" s="417" t="s">
        <v>87</v>
      </c>
      <c r="G18" s="135" t="s">
        <v>596</v>
      </c>
      <c r="H18" s="167"/>
      <c r="I18" s="3"/>
      <c r="J18" s="3"/>
      <c r="K18" s="3"/>
      <c r="L18" s="3"/>
      <c r="M18" s="3"/>
    </row>
    <row r="19" spans="1:13" ht="26" x14ac:dyDescent="0.25">
      <c r="A19" s="264" t="s">
        <v>163</v>
      </c>
      <c r="B19" s="558" t="s">
        <v>164</v>
      </c>
      <c r="C19" s="246" t="s">
        <v>17</v>
      </c>
      <c r="D19" s="423">
        <v>1</v>
      </c>
      <c r="E19" s="429">
        <f>VLOOKUP(B19,'Rend. Equipos'!$B$7:$E$222,4,FALSE)</f>
        <v>689222.30122796178</v>
      </c>
      <c r="F19" s="423">
        <f>VLOOKUP(B19,'Rend. Equipos'!$B$6:$L$166,MATCH($F$18,'Rend. Equipos'!$B$6:$L$6,0),0)</f>
        <v>1.3888888888888889E-3</v>
      </c>
      <c r="G19" s="246">
        <f>+E19*D19*F19</f>
        <v>957.25319614994692</v>
      </c>
      <c r="H19" s="162"/>
      <c r="I19" s="1"/>
      <c r="J19" s="1"/>
      <c r="K19" s="1"/>
      <c r="L19" s="1"/>
      <c r="M19" s="1"/>
    </row>
    <row r="20" spans="1:13" ht="13" x14ac:dyDescent="0.25">
      <c r="A20" s="265" t="s">
        <v>93</v>
      </c>
      <c r="B20" s="420" t="s">
        <v>94</v>
      </c>
      <c r="C20" s="248" t="s">
        <v>352</v>
      </c>
      <c r="D20" s="425">
        <v>1</v>
      </c>
      <c r="E20" s="432">
        <f>VLOOKUP(B20,'Rend. Equipos'!$B$7:$E$222,4,FALSE)</f>
        <v>2470106.6047045495</v>
      </c>
      <c r="F20" s="425">
        <f>VLOOKUP(B20,'Rend. Equipos'!$B$6:$L$166,MATCH($F$18,'Rend. Equipos'!$B$6:$L$6,0),0)</f>
        <v>9.2592592592592596E-4</v>
      </c>
      <c r="G20" s="248">
        <f>+E20*D20*F20</f>
        <v>2287.1357450968053</v>
      </c>
      <c r="H20" s="162"/>
      <c r="I20" s="1"/>
      <c r="J20" s="1"/>
      <c r="K20" s="1"/>
      <c r="L20" s="1"/>
      <c r="M20" s="1"/>
    </row>
    <row r="21" spans="1:13" ht="13" x14ac:dyDescent="0.3">
      <c r="A21" s="139"/>
      <c r="B21" s="139"/>
      <c r="C21" s="139"/>
      <c r="D21" s="426"/>
      <c r="E21" s="140"/>
      <c r="F21" s="141" t="s">
        <v>602</v>
      </c>
      <c r="G21" s="391">
        <f>SUM(G19:G20)</f>
        <v>3244.3889412467524</v>
      </c>
      <c r="H21" s="162"/>
      <c r="I21" s="1"/>
      <c r="J21" s="1"/>
      <c r="K21" s="1"/>
      <c r="L21" s="1"/>
      <c r="M21" s="1"/>
    </row>
    <row r="22" spans="1:13" ht="13" x14ac:dyDescent="0.3">
      <c r="A22" s="122"/>
      <c r="B22" s="122"/>
      <c r="C22" s="122"/>
      <c r="D22" s="421"/>
      <c r="E22" s="143"/>
      <c r="F22" s="144" t="s">
        <v>11</v>
      </c>
      <c r="G22" s="156">
        <f>+G21/F9</f>
        <v>216.29259608311682</v>
      </c>
      <c r="H22" s="162"/>
      <c r="I22" s="1"/>
      <c r="J22" s="1"/>
      <c r="K22" s="1"/>
      <c r="L22" s="1"/>
      <c r="M22" s="1"/>
    </row>
    <row r="23" spans="1:13" ht="13" x14ac:dyDescent="0.3">
      <c r="A23" s="128" t="s">
        <v>603</v>
      </c>
      <c r="B23" s="122"/>
      <c r="C23" s="122"/>
      <c r="D23" s="421"/>
      <c r="E23" s="122"/>
      <c r="F23" s="122"/>
      <c r="G23" s="122"/>
      <c r="H23" s="162"/>
      <c r="I23" s="1"/>
      <c r="J23" s="1"/>
      <c r="K23" s="1"/>
      <c r="L23" s="1"/>
      <c r="M23" s="1"/>
    </row>
    <row r="24" spans="1:13" ht="13" x14ac:dyDescent="0.3">
      <c r="A24" s="133" t="s">
        <v>79</v>
      </c>
      <c r="B24" s="134" t="s">
        <v>591</v>
      </c>
      <c r="C24" s="261" t="s">
        <v>592</v>
      </c>
      <c r="D24" s="503" t="s">
        <v>593</v>
      </c>
      <c r="E24" s="134" t="s">
        <v>604</v>
      </c>
      <c r="F24" s="134"/>
      <c r="G24" s="135" t="s">
        <v>596</v>
      </c>
      <c r="H24" s="167"/>
      <c r="I24" s="3"/>
      <c r="J24" s="3" t="s">
        <v>709</v>
      </c>
      <c r="K24" s="323" t="s">
        <v>710</v>
      </c>
      <c r="L24" s="3" t="s">
        <v>682</v>
      </c>
      <c r="M24" s="3"/>
    </row>
    <row r="25" spans="1:13" ht="13" x14ac:dyDescent="0.3">
      <c r="A25" s="264" t="s">
        <v>255</v>
      </c>
      <c r="B25" s="175" t="s">
        <v>256</v>
      </c>
      <c r="C25" s="264" t="s">
        <v>605</v>
      </c>
      <c r="D25" s="433">
        <v>1</v>
      </c>
      <c r="E25" s="175">
        <f>VLOOKUP(B25,'Mano de Obra'!$B$8:$C$100,2,FALSE)</f>
        <v>85927.097156571981</v>
      </c>
      <c r="F25" s="175"/>
      <c r="G25" s="176">
        <f>+E25*D25</f>
        <v>85927.097156571981</v>
      </c>
      <c r="H25" s="162"/>
      <c r="I25" s="1"/>
      <c r="J25" s="1">
        <v>0.55000000000000004</v>
      </c>
      <c r="K25" s="545">
        <v>8</v>
      </c>
      <c r="L25" s="277">
        <f>+K25/J25</f>
        <v>14.545454545454545</v>
      </c>
      <c r="M25" s="1"/>
    </row>
    <row r="26" spans="1:13" ht="13" x14ac:dyDescent="0.3">
      <c r="A26" s="265" t="s">
        <v>228</v>
      </c>
      <c r="B26" s="180" t="s">
        <v>230</v>
      </c>
      <c r="C26" s="265" t="s">
        <v>605</v>
      </c>
      <c r="D26" s="434">
        <v>0.45</v>
      </c>
      <c r="E26" s="180">
        <f>VLOOKUP(B26,'Mano de Obra'!$B$8:$C$100,2,FALSE)</f>
        <v>60860.580776571966</v>
      </c>
      <c r="F26" s="180"/>
      <c r="G26" s="182">
        <f>+E26*D26</f>
        <v>27387.261349457385</v>
      </c>
      <c r="H26" s="162"/>
      <c r="I26" s="1"/>
      <c r="J26" s="1">
        <v>0.25</v>
      </c>
      <c r="K26" s="545">
        <v>8</v>
      </c>
      <c r="L26" s="277">
        <f>+K26/J26</f>
        <v>32</v>
      </c>
      <c r="M26" s="1">
        <f>+J26/J25</f>
        <v>0.45454545454545453</v>
      </c>
    </row>
    <row r="27" spans="1:13" ht="13" x14ac:dyDescent="0.3">
      <c r="A27" s="139"/>
      <c r="B27" s="139"/>
      <c r="C27" s="141"/>
      <c r="D27" s="391"/>
      <c r="E27" s="140"/>
      <c r="F27" s="141" t="s">
        <v>606</v>
      </c>
      <c r="G27" s="391">
        <f>SUM(G25:G26)</f>
        <v>113314.35850602937</v>
      </c>
      <c r="H27" s="162"/>
      <c r="I27" s="1"/>
    </row>
    <row r="28" spans="1:13" ht="13" x14ac:dyDescent="0.3">
      <c r="A28" s="122"/>
      <c r="B28" s="122"/>
      <c r="C28" s="123"/>
      <c r="D28" s="349"/>
      <c r="E28" s="360"/>
      <c r="F28" s="123" t="s">
        <v>607</v>
      </c>
      <c r="G28" s="349">
        <v>1</v>
      </c>
      <c r="H28" s="162"/>
      <c r="I28" s="1"/>
      <c r="J28" s="1"/>
      <c r="K28" s="1"/>
      <c r="L28" s="1"/>
      <c r="M28" s="1"/>
    </row>
    <row r="29" spans="1:13" ht="13" x14ac:dyDescent="0.3">
      <c r="A29" s="122"/>
      <c r="B29" s="122"/>
      <c r="C29" s="123"/>
      <c r="D29" s="390"/>
      <c r="E29" s="360"/>
      <c r="F29" s="123" t="s">
        <v>608</v>
      </c>
      <c r="G29" s="390">
        <f>+G27*G28</f>
        <v>113314.35850602937</v>
      </c>
      <c r="H29" s="162"/>
      <c r="I29" s="1"/>
      <c r="J29" s="1"/>
      <c r="K29" s="1"/>
      <c r="L29" s="1"/>
      <c r="M29" s="1"/>
    </row>
    <row r="30" spans="1:13" ht="13" x14ac:dyDescent="0.3">
      <c r="A30" s="122"/>
      <c r="B30" s="122"/>
      <c r="C30" s="123"/>
      <c r="D30" s="582"/>
      <c r="E30" s="143"/>
      <c r="F30" s="144" t="s">
        <v>10</v>
      </c>
      <c r="G30" s="156">
        <f>+G29/F9</f>
        <v>7554.290567068625</v>
      </c>
      <c r="H30" s="162"/>
      <c r="I30" s="1"/>
      <c r="J30" s="1"/>
      <c r="K30" s="1"/>
      <c r="L30" s="1"/>
      <c r="M30" s="1"/>
    </row>
    <row r="31" spans="1:13" ht="13" x14ac:dyDescent="0.3">
      <c r="A31" s="122"/>
      <c r="D31"/>
      <c r="E31" s="122"/>
      <c r="F31" s="123"/>
      <c r="G31" s="130"/>
      <c r="H31" s="162"/>
      <c r="I31" s="1"/>
      <c r="J31" s="1"/>
      <c r="K31" s="1"/>
      <c r="L31" s="1"/>
      <c r="M31" s="1"/>
    </row>
    <row r="32" spans="1:13" ht="13" x14ac:dyDescent="0.3">
      <c r="A32" s="122"/>
      <c r="B32" s="122"/>
      <c r="C32" s="123"/>
      <c r="D32" s="123"/>
      <c r="E32" s="122"/>
      <c r="F32" s="123" t="s">
        <v>609</v>
      </c>
      <c r="G32" s="123">
        <f>+G16+G22+G30</f>
        <v>11818.658333151743</v>
      </c>
      <c r="H32" s="162"/>
      <c r="I32" s="1"/>
      <c r="J32" s="1"/>
      <c r="K32" s="1"/>
      <c r="L32" s="1"/>
      <c r="M32" s="1"/>
    </row>
    <row r="33" spans="1:7" ht="13" x14ac:dyDescent="0.3">
      <c r="A33" s="122"/>
      <c r="B33" s="123"/>
      <c r="C33" s="461"/>
      <c r="D33" s="130"/>
      <c r="E33" s="123" t="s">
        <v>610</v>
      </c>
      <c r="F33" s="198">
        <f>+RESUMEN!$I$2</f>
        <v>0</v>
      </c>
      <c r="G33" s="130">
        <f>IF(F33=0,0,F33*G32)</f>
        <v>0</v>
      </c>
    </row>
    <row r="34" spans="1:7" ht="13" x14ac:dyDescent="0.3">
      <c r="A34" s="122"/>
      <c r="B34" s="123"/>
      <c r="C34" s="461"/>
      <c r="D34" s="130"/>
      <c r="E34" s="123" t="s">
        <v>611</v>
      </c>
      <c r="F34" s="198">
        <f>+RESUMEN!$I$3</f>
        <v>0</v>
      </c>
      <c r="G34" s="130">
        <f>IF(F34=0,0,F34*G32)</f>
        <v>0</v>
      </c>
    </row>
    <row r="35" spans="1:7" ht="13" x14ac:dyDescent="0.3">
      <c r="A35" s="122"/>
      <c r="B35" s="122"/>
      <c r="C35" s="123"/>
      <c r="D35" s="582"/>
      <c r="E35" s="151"/>
      <c r="F35" s="152" t="s">
        <v>612</v>
      </c>
      <c r="G35" s="389">
        <f>SUM(G32:G34)</f>
        <v>11818.658333151743</v>
      </c>
    </row>
    <row r="36" spans="1:7" ht="13" x14ac:dyDescent="0.3">
      <c r="A36" s="122"/>
      <c r="B36" s="122"/>
      <c r="C36" s="122"/>
      <c r="D36" s="421"/>
    </row>
    <row r="37" spans="1:7" ht="13" x14ac:dyDescent="0.3">
      <c r="A37" s="122"/>
      <c r="B37" s="122"/>
      <c r="C37" s="122"/>
      <c r="D37" s="421"/>
    </row>
    <row r="38" spans="1:7" ht="13" x14ac:dyDescent="0.3">
      <c r="A38" s="875"/>
      <c r="B38" s="870"/>
      <c r="C38" s="122"/>
      <c r="D38" s="332"/>
    </row>
    <row r="39" spans="1:7" ht="13" x14ac:dyDescent="0.3">
      <c r="A39" s="875"/>
      <c r="B39" s="870"/>
      <c r="C39" s="122"/>
      <c r="D39" s="421"/>
      <c r="E39" s="122"/>
      <c r="F39" s="123"/>
      <c r="G39" s="123"/>
    </row>
  </sheetData>
  <mergeCells count="5">
    <mergeCell ref="A1:G1"/>
    <mergeCell ref="B5:G5"/>
    <mergeCell ref="B7:G7"/>
    <mergeCell ref="A38:B38"/>
    <mergeCell ref="A39:B39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/>
  </sheetPr>
  <dimension ref="A1:R38"/>
  <sheetViews>
    <sheetView workbookViewId="0">
      <selection activeCell="F20" sqref="F20"/>
    </sheetView>
  </sheetViews>
  <sheetFormatPr defaultColWidth="11.453125" defaultRowHeight="12.5" x14ac:dyDescent="0.25"/>
  <cols>
    <col min="1" max="1" width="7.6328125" customWidth="1"/>
    <col min="2" max="2" width="35.6328125" customWidth="1"/>
    <col min="3" max="3" width="7.08984375" bestFit="1" customWidth="1"/>
    <col min="4" max="4" width="8.6328125" style="427" customWidth="1"/>
    <col min="5" max="5" width="15.36328125" bestFit="1" customWidth="1"/>
    <col min="6" max="6" width="9.453125" customWidth="1"/>
    <col min="7" max="7" width="9.6328125" customWidth="1"/>
  </cols>
  <sheetData>
    <row r="1" spans="1:18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3" x14ac:dyDescent="0.25">
      <c r="A2" s="162"/>
      <c r="B2" s="162"/>
      <c r="C2" s="162"/>
      <c r="D2" s="501"/>
      <c r="E2" s="162"/>
      <c r="F2" s="240" t="s">
        <v>78</v>
      </c>
      <c r="G2" s="583" t="s">
        <v>711</v>
      </c>
      <c r="H2" s="162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3" x14ac:dyDescent="0.3">
      <c r="A4" s="122"/>
      <c r="B4" s="122"/>
      <c r="C4" s="122"/>
      <c r="D4" s="421"/>
      <c r="E4" s="122"/>
      <c r="F4" s="123" t="s">
        <v>580</v>
      </c>
      <c r="G4" s="126">
        <v>50</v>
      </c>
      <c r="H4" s="162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3" x14ac:dyDescent="0.25">
      <c r="A5" s="127" t="s">
        <v>581</v>
      </c>
      <c r="B5" s="562" t="s">
        <v>711</v>
      </c>
      <c r="C5" s="563"/>
      <c r="D5" s="584"/>
      <c r="E5" s="563"/>
      <c r="F5" s="563"/>
      <c r="G5" s="563"/>
      <c r="H5" s="162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3" x14ac:dyDescent="0.3">
      <c r="A6" s="128" t="s">
        <v>582</v>
      </c>
      <c r="B6" s="500" t="s">
        <v>711</v>
      </c>
      <c r="C6" s="122"/>
      <c r="D6" s="421"/>
      <c r="E6" s="122"/>
      <c r="F6" s="123" t="s">
        <v>583</v>
      </c>
      <c r="G6" s="157" t="s">
        <v>711</v>
      </c>
      <c r="H6" s="162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5" x14ac:dyDescent="0.25">
      <c r="A7" s="197" t="s">
        <v>584</v>
      </c>
      <c r="B7" s="873" t="s">
        <v>715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  <c r="P7" s="1"/>
      <c r="Q7" s="1"/>
      <c r="R7" s="1"/>
    </row>
    <row r="8" spans="1:18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3" x14ac:dyDescent="0.3">
      <c r="A9" s="122"/>
      <c r="B9" s="122"/>
      <c r="C9" s="132" t="s">
        <v>45</v>
      </c>
      <c r="D9" s="421"/>
      <c r="E9" s="132">
        <v>100</v>
      </c>
      <c r="F9" s="185">
        <v>11.5</v>
      </c>
      <c r="G9" s="122" t="s">
        <v>615</v>
      </c>
      <c r="H9" s="162"/>
      <c r="I9" s="1"/>
      <c r="J9" s="1">
        <v>2</v>
      </c>
      <c r="K9" s="1">
        <v>3</v>
      </c>
      <c r="L9" s="1"/>
      <c r="M9" s="1"/>
      <c r="N9" s="1"/>
      <c r="O9" s="300"/>
      <c r="P9" s="1"/>
      <c r="Q9" s="1"/>
      <c r="R9" s="1"/>
    </row>
    <row r="10" spans="1:18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  <c r="I10" s="1"/>
      <c r="J10" s="1" t="s">
        <v>705</v>
      </c>
      <c r="K10" s="1" t="s">
        <v>706</v>
      </c>
      <c r="L10" s="1"/>
      <c r="M10" s="1"/>
      <c r="N10" s="1"/>
      <c r="O10" s="300"/>
      <c r="P10" s="1"/>
      <c r="Q10" s="1"/>
      <c r="R10" s="1"/>
    </row>
    <row r="11" spans="1:18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3"/>
      <c r="J11" s="606" t="s">
        <v>707</v>
      </c>
      <c r="K11" s="606" t="s">
        <v>707</v>
      </c>
      <c r="L11" s="322" t="s">
        <v>708</v>
      </c>
      <c r="M11" s="322" t="s">
        <v>82</v>
      </c>
      <c r="N11" s="131"/>
      <c r="O11" s="131"/>
      <c r="P11" s="131"/>
      <c r="Q11" s="131"/>
    </row>
    <row r="12" spans="1:18" ht="13" x14ac:dyDescent="0.3">
      <c r="A12" s="175" t="s">
        <v>368</v>
      </c>
      <c r="B12" s="175" t="s">
        <v>369</v>
      </c>
      <c r="C12" s="264" t="s">
        <v>374</v>
      </c>
      <c r="D12" s="423">
        <v>0.32400000000000007</v>
      </c>
      <c r="E12" s="175">
        <f>VLOOKUP(B12,Materiales!$B$8:$D$118,3,FALSE)</f>
        <v>7809.48</v>
      </c>
      <c r="F12" s="175">
        <v>10</v>
      </c>
      <c r="G12" s="176">
        <f>+D12*E12*((F12+100)/100)</f>
        <v>2783.2986720000004</v>
      </c>
      <c r="H12" s="176">
        <f>+D12*$E$9</f>
        <v>32.400000000000006</v>
      </c>
      <c r="I12" s="1"/>
      <c r="J12" s="277">
        <v>10.8</v>
      </c>
      <c r="K12" s="277">
        <f>+J12*$K$9/$J$9</f>
        <v>16.200000000000003</v>
      </c>
      <c r="L12" s="300">
        <v>50</v>
      </c>
      <c r="M12" s="278">
        <f>+K12/L12</f>
        <v>0.32400000000000007</v>
      </c>
      <c r="N12" s="342"/>
      <c r="O12" s="593">
        <v>2</v>
      </c>
      <c r="P12" s="593">
        <v>2.5</v>
      </c>
      <c r="Q12" s="1"/>
      <c r="R12" s="278"/>
    </row>
    <row r="13" spans="1:18" ht="13" x14ac:dyDescent="0.3">
      <c r="A13" s="180" t="s">
        <v>362</v>
      </c>
      <c r="B13" s="180" t="s">
        <v>363</v>
      </c>
      <c r="C13" s="265" t="s">
        <v>59</v>
      </c>
      <c r="D13" s="425">
        <v>3.6000000000000004E-2</v>
      </c>
      <c r="E13" s="180">
        <f>VLOOKUP(B13,Materiales!$B$8:$D$118,3,FALSE)</f>
        <v>32399.77</v>
      </c>
      <c r="F13" s="180">
        <v>10</v>
      </c>
      <c r="G13" s="182">
        <f>+D13*E13*((F13+100)/100)</f>
        <v>1283.0308920000002</v>
      </c>
      <c r="H13" s="182">
        <f t="shared" ref="H13" si="0">+D13*$E$9</f>
        <v>3.6000000000000005</v>
      </c>
      <c r="I13" s="1"/>
      <c r="J13" s="277">
        <v>2.4E-2</v>
      </c>
      <c r="K13" s="277">
        <f>+J13*$K$9/$J$9</f>
        <v>3.6000000000000004E-2</v>
      </c>
      <c r="L13" s="1">
        <v>1</v>
      </c>
      <c r="M13" s="278">
        <f>+K13/L13</f>
        <v>3.6000000000000004E-2</v>
      </c>
      <c r="N13" s="342"/>
      <c r="O13" s="592" t="s">
        <v>705</v>
      </c>
      <c r="P13" s="263" t="s">
        <v>706</v>
      </c>
      <c r="Q13" s="1"/>
      <c r="R13" s="278"/>
    </row>
    <row r="14" spans="1:18" ht="13" x14ac:dyDescent="0.3">
      <c r="A14" s="122"/>
      <c r="B14" s="122"/>
      <c r="C14" s="122"/>
      <c r="D14" s="504"/>
      <c r="E14" s="360"/>
      <c r="F14" s="123" t="s">
        <v>598</v>
      </c>
      <c r="G14" s="349">
        <f>SUM(G12:G13)</f>
        <v>4066.3295640000006</v>
      </c>
      <c r="H14" s="162"/>
      <c r="I14" s="1"/>
      <c r="O14" s="323" t="s">
        <v>707</v>
      </c>
      <c r="P14" s="323" t="s">
        <v>707</v>
      </c>
      <c r="Q14" s="3" t="s">
        <v>708</v>
      </c>
      <c r="R14" s="604" t="s">
        <v>82</v>
      </c>
    </row>
    <row r="15" spans="1:18" ht="13" x14ac:dyDescent="0.3">
      <c r="A15" s="122"/>
      <c r="B15" s="122"/>
      <c r="C15" s="122"/>
      <c r="D15" s="421"/>
      <c r="E15" s="143"/>
      <c r="F15" s="144" t="s">
        <v>9</v>
      </c>
      <c r="G15" s="156">
        <f>+G14</f>
        <v>4066.3295640000006</v>
      </c>
      <c r="H15" s="162"/>
      <c r="I15" s="1"/>
      <c r="J15" s="1"/>
      <c r="K15" s="1"/>
      <c r="L15" s="1"/>
      <c r="M15" s="1"/>
      <c r="N15" s="1"/>
      <c r="O15" s="592">
        <v>10.8</v>
      </c>
      <c r="P15" s="592">
        <f>+O15*P12/O12</f>
        <v>13.5</v>
      </c>
      <c r="Q15" s="593">
        <v>50</v>
      </c>
      <c r="R15" s="605">
        <f>+P15/Q15</f>
        <v>0.27</v>
      </c>
    </row>
    <row r="16" spans="1:18" ht="13" x14ac:dyDescent="0.3">
      <c r="A16" s="128" t="s">
        <v>599</v>
      </c>
      <c r="B16" s="122"/>
      <c r="C16" s="122"/>
      <c r="D16" s="421"/>
      <c r="E16" s="122"/>
      <c r="F16" s="122"/>
      <c r="G16" s="122"/>
      <c r="H16" s="162"/>
      <c r="I16" s="1"/>
      <c r="J16" s="1"/>
      <c r="K16" s="1"/>
      <c r="L16" s="1"/>
      <c r="M16" s="1"/>
      <c r="N16" s="1"/>
      <c r="O16" s="592">
        <v>2.4E-2</v>
      </c>
      <c r="P16" s="592">
        <f>+O16*P12/O12</f>
        <v>0.03</v>
      </c>
      <c r="Q16" s="593">
        <v>1</v>
      </c>
      <c r="R16" s="605">
        <f>+P16/Q16</f>
        <v>0.03</v>
      </c>
    </row>
    <row r="17" spans="1:13" ht="13" x14ac:dyDescent="0.3">
      <c r="A17" s="133" t="s">
        <v>79</v>
      </c>
      <c r="B17" s="134" t="s">
        <v>591</v>
      </c>
      <c r="C17" s="134" t="s">
        <v>592</v>
      </c>
      <c r="D17" s="503" t="s">
        <v>593</v>
      </c>
      <c r="E17" s="134" t="s">
        <v>600</v>
      </c>
      <c r="F17" s="417" t="s">
        <v>87</v>
      </c>
      <c r="G17" s="135" t="s">
        <v>596</v>
      </c>
      <c r="H17" s="167"/>
      <c r="I17" s="3"/>
    </row>
    <row r="18" spans="1:13" ht="26" x14ac:dyDescent="0.25">
      <c r="A18" s="264" t="s">
        <v>163</v>
      </c>
      <c r="B18" s="558" t="s">
        <v>164</v>
      </c>
      <c r="C18" s="246" t="s">
        <v>17</v>
      </c>
      <c r="D18" s="423">
        <v>1</v>
      </c>
      <c r="E18" s="429">
        <f>VLOOKUP(B18,'Rend. Equipos'!$B$7:$E$222,4,FALSE)</f>
        <v>689222.30122796178</v>
      </c>
      <c r="F18" s="423">
        <f>VLOOKUP(B18,'Rend. Equipos'!$B$6:$L$166,MATCH($F$17,'Rend. Equipos'!$B$6:$L$6,0),0)</f>
        <v>1.3888888888888889E-3</v>
      </c>
      <c r="G18" s="246">
        <f>+E18*D18*F18</f>
        <v>957.25319614994692</v>
      </c>
      <c r="H18" s="162"/>
      <c r="I18" s="1"/>
      <c r="J18" s="1"/>
      <c r="K18" s="1"/>
      <c r="L18" s="1"/>
      <c r="M18" s="1"/>
    </row>
    <row r="19" spans="1:13" ht="13" x14ac:dyDescent="0.3">
      <c r="A19" s="178" t="s">
        <v>93</v>
      </c>
      <c r="B19" s="178" t="s">
        <v>94</v>
      </c>
      <c r="C19" s="428" t="s">
        <v>17</v>
      </c>
      <c r="D19" s="457">
        <v>1</v>
      </c>
      <c r="E19" s="430">
        <f>VLOOKUP(B19,'Rend. Equipos'!$B$7:$E$222,4,FALSE)</f>
        <v>2470106.6047045495</v>
      </c>
      <c r="F19" s="424">
        <f>VLOOKUP(B19,'Rend. Equipos'!$B$6:$L$166,MATCH($F$17,'Rend. Equipos'!$B$6:$L$6,0),0)</f>
        <v>9.2592592592592596E-4</v>
      </c>
      <c r="G19" s="247">
        <f>+E19*D19*F19</f>
        <v>2287.1357450968053</v>
      </c>
      <c r="H19" s="162"/>
      <c r="I19" s="1"/>
      <c r="J19" s="1"/>
      <c r="K19" s="1"/>
      <c r="L19" s="1"/>
      <c r="M19" s="1"/>
    </row>
    <row r="20" spans="1:13" ht="26" x14ac:dyDescent="0.3">
      <c r="A20" s="180"/>
      <c r="B20" s="587" t="s">
        <v>114</v>
      </c>
      <c r="C20" s="299" t="s">
        <v>17</v>
      </c>
      <c r="D20" s="434">
        <v>1</v>
      </c>
      <c r="E20" s="432">
        <f>VLOOKUP(B20,'Rend. Equipos'!$B$7:$E$222,4,FALSE)</f>
        <v>72426.909005761074</v>
      </c>
      <c r="F20" s="425">
        <f>VLOOKUP(B20,'Rend. Equipos'!$B$6:$L$166,MATCH($F$17,'Rend. Equipos'!$B$6:$L$6,0),0)</f>
        <v>0</v>
      </c>
      <c r="G20" s="248">
        <f>+E20*D20*F20</f>
        <v>0</v>
      </c>
      <c r="H20" s="162"/>
      <c r="I20" s="1"/>
      <c r="J20" s="1"/>
      <c r="K20" s="1"/>
      <c r="L20" s="1"/>
      <c r="M20" s="1"/>
    </row>
    <row r="21" spans="1:13" ht="13" x14ac:dyDescent="0.3">
      <c r="A21" s="139"/>
      <c r="B21" s="139"/>
      <c r="C21" s="139"/>
      <c r="D21" s="426"/>
      <c r="E21" s="140"/>
      <c r="F21" s="141" t="s">
        <v>602</v>
      </c>
      <c r="G21" s="142">
        <f>SUM(G18:G20)</f>
        <v>3244.3889412467524</v>
      </c>
      <c r="H21" s="162"/>
      <c r="I21" s="1"/>
      <c r="J21" s="1"/>
      <c r="K21" s="1"/>
      <c r="L21" s="1"/>
      <c r="M21" s="1"/>
    </row>
    <row r="22" spans="1:13" ht="13" x14ac:dyDescent="0.3">
      <c r="A22" s="122"/>
      <c r="B22" s="122"/>
      <c r="C22" s="122"/>
      <c r="D22" s="421"/>
      <c r="E22" s="143"/>
      <c r="F22" s="144" t="s">
        <v>11</v>
      </c>
      <c r="G22" s="156">
        <f>+G21/F9</f>
        <v>282.12077749971758</v>
      </c>
      <c r="H22" s="162"/>
      <c r="I22" s="1"/>
      <c r="J22" s="1"/>
      <c r="K22" s="1"/>
      <c r="L22" s="1"/>
      <c r="M22" s="1"/>
    </row>
    <row r="23" spans="1:13" ht="13" x14ac:dyDescent="0.3">
      <c r="A23" s="128" t="s">
        <v>603</v>
      </c>
      <c r="B23" s="122"/>
      <c r="C23" s="122"/>
      <c r="D23" s="421"/>
      <c r="E23" s="122"/>
      <c r="F23" s="122"/>
      <c r="G23" s="122"/>
      <c r="H23" s="162"/>
      <c r="I23" s="1"/>
      <c r="J23" s="1"/>
      <c r="K23" s="1"/>
      <c r="L23" s="1"/>
      <c r="M23" s="1"/>
    </row>
    <row r="24" spans="1:13" ht="13" x14ac:dyDescent="0.3">
      <c r="A24" s="133" t="s">
        <v>79</v>
      </c>
      <c r="B24" s="134" t="s">
        <v>591</v>
      </c>
      <c r="C24" s="134" t="s">
        <v>592</v>
      </c>
      <c r="D24" s="503" t="s">
        <v>593</v>
      </c>
      <c r="E24" s="134" t="s">
        <v>604</v>
      </c>
      <c r="F24" s="134"/>
      <c r="G24" s="135" t="s">
        <v>596</v>
      </c>
      <c r="H24" s="167"/>
      <c r="I24" s="3" t="s">
        <v>716</v>
      </c>
      <c r="J24" s="3" t="s">
        <v>717</v>
      </c>
      <c r="K24" s="3" t="s">
        <v>615</v>
      </c>
      <c r="L24" s="3"/>
      <c r="M24" s="3"/>
    </row>
    <row r="25" spans="1:13" ht="13" x14ac:dyDescent="0.3">
      <c r="A25" s="175" t="s">
        <v>228</v>
      </c>
      <c r="B25" s="175" t="s">
        <v>230</v>
      </c>
      <c r="C25" s="264" t="s">
        <v>605</v>
      </c>
      <c r="D25" s="433">
        <v>0.5</v>
      </c>
      <c r="E25" s="175">
        <f>VLOOKUP(B25,'Mano de Obra'!$B$8:$C$100,2,FALSE)</f>
        <v>60860.580776571966</v>
      </c>
      <c r="F25" s="175"/>
      <c r="G25" s="176">
        <f>+E25*D25</f>
        <v>30430.290388285983</v>
      </c>
      <c r="H25" s="162"/>
      <c r="I25" s="1">
        <v>0.3</v>
      </c>
      <c r="J25" s="1">
        <v>7</v>
      </c>
      <c r="K25" s="1">
        <f>+J25/I25</f>
        <v>23.333333333333336</v>
      </c>
      <c r="L25" s="1"/>
      <c r="M25" s="1"/>
    </row>
    <row r="26" spans="1:13" ht="13" x14ac:dyDescent="0.3">
      <c r="A26" s="180" t="s">
        <v>255</v>
      </c>
      <c r="B26" s="180" t="s">
        <v>256</v>
      </c>
      <c r="C26" s="265" t="s">
        <v>605</v>
      </c>
      <c r="D26" s="434">
        <v>1</v>
      </c>
      <c r="E26" s="180">
        <f>VLOOKUP(B26,'Mano de Obra'!$B$8:$C$100,2,FALSE)</f>
        <v>85927.097156571981</v>
      </c>
      <c r="F26" s="180"/>
      <c r="G26" s="182">
        <f>+E26*D26</f>
        <v>85927.097156571981</v>
      </c>
      <c r="H26" s="162"/>
      <c r="I26" s="1">
        <v>0.6</v>
      </c>
      <c r="J26" s="1">
        <v>7</v>
      </c>
      <c r="K26" s="1">
        <f>+J26/I26</f>
        <v>11.666666666666668</v>
      </c>
      <c r="L26" s="1"/>
      <c r="M26" s="1"/>
    </row>
    <row r="27" spans="1:13" ht="13" x14ac:dyDescent="0.3">
      <c r="A27" s="139"/>
      <c r="B27" s="139"/>
      <c r="C27" s="139"/>
      <c r="D27" s="426"/>
      <c r="E27" s="140"/>
      <c r="F27" s="141" t="s">
        <v>606</v>
      </c>
      <c r="G27" s="391">
        <f>SUM(G25:G26)</f>
        <v>116357.38754485796</v>
      </c>
      <c r="H27" s="360"/>
      <c r="I27" s="123"/>
      <c r="J27" s="123"/>
      <c r="K27" s="1"/>
      <c r="L27" s="1"/>
      <c r="M27" s="1"/>
    </row>
    <row r="28" spans="1:13" ht="13" x14ac:dyDescent="0.3">
      <c r="A28" s="122"/>
      <c r="B28" s="122"/>
      <c r="C28" s="122"/>
      <c r="D28" s="421"/>
      <c r="E28" s="360"/>
      <c r="F28" s="123" t="s">
        <v>607</v>
      </c>
      <c r="G28" s="349">
        <v>1</v>
      </c>
      <c r="H28" s="360"/>
      <c r="I28" s="123"/>
      <c r="J28" s="130"/>
      <c r="K28" s="1"/>
      <c r="L28" s="1"/>
      <c r="M28" s="1"/>
    </row>
    <row r="29" spans="1:13" ht="13" x14ac:dyDescent="0.3">
      <c r="A29" s="122"/>
      <c r="B29" s="122"/>
      <c r="C29" s="122"/>
      <c r="D29" s="421"/>
      <c r="E29" s="360"/>
      <c r="F29" s="123" t="s">
        <v>608</v>
      </c>
      <c r="G29" s="390">
        <f>+G27*G28</f>
        <v>116357.38754485796</v>
      </c>
      <c r="H29" s="360"/>
      <c r="I29" s="123"/>
      <c r="J29" s="123"/>
      <c r="K29" s="1"/>
      <c r="L29" s="1"/>
      <c r="M29" s="1"/>
    </row>
    <row r="30" spans="1:13" ht="13" x14ac:dyDescent="0.3">
      <c r="A30" s="122"/>
      <c r="B30" s="122"/>
      <c r="C30" s="122"/>
      <c r="D30" s="421"/>
      <c r="E30" s="143"/>
      <c r="F30" s="144" t="s">
        <v>10</v>
      </c>
      <c r="G30" s="156">
        <f>+G29/F9</f>
        <v>10118.033699552867</v>
      </c>
      <c r="H30" s="360"/>
      <c r="I30" s="123"/>
      <c r="J30" s="169"/>
      <c r="K30" s="1"/>
      <c r="L30" s="1"/>
      <c r="M30" s="1"/>
    </row>
    <row r="31" spans="1:13" ht="13" x14ac:dyDescent="0.3">
      <c r="A31" s="122"/>
      <c r="B31" s="122"/>
      <c r="C31" s="122"/>
      <c r="D31" s="421"/>
      <c r="E31" s="122"/>
      <c r="F31" s="123"/>
      <c r="G31" s="130"/>
      <c r="H31" s="122"/>
      <c r="I31" s="123"/>
      <c r="J31" s="130"/>
      <c r="K31" s="1"/>
      <c r="L31" s="1"/>
      <c r="M31" s="1"/>
    </row>
    <row r="32" spans="1:13" ht="13" x14ac:dyDescent="0.3">
      <c r="A32" s="122"/>
      <c r="B32" s="122"/>
      <c r="C32" s="122"/>
      <c r="D32" s="421"/>
      <c r="E32" s="122"/>
      <c r="F32" s="123" t="s">
        <v>609</v>
      </c>
      <c r="G32" s="123">
        <f>+G15+G22+G30</f>
        <v>14466.484041052585</v>
      </c>
      <c r="H32" s="122"/>
      <c r="I32" s="123"/>
      <c r="J32" s="123"/>
      <c r="K32" s="1"/>
      <c r="L32" s="1"/>
      <c r="M32" s="1"/>
    </row>
    <row r="33" spans="1:7" ht="13" x14ac:dyDescent="0.3">
      <c r="A33" s="122"/>
      <c r="B33" s="122"/>
      <c r="C33" s="122"/>
      <c r="D33" s="421"/>
      <c r="E33" s="123" t="s">
        <v>610</v>
      </c>
      <c r="F33" s="198">
        <f>+RESUMEN!$I$2</f>
        <v>0</v>
      </c>
      <c r="G33" s="130">
        <f>IF(F33=0,0,F33*G32)</f>
        <v>0</v>
      </c>
    </row>
    <row r="34" spans="1:7" ht="13" x14ac:dyDescent="0.3">
      <c r="A34" s="122"/>
      <c r="B34" s="122"/>
      <c r="C34" s="122"/>
      <c r="D34" s="421"/>
      <c r="E34" s="123" t="s">
        <v>611</v>
      </c>
      <c r="F34" s="198">
        <f>+RESUMEN!$I$3</f>
        <v>0</v>
      </c>
      <c r="G34" s="130">
        <f>IF(F34=0,0,F34*G32)</f>
        <v>0</v>
      </c>
    </row>
    <row r="35" spans="1:7" ht="13" x14ac:dyDescent="0.3">
      <c r="A35" s="122"/>
      <c r="B35" s="122"/>
      <c r="C35" s="122"/>
      <c r="D35" s="421"/>
      <c r="E35" s="151"/>
      <c r="F35" s="152" t="s">
        <v>612</v>
      </c>
      <c r="G35" s="389">
        <f>SUM(G32:G34)</f>
        <v>14466.484041052585</v>
      </c>
    </row>
    <row r="36" spans="1:7" ht="13" x14ac:dyDescent="0.3">
      <c r="A36" s="122"/>
      <c r="B36" s="122"/>
      <c r="C36" s="122"/>
      <c r="D36" s="421"/>
      <c r="E36" s="141"/>
      <c r="F36" s="585"/>
      <c r="G36" s="586"/>
    </row>
    <row r="37" spans="1:7" ht="13" x14ac:dyDescent="0.3">
      <c r="A37" s="875"/>
      <c r="B37" s="870"/>
      <c r="C37" s="122"/>
      <c r="D37" s="332"/>
      <c r="E37" s="122"/>
      <c r="F37" s="123"/>
      <c r="G37" s="123"/>
    </row>
    <row r="38" spans="1:7" ht="13" x14ac:dyDescent="0.3">
      <c r="A38" s="875"/>
      <c r="B38" s="870"/>
      <c r="C38" s="122"/>
      <c r="D38" s="421"/>
      <c r="E38" s="122"/>
      <c r="F38" s="123"/>
      <c r="G38" s="123"/>
    </row>
  </sheetData>
  <mergeCells count="4">
    <mergeCell ref="A1:G1"/>
    <mergeCell ref="B7:G7"/>
    <mergeCell ref="A37:B37"/>
    <mergeCell ref="A38:B38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/>
  </sheetPr>
  <dimension ref="A1:N42"/>
  <sheetViews>
    <sheetView workbookViewId="0">
      <selection activeCell="G23" sqref="G23"/>
    </sheetView>
  </sheetViews>
  <sheetFormatPr defaultColWidth="11.453125" defaultRowHeight="12.5" x14ac:dyDescent="0.25"/>
  <cols>
    <col min="1" max="1" width="8.90625" customWidth="1"/>
    <col min="2" max="2" width="44" bestFit="1" customWidth="1"/>
    <col min="3" max="4" width="7.90625" bestFit="1" customWidth="1"/>
    <col min="5" max="5" width="15.36328125" bestFit="1" customWidth="1"/>
    <col min="6" max="6" width="9.453125" customWidth="1"/>
    <col min="7" max="7" width="16.36328125" customWidth="1"/>
    <col min="8" max="8" width="10.6328125" bestFit="1" customWidth="1"/>
    <col min="10" max="10" width="12.6328125" bestFit="1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</row>
    <row r="2" spans="1:14" ht="13" x14ac:dyDescent="0.25">
      <c r="A2" s="162"/>
      <c r="B2" s="162"/>
      <c r="C2" s="162"/>
      <c r="D2" s="162"/>
      <c r="E2" s="162"/>
      <c r="F2" s="240" t="s">
        <v>78</v>
      </c>
      <c r="G2" s="561" t="s">
        <v>613</v>
      </c>
      <c r="H2" s="162"/>
      <c r="I2" s="1"/>
      <c r="J2" s="1"/>
      <c r="K2" s="1"/>
      <c r="L2" s="1"/>
      <c r="M2" s="1"/>
      <c r="N2" s="1"/>
    </row>
    <row r="3" spans="1:14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</row>
    <row r="4" spans="1:14" ht="13" x14ac:dyDescent="0.3">
      <c r="A4" s="122"/>
      <c r="B4" s="122"/>
      <c r="C4" s="122"/>
      <c r="D4" s="122"/>
      <c r="E4" s="122"/>
      <c r="F4" s="123" t="s">
        <v>580</v>
      </c>
      <c r="G4" s="126">
        <v>51</v>
      </c>
      <c r="H4" s="162"/>
      <c r="I4" s="1"/>
      <c r="J4" s="1"/>
      <c r="K4" s="1"/>
      <c r="L4" s="1"/>
      <c r="M4" s="1"/>
      <c r="N4" s="1"/>
    </row>
    <row r="5" spans="1:14" ht="13" x14ac:dyDescent="0.25">
      <c r="A5" s="337" t="s">
        <v>581</v>
      </c>
      <c r="B5" s="392" t="s">
        <v>613</v>
      </c>
      <c r="C5" s="392"/>
      <c r="D5" s="392"/>
      <c r="E5" s="392"/>
      <c r="F5" s="392"/>
      <c r="G5" s="392"/>
      <c r="H5" s="162"/>
      <c r="I5" s="1"/>
      <c r="J5" s="1"/>
      <c r="K5" s="1"/>
      <c r="L5" s="1"/>
      <c r="M5" s="1"/>
      <c r="N5" s="1"/>
    </row>
    <row r="6" spans="1:14" ht="13" x14ac:dyDescent="0.25">
      <c r="A6" s="337" t="s">
        <v>582</v>
      </c>
      <c r="B6" s="392" t="s">
        <v>613</v>
      </c>
      <c r="C6" s="335"/>
      <c r="D6" s="335"/>
      <c r="E6" s="335"/>
      <c r="F6" s="336" t="s">
        <v>583</v>
      </c>
      <c r="G6" s="392" t="s">
        <v>613</v>
      </c>
      <c r="H6" s="162"/>
      <c r="I6" s="1"/>
      <c r="J6" s="1"/>
      <c r="K6" s="1"/>
      <c r="L6" s="1"/>
      <c r="M6" s="1"/>
      <c r="N6" s="1"/>
    </row>
    <row r="7" spans="1:14" ht="15.5" x14ac:dyDescent="0.25">
      <c r="A7" s="359" t="s">
        <v>584</v>
      </c>
      <c r="B7" s="896" t="s">
        <v>718</v>
      </c>
      <c r="C7" s="897"/>
      <c r="D7" s="897"/>
      <c r="E7" s="897"/>
      <c r="F7" s="897"/>
      <c r="G7" s="897"/>
      <c r="H7" s="162"/>
      <c r="I7" s="162"/>
      <c r="J7" s="1"/>
      <c r="K7" s="1"/>
      <c r="L7" s="1"/>
      <c r="M7" s="1"/>
      <c r="N7" s="1"/>
    </row>
    <row r="8" spans="1:14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  <c r="N8" s="1"/>
    </row>
    <row r="9" spans="1:14" ht="13" x14ac:dyDescent="0.3">
      <c r="A9" s="122"/>
      <c r="B9" s="122"/>
      <c r="C9" s="132" t="s">
        <v>45</v>
      </c>
      <c r="D9" s="122"/>
      <c r="E9" s="132">
        <v>2500</v>
      </c>
      <c r="F9" s="185">
        <v>22</v>
      </c>
      <c r="G9" s="122" t="s">
        <v>615</v>
      </c>
      <c r="H9" s="162"/>
      <c r="I9" s="1"/>
      <c r="J9" s="1"/>
      <c r="K9" s="1"/>
      <c r="L9" s="1"/>
      <c r="M9" s="1"/>
      <c r="N9" s="284"/>
    </row>
    <row r="10" spans="1:14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 t="s">
        <v>719</v>
      </c>
      <c r="L10" s="1"/>
      <c r="M10" s="1"/>
      <c r="N10" s="1"/>
    </row>
    <row r="11" spans="1:14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  <c r="I11" s="3"/>
      <c r="J11" s="3"/>
      <c r="K11" s="3">
        <v>2651</v>
      </c>
      <c r="L11" s="3"/>
      <c r="M11" s="3"/>
      <c r="N11" s="3"/>
    </row>
    <row r="12" spans="1:14" ht="13" x14ac:dyDescent="0.3">
      <c r="A12" s="264" t="s">
        <v>485</v>
      </c>
      <c r="B12" s="175" t="s">
        <v>487</v>
      </c>
      <c r="C12" s="264" t="s">
        <v>355</v>
      </c>
      <c r="D12" s="372">
        <v>4.0000000000000001E-3</v>
      </c>
      <c r="E12" s="302">
        <f>VLOOKUP(B12,Materiales!$B$8:$D$118,3,FALSE)</f>
        <v>30467.49</v>
      </c>
      <c r="F12" s="302">
        <v>5</v>
      </c>
      <c r="G12" s="375">
        <f>+D12*E12*((F12+100)/100)</f>
        <v>127.96345800000002</v>
      </c>
      <c r="H12" s="375">
        <f>+D12*$E$9</f>
        <v>10</v>
      </c>
      <c r="I12" s="3"/>
      <c r="J12" s="3"/>
      <c r="K12" s="1">
        <f t="shared" ref="K12:K20" si="0">+D12*$K$11</f>
        <v>10.604000000000001</v>
      </c>
      <c r="L12" s="3"/>
      <c r="M12" s="3"/>
      <c r="N12" s="3"/>
    </row>
    <row r="13" spans="1:14" ht="13" x14ac:dyDescent="0.3">
      <c r="A13" s="320" t="s">
        <v>470</v>
      </c>
      <c r="B13" s="178" t="s">
        <v>471</v>
      </c>
      <c r="C13" s="320" t="s">
        <v>355</v>
      </c>
      <c r="D13" s="374">
        <v>0.03</v>
      </c>
      <c r="E13" s="283">
        <f>VLOOKUP(B13,Materiales!$B$8:$D$118,3,FALSE)</f>
        <v>18735.77</v>
      </c>
      <c r="F13" s="283">
        <v>10</v>
      </c>
      <c r="G13" s="376">
        <f>+D13*E13*((F13+100)/100)</f>
        <v>618.28040999999996</v>
      </c>
      <c r="H13" s="376">
        <f>+D13*$E$9</f>
        <v>75</v>
      </c>
      <c r="I13" s="3"/>
      <c r="J13" s="3"/>
      <c r="K13" s="1">
        <f t="shared" si="0"/>
        <v>79.53</v>
      </c>
      <c r="L13" s="3"/>
      <c r="M13" s="3"/>
      <c r="N13" s="3"/>
    </row>
    <row r="14" spans="1:14" ht="13" x14ac:dyDescent="0.3">
      <c r="A14" s="320" t="s">
        <v>459</v>
      </c>
      <c r="B14" s="178" t="s">
        <v>460</v>
      </c>
      <c r="C14" s="320" t="s">
        <v>355</v>
      </c>
      <c r="D14" s="374">
        <v>1.2500000000000001E-2</v>
      </c>
      <c r="E14" s="283">
        <f>VLOOKUP(B14,Materiales!$B$8:$D$118,3,FALSE)</f>
        <v>120622.23</v>
      </c>
      <c r="F14" s="283">
        <v>10</v>
      </c>
      <c r="G14" s="376">
        <f>+D14*E14*((F14+100)/100)</f>
        <v>1658.5556625000002</v>
      </c>
      <c r="H14" s="376">
        <f>+D14*$E$9</f>
        <v>31.25</v>
      </c>
      <c r="I14" s="3"/>
      <c r="J14" s="3"/>
      <c r="K14" s="1">
        <f t="shared" si="0"/>
        <v>33.137500000000003</v>
      </c>
      <c r="L14" s="3"/>
      <c r="M14" s="3"/>
      <c r="N14" s="3"/>
    </row>
    <row r="15" spans="1:14" ht="13" x14ac:dyDescent="0.3">
      <c r="A15" s="320" t="s">
        <v>414</v>
      </c>
      <c r="B15" s="178" t="s">
        <v>415</v>
      </c>
      <c r="C15" s="320" t="s">
        <v>355</v>
      </c>
      <c r="D15" s="374">
        <v>2.5000000000000001E-3</v>
      </c>
      <c r="E15" s="283">
        <f>VLOOKUP(B15,Materiales!$B$8:$D$118,3,FALSE)</f>
        <v>9639</v>
      </c>
      <c r="F15" s="283">
        <v>5</v>
      </c>
      <c r="G15" s="376">
        <f>+D15*E15*((F15+100)/100)</f>
        <v>25.302375000000001</v>
      </c>
      <c r="H15" s="376">
        <f>+D15*$E$9</f>
        <v>6.25</v>
      </c>
      <c r="I15" s="3"/>
      <c r="J15" s="3"/>
      <c r="K15" s="1">
        <f t="shared" si="0"/>
        <v>6.6275000000000004</v>
      </c>
      <c r="L15" s="3"/>
      <c r="M15" s="3"/>
      <c r="N15" s="3"/>
    </row>
    <row r="16" spans="1:14" ht="13" x14ac:dyDescent="0.3">
      <c r="A16" s="320" t="s">
        <v>496</v>
      </c>
      <c r="B16" s="178" t="s">
        <v>497</v>
      </c>
      <c r="C16" s="320" t="s">
        <v>17</v>
      </c>
      <c r="D16" s="374">
        <v>0.03</v>
      </c>
      <c r="E16" s="283">
        <f>VLOOKUP(B16,Materiales!$B$8:$D$118,3,FALSE)</f>
        <v>735.06</v>
      </c>
      <c r="F16" s="283">
        <v>5</v>
      </c>
      <c r="G16" s="376">
        <f t="shared" ref="G16:G21" si="1">+D16*E16*((F16+100)/100)</f>
        <v>23.154389999999996</v>
      </c>
      <c r="H16" s="376">
        <f t="shared" ref="H16:H21" si="2">+D16*$E$9</f>
        <v>75</v>
      </c>
      <c r="I16" s="1"/>
      <c r="J16" s="1"/>
      <c r="K16" s="1">
        <f t="shared" si="0"/>
        <v>79.53</v>
      </c>
      <c r="L16" s="1"/>
      <c r="M16" s="277">
        <f>+SUM(G12:G14)</f>
        <v>2404.7995305000004</v>
      </c>
      <c r="N16" s="1" t="s">
        <v>720</v>
      </c>
    </row>
    <row r="17" spans="1:14" ht="13" x14ac:dyDescent="0.3">
      <c r="A17" s="320" t="s">
        <v>493</v>
      </c>
      <c r="B17" s="178" t="s">
        <v>494</v>
      </c>
      <c r="C17" s="320" t="s">
        <v>17</v>
      </c>
      <c r="D17" s="374">
        <v>0.05</v>
      </c>
      <c r="E17" s="283">
        <f>VLOOKUP(B17,Materiales!$B$8:$D$118,3,FALSE)</f>
        <v>3293.01</v>
      </c>
      <c r="F17" s="283">
        <v>10</v>
      </c>
      <c r="G17" s="376">
        <f t="shared" si="1"/>
        <v>181.11555000000004</v>
      </c>
      <c r="H17" s="376">
        <f t="shared" si="2"/>
        <v>125</v>
      </c>
      <c r="I17" s="1"/>
      <c r="J17" s="1"/>
      <c r="K17" s="1">
        <f t="shared" si="0"/>
        <v>132.55000000000001</v>
      </c>
      <c r="L17" s="1"/>
      <c r="M17" s="277">
        <f>+SUM(G15:G21)</f>
        <v>518.96701500000006</v>
      </c>
      <c r="N17" s="1" t="s">
        <v>632</v>
      </c>
    </row>
    <row r="18" spans="1:14" ht="13" x14ac:dyDescent="0.3">
      <c r="A18" s="320" t="s">
        <v>491</v>
      </c>
      <c r="B18" s="178" t="s">
        <v>492</v>
      </c>
      <c r="C18" s="320" t="s">
        <v>17</v>
      </c>
      <c r="D18" s="374">
        <v>2.5000000000000001E-2</v>
      </c>
      <c r="E18" s="283">
        <f>VLOOKUP(B18,Materiales!$B$8:$D$118,3,FALSE)</f>
        <v>5661.4</v>
      </c>
      <c r="F18" s="283">
        <v>5</v>
      </c>
      <c r="G18" s="376">
        <f t="shared" si="1"/>
        <v>148.61175</v>
      </c>
      <c r="H18" s="376">
        <f t="shared" si="2"/>
        <v>62.5</v>
      </c>
      <c r="I18" s="1"/>
      <c r="J18" s="1"/>
      <c r="K18" s="1">
        <f t="shared" si="0"/>
        <v>66.275000000000006</v>
      </c>
      <c r="L18" s="1"/>
      <c r="M18" s="277">
        <f>+M17/M16</f>
        <v>0.21580468908861505</v>
      </c>
      <c r="N18" s="1" t="s">
        <v>721</v>
      </c>
    </row>
    <row r="19" spans="1:14" ht="13" x14ac:dyDescent="0.3">
      <c r="A19" s="320"/>
      <c r="B19" s="178" t="s">
        <v>500</v>
      </c>
      <c r="C19" s="320" t="s">
        <v>17</v>
      </c>
      <c r="D19" s="374">
        <v>5.0000000000000001E-3</v>
      </c>
      <c r="E19" s="283">
        <f>VLOOKUP(B19,Materiales!$B$8:$D$118,3,FALSE)</f>
        <v>6678.36</v>
      </c>
      <c r="F19" s="283">
        <v>5</v>
      </c>
      <c r="G19" s="376">
        <f t="shared" si="1"/>
        <v>35.061389999999996</v>
      </c>
      <c r="H19" s="376">
        <f t="shared" si="2"/>
        <v>12.5</v>
      </c>
      <c r="I19" s="1"/>
      <c r="J19" s="1"/>
      <c r="K19" s="1">
        <f t="shared" si="0"/>
        <v>13.255000000000001</v>
      </c>
      <c r="L19" s="1"/>
    </row>
    <row r="20" spans="1:14" ht="13" x14ac:dyDescent="0.3">
      <c r="A20" s="320"/>
      <c r="B20" s="178" t="s">
        <v>502</v>
      </c>
      <c r="C20" s="320" t="s">
        <v>17</v>
      </c>
      <c r="D20" s="374">
        <v>5.0000000000000001E-3</v>
      </c>
      <c r="E20" s="283">
        <f>VLOOKUP(B20,Materiales!$B$8:$D$118,3,FALSE)</f>
        <v>5282.24</v>
      </c>
      <c r="F20" s="283">
        <v>5</v>
      </c>
      <c r="G20" s="376">
        <f t="shared" si="1"/>
        <v>27.731760000000001</v>
      </c>
      <c r="H20" s="376">
        <f t="shared" si="2"/>
        <v>12.5</v>
      </c>
      <c r="I20" s="1"/>
      <c r="J20" s="1"/>
      <c r="K20" s="1">
        <f t="shared" si="0"/>
        <v>13.255000000000001</v>
      </c>
      <c r="L20" s="1"/>
      <c r="M20" s="277"/>
      <c r="N20" s="1"/>
    </row>
    <row r="21" spans="1:14" ht="13" x14ac:dyDescent="0.3">
      <c r="A21" s="265"/>
      <c r="B21" s="180" t="s">
        <v>504</v>
      </c>
      <c r="C21" s="265" t="s">
        <v>17</v>
      </c>
      <c r="D21" s="373">
        <v>0.01</v>
      </c>
      <c r="E21" s="303">
        <f>VLOOKUP(B21,Materiales!$B$8:$D$118,3,FALSE)</f>
        <v>7427.6</v>
      </c>
      <c r="F21" s="303">
        <v>5</v>
      </c>
      <c r="G21" s="377">
        <f t="shared" si="1"/>
        <v>77.989800000000017</v>
      </c>
      <c r="H21" s="377">
        <f t="shared" si="2"/>
        <v>25</v>
      </c>
      <c r="I21" s="1"/>
      <c r="J21" s="1"/>
      <c r="K21" s="1">
        <f t="shared" ref="K21" si="3">+D21*$K$11</f>
        <v>26.51</v>
      </c>
      <c r="L21" s="1"/>
      <c r="M21" s="277"/>
      <c r="N21" s="1"/>
    </row>
    <row r="22" spans="1:14" ht="13" x14ac:dyDescent="0.3">
      <c r="A22" s="122"/>
      <c r="B22" s="122"/>
      <c r="C22" s="122"/>
      <c r="D22" s="193"/>
      <c r="E22" s="360"/>
      <c r="F22" s="123" t="s">
        <v>598</v>
      </c>
      <c r="G22" s="390">
        <f>SUM(G12:G21)</f>
        <v>2923.7665455000006</v>
      </c>
      <c r="H22" s="162"/>
      <c r="I22" s="1"/>
      <c r="J22" s="1"/>
      <c r="K22" s="1"/>
      <c r="L22" s="1"/>
      <c r="M22" s="1"/>
      <c r="N22" s="1"/>
    </row>
    <row r="23" spans="1:14" ht="13" x14ac:dyDescent="0.3">
      <c r="A23" s="122"/>
      <c r="B23" s="122"/>
      <c r="C23" s="122"/>
      <c r="D23" s="193"/>
      <c r="E23" s="143"/>
      <c r="F23" s="144" t="s">
        <v>9</v>
      </c>
      <c r="G23" s="156">
        <f>+G22</f>
        <v>2923.7665455000006</v>
      </c>
      <c r="H23" s="162"/>
      <c r="I23" s="1"/>
      <c r="J23" s="1">
        <f>+G23*E9</f>
        <v>7309416.3637500014</v>
      </c>
      <c r="K23" s="1"/>
      <c r="L23" s="1"/>
      <c r="M23" s="1"/>
      <c r="N23" s="1"/>
    </row>
    <row r="24" spans="1:14" ht="13" x14ac:dyDescent="0.3">
      <c r="A24" s="128" t="s">
        <v>599</v>
      </c>
      <c r="B24" s="122"/>
      <c r="C24" s="122"/>
      <c r="D24" s="193"/>
      <c r="E24" s="122"/>
      <c r="F24" s="122"/>
      <c r="G24" s="122"/>
      <c r="H24" s="162"/>
      <c r="I24" s="1"/>
      <c r="J24" s="1"/>
      <c r="K24" s="1"/>
      <c r="L24" s="1"/>
      <c r="M24" s="1"/>
      <c r="N24" s="1"/>
    </row>
    <row r="25" spans="1:14" ht="13" x14ac:dyDescent="0.3">
      <c r="A25" s="133" t="s">
        <v>79</v>
      </c>
      <c r="B25" s="134" t="s">
        <v>591</v>
      </c>
      <c r="C25" s="134"/>
      <c r="D25" s="134" t="s">
        <v>593</v>
      </c>
      <c r="E25" s="134" t="s">
        <v>594</v>
      </c>
      <c r="F25" s="134" t="s">
        <v>87</v>
      </c>
      <c r="G25" s="135" t="s">
        <v>596</v>
      </c>
      <c r="H25" s="135" t="s">
        <v>722</v>
      </c>
      <c r="I25" s="3"/>
      <c r="J25" s="3"/>
      <c r="K25" s="3"/>
      <c r="L25" s="3"/>
      <c r="M25" s="3"/>
      <c r="N25" s="3"/>
    </row>
    <row r="26" spans="1:14" ht="13" x14ac:dyDescent="0.3">
      <c r="A26" s="264"/>
      <c r="B26" s="175" t="s">
        <v>183</v>
      </c>
      <c r="C26" s="264" t="s">
        <v>17</v>
      </c>
      <c r="D26" s="266">
        <v>2</v>
      </c>
      <c r="E26" s="175">
        <f>VLOOKUP(B26,'Rend. Equipos'!$B$7:$E$222,4,FALSE)</f>
        <v>72091.108607308124</v>
      </c>
      <c r="F26" s="372">
        <f>VLOOKUP(B26,'Rend. Equipos'!$B$6:$L$166,MATCH($F$25,'Rend. Equipos'!$B$6:$L$6,0),0)</f>
        <v>2.7777777777777779E-3</v>
      </c>
      <c r="G26" s="176">
        <f>+D26*E26*F26</f>
        <v>400.50615892948957</v>
      </c>
      <c r="H26" s="176">
        <f>+D26*$E$9*F26/$F$9</f>
        <v>0.63131313131313138</v>
      </c>
      <c r="I26" s="1"/>
      <c r="J26" s="1"/>
      <c r="K26" s="1">
        <f>+F26*$K$11*D26</f>
        <v>14.727777777777778</v>
      </c>
      <c r="L26" s="1"/>
      <c r="M26" s="1"/>
      <c r="N26" s="1"/>
    </row>
    <row r="27" spans="1:14" ht="13" x14ac:dyDescent="0.3">
      <c r="A27" s="265" t="s">
        <v>135</v>
      </c>
      <c r="B27" s="180" t="s">
        <v>136</v>
      </c>
      <c r="C27" s="265" t="s">
        <v>352</v>
      </c>
      <c r="D27" s="181">
        <v>2</v>
      </c>
      <c r="E27" s="180">
        <f>VLOOKUP(B27,'Rend. Equipos'!$B$7:$E$222,4,FALSE)</f>
        <v>1241010.6908793931</v>
      </c>
      <c r="F27" s="373">
        <f>VLOOKUP(B27,'Rend. Equipos'!$B$6:$L$166,MATCH($F$25,'Rend. Equipos'!$B$6:$L$6,0),0)</f>
        <v>1.3888888888888887E-3</v>
      </c>
      <c r="G27" s="182">
        <f>+D27*E27*F27</f>
        <v>3447.2519191094248</v>
      </c>
      <c r="H27" s="182">
        <f>+D27*$E$9*F27/$F$9</f>
        <v>0.31565656565656564</v>
      </c>
      <c r="I27" s="1"/>
      <c r="J27" s="1"/>
      <c r="K27" s="1">
        <f>+F27*$K$11*D27</f>
        <v>7.363888888888888</v>
      </c>
      <c r="L27" s="1"/>
      <c r="M27" s="1"/>
      <c r="N27" s="1"/>
    </row>
    <row r="28" spans="1:14" ht="13" x14ac:dyDescent="0.3">
      <c r="A28" s="139"/>
      <c r="B28" s="139"/>
      <c r="C28" s="139"/>
      <c r="D28" s="139"/>
      <c r="E28" s="140"/>
      <c r="F28" s="141" t="s">
        <v>602</v>
      </c>
      <c r="G28" s="391">
        <f>SUM(G26:G27)</f>
        <v>3847.7580780389144</v>
      </c>
      <c r="H28" s="357"/>
      <c r="I28" s="1"/>
      <c r="J28" s="329"/>
      <c r="K28" s="1"/>
      <c r="L28" s="1"/>
      <c r="M28" s="1"/>
      <c r="N28" s="1"/>
    </row>
    <row r="29" spans="1:14" ht="13" x14ac:dyDescent="0.3">
      <c r="A29" s="122"/>
      <c r="B29" s="122"/>
      <c r="C29" s="122"/>
      <c r="D29" s="193"/>
      <c r="E29" s="143"/>
      <c r="F29" s="144" t="s">
        <v>11</v>
      </c>
      <c r="G29" s="156">
        <f>+G28/F9</f>
        <v>174.89809445631428</v>
      </c>
      <c r="H29" s="358"/>
      <c r="I29" s="1"/>
      <c r="J29" s="1">
        <f>+G29*E9</f>
        <v>437245.23614078568</v>
      </c>
      <c r="K29" s="1">
        <f>+G29*K11</f>
        <v>463654.84840368916</v>
      </c>
      <c r="L29" s="1"/>
      <c r="M29" s="1"/>
      <c r="N29" s="1"/>
    </row>
    <row r="30" spans="1:14" ht="13" x14ac:dyDescent="0.3">
      <c r="A30" s="128" t="s">
        <v>603</v>
      </c>
      <c r="B30" s="122"/>
      <c r="C30" s="122"/>
      <c r="D30" s="193"/>
      <c r="E30" s="122"/>
      <c r="F30" s="122"/>
      <c r="G30" s="122"/>
      <c r="H30" s="162"/>
      <c r="I30" s="1"/>
      <c r="J30" s="1"/>
      <c r="K30" s="1"/>
      <c r="L30" s="1"/>
      <c r="M30" s="1"/>
      <c r="N30" s="1"/>
    </row>
    <row r="31" spans="1:14" ht="13" x14ac:dyDescent="0.3">
      <c r="A31" s="133" t="s">
        <v>79</v>
      </c>
      <c r="B31" s="134" t="s">
        <v>591</v>
      </c>
      <c r="C31" s="134"/>
      <c r="D31" s="194" t="s">
        <v>593</v>
      </c>
      <c r="E31" s="134" t="s">
        <v>604</v>
      </c>
      <c r="F31" s="134"/>
      <c r="G31" s="135" t="s">
        <v>596</v>
      </c>
      <c r="H31" s="167"/>
      <c r="I31" s="3"/>
      <c r="J31" s="3"/>
      <c r="K31" s="3"/>
      <c r="L31" s="3"/>
      <c r="M31" s="3"/>
      <c r="N31" s="3"/>
    </row>
    <row r="32" spans="1:14" ht="13" x14ac:dyDescent="0.3">
      <c r="A32" s="264" t="s">
        <v>265</v>
      </c>
      <c r="B32" s="175" t="s">
        <v>266</v>
      </c>
      <c r="C32" s="264" t="s">
        <v>605</v>
      </c>
      <c r="D32" s="266">
        <v>1</v>
      </c>
      <c r="E32" s="175">
        <f>VLOOKUP(B32,'Mano de Obra'!$B$8:$C$100,2,FALSE)</f>
        <v>85927.097156571981</v>
      </c>
      <c r="F32" s="175"/>
      <c r="G32" s="176">
        <f>+E32*D32</f>
        <v>85927.097156571981</v>
      </c>
      <c r="H32" s="162"/>
      <c r="I32" s="1"/>
      <c r="J32" s="1"/>
      <c r="K32" s="1"/>
      <c r="L32" s="1"/>
      <c r="M32" s="1"/>
      <c r="N32" s="1"/>
    </row>
    <row r="33" spans="1:14" ht="13" x14ac:dyDescent="0.3">
      <c r="A33" s="265" t="s">
        <v>251</v>
      </c>
      <c r="B33" s="180" t="s">
        <v>252</v>
      </c>
      <c r="C33" s="265" t="s">
        <v>605</v>
      </c>
      <c r="D33" s="181">
        <v>1.25</v>
      </c>
      <c r="E33" s="180">
        <f>VLOOKUP(B33,'Mano de Obra'!$B$8:$C$100,2,FALSE)</f>
        <v>65493.071636571978</v>
      </c>
      <c r="F33" s="180"/>
      <c r="G33" s="182">
        <f>+E33*D33</f>
        <v>81866.339545714975</v>
      </c>
      <c r="H33" s="162"/>
      <c r="I33" s="1"/>
      <c r="J33" s="1"/>
      <c r="K33" s="1"/>
      <c r="L33" s="1" t="s">
        <v>716</v>
      </c>
      <c r="M33" s="1" t="s">
        <v>710</v>
      </c>
      <c r="N33" s="1" t="s">
        <v>723</v>
      </c>
    </row>
    <row r="34" spans="1:14" ht="13" x14ac:dyDescent="0.3">
      <c r="A34" s="139"/>
      <c r="B34" s="139"/>
      <c r="C34" s="139"/>
      <c r="D34" s="139"/>
      <c r="E34" s="140"/>
      <c r="F34" s="141" t="s">
        <v>606</v>
      </c>
      <c r="G34" s="391">
        <f>SUM(G32:G33)</f>
        <v>167793.43670228694</v>
      </c>
      <c r="H34" s="162"/>
      <c r="I34" s="1"/>
      <c r="J34" s="1"/>
      <c r="K34" s="1" t="s">
        <v>724</v>
      </c>
      <c r="L34" s="1">
        <v>0.3</v>
      </c>
      <c r="M34" s="1">
        <v>7</v>
      </c>
      <c r="N34" s="1">
        <f>+M34/L34</f>
        <v>23.333333333333336</v>
      </c>
    </row>
    <row r="35" spans="1:14" ht="13" x14ac:dyDescent="0.3">
      <c r="A35" s="122"/>
      <c r="B35" s="122"/>
      <c r="C35" s="122"/>
      <c r="D35" s="122"/>
      <c r="E35" s="360"/>
      <c r="F35" s="123" t="s">
        <v>607</v>
      </c>
      <c r="G35" s="349">
        <v>1</v>
      </c>
      <c r="H35" s="162"/>
      <c r="I35" s="1"/>
      <c r="J35" s="1"/>
      <c r="K35" s="1"/>
      <c r="L35" s="1"/>
      <c r="M35" s="1"/>
      <c r="N35" s="1"/>
    </row>
    <row r="36" spans="1:14" ht="13" x14ac:dyDescent="0.3">
      <c r="A36" s="122"/>
      <c r="B36" s="122"/>
      <c r="C36" s="122"/>
      <c r="D36" s="122"/>
      <c r="E36" s="360"/>
      <c r="F36" s="123" t="s">
        <v>608</v>
      </c>
      <c r="G36" s="390">
        <f>+G35*G34</f>
        <v>167793.43670228694</v>
      </c>
      <c r="H36" s="162"/>
      <c r="I36" s="1"/>
      <c r="J36" s="1"/>
      <c r="K36" s="1"/>
      <c r="L36" s="1"/>
      <c r="M36" s="1"/>
      <c r="N36" s="1"/>
    </row>
    <row r="37" spans="1:14" ht="13" x14ac:dyDescent="0.3">
      <c r="A37" s="122"/>
      <c r="B37" s="122"/>
      <c r="C37" s="122"/>
      <c r="D37" s="122"/>
      <c r="E37" s="143"/>
      <c r="F37" s="144" t="s">
        <v>10</v>
      </c>
      <c r="G37" s="156">
        <f>+G36/F9</f>
        <v>7626.9743955584972</v>
      </c>
      <c r="H37" s="168"/>
      <c r="I37" s="1"/>
      <c r="J37" s="1">
        <f>+G37*E9</f>
        <v>19067435.988896243</v>
      </c>
      <c r="K37" s="1"/>
      <c r="L37" s="1"/>
      <c r="M37" s="1"/>
      <c r="N37" s="1"/>
    </row>
    <row r="38" spans="1:14" ht="13" x14ac:dyDescent="0.3">
      <c r="A38" s="122"/>
      <c r="B38" s="122"/>
      <c r="C38" s="122"/>
      <c r="D38" s="122"/>
      <c r="H38" s="162"/>
      <c r="I38" s="1"/>
      <c r="J38" s="1"/>
      <c r="K38" s="1"/>
      <c r="L38" s="1"/>
      <c r="M38" s="1"/>
      <c r="N38" s="1"/>
    </row>
    <row r="39" spans="1:14" ht="13" x14ac:dyDescent="0.3">
      <c r="A39" s="122"/>
      <c r="B39" s="122"/>
      <c r="C39" s="122"/>
      <c r="D39" s="122"/>
      <c r="E39" s="122"/>
      <c r="F39" s="123" t="s">
        <v>609</v>
      </c>
      <c r="G39" s="123">
        <f>+G37+G29+G23</f>
        <v>10725.639035514812</v>
      </c>
      <c r="H39" s="162"/>
      <c r="I39" s="1"/>
      <c r="J39" s="1"/>
      <c r="K39" s="1"/>
      <c r="L39" s="1"/>
      <c r="M39" s="1"/>
      <c r="N39" s="1"/>
    </row>
    <row r="40" spans="1:14" ht="13" x14ac:dyDescent="0.3">
      <c r="A40" s="122"/>
      <c r="B40" s="122"/>
      <c r="C40" s="122"/>
      <c r="D40" s="122"/>
      <c r="E40" s="123" t="s">
        <v>610</v>
      </c>
      <c r="F40" s="198">
        <f>+RESUMEN!$I$2</f>
        <v>0</v>
      </c>
      <c r="G40" s="130">
        <f>IF(F40=0,0,F40*G39)</f>
        <v>0</v>
      </c>
      <c r="H40" s="162"/>
      <c r="I40" s="1"/>
      <c r="J40" s="321">
        <f>+SUM(J23:J37)</f>
        <v>26814097.58878703</v>
      </c>
      <c r="K40" s="1"/>
      <c r="L40" s="1"/>
      <c r="M40" s="1"/>
      <c r="N40" s="1"/>
    </row>
    <row r="41" spans="1:14" ht="13" x14ac:dyDescent="0.3">
      <c r="A41" s="122"/>
      <c r="B41" s="122"/>
      <c r="C41" s="1"/>
      <c r="D41" s="1"/>
      <c r="E41" s="123" t="s">
        <v>611</v>
      </c>
      <c r="F41" s="198">
        <f>+RESUMEN!$I$3</f>
        <v>0</v>
      </c>
      <c r="G41" s="130">
        <f>IF(F41=0,0,F41*G39)</f>
        <v>0</v>
      </c>
      <c r="H41" s="1"/>
      <c r="I41" s="1"/>
      <c r="J41" s="1"/>
      <c r="K41" s="1"/>
      <c r="L41" s="1"/>
      <c r="M41" s="1"/>
      <c r="N41" s="1"/>
    </row>
    <row r="42" spans="1:14" ht="13" x14ac:dyDescent="0.3">
      <c r="A42" s="1"/>
      <c r="B42" s="1"/>
      <c r="C42" s="1"/>
      <c r="D42" s="1"/>
      <c r="E42" s="151"/>
      <c r="F42" s="152" t="s">
        <v>612</v>
      </c>
      <c r="G42" s="389">
        <f>SUM(G39:G41)</f>
        <v>10725.639035514812</v>
      </c>
      <c r="H42" s="1"/>
      <c r="I42" s="1"/>
      <c r="J42" s="1"/>
      <c r="K42" s="1"/>
      <c r="L42" s="1"/>
      <c r="M42" s="1"/>
      <c r="N42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/>
  </sheetPr>
  <dimension ref="A1:L43"/>
  <sheetViews>
    <sheetView workbookViewId="0">
      <selection sqref="A1:G1"/>
    </sheetView>
  </sheetViews>
  <sheetFormatPr defaultColWidth="11.453125" defaultRowHeight="12.5" x14ac:dyDescent="0.25"/>
  <cols>
    <col min="1" max="1" width="7.6328125" customWidth="1"/>
    <col min="2" max="2" width="47.36328125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10.90625" bestFit="1" customWidth="1"/>
    <col min="9" max="9" width="9.453125" customWidth="1"/>
  </cols>
  <sheetData>
    <row r="1" spans="1:12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</row>
    <row r="2" spans="1:12" ht="13" x14ac:dyDescent="0.25">
      <c r="A2" s="162"/>
      <c r="B2" s="162"/>
      <c r="C2" s="162"/>
      <c r="D2" s="162"/>
      <c r="E2" s="162"/>
      <c r="F2" s="240" t="s">
        <v>78</v>
      </c>
      <c r="G2" s="561" t="s">
        <v>613</v>
      </c>
      <c r="H2" s="162"/>
      <c r="I2" s="1"/>
      <c r="J2" s="1"/>
      <c r="K2" s="1"/>
      <c r="L2" s="1"/>
    </row>
    <row r="3" spans="1:12" ht="15.5" x14ac:dyDescent="0.25">
      <c r="A3" s="382" t="s">
        <v>579</v>
      </c>
      <c r="B3" s="383"/>
      <c r="C3" s="383"/>
      <c r="D3" s="383"/>
      <c r="E3" s="383"/>
      <c r="F3" s="383"/>
      <c r="G3" s="383"/>
      <c r="H3" s="162"/>
      <c r="I3" s="1"/>
      <c r="J3" s="1"/>
      <c r="K3" s="1"/>
      <c r="L3" s="1"/>
    </row>
    <row r="4" spans="1:12" ht="13" x14ac:dyDescent="0.3">
      <c r="A4" s="122"/>
      <c r="B4" s="122"/>
      <c r="C4" s="122"/>
      <c r="D4" s="122"/>
      <c r="E4" s="122"/>
      <c r="F4" s="123" t="s">
        <v>580</v>
      </c>
      <c r="G4" s="126">
        <v>52</v>
      </c>
      <c r="H4" s="162"/>
      <c r="I4" s="1"/>
      <c r="J4" s="1"/>
      <c r="K4" s="1"/>
      <c r="L4" s="1"/>
    </row>
    <row r="5" spans="1:12" ht="13" x14ac:dyDescent="0.25">
      <c r="A5" s="127" t="s">
        <v>581</v>
      </c>
      <c r="B5" s="392" t="s">
        <v>613</v>
      </c>
      <c r="C5" s="392"/>
      <c r="D5" s="392"/>
      <c r="E5" s="392"/>
      <c r="F5" s="392"/>
      <c r="G5" s="392"/>
      <c r="H5" s="162"/>
      <c r="I5" s="1"/>
      <c r="J5" s="1"/>
      <c r="K5" s="1"/>
      <c r="L5" s="1"/>
    </row>
    <row r="6" spans="1:12" ht="13" x14ac:dyDescent="0.3">
      <c r="A6" s="128" t="s">
        <v>582</v>
      </c>
      <c r="B6" s="392" t="s">
        <v>613</v>
      </c>
      <c r="C6" s="122"/>
      <c r="D6" s="122"/>
      <c r="E6" s="122"/>
      <c r="F6" s="123" t="s">
        <v>583</v>
      </c>
      <c r="G6" s="392" t="s">
        <v>613</v>
      </c>
      <c r="H6" s="162"/>
      <c r="I6" s="1"/>
      <c r="J6" s="1"/>
      <c r="K6" s="1"/>
      <c r="L6" s="1"/>
    </row>
    <row r="7" spans="1:12" ht="15.5" x14ac:dyDescent="0.25">
      <c r="A7" s="197" t="s">
        <v>584</v>
      </c>
      <c r="B7" s="873" t="s">
        <v>725</v>
      </c>
      <c r="C7" s="874"/>
      <c r="D7" s="874"/>
      <c r="E7" s="874"/>
      <c r="F7" s="874"/>
      <c r="G7" s="874"/>
      <c r="H7" s="162"/>
      <c r="I7" s="162"/>
      <c r="J7" s="1"/>
      <c r="K7" s="1"/>
      <c r="L7" s="1"/>
    </row>
    <row r="8" spans="1:12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1"/>
      <c r="K8" s="1"/>
      <c r="L8" s="1"/>
    </row>
    <row r="9" spans="1:12" ht="13" x14ac:dyDescent="0.3">
      <c r="A9" s="122"/>
      <c r="B9" s="122"/>
      <c r="C9" s="132" t="s">
        <v>45</v>
      </c>
      <c r="D9" s="122"/>
      <c r="E9" s="132">
        <v>100</v>
      </c>
      <c r="F9" s="185">
        <v>17.5</v>
      </c>
      <c r="G9" s="158" t="s">
        <v>615</v>
      </c>
      <c r="H9" s="162"/>
      <c r="I9" s="1"/>
      <c r="J9" s="1"/>
      <c r="K9" s="1"/>
      <c r="L9" s="1"/>
    </row>
    <row r="10" spans="1:12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</row>
    <row r="11" spans="1:12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  <c r="I11" s="3"/>
      <c r="J11" s="1"/>
      <c r="K11" s="1"/>
      <c r="L11" s="1"/>
    </row>
    <row r="12" spans="1:12" ht="13" x14ac:dyDescent="0.3">
      <c r="A12" s="175" t="s">
        <v>485</v>
      </c>
      <c r="B12" s="175" t="s">
        <v>487</v>
      </c>
      <c r="C12" s="264" t="s">
        <v>355</v>
      </c>
      <c r="D12" s="372">
        <v>4.0000000000000001E-3</v>
      </c>
      <c r="E12" s="175">
        <f>VLOOKUP(B12,Materiales!$B$8:$D$118,3,FALSE)</f>
        <v>30467.49</v>
      </c>
      <c r="F12" s="175">
        <v>5</v>
      </c>
      <c r="G12" s="176">
        <f t="shared" ref="G12:G18" si="0">+D12*E12*((F12+100)/100)</f>
        <v>127.96345800000002</v>
      </c>
      <c r="H12" s="176">
        <f t="shared" ref="H12:H21" si="1">+D12*$E$9</f>
        <v>0.4</v>
      </c>
      <c r="I12" s="3"/>
      <c r="J12" s="1"/>
      <c r="K12" s="1"/>
      <c r="L12" s="1"/>
    </row>
    <row r="13" spans="1:12" ht="13" x14ac:dyDescent="0.3">
      <c r="A13" s="178" t="s">
        <v>470</v>
      </c>
      <c r="B13" s="178" t="s">
        <v>471</v>
      </c>
      <c r="C13" s="320" t="s">
        <v>355</v>
      </c>
      <c r="D13" s="374">
        <v>0.03</v>
      </c>
      <c r="E13" s="178">
        <f>VLOOKUP(B13,Materiales!$B$8:$D$118,3,FALSE)</f>
        <v>18735.77</v>
      </c>
      <c r="F13" s="178">
        <v>10</v>
      </c>
      <c r="G13" s="179">
        <f t="shared" si="0"/>
        <v>618.28040999999996</v>
      </c>
      <c r="H13" s="179">
        <f t="shared" si="1"/>
        <v>3</v>
      </c>
      <c r="I13" s="3"/>
      <c r="J13" s="1"/>
      <c r="K13" s="1"/>
    </row>
    <row r="14" spans="1:12" ht="13" x14ac:dyDescent="0.3">
      <c r="A14" s="178" t="s">
        <v>459</v>
      </c>
      <c r="B14" s="178" t="s">
        <v>460</v>
      </c>
      <c r="C14" s="320" t="s">
        <v>355</v>
      </c>
      <c r="D14" s="374">
        <v>1.2500000000000001E-2</v>
      </c>
      <c r="E14" s="178">
        <f>VLOOKUP(B14,Materiales!$B$8:$D$118,3,FALSE)</f>
        <v>120622.23</v>
      </c>
      <c r="F14" s="178">
        <v>10</v>
      </c>
      <c r="G14" s="179">
        <f t="shared" si="0"/>
        <v>1658.5556625000002</v>
      </c>
      <c r="H14" s="179">
        <f t="shared" si="1"/>
        <v>1.25</v>
      </c>
      <c r="I14" s="1"/>
      <c r="J14" s="1"/>
      <c r="K14" s="1"/>
    </row>
    <row r="15" spans="1:12" ht="13" x14ac:dyDescent="0.3">
      <c r="A15" s="178" t="s">
        <v>414</v>
      </c>
      <c r="B15" s="178" t="s">
        <v>415</v>
      </c>
      <c r="C15" s="320" t="s">
        <v>355</v>
      </c>
      <c r="D15" s="374">
        <v>2.5000000000000001E-3</v>
      </c>
      <c r="E15" s="178">
        <f>VLOOKUP(B15,Materiales!$B$8:$D$118,3,FALSE)</f>
        <v>9639</v>
      </c>
      <c r="F15" s="178">
        <v>5</v>
      </c>
      <c r="G15" s="179">
        <f t="shared" si="0"/>
        <v>25.302375000000001</v>
      </c>
      <c r="H15" s="179">
        <f t="shared" si="1"/>
        <v>0.25</v>
      </c>
      <c r="I15" s="1"/>
      <c r="J15" s="1"/>
      <c r="K15" s="1"/>
    </row>
    <row r="16" spans="1:12" ht="13" x14ac:dyDescent="0.3">
      <c r="A16" s="178" t="s">
        <v>496</v>
      </c>
      <c r="B16" s="178" t="s">
        <v>497</v>
      </c>
      <c r="C16" s="320" t="s">
        <v>17</v>
      </c>
      <c r="D16" s="374">
        <v>0.03</v>
      </c>
      <c r="E16" s="178">
        <f>VLOOKUP(B16,Materiales!$B$8:$D$118,3,FALSE)</f>
        <v>735.06</v>
      </c>
      <c r="F16" s="178">
        <v>5</v>
      </c>
      <c r="G16" s="179">
        <f t="shared" si="0"/>
        <v>23.154389999999996</v>
      </c>
      <c r="H16" s="179">
        <f t="shared" si="1"/>
        <v>3</v>
      </c>
      <c r="I16" s="1"/>
      <c r="J16" s="1"/>
      <c r="K16" s="1"/>
      <c r="L16" s="1"/>
    </row>
    <row r="17" spans="1:12" ht="13" x14ac:dyDescent="0.3">
      <c r="A17" s="178" t="s">
        <v>493</v>
      </c>
      <c r="B17" s="178" t="s">
        <v>494</v>
      </c>
      <c r="C17" s="320" t="s">
        <v>17</v>
      </c>
      <c r="D17" s="374">
        <v>0.05</v>
      </c>
      <c r="E17" s="178">
        <f>VLOOKUP(B17,Materiales!$B$8:$D$118,3,FALSE)</f>
        <v>3293.01</v>
      </c>
      <c r="F17" s="178">
        <v>10</v>
      </c>
      <c r="G17" s="179">
        <f t="shared" si="0"/>
        <v>181.11555000000004</v>
      </c>
      <c r="H17" s="179">
        <f t="shared" si="1"/>
        <v>5</v>
      </c>
      <c r="I17" s="1"/>
      <c r="J17" s="1"/>
      <c r="K17" s="1"/>
      <c r="L17" s="1"/>
    </row>
    <row r="18" spans="1:12" ht="13" x14ac:dyDescent="0.3">
      <c r="A18" s="178" t="s">
        <v>491</v>
      </c>
      <c r="B18" s="178" t="s">
        <v>492</v>
      </c>
      <c r="C18" s="320" t="s">
        <v>17</v>
      </c>
      <c r="D18" s="374">
        <v>2.5000000000000001E-2</v>
      </c>
      <c r="E18" s="178">
        <f>VLOOKUP(B18,Materiales!$B$8:$D$118,3,FALSE)</f>
        <v>5661.4</v>
      </c>
      <c r="F18" s="178">
        <v>5</v>
      </c>
      <c r="G18" s="179">
        <f t="shared" si="0"/>
        <v>148.61175</v>
      </c>
      <c r="H18" s="179">
        <f t="shared" si="1"/>
        <v>2.5</v>
      </c>
      <c r="I18" s="1"/>
      <c r="J18" s="1"/>
      <c r="K18" s="1"/>
      <c r="L18" s="1"/>
    </row>
    <row r="19" spans="1:12" ht="13" x14ac:dyDescent="0.3">
      <c r="A19" s="393"/>
      <c r="B19" s="178" t="s">
        <v>500</v>
      </c>
      <c r="C19" s="320" t="s">
        <v>17</v>
      </c>
      <c r="D19" s="374">
        <v>5.0000000000000001E-3</v>
      </c>
      <c r="E19" s="178">
        <f>VLOOKUP(B19,Materiales!$B$8:$D$118,3,FALSE)</f>
        <v>6678.36</v>
      </c>
      <c r="F19" s="178">
        <v>5</v>
      </c>
      <c r="G19" s="179">
        <f t="shared" ref="G19:G21" si="2">+D19*E19*((F19+100)/100)</f>
        <v>35.061389999999996</v>
      </c>
      <c r="H19" s="179">
        <f t="shared" si="1"/>
        <v>0.5</v>
      </c>
      <c r="I19" s="1"/>
      <c r="J19" s="1"/>
      <c r="K19" s="1"/>
      <c r="L19" s="1"/>
    </row>
    <row r="20" spans="1:12" ht="13" x14ac:dyDescent="0.3">
      <c r="A20" s="178"/>
      <c r="B20" s="178" t="s">
        <v>502</v>
      </c>
      <c r="C20" s="320" t="s">
        <v>17</v>
      </c>
      <c r="D20" s="374">
        <v>5.0000000000000001E-3</v>
      </c>
      <c r="E20" s="178">
        <f>VLOOKUP(B20,Materiales!$B$8:$D$118,3,FALSE)</f>
        <v>5282.24</v>
      </c>
      <c r="F20" s="178">
        <v>5</v>
      </c>
      <c r="G20" s="179">
        <f t="shared" si="2"/>
        <v>27.731760000000001</v>
      </c>
      <c r="H20" s="179">
        <f t="shared" si="1"/>
        <v>0.5</v>
      </c>
      <c r="I20" s="1"/>
      <c r="J20" s="1"/>
      <c r="K20" s="1"/>
      <c r="L20" s="1"/>
    </row>
    <row r="21" spans="1:12" ht="13" x14ac:dyDescent="0.3">
      <c r="A21" s="180"/>
      <c r="B21" s="180" t="s">
        <v>504</v>
      </c>
      <c r="C21" s="265" t="s">
        <v>17</v>
      </c>
      <c r="D21" s="373">
        <v>0.01</v>
      </c>
      <c r="E21" s="180">
        <f>VLOOKUP(B21,Materiales!$B$8:$D$118,3,FALSE)</f>
        <v>7427.6</v>
      </c>
      <c r="F21" s="180">
        <v>5</v>
      </c>
      <c r="G21" s="182">
        <f t="shared" si="2"/>
        <v>77.989800000000017</v>
      </c>
      <c r="H21" s="182">
        <f t="shared" si="1"/>
        <v>1</v>
      </c>
      <c r="I21" s="1"/>
      <c r="J21" s="1"/>
      <c r="K21" s="1"/>
      <c r="L21" s="1"/>
    </row>
    <row r="22" spans="1:12" ht="13" x14ac:dyDescent="0.3">
      <c r="A22" s="122"/>
      <c r="B22" s="122"/>
      <c r="C22" s="122"/>
      <c r="D22" s="193"/>
      <c r="E22" s="360"/>
      <c r="F22" s="123" t="s">
        <v>598</v>
      </c>
      <c r="G22" s="390">
        <f>SUM(G12:G21)</f>
        <v>2923.7665455000006</v>
      </c>
      <c r="H22" s="162"/>
      <c r="I22" s="1"/>
      <c r="J22" s="1"/>
      <c r="K22" s="1"/>
      <c r="L22" s="1"/>
    </row>
    <row r="23" spans="1:12" ht="13" x14ac:dyDescent="0.3">
      <c r="A23" s="122"/>
      <c r="B23" s="122"/>
      <c r="C23" s="122"/>
      <c r="D23" s="193"/>
      <c r="E23" s="143"/>
      <c r="F23" s="144" t="s">
        <v>9</v>
      </c>
      <c r="G23" s="156">
        <f>+G22</f>
        <v>2923.7665455000006</v>
      </c>
      <c r="H23" s="162"/>
      <c r="I23" s="1"/>
      <c r="J23" s="1"/>
      <c r="K23" s="1"/>
      <c r="L23" s="1"/>
    </row>
    <row r="24" spans="1:12" ht="13" x14ac:dyDescent="0.3">
      <c r="A24" s="128" t="s">
        <v>599</v>
      </c>
      <c r="B24" s="122"/>
      <c r="C24" s="122"/>
      <c r="D24" s="193"/>
      <c r="E24" s="122"/>
      <c r="F24" s="122"/>
      <c r="G24" s="122"/>
      <c r="H24" s="162"/>
      <c r="I24" s="1"/>
      <c r="J24" s="1"/>
      <c r="K24" s="1"/>
      <c r="L24" s="1"/>
    </row>
    <row r="25" spans="1:12" ht="13" x14ac:dyDescent="0.3">
      <c r="A25" s="133" t="s">
        <v>79</v>
      </c>
      <c r="B25" s="134" t="s">
        <v>591</v>
      </c>
      <c r="C25" s="261" t="s">
        <v>592</v>
      </c>
      <c r="D25" s="261" t="s">
        <v>593</v>
      </c>
      <c r="E25" s="261" t="s">
        <v>600</v>
      </c>
      <c r="F25" s="261" t="s">
        <v>87</v>
      </c>
      <c r="G25" s="261" t="s">
        <v>596</v>
      </c>
      <c r="H25" s="399" t="s">
        <v>597</v>
      </c>
      <c r="I25" s="3"/>
      <c r="J25" s="1"/>
      <c r="K25" s="1"/>
      <c r="L25" s="1"/>
    </row>
    <row r="26" spans="1:12" ht="13" x14ac:dyDescent="0.3">
      <c r="A26" s="175" t="s">
        <v>88</v>
      </c>
      <c r="B26" s="175" t="s">
        <v>89</v>
      </c>
      <c r="C26" s="264" t="s">
        <v>352</v>
      </c>
      <c r="D26" s="266">
        <v>1</v>
      </c>
      <c r="E26" s="175">
        <f>VLOOKUP(B26,'Rend. Equipos'!$B$7:$E$222,4,FALSE)</f>
        <v>1028123.0837653707</v>
      </c>
      <c r="F26" s="266">
        <f>VLOOKUP(B26,'Rend. Equipos'!$B$6:$L$166,MATCH($F$25,'Rend. Equipos'!$B$6:$L$6,0),0)</f>
        <v>5.5555555555555556E-4</v>
      </c>
      <c r="G26" s="176">
        <f>+E26*D26*F26</f>
        <v>571.17949098076144</v>
      </c>
      <c r="H26" s="176">
        <f>+D26*$E$9*F26/$F$9</f>
        <v>3.1746031746031746E-3</v>
      </c>
      <c r="I26" s="1"/>
      <c r="J26" s="1"/>
      <c r="K26" s="1"/>
      <c r="L26" s="1"/>
    </row>
    <row r="27" spans="1:12" ht="13" x14ac:dyDescent="0.3">
      <c r="A27" s="178"/>
      <c r="B27" s="178" t="s">
        <v>183</v>
      </c>
      <c r="C27" s="320" t="s">
        <v>17</v>
      </c>
      <c r="D27" s="325">
        <v>1</v>
      </c>
      <c r="E27" s="178">
        <f>VLOOKUP(B27,'Rend. Equipos'!$B$7:$E$222,4,FALSE)</f>
        <v>72091.108607308124</v>
      </c>
      <c r="F27" s="325">
        <f>VLOOKUP(B27,'Rend. Equipos'!$B$6:$L$166,MATCH($F$25,'Rend. Equipos'!$B$6:$L$6,0),0)</f>
        <v>2.7777777777777779E-3</v>
      </c>
      <c r="G27" s="179">
        <f>+E27*D27*F27</f>
        <v>200.25307946474479</v>
      </c>
      <c r="H27" s="179">
        <f>+D27*$E$9*F27/$F$9</f>
        <v>1.5873015873015872E-2</v>
      </c>
      <c r="I27" s="1"/>
      <c r="J27" s="1"/>
      <c r="K27" s="1"/>
      <c r="L27" s="1"/>
    </row>
    <row r="28" spans="1:12" ht="13" x14ac:dyDescent="0.3">
      <c r="A28" s="180" t="s">
        <v>135</v>
      </c>
      <c r="B28" s="180" t="s">
        <v>136</v>
      </c>
      <c r="C28" s="265" t="s">
        <v>352</v>
      </c>
      <c r="D28" s="181">
        <v>2</v>
      </c>
      <c r="E28" s="180">
        <f>VLOOKUP(B28,'Rend. Equipos'!$B$7:$E$222,4,FALSE)</f>
        <v>1241010.6908793931</v>
      </c>
      <c r="F28" s="181">
        <f>VLOOKUP(B28,'Rend. Equipos'!$B$6:$L$166,MATCH($F$25,'Rend. Equipos'!$B$6:$L$6,0),0)</f>
        <v>1.3888888888888887E-3</v>
      </c>
      <c r="G28" s="182">
        <f>+E28*D28*F28</f>
        <v>3447.2519191094248</v>
      </c>
      <c r="H28" s="182">
        <f>+D28*$E$9*F28/$F$9</f>
        <v>1.5873015873015872E-2</v>
      </c>
      <c r="I28" s="1"/>
      <c r="J28" s="1"/>
      <c r="K28" s="1"/>
      <c r="L28" s="1"/>
    </row>
    <row r="29" spans="1:12" ht="13" x14ac:dyDescent="0.3">
      <c r="A29" s="122"/>
      <c r="B29" s="122"/>
      <c r="C29" s="122"/>
      <c r="D29" s="122"/>
      <c r="E29" s="360"/>
      <c r="F29" s="123" t="s">
        <v>602</v>
      </c>
      <c r="G29" s="390">
        <f>SUM(G26:G28)</f>
        <v>4218.6844895549311</v>
      </c>
      <c r="H29" s="162"/>
      <c r="I29" s="1"/>
      <c r="J29" s="1"/>
      <c r="K29" s="1"/>
      <c r="L29" s="1"/>
    </row>
    <row r="30" spans="1:12" ht="13" x14ac:dyDescent="0.3">
      <c r="A30" s="122"/>
      <c r="B30" s="122"/>
      <c r="C30" s="122"/>
      <c r="D30" s="193"/>
      <c r="E30" s="143"/>
      <c r="F30" s="144" t="s">
        <v>11</v>
      </c>
      <c r="G30" s="156">
        <f>+G29/F9</f>
        <v>241.06768511742465</v>
      </c>
      <c r="H30" s="162"/>
      <c r="I30" s="1"/>
      <c r="J30" s="1"/>
      <c r="K30" s="1"/>
      <c r="L30" s="1"/>
    </row>
    <row r="31" spans="1:12" ht="13" x14ac:dyDescent="0.3">
      <c r="A31" s="128" t="s">
        <v>603</v>
      </c>
      <c r="B31" s="122"/>
      <c r="C31" s="122"/>
      <c r="D31" s="193"/>
      <c r="E31" s="122"/>
      <c r="F31" s="122"/>
      <c r="G31" s="122"/>
      <c r="H31" s="162"/>
      <c r="I31" s="1"/>
      <c r="J31" s="1"/>
      <c r="K31" s="1"/>
      <c r="L31" s="1"/>
    </row>
    <row r="32" spans="1:12" ht="13" x14ac:dyDescent="0.3">
      <c r="A32" s="133" t="s">
        <v>79</v>
      </c>
      <c r="B32" s="134" t="s">
        <v>591</v>
      </c>
      <c r="C32" s="261" t="s">
        <v>592</v>
      </c>
      <c r="D32" s="348" t="s">
        <v>593</v>
      </c>
      <c r="E32" s="261" t="s">
        <v>604</v>
      </c>
      <c r="F32" s="261"/>
      <c r="G32" s="399" t="s">
        <v>596</v>
      </c>
      <c r="H32" s="167"/>
      <c r="I32" s="3"/>
      <c r="J32" s="1"/>
      <c r="K32" s="1"/>
      <c r="L32" s="1"/>
    </row>
    <row r="33" spans="1:12" ht="13" x14ac:dyDescent="0.3">
      <c r="A33" s="175" t="s">
        <v>251</v>
      </c>
      <c r="B33" s="175" t="s">
        <v>252</v>
      </c>
      <c r="C33" s="264" t="s">
        <v>605</v>
      </c>
      <c r="D33" s="266">
        <v>1</v>
      </c>
      <c r="E33" s="175">
        <f>VLOOKUP(B33,'Mano de Obra'!$B$8:$C$100,2,FALSE)</f>
        <v>65493.071636571978</v>
      </c>
      <c r="F33" s="175"/>
      <c r="G33" s="176">
        <f>+E33*D33</f>
        <v>65493.071636571978</v>
      </c>
      <c r="H33" s="162"/>
      <c r="I33" s="1"/>
      <c r="J33" s="1"/>
      <c r="K33" s="1"/>
      <c r="L33" s="1"/>
    </row>
    <row r="34" spans="1:12" ht="13" x14ac:dyDescent="0.3">
      <c r="A34" s="180" t="s">
        <v>265</v>
      </c>
      <c r="B34" s="180" t="s">
        <v>266</v>
      </c>
      <c r="C34" s="265" t="s">
        <v>605</v>
      </c>
      <c r="D34" s="181">
        <v>1</v>
      </c>
      <c r="E34" s="180">
        <f>VLOOKUP(B34,'Mano de Obra'!$B$8:$C$100,2,FALSE)</f>
        <v>85927.097156571981</v>
      </c>
      <c r="F34" s="180"/>
      <c r="G34" s="182">
        <f>+E34*D34</f>
        <v>85927.097156571981</v>
      </c>
      <c r="H34" s="162"/>
      <c r="I34" s="1"/>
      <c r="J34" s="1" t="s">
        <v>716</v>
      </c>
      <c r="K34" s="1" t="s">
        <v>726</v>
      </c>
      <c r="L34" s="1"/>
    </row>
    <row r="35" spans="1:12" ht="13" x14ac:dyDescent="0.3">
      <c r="A35" s="139"/>
      <c r="B35" s="139"/>
      <c r="C35" s="139"/>
      <c r="D35" s="139"/>
      <c r="E35" s="140"/>
      <c r="F35" s="141" t="s">
        <v>606</v>
      </c>
      <c r="G35" s="391">
        <f>SUM(G33:G34)</f>
        <v>151420.16879314397</v>
      </c>
      <c r="H35" s="162"/>
      <c r="I35" s="1" t="s">
        <v>724</v>
      </c>
      <c r="J35" s="1">
        <v>0.4</v>
      </c>
      <c r="K35" s="1">
        <v>7</v>
      </c>
      <c r="L35" s="1">
        <f>+K35/J35</f>
        <v>17.5</v>
      </c>
    </row>
    <row r="36" spans="1:12" ht="13" x14ac:dyDescent="0.3">
      <c r="A36" s="122"/>
      <c r="B36" s="122"/>
      <c r="C36" s="122"/>
      <c r="D36" s="122"/>
      <c r="E36" s="360"/>
      <c r="F36" s="123" t="s">
        <v>607</v>
      </c>
      <c r="G36" s="349">
        <v>1</v>
      </c>
      <c r="H36" s="162"/>
      <c r="I36" s="1"/>
      <c r="J36" s="1"/>
      <c r="K36" s="1"/>
      <c r="L36" s="1"/>
    </row>
    <row r="37" spans="1:12" ht="13" x14ac:dyDescent="0.3">
      <c r="A37" s="122"/>
      <c r="B37" s="122"/>
      <c r="C37" s="122"/>
      <c r="D37" s="122"/>
      <c r="E37" s="360"/>
      <c r="F37" s="123" t="s">
        <v>608</v>
      </c>
      <c r="G37" s="390">
        <f>+G36*G35</f>
        <v>151420.16879314397</v>
      </c>
      <c r="H37" s="162"/>
      <c r="I37" s="1"/>
      <c r="J37" s="1"/>
      <c r="K37" s="1"/>
      <c r="L37" s="1"/>
    </row>
    <row r="38" spans="1:12" ht="13" x14ac:dyDescent="0.3">
      <c r="A38" s="122"/>
      <c r="B38" s="122"/>
      <c r="C38" s="122"/>
      <c r="D38" s="122"/>
      <c r="E38" s="143"/>
      <c r="F38" s="144" t="s">
        <v>10</v>
      </c>
      <c r="G38" s="156">
        <f>+G37/F9</f>
        <v>8652.5810738939417</v>
      </c>
      <c r="H38" s="162"/>
      <c r="I38" s="1"/>
      <c r="J38" s="1"/>
      <c r="K38" s="1"/>
      <c r="L38" s="1"/>
    </row>
    <row r="39" spans="1:12" ht="13" x14ac:dyDescent="0.3">
      <c r="A39" s="122"/>
      <c r="B39" s="122"/>
      <c r="C39" s="122"/>
      <c r="D39" s="122"/>
      <c r="E39" s="122"/>
      <c r="F39" s="123"/>
      <c r="G39" s="130"/>
      <c r="H39" s="162"/>
      <c r="I39" s="1"/>
      <c r="J39" s="1"/>
      <c r="K39" s="1"/>
      <c r="L39" s="1"/>
    </row>
    <row r="40" spans="1:12" ht="13" x14ac:dyDescent="0.3">
      <c r="A40" s="122"/>
      <c r="B40" s="122"/>
      <c r="C40" s="122"/>
      <c r="D40" s="122"/>
      <c r="E40" s="122"/>
      <c r="F40" s="123" t="s">
        <v>609</v>
      </c>
      <c r="G40" s="123">
        <f>+G38+G30+G23</f>
        <v>11817.415304511367</v>
      </c>
      <c r="H40" s="162"/>
      <c r="I40" s="1"/>
      <c r="J40" s="1"/>
      <c r="K40" s="1"/>
      <c r="L40" s="1"/>
    </row>
    <row r="41" spans="1:12" ht="13" x14ac:dyDescent="0.3">
      <c r="A41" s="122"/>
      <c r="B41" s="122"/>
      <c r="C41" s="122"/>
      <c r="D41" s="122"/>
      <c r="E41" s="123" t="s">
        <v>610</v>
      </c>
      <c r="F41" s="198">
        <f>+RESUMEN!$I$2</f>
        <v>0</v>
      </c>
      <c r="G41" s="130">
        <f>IF(F41=0,0,F41*G40)</f>
        <v>0</v>
      </c>
      <c r="H41" s="162"/>
      <c r="I41" s="1"/>
      <c r="J41" s="1"/>
      <c r="K41" s="1"/>
      <c r="L41" s="1"/>
    </row>
    <row r="42" spans="1:12" ht="13" x14ac:dyDescent="0.3">
      <c r="A42" s="122"/>
      <c r="B42" s="122"/>
      <c r="C42" s="122"/>
      <c r="D42" s="122"/>
      <c r="E42" s="123" t="s">
        <v>611</v>
      </c>
      <c r="F42" s="198">
        <f>+RESUMEN!$I$3</f>
        <v>0</v>
      </c>
      <c r="G42" s="130">
        <f>IF(F42=0,0,F42*G40)</f>
        <v>0</v>
      </c>
      <c r="H42" s="168"/>
      <c r="I42" s="1"/>
      <c r="J42" s="1"/>
      <c r="K42" s="1"/>
      <c r="L42" s="1"/>
    </row>
    <row r="43" spans="1:12" ht="13" x14ac:dyDescent="0.3">
      <c r="A43" s="122"/>
      <c r="B43" s="122"/>
      <c r="C43" s="122"/>
      <c r="D43" s="122"/>
      <c r="E43" s="151"/>
      <c r="F43" s="152" t="s">
        <v>612</v>
      </c>
      <c r="G43" s="389">
        <f>SUM(G40:G42)</f>
        <v>11817.415304511367</v>
      </c>
      <c r="H43" s="162"/>
      <c r="I43" s="1"/>
      <c r="J43" s="1"/>
      <c r="K43" s="1"/>
      <c r="L43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/>
  </sheetPr>
  <dimension ref="A1:N39"/>
  <sheetViews>
    <sheetView workbookViewId="0">
      <selection sqref="A1:G1"/>
    </sheetView>
  </sheetViews>
  <sheetFormatPr defaultColWidth="11.453125" defaultRowHeight="12.5" x14ac:dyDescent="0.25"/>
  <cols>
    <col min="1" max="1" width="10" customWidth="1"/>
    <col min="2" max="2" width="44.36328125" style="591" bestFit="1" customWidth="1"/>
    <col min="3" max="3" width="7.08984375" bestFit="1" customWidth="1"/>
    <col min="4" max="4" width="7.90625" style="347" bestFit="1" customWidth="1"/>
    <col min="5" max="5" width="15.36328125" bestFit="1" customWidth="1"/>
    <col min="6" max="6" width="9.453125" customWidth="1"/>
    <col min="7" max="7" width="9.6328125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</row>
    <row r="2" spans="1:14" ht="13" x14ac:dyDescent="0.25">
      <c r="A2" s="162"/>
      <c r="B2" s="588"/>
      <c r="C2" s="162"/>
      <c r="D2" s="340"/>
      <c r="E2" s="162"/>
      <c r="F2" s="240" t="s">
        <v>78</v>
      </c>
      <c r="G2" s="561" t="s">
        <v>613</v>
      </c>
      <c r="H2" s="162"/>
      <c r="I2" s="1"/>
      <c r="J2" s="1"/>
      <c r="K2" s="1"/>
      <c r="L2" s="1"/>
      <c r="M2" s="1"/>
      <c r="N2" s="1"/>
    </row>
    <row r="3" spans="1:14" ht="15.5" x14ac:dyDescent="0.35">
      <c r="A3" s="165" t="s">
        <v>579</v>
      </c>
      <c r="B3" s="166"/>
      <c r="C3" s="166"/>
      <c r="D3" s="341"/>
      <c r="E3" s="166"/>
      <c r="F3" s="166"/>
      <c r="G3" s="166"/>
      <c r="H3" s="162"/>
      <c r="I3" s="1"/>
      <c r="J3" s="1"/>
      <c r="K3" s="1"/>
      <c r="L3" s="1"/>
      <c r="M3" s="1"/>
      <c r="N3" s="1"/>
    </row>
    <row r="4" spans="1:14" ht="13" x14ac:dyDescent="0.3">
      <c r="A4" s="122"/>
      <c r="B4" s="129"/>
      <c r="C4" s="122"/>
      <c r="D4" s="342"/>
      <c r="E4" s="122"/>
      <c r="F4" s="240" t="s">
        <v>580</v>
      </c>
      <c r="G4" s="338">
        <v>53</v>
      </c>
      <c r="H4" s="162"/>
      <c r="I4" s="1"/>
      <c r="J4" s="1"/>
      <c r="K4" s="1"/>
      <c r="L4" s="1"/>
      <c r="M4" s="1"/>
      <c r="N4" s="1"/>
    </row>
    <row r="5" spans="1:14" ht="13" x14ac:dyDescent="0.25">
      <c r="A5" s="240" t="s">
        <v>581</v>
      </c>
      <c r="B5" s="871" t="s">
        <v>613</v>
      </c>
      <c r="C5" s="872"/>
      <c r="D5" s="872"/>
      <c r="E5" s="872"/>
      <c r="F5" s="872"/>
      <c r="G5" s="872"/>
      <c r="H5" s="162"/>
      <c r="I5" s="1"/>
      <c r="J5" s="1"/>
      <c r="K5" s="1"/>
      <c r="L5" s="1"/>
      <c r="M5" s="1"/>
      <c r="N5" s="1"/>
    </row>
    <row r="6" spans="1:14" ht="13" x14ac:dyDescent="0.25">
      <c r="A6" s="240" t="s">
        <v>582</v>
      </c>
      <c r="B6" s="415" t="s">
        <v>613</v>
      </c>
      <c r="C6" s="335"/>
      <c r="D6" s="343"/>
      <c r="E6" s="335"/>
      <c r="F6" s="336" t="s">
        <v>583</v>
      </c>
      <c r="G6" s="392" t="s">
        <v>613</v>
      </c>
      <c r="H6" s="162"/>
      <c r="I6" s="1"/>
      <c r="J6" s="1"/>
      <c r="K6" s="1"/>
      <c r="L6" s="1"/>
      <c r="M6" s="1"/>
      <c r="N6" s="1"/>
    </row>
    <row r="7" spans="1:14" ht="15.5" x14ac:dyDescent="0.25">
      <c r="A7" s="334" t="s">
        <v>584</v>
      </c>
      <c r="B7" s="896" t="s">
        <v>727</v>
      </c>
      <c r="C7" s="897"/>
      <c r="D7" s="897"/>
      <c r="E7" s="897"/>
      <c r="F7" s="897"/>
      <c r="G7" s="897"/>
      <c r="H7" s="162"/>
      <c r="I7" s="162"/>
      <c r="J7" s="1"/>
      <c r="K7" s="1"/>
      <c r="L7" s="1"/>
      <c r="M7" s="1"/>
      <c r="N7" s="1"/>
    </row>
    <row r="8" spans="1:14" ht="13" x14ac:dyDescent="0.3">
      <c r="A8" s="128"/>
      <c r="B8" s="129"/>
      <c r="C8" s="240" t="s">
        <v>586</v>
      </c>
      <c r="D8" s="344"/>
      <c r="E8" s="240" t="s">
        <v>587</v>
      </c>
      <c r="F8" s="337" t="s">
        <v>588</v>
      </c>
      <c r="G8" s="158"/>
      <c r="H8" s="162"/>
      <c r="I8" s="1"/>
      <c r="J8" s="1"/>
      <c r="K8" s="1"/>
      <c r="L8" s="1"/>
      <c r="M8" s="1"/>
      <c r="N8" s="1"/>
    </row>
    <row r="9" spans="1:14" ht="13" x14ac:dyDescent="0.3">
      <c r="A9" s="122"/>
      <c r="B9" s="129"/>
      <c r="C9" s="158" t="s">
        <v>45</v>
      </c>
      <c r="D9" s="344"/>
      <c r="E9" s="158">
        <v>100</v>
      </c>
      <c r="F9" s="339">
        <v>15.5</v>
      </c>
      <c r="G9" s="158" t="s">
        <v>615</v>
      </c>
      <c r="H9" s="162"/>
      <c r="I9" s="1"/>
      <c r="J9" s="1"/>
      <c r="K9" s="1"/>
      <c r="L9" s="1"/>
      <c r="M9" s="1"/>
      <c r="N9" s="1"/>
    </row>
    <row r="10" spans="1:14" ht="13" x14ac:dyDescent="0.3">
      <c r="A10" s="128" t="s">
        <v>590</v>
      </c>
      <c r="B10" s="129"/>
      <c r="C10" s="122"/>
      <c r="D10" s="342"/>
      <c r="E10" s="122"/>
      <c r="F10" s="122"/>
      <c r="G10" s="122"/>
      <c r="H10" s="162"/>
      <c r="I10" s="1"/>
      <c r="J10" s="1"/>
      <c r="K10" s="1"/>
      <c r="L10" s="1"/>
      <c r="M10" s="1"/>
      <c r="N10" s="1"/>
    </row>
    <row r="11" spans="1:14" ht="13" x14ac:dyDescent="0.3">
      <c r="A11" s="435" t="s">
        <v>79</v>
      </c>
      <c r="B11" s="589" t="s">
        <v>591</v>
      </c>
      <c r="C11" s="261" t="s">
        <v>592</v>
      </c>
      <c r="D11" s="345" t="s">
        <v>593</v>
      </c>
      <c r="E11" s="134" t="s">
        <v>594</v>
      </c>
      <c r="F11" s="261" t="s">
        <v>595</v>
      </c>
      <c r="G11" s="134" t="s">
        <v>596</v>
      </c>
      <c r="H11" s="135" t="s">
        <v>597</v>
      </c>
      <c r="I11" s="3"/>
      <c r="J11" s="3"/>
      <c r="K11" s="3"/>
      <c r="L11" s="3"/>
      <c r="M11" s="3"/>
      <c r="N11" s="3"/>
    </row>
    <row r="12" spans="1:14" ht="13" x14ac:dyDescent="0.3">
      <c r="A12" s="264" t="s">
        <v>485</v>
      </c>
      <c r="B12" s="517" t="s">
        <v>487</v>
      </c>
      <c r="C12" s="264" t="s">
        <v>355</v>
      </c>
      <c r="D12" s="372">
        <v>4.0000000000000001E-3</v>
      </c>
      <c r="E12" s="175">
        <f>VLOOKUP(B12,Materiales!$B$8:$D$118,3,FALSE)</f>
        <v>30467.49</v>
      </c>
      <c r="F12" s="175">
        <v>5</v>
      </c>
      <c r="G12" s="176">
        <f>+D12*E12*((F12+100)/100)</f>
        <v>127.96345800000002</v>
      </c>
      <c r="H12" s="176">
        <f>+D12*$E$9</f>
        <v>0.4</v>
      </c>
      <c r="I12" s="3"/>
      <c r="J12" s="3"/>
      <c r="K12" s="3"/>
      <c r="L12" s="3"/>
      <c r="M12" s="277">
        <f>+SUM(G12:G13)</f>
        <v>1580.7573830000003</v>
      </c>
      <c r="N12" s="1" t="s">
        <v>720</v>
      </c>
    </row>
    <row r="13" spans="1:14" ht="13" x14ac:dyDescent="0.3">
      <c r="A13" s="320" t="s">
        <v>459</v>
      </c>
      <c r="B13" s="519" t="s">
        <v>465</v>
      </c>
      <c r="C13" s="320" t="s">
        <v>355</v>
      </c>
      <c r="D13" s="374">
        <v>1.2500000000000001E-2</v>
      </c>
      <c r="E13" s="178">
        <f>VLOOKUP(B13,Materiales!$B$8:$D$118,3,FALSE)</f>
        <v>105657.74</v>
      </c>
      <c r="F13" s="178">
        <v>10</v>
      </c>
      <c r="G13" s="179">
        <f>+D13*E13*((F13+100)/100)</f>
        <v>1452.7939250000004</v>
      </c>
      <c r="H13" s="179">
        <f t="shared" ref="H13:H19" si="0">+D13*$E$9</f>
        <v>1.25</v>
      </c>
      <c r="I13" s="3"/>
      <c r="J13" s="3"/>
      <c r="K13" s="3"/>
      <c r="L13" s="3"/>
      <c r="M13" s="277">
        <f>+SUM(G14:G19)</f>
        <v>244.16889000000003</v>
      </c>
      <c r="N13" s="1" t="s">
        <v>632</v>
      </c>
    </row>
    <row r="14" spans="1:14" ht="13" x14ac:dyDescent="0.3">
      <c r="A14" s="320" t="s">
        <v>496</v>
      </c>
      <c r="B14" s="519" t="s">
        <v>497</v>
      </c>
      <c r="C14" s="320" t="s">
        <v>17</v>
      </c>
      <c r="D14" s="374">
        <v>0.01</v>
      </c>
      <c r="E14" s="178">
        <f>VLOOKUP(B14,Materiales!$B$8:$D$118,3,FALSE)</f>
        <v>735.06</v>
      </c>
      <c r="F14" s="178">
        <v>5</v>
      </c>
      <c r="G14" s="179">
        <f>+D14*E14*((F14+100)/100)</f>
        <v>7.7181300000000004</v>
      </c>
      <c r="H14" s="179">
        <f t="shared" si="0"/>
        <v>1</v>
      </c>
      <c r="I14" s="1"/>
      <c r="J14" s="1"/>
      <c r="K14" s="1"/>
      <c r="L14" s="1"/>
      <c r="M14" s="277">
        <f>+M13/M12</f>
        <v>0.15446322922535416</v>
      </c>
      <c r="N14" s="1" t="s">
        <v>721</v>
      </c>
    </row>
    <row r="15" spans="1:14" ht="13" x14ac:dyDescent="0.3">
      <c r="A15" s="320" t="s">
        <v>493</v>
      </c>
      <c r="B15" s="519" t="s">
        <v>494</v>
      </c>
      <c r="C15" s="320" t="s">
        <v>17</v>
      </c>
      <c r="D15" s="374">
        <v>0.01</v>
      </c>
      <c r="E15" s="178">
        <f>VLOOKUP(B15,Materiales!$B$8:$D$118,3,FALSE)</f>
        <v>3293.01</v>
      </c>
      <c r="F15" s="178">
        <v>10</v>
      </c>
      <c r="G15" s="179">
        <f t="shared" ref="G15:G19" si="1">+D15*E15*((F15+100)/100)</f>
        <v>36.223110000000005</v>
      </c>
      <c r="H15" s="179">
        <f t="shared" si="0"/>
        <v>1</v>
      </c>
      <c r="I15" s="1"/>
      <c r="J15" s="1"/>
      <c r="K15" s="1"/>
      <c r="L15" s="1"/>
      <c r="M15" s="1"/>
      <c r="N15" s="1"/>
    </row>
    <row r="16" spans="1:14" ht="13" x14ac:dyDescent="0.3">
      <c r="A16" s="320" t="s">
        <v>491</v>
      </c>
      <c r="B16" s="519" t="s">
        <v>492</v>
      </c>
      <c r="C16" s="320" t="s">
        <v>17</v>
      </c>
      <c r="D16" s="374">
        <v>0.01</v>
      </c>
      <c r="E16" s="178">
        <f>VLOOKUP(B16,Materiales!$B$8:$D$118,3,FALSE)</f>
        <v>5661.4</v>
      </c>
      <c r="F16" s="178">
        <v>5</v>
      </c>
      <c r="G16" s="179">
        <f t="shared" si="1"/>
        <v>59.444699999999997</v>
      </c>
      <c r="H16" s="179">
        <f t="shared" si="0"/>
        <v>1</v>
      </c>
      <c r="I16" s="1"/>
      <c r="J16" s="1"/>
      <c r="K16" s="1"/>
      <c r="L16" s="1"/>
      <c r="M16" s="1"/>
      <c r="N16" s="1"/>
    </row>
    <row r="17" spans="1:13" ht="13" x14ac:dyDescent="0.3">
      <c r="A17" s="320"/>
      <c r="B17" s="129" t="s">
        <v>501</v>
      </c>
      <c r="C17" s="320" t="s">
        <v>17</v>
      </c>
      <c r="D17" s="374">
        <v>5.0000000000000001E-3</v>
      </c>
      <c r="E17" s="178">
        <f>VLOOKUP(B17,Materiales!$B$8:$D$118,3,FALSE)</f>
        <v>6678.36</v>
      </c>
      <c r="F17" s="178">
        <v>5</v>
      </c>
      <c r="G17" s="179">
        <f t="shared" si="1"/>
        <v>35.061389999999996</v>
      </c>
      <c r="H17" s="179">
        <f t="shared" si="0"/>
        <v>0.5</v>
      </c>
      <c r="I17" s="1"/>
      <c r="J17" s="1"/>
      <c r="K17" s="1"/>
      <c r="L17" s="1"/>
      <c r="M17" s="1"/>
    </row>
    <row r="18" spans="1:13" ht="13" x14ac:dyDescent="0.3">
      <c r="A18" s="320"/>
      <c r="B18" s="519" t="s">
        <v>502</v>
      </c>
      <c r="C18" s="320" t="s">
        <v>17</v>
      </c>
      <c r="D18" s="374">
        <v>5.0000000000000001E-3</v>
      </c>
      <c r="E18" s="178">
        <f>VLOOKUP(B18,Materiales!$B$8:$D$118,3,FALSE)</f>
        <v>5282.24</v>
      </c>
      <c r="F18" s="178">
        <v>5</v>
      </c>
      <c r="G18" s="179">
        <f t="shared" si="1"/>
        <v>27.731760000000001</v>
      </c>
      <c r="H18" s="179">
        <f t="shared" si="0"/>
        <v>0.5</v>
      </c>
      <c r="I18" s="1"/>
      <c r="J18" s="1"/>
      <c r="K18" s="1"/>
      <c r="L18" s="1"/>
      <c r="M18" s="1"/>
    </row>
    <row r="19" spans="1:13" ht="13" x14ac:dyDescent="0.3">
      <c r="A19" s="265"/>
      <c r="B19" s="522" t="s">
        <v>504</v>
      </c>
      <c r="C19" s="265" t="s">
        <v>17</v>
      </c>
      <c r="D19" s="373">
        <v>0.01</v>
      </c>
      <c r="E19" s="180">
        <f>VLOOKUP(B19,Materiales!$B$8:$D$118,3,FALSE)</f>
        <v>7427.6</v>
      </c>
      <c r="F19" s="180">
        <v>5</v>
      </c>
      <c r="G19" s="182">
        <f t="shared" si="1"/>
        <v>77.989800000000017</v>
      </c>
      <c r="H19" s="182">
        <f t="shared" si="0"/>
        <v>1</v>
      </c>
      <c r="I19" s="1"/>
      <c r="J19" s="1"/>
      <c r="K19" s="1"/>
      <c r="L19" s="1"/>
      <c r="M19" s="1"/>
    </row>
    <row r="20" spans="1:13" ht="13" x14ac:dyDescent="0.3">
      <c r="A20" s="122"/>
      <c r="B20" s="129"/>
      <c r="C20" s="122"/>
      <c r="D20" s="342"/>
      <c r="E20" s="360"/>
      <c r="F20" s="123" t="s">
        <v>598</v>
      </c>
      <c r="G20" s="390">
        <f>SUM(G12:G19)</f>
        <v>1824.9262730000003</v>
      </c>
      <c r="H20" s="162"/>
      <c r="I20" s="1"/>
      <c r="J20" s="1"/>
      <c r="K20" s="1"/>
      <c r="L20" s="122"/>
      <c r="M20" s="158"/>
    </row>
    <row r="21" spans="1:13" ht="13" x14ac:dyDescent="0.3">
      <c r="A21" s="122"/>
      <c r="B21" s="129"/>
      <c r="C21" s="122"/>
      <c r="D21" s="342"/>
      <c r="E21" s="143"/>
      <c r="F21" s="144" t="s">
        <v>9</v>
      </c>
      <c r="G21" s="156">
        <f>+G20</f>
        <v>1824.9262730000003</v>
      </c>
      <c r="H21" s="162"/>
      <c r="I21" s="1"/>
      <c r="J21" s="1"/>
      <c r="K21" s="1"/>
      <c r="L21" s="122"/>
      <c r="M21" s="158"/>
    </row>
    <row r="22" spans="1:13" ht="13" x14ac:dyDescent="0.3">
      <c r="A22" s="128" t="s">
        <v>599</v>
      </c>
      <c r="B22" s="129"/>
      <c r="C22" s="122"/>
      <c r="D22" s="342"/>
      <c r="E22" s="122"/>
      <c r="F22" s="122"/>
      <c r="G22" s="122"/>
      <c r="H22" s="162"/>
      <c r="I22" s="1"/>
      <c r="J22" s="1"/>
      <c r="K22" s="1"/>
      <c r="L22" s="122"/>
      <c r="M22" s="158"/>
    </row>
    <row r="23" spans="1:13" ht="13" x14ac:dyDescent="0.3">
      <c r="A23" s="435" t="s">
        <v>79</v>
      </c>
      <c r="B23" s="589" t="s">
        <v>591</v>
      </c>
      <c r="C23" s="261" t="s">
        <v>592</v>
      </c>
      <c r="D23" s="345" t="s">
        <v>593</v>
      </c>
      <c r="E23" s="134" t="s">
        <v>600</v>
      </c>
      <c r="F23" s="261" t="s">
        <v>87</v>
      </c>
      <c r="G23" s="134" t="s">
        <v>596</v>
      </c>
      <c r="H23" s="135" t="s">
        <v>597</v>
      </c>
      <c r="I23" s="1"/>
      <c r="J23" s="3"/>
      <c r="K23" s="3"/>
      <c r="L23" s="3"/>
      <c r="M23" s="3"/>
    </row>
    <row r="24" spans="1:13" ht="13" x14ac:dyDescent="0.3">
      <c r="A24" s="264" t="s">
        <v>181</v>
      </c>
      <c r="B24" s="517" t="s">
        <v>183</v>
      </c>
      <c r="C24" s="264" t="s">
        <v>352</v>
      </c>
      <c r="D24" s="372">
        <v>1</v>
      </c>
      <c r="E24" s="175">
        <f>VLOOKUP(B24,'Rend. Equipos'!$B$7:$E$222,4,FALSE)</f>
        <v>72091.108607308124</v>
      </c>
      <c r="F24" s="266">
        <f>VLOOKUP(B24,'Rend. Equipos'!$B$6:$L$166,MATCH($F$23,'Rend. Equipos'!$B$6:$L$6,0),0)</f>
        <v>2.7777777777777779E-3</v>
      </c>
      <c r="G24" s="176">
        <f>+E24*D24*F24</f>
        <v>200.25307946474479</v>
      </c>
      <c r="H24" s="176">
        <f>+D24*$E$9*F24/$F$9</f>
        <v>1.7921146953405017E-2</v>
      </c>
      <c r="I24" s="1"/>
      <c r="J24" s="1"/>
      <c r="K24" s="1"/>
      <c r="L24" s="1"/>
      <c r="M24" s="1"/>
    </row>
    <row r="25" spans="1:13" ht="13" x14ac:dyDescent="0.3">
      <c r="A25" s="265" t="s">
        <v>135</v>
      </c>
      <c r="B25" s="522" t="s">
        <v>136</v>
      </c>
      <c r="C25" s="265" t="s">
        <v>17</v>
      </c>
      <c r="D25" s="373">
        <v>1</v>
      </c>
      <c r="E25" s="180">
        <f>VLOOKUP(B25,'Rend. Equipos'!$B$7:$E$222,4,FALSE)</f>
        <v>1241010.6908793931</v>
      </c>
      <c r="F25" s="181">
        <f>VLOOKUP(B25,'Rend. Equipos'!$B$6:$L$166,MATCH($F$23,'Rend. Equipos'!$B$6:$L$6,0),0)</f>
        <v>1.3888888888888887E-3</v>
      </c>
      <c r="G25" s="182">
        <f>+E25*D25*F25</f>
        <v>1723.6259595547124</v>
      </c>
      <c r="H25" s="182">
        <f>+D25*$E$9*F25/$F$9</f>
        <v>8.9605734767025068E-3</v>
      </c>
      <c r="I25" s="1"/>
      <c r="J25" s="1"/>
      <c r="K25" s="1"/>
      <c r="L25" s="1"/>
      <c r="M25" s="1"/>
    </row>
    <row r="26" spans="1:13" ht="13" x14ac:dyDescent="0.3">
      <c r="A26" s="122"/>
      <c r="B26" s="129"/>
      <c r="C26" s="122"/>
      <c r="D26" s="342"/>
      <c r="E26" s="360"/>
      <c r="F26" s="123" t="s">
        <v>602</v>
      </c>
      <c r="G26" s="349">
        <f>SUM(G24:G25)</f>
        <v>1923.8790390194572</v>
      </c>
      <c r="H26" s="162"/>
      <c r="I26" s="1"/>
      <c r="J26" s="1"/>
      <c r="K26" s="1"/>
      <c r="L26" s="1"/>
      <c r="M26" s="1"/>
    </row>
    <row r="27" spans="1:13" ht="13" x14ac:dyDescent="0.3">
      <c r="A27" s="122"/>
      <c r="B27" s="129"/>
      <c r="C27" s="122"/>
      <c r="D27" s="342"/>
      <c r="E27" s="143"/>
      <c r="F27" s="144" t="s">
        <v>11</v>
      </c>
      <c r="G27" s="156">
        <f>+G26/F9</f>
        <v>124.12122832383595</v>
      </c>
      <c r="H27" s="162"/>
      <c r="I27" s="1"/>
      <c r="J27" s="1"/>
      <c r="K27" s="1"/>
      <c r="L27" s="1"/>
      <c r="M27" s="1"/>
    </row>
    <row r="28" spans="1:13" ht="13" x14ac:dyDescent="0.3">
      <c r="A28" s="128" t="s">
        <v>603</v>
      </c>
      <c r="B28" s="129"/>
      <c r="C28" s="122"/>
      <c r="D28" s="342"/>
      <c r="E28" s="122"/>
      <c r="F28" s="122"/>
      <c r="G28" s="122"/>
      <c r="H28" s="162"/>
      <c r="I28" s="1"/>
      <c r="J28" s="1"/>
      <c r="K28" s="1"/>
      <c r="L28" s="1"/>
      <c r="M28" s="1"/>
    </row>
    <row r="29" spans="1:13" ht="13" x14ac:dyDescent="0.3">
      <c r="A29" s="133" t="s">
        <v>79</v>
      </c>
      <c r="B29" s="589" t="s">
        <v>591</v>
      </c>
      <c r="C29" s="134" t="s">
        <v>592</v>
      </c>
      <c r="D29" s="345" t="s">
        <v>593</v>
      </c>
      <c r="E29" s="134" t="s">
        <v>604</v>
      </c>
      <c r="F29" s="134"/>
      <c r="G29" s="135" t="s">
        <v>596</v>
      </c>
      <c r="H29" s="167"/>
      <c r="I29" s="1"/>
      <c r="J29" s="3"/>
      <c r="K29" s="1" t="s">
        <v>716</v>
      </c>
      <c r="L29" s="1" t="s">
        <v>726</v>
      </c>
      <c r="M29" s="1"/>
    </row>
    <row r="30" spans="1:13" ht="13" x14ac:dyDescent="0.3">
      <c r="A30" s="299" t="s">
        <v>265</v>
      </c>
      <c r="B30" s="420" t="s">
        <v>266</v>
      </c>
      <c r="C30" s="265" t="s">
        <v>605</v>
      </c>
      <c r="D30" s="581">
        <v>1</v>
      </c>
      <c r="E30" s="180">
        <f>VLOOKUP(B30,'Mano de Obra'!$B$8:$C$100,2,FALSE)</f>
        <v>85927.097156571981</v>
      </c>
      <c r="F30" s="180"/>
      <c r="G30" s="182">
        <f>+E30*D30</f>
        <v>85927.097156571981</v>
      </c>
      <c r="H30" s="162"/>
      <c r="I30" s="1"/>
      <c r="J30" s="1" t="s">
        <v>724</v>
      </c>
      <c r="K30" s="1">
        <v>0.45</v>
      </c>
      <c r="L30" s="1">
        <v>7</v>
      </c>
      <c r="M30" s="1">
        <f>+L30/K30</f>
        <v>15.555555555555555</v>
      </c>
    </row>
    <row r="31" spans="1:13" ht="13" x14ac:dyDescent="0.3">
      <c r="A31" s="139"/>
      <c r="B31" s="590"/>
      <c r="C31" s="139"/>
      <c r="D31" s="346"/>
      <c r="E31" s="140"/>
      <c r="F31" s="141" t="s">
        <v>606</v>
      </c>
      <c r="G31" s="390">
        <f>SUM(G30:G30)</f>
        <v>85927.097156571981</v>
      </c>
      <c r="H31" s="162"/>
      <c r="I31" s="1"/>
      <c r="J31" s="1"/>
      <c r="K31" s="1"/>
      <c r="L31" s="1"/>
      <c r="M31" s="1"/>
    </row>
    <row r="32" spans="1:13" ht="13" x14ac:dyDescent="0.3">
      <c r="A32" s="122"/>
      <c r="B32" s="129"/>
      <c r="C32" s="122"/>
      <c r="D32" s="342"/>
      <c r="E32" s="360"/>
      <c r="F32" s="123" t="s">
        <v>607</v>
      </c>
      <c r="G32" s="349">
        <v>1</v>
      </c>
      <c r="H32" s="162"/>
      <c r="I32" s="1"/>
      <c r="J32" s="1"/>
      <c r="K32" s="1"/>
      <c r="L32" s="1"/>
      <c r="M32" s="1"/>
    </row>
    <row r="33" spans="1:8" ht="13" x14ac:dyDescent="0.3">
      <c r="A33" s="122"/>
      <c r="B33" s="129"/>
      <c r="C33" s="122"/>
      <c r="D33" s="342"/>
      <c r="E33" s="360"/>
      <c r="F33" s="123" t="s">
        <v>608</v>
      </c>
      <c r="G33" s="390">
        <f>+G32*G31</f>
        <v>85927.097156571981</v>
      </c>
      <c r="H33" s="162"/>
    </row>
    <row r="34" spans="1:8" ht="13" x14ac:dyDescent="0.3">
      <c r="A34" s="122"/>
      <c r="B34" s="129"/>
      <c r="C34" s="122"/>
      <c r="D34" s="342"/>
      <c r="E34" s="143"/>
      <c r="F34" s="144" t="s">
        <v>10</v>
      </c>
      <c r="G34" s="156">
        <f>+G33/F9</f>
        <v>5543.6836875207728</v>
      </c>
      <c r="H34" s="162"/>
    </row>
    <row r="35" spans="1:8" ht="13" x14ac:dyDescent="0.3">
      <c r="A35" s="122"/>
      <c r="B35" s="129"/>
      <c r="C35" s="122"/>
      <c r="D35" s="342"/>
      <c r="E35" s="122"/>
      <c r="F35" s="123"/>
      <c r="G35" s="130"/>
      <c r="H35" s="162"/>
    </row>
    <row r="36" spans="1:8" ht="13" x14ac:dyDescent="0.3">
      <c r="A36" s="122"/>
      <c r="B36" s="129"/>
      <c r="C36" s="122"/>
      <c r="D36" s="342"/>
      <c r="E36" s="122"/>
      <c r="F36" s="123" t="s">
        <v>609</v>
      </c>
      <c r="G36" s="123">
        <f>+G34+G27+G21</f>
        <v>7492.7311888446084</v>
      </c>
      <c r="H36" s="162"/>
    </row>
    <row r="37" spans="1:8" ht="13" x14ac:dyDescent="0.3">
      <c r="A37" s="122"/>
      <c r="B37" s="129"/>
      <c r="C37" s="122"/>
      <c r="D37" s="342"/>
      <c r="E37" s="123" t="s">
        <v>610</v>
      </c>
      <c r="F37" s="198">
        <f>+RESUMEN!$I$2</f>
        <v>0</v>
      </c>
      <c r="G37" s="130">
        <f>IF(F37=0,0,F37*G36)</f>
        <v>0</v>
      </c>
      <c r="H37" s="168"/>
    </row>
    <row r="38" spans="1:8" ht="13" x14ac:dyDescent="0.3">
      <c r="A38" s="122"/>
      <c r="B38" s="129"/>
      <c r="C38" s="122"/>
      <c r="D38" s="342"/>
      <c r="E38" s="123" t="s">
        <v>611</v>
      </c>
      <c r="F38" s="198">
        <f>+RESUMEN!$I$3</f>
        <v>0</v>
      </c>
      <c r="G38" s="130">
        <f>IF(F38=0,0,F38*G36)</f>
        <v>0</v>
      </c>
      <c r="H38" s="162"/>
    </row>
    <row r="39" spans="1:8" ht="13" x14ac:dyDescent="0.3">
      <c r="A39" s="122"/>
      <c r="B39" s="129"/>
      <c r="C39" s="122"/>
      <c r="D39" s="342"/>
      <c r="E39" s="151"/>
      <c r="F39" s="152" t="s">
        <v>612</v>
      </c>
      <c r="G39" s="389">
        <f>SUM(G36:G38)</f>
        <v>7492.7311888446084</v>
      </c>
      <c r="H39" s="162"/>
    </row>
  </sheetData>
  <mergeCells count="3">
    <mergeCell ref="A1:G1"/>
    <mergeCell ref="B5:G5"/>
    <mergeCell ref="B7:G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013E-B5E6-48D3-B420-F2B334627B1E}">
  <sheetPr>
    <tabColor theme="9"/>
  </sheetPr>
  <dimension ref="A1:N43"/>
  <sheetViews>
    <sheetView topLeftCell="A8" workbookViewId="0">
      <selection activeCell="B14" sqref="B14"/>
    </sheetView>
  </sheetViews>
  <sheetFormatPr defaultColWidth="11.453125" defaultRowHeight="12.5" x14ac:dyDescent="0.25"/>
  <cols>
    <col min="1" max="1" width="10" customWidth="1"/>
    <col min="2" max="2" width="44.36328125" style="591" bestFit="1" customWidth="1"/>
    <col min="3" max="3" width="7.08984375" bestFit="1" customWidth="1"/>
    <col min="4" max="4" width="7.90625" style="347" bestFit="1" customWidth="1"/>
    <col min="5" max="5" width="15.36328125" bestFit="1" customWidth="1"/>
    <col min="6" max="6" width="9.453125" customWidth="1"/>
    <col min="7" max="7" width="9.6328125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</row>
    <row r="2" spans="1:14" ht="13" x14ac:dyDescent="0.25">
      <c r="A2" s="162"/>
      <c r="B2" s="588"/>
      <c r="C2" s="162"/>
      <c r="D2" s="340"/>
      <c r="E2" s="162"/>
      <c r="F2" s="240" t="s">
        <v>78</v>
      </c>
      <c r="G2" s="561" t="s">
        <v>613</v>
      </c>
      <c r="H2" s="162"/>
      <c r="I2" s="1"/>
      <c r="J2" s="1"/>
      <c r="K2" s="1"/>
      <c r="L2" s="1"/>
      <c r="M2" s="1"/>
      <c r="N2" s="1"/>
    </row>
    <row r="3" spans="1:14" ht="15.5" x14ac:dyDescent="0.35">
      <c r="A3" s="165" t="s">
        <v>579</v>
      </c>
      <c r="B3" s="166"/>
      <c r="C3" s="166"/>
      <c r="D3" s="341"/>
      <c r="E3" s="166"/>
      <c r="F3" s="166"/>
      <c r="G3" s="166"/>
      <c r="H3" s="162"/>
      <c r="I3" s="1"/>
      <c r="J3" s="1"/>
      <c r="K3" s="1"/>
      <c r="L3" s="1"/>
      <c r="M3" s="1"/>
      <c r="N3" s="1"/>
    </row>
    <row r="4" spans="1:14" ht="13" x14ac:dyDescent="0.3">
      <c r="A4" s="122"/>
      <c r="B4" s="129"/>
      <c r="C4" s="122"/>
      <c r="D4" s="342"/>
      <c r="E4" s="122"/>
      <c r="F4" s="240" t="s">
        <v>580</v>
      </c>
      <c r="G4" s="338">
        <v>53</v>
      </c>
      <c r="H4" s="162"/>
      <c r="I4" s="1"/>
      <c r="J4" s="1"/>
      <c r="K4" s="1"/>
      <c r="L4" s="1"/>
      <c r="M4" s="1"/>
      <c r="N4" s="1"/>
    </row>
    <row r="5" spans="1:14" ht="13" x14ac:dyDescent="0.25">
      <c r="A5" s="240" t="s">
        <v>581</v>
      </c>
      <c r="B5" s="871" t="s">
        <v>613</v>
      </c>
      <c r="C5" s="872"/>
      <c r="D5" s="872"/>
      <c r="E5" s="872"/>
      <c r="F5" s="872"/>
      <c r="G5" s="872"/>
      <c r="H5" s="162"/>
      <c r="I5" s="1"/>
      <c r="J5" s="1"/>
      <c r="K5" s="1"/>
      <c r="L5" s="1"/>
      <c r="M5" s="1"/>
      <c r="N5" s="1"/>
    </row>
    <row r="6" spans="1:14" ht="13" x14ac:dyDescent="0.25">
      <c r="A6" s="240" t="s">
        <v>582</v>
      </c>
      <c r="B6" s="415" t="s">
        <v>613</v>
      </c>
      <c r="C6" s="335"/>
      <c r="D6" s="343"/>
      <c r="E6" s="335"/>
      <c r="F6" s="336" t="s">
        <v>583</v>
      </c>
      <c r="G6" s="392" t="s">
        <v>613</v>
      </c>
      <c r="H6" s="162"/>
      <c r="I6" s="1"/>
      <c r="J6" s="1"/>
      <c r="K6" s="1"/>
      <c r="L6" s="1"/>
      <c r="M6" s="1"/>
      <c r="N6" s="1"/>
    </row>
    <row r="7" spans="1:14" ht="15.5" x14ac:dyDescent="0.25">
      <c r="A7" s="334" t="s">
        <v>584</v>
      </c>
      <c r="B7" s="896" t="s">
        <v>728</v>
      </c>
      <c r="C7" s="897"/>
      <c r="D7" s="897"/>
      <c r="E7" s="897"/>
      <c r="F7" s="897"/>
      <c r="G7" s="897"/>
      <c r="H7" s="162"/>
      <c r="I7" s="162"/>
      <c r="J7" s="1"/>
      <c r="K7" s="1"/>
      <c r="L7" s="1"/>
      <c r="M7" s="1"/>
      <c r="N7" s="1"/>
    </row>
    <row r="8" spans="1:14" ht="13" x14ac:dyDescent="0.3">
      <c r="A8" s="128"/>
      <c r="B8" s="129"/>
      <c r="C8" s="240" t="s">
        <v>586</v>
      </c>
      <c r="D8" s="344"/>
      <c r="E8" s="240" t="s">
        <v>587</v>
      </c>
      <c r="F8" s="337" t="s">
        <v>588</v>
      </c>
      <c r="G8" s="158"/>
      <c r="H8" s="162"/>
      <c r="I8" s="1"/>
      <c r="J8" s="1"/>
      <c r="K8" s="1"/>
      <c r="L8" s="1"/>
      <c r="M8" s="1"/>
      <c r="N8" s="1"/>
    </row>
    <row r="9" spans="1:14" ht="13" x14ac:dyDescent="0.3">
      <c r="A9" s="122"/>
      <c r="B9" s="129"/>
      <c r="C9" s="158" t="s">
        <v>45</v>
      </c>
      <c r="D9" s="344"/>
      <c r="E9" s="158">
        <v>100</v>
      </c>
      <c r="F9" s="81">
        <v>15.5</v>
      </c>
      <c r="G9" s="158" t="s">
        <v>615</v>
      </c>
      <c r="H9" s="162"/>
      <c r="I9" s="1"/>
      <c r="J9" s="1"/>
      <c r="K9" s="1"/>
      <c r="L9" s="1"/>
      <c r="M9" s="1"/>
      <c r="N9" s="1"/>
    </row>
    <row r="10" spans="1:14" ht="13" x14ac:dyDescent="0.3">
      <c r="A10" s="128" t="s">
        <v>590</v>
      </c>
      <c r="B10" s="129"/>
      <c r="C10" s="122"/>
      <c r="D10" s="342"/>
      <c r="E10" s="122"/>
      <c r="F10" s="122"/>
      <c r="G10" s="122"/>
      <c r="H10" s="162"/>
      <c r="I10" s="1"/>
      <c r="J10" s="1"/>
      <c r="K10" s="1"/>
      <c r="L10" s="1"/>
      <c r="M10" s="1"/>
      <c r="N10" s="1"/>
    </row>
    <row r="11" spans="1:14" ht="13" x14ac:dyDescent="0.3">
      <c r="A11" s="435" t="s">
        <v>79</v>
      </c>
      <c r="B11" s="589" t="s">
        <v>591</v>
      </c>
      <c r="C11" s="261" t="s">
        <v>592</v>
      </c>
      <c r="D11" s="345" t="s">
        <v>593</v>
      </c>
      <c r="E11" s="134" t="s">
        <v>594</v>
      </c>
      <c r="F11" s="261" t="s">
        <v>595</v>
      </c>
      <c r="G11" s="134" t="s">
        <v>596</v>
      </c>
      <c r="H11" s="135" t="s">
        <v>597</v>
      </c>
      <c r="I11" s="3"/>
      <c r="J11" s="3"/>
      <c r="K11" s="3"/>
      <c r="L11" s="3"/>
      <c r="M11" s="3"/>
      <c r="N11" s="3"/>
    </row>
    <row r="12" spans="1:14" ht="13" x14ac:dyDescent="0.3">
      <c r="A12" s="264" t="s">
        <v>485</v>
      </c>
      <c r="B12" s="517" t="s">
        <v>487</v>
      </c>
      <c r="C12" s="264" t="s">
        <v>355</v>
      </c>
      <c r="D12" s="372">
        <v>4.0000000000000001E-3</v>
      </c>
      <c r="E12" s="175">
        <f>VLOOKUP(B12,Materiales!$B$8:$D$118,3,FALSE)</f>
        <v>30467.49</v>
      </c>
      <c r="F12" s="175">
        <v>5</v>
      </c>
      <c r="G12" s="176">
        <f>+D12*E12*((F12+100)/100)</f>
        <v>127.96345800000002</v>
      </c>
      <c r="H12" s="176">
        <f>+D12*$E$9</f>
        <v>0.4</v>
      </c>
      <c r="I12" s="3"/>
      <c r="J12" s="3"/>
      <c r="K12" s="3"/>
      <c r="L12" s="3"/>
      <c r="M12" s="277">
        <f>+SUM(G12:G13)</f>
        <v>1580.7573830000003</v>
      </c>
      <c r="N12" s="1" t="s">
        <v>720</v>
      </c>
    </row>
    <row r="13" spans="1:14" ht="13" x14ac:dyDescent="0.3">
      <c r="A13" s="320" t="s">
        <v>459</v>
      </c>
      <c r="B13" s="519" t="s">
        <v>465</v>
      </c>
      <c r="C13" s="320" t="s">
        <v>355</v>
      </c>
      <c r="D13" s="374">
        <v>1.2500000000000001E-2</v>
      </c>
      <c r="E13" s="178">
        <f>VLOOKUP(B13,Materiales!$B$8:$D$118,3,FALSE)</f>
        <v>105657.74</v>
      </c>
      <c r="F13" s="178">
        <v>10</v>
      </c>
      <c r="G13" s="179">
        <f>+D13*E13*((F13+100)/100)</f>
        <v>1452.7939250000004</v>
      </c>
      <c r="H13" s="179">
        <f t="shared" ref="H13:H19" si="0">+D13*$E$9</f>
        <v>1.25</v>
      </c>
      <c r="I13" s="3"/>
      <c r="J13" s="3"/>
      <c r="K13" s="3"/>
      <c r="L13" s="3"/>
      <c r="M13" s="277">
        <f>+SUM(G14:G19)</f>
        <v>244.16889000000003</v>
      </c>
      <c r="N13" s="1" t="s">
        <v>632</v>
      </c>
    </row>
    <row r="14" spans="1:14" ht="13" x14ac:dyDescent="0.3">
      <c r="A14" s="320" t="s">
        <v>496</v>
      </c>
      <c r="B14" s="519" t="s">
        <v>497</v>
      </c>
      <c r="C14" s="320" t="s">
        <v>17</v>
      </c>
      <c r="D14" s="374">
        <v>0.01</v>
      </c>
      <c r="E14" s="178">
        <f>VLOOKUP(B14,Materiales!$B$8:$D$118,3,FALSE)</f>
        <v>735.06</v>
      </c>
      <c r="F14" s="178">
        <v>5</v>
      </c>
      <c r="G14" s="179">
        <f>+D14*E14*((F14+100)/100)</f>
        <v>7.7181300000000004</v>
      </c>
      <c r="H14" s="179">
        <f t="shared" si="0"/>
        <v>1</v>
      </c>
      <c r="I14" s="1"/>
      <c r="J14" s="1"/>
      <c r="K14" s="1"/>
      <c r="L14" s="1"/>
      <c r="M14" s="277">
        <f>+M13/M12</f>
        <v>0.15446322922535416</v>
      </c>
      <c r="N14" s="1" t="s">
        <v>721</v>
      </c>
    </row>
    <row r="15" spans="1:14" ht="13" x14ac:dyDescent="0.3">
      <c r="A15" s="320" t="s">
        <v>493</v>
      </c>
      <c r="B15" s="519" t="s">
        <v>494</v>
      </c>
      <c r="C15" s="320" t="s">
        <v>17</v>
      </c>
      <c r="D15" s="374">
        <v>0.01</v>
      </c>
      <c r="E15" s="178">
        <f>VLOOKUP(B15,Materiales!$B$8:$D$118,3,FALSE)</f>
        <v>3293.01</v>
      </c>
      <c r="F15" s="178">
        <v>10</v>
      </c>
      <c r="G15" s="179">
        <f t="shared" ref="G15:G19" si="1">+D15*E15*((F15+100)/100)</f>
        <v>36.223110000000005</v>
      </c>
      <c r="H15" s="179">
        <f t="shared" si="0"/>
        <v>1</v>
      </c>
      <c r="I15" s="1"/>
      <c r="J15" s="1"/>
      <c r="K15" s="1"/>
      <c r="L15" s="1"/>
      <c r="M15" s="1"/>
      <c r="N15" s="1"/>
    </row>
    <row r="16" spans="1:14" ht="13" x14ac:dyDescent="0.3">
      <c r="A16" s="320" t="s">
        <v>491</v>
      </c>
      <c r="B16" s="519" t="s">
        <v>492</v>
      </c>
      <c r="C16" s="320" t="s">
        <v>17</v>
      </c>
      <c r="D16" s="374">
        <v>0.01</v>
      </c>
      <c r="E16" s="178">
        <f>VLOOKUP(B16,Materiales!$B$8:$D$118,3,FALSE)</f>
        <v>5661.4</v>
      </c>
      <c r="F16" s="178">
        <v>5</v>
      </c>
      <c r="G16" s="179">
        <f t="shared" si="1"/>
        <v>59.444699999999997</v>
      </c>
      <c r="H16" s="179">
        <f t="shared" si="0"/>
        <v>1</v>
      </c>
      <c r="I16" s="1"/>
      <c r="J16" s="1"/>
      <c r="K16" s="1"/>
      <c r="L16" s="1"/>
      <c r="M16" s="1"/>
      <c r="N16" s="1"/>
    </row>
    <row r="17" spans="1:13" ht="13" x14ac:dyDescent="0.3">
      <c r="A17" s="320"/>
      <c r="B17" s="129" t="s">
        <v>501</v>
      </c>
      <c r="C17" s="320" t="s">
        <v>17</v>
      </c>
      <c r="D17" s="374">
        <v>5.0000000000000001E-3</v>
      </c>
      <c r="E17" s="178">
        <f>VLOOKUP(B17,Materiales!$B$8:$D$118,3,FALSE)</f>
        <v>6678.36</v>
      </c>
      <c r="F17" s="178">
        <v>5</v>
      </c>
      <c r="G17" s="179">
        <f t="shared" si="1"/>
        <v>35.061389999999996</v>
      </c>
      <c r="H17" s="179">
        <f t="shared" si="0"/>
        <v>0.5</v>
      </c>
      <c r="I17" s="1"/>
      <c r="J17" s="1"/>
      <c r="K17" s="1"/>
      <c r="L17" s="1"/>
      <c r="M17" s="1"/>
    </row>
    <row r="18" spans="1:13" ht="13" x14ac:dyDescent="0.3">
      <c r="A18" s="320"/>
      <c r="B18" s="519" t="s">
        <v>502</v>
      </c>
      <c r="C18" s="320" t="s">
        <v>17</v>
      </c>
      <c r="D18" s="374">
        <v>5.0000000000000001E-3</v>
      </c>
      <c r="E18" s="178">
        <f>VLOOKUP(B18,Materiales!$B$8:$D$118,3,FALSE)</f>
        <v>5282.24</v>
      </c>
      <c r="F18" s="178">
        <v>5</v>
      </c>
      <c r="G18" s="179">
        <f t="shared" si="1"/>
        <v>27.731760000000001</v>
      </c>
      <c r="H18" s="179">
        <f t="shared" si="0"/>
        <v>0.5</v>
      </c>
      <c r="I18" s="1"/>
      <c r="J18" s="1"/>
      <c r="K18" s="1"/>
      <c r="L18" s="1"/>
      <c r="M18" s="1"/>
    </row>
    <row r="19" spans="1:13" ht="13" x14ac:dyDescent="0.3">
      <c r="A19" s="265"/>
      <c r="B19" s="522" t="s">
        <v>504</v>
      </c>
      <c r="C19" s="265" t="s">
        <v>17</v>
      </c>
      <c r="D19" s="373">
        <v>0.01</v>
      </c>
      <c r="E19" s="180">
        <f>VLOOKUP(B19,Materiales!$B$8:$D$118,3,FALSE)</f>
        <v>7427.6</v>
      </c>
      <c r="F19" s="180">
        <v>5</v>
      </c>
      <c r="G19" s="182">
        <f t="shared" si="1"/>
        <v>77.989800000000017</v>
      </c>
      <c r="H19" s="182">
        <f t="shared" si="0"/>
        <v>1</v>
      </c>
      <c r="I19" s="1"/>
      <c r="J19" s="1"/>
      <c r="K19" s="1"/>
      <c r="L19" s="1"/>
      <c r="M19" s="1"/>
    </row>
    <row r="20" spans="1:13" ht="13" x14ac:dyDescent="0.3">
      <c r="A20" s="122"/>
      <c r="B20" s="129"/>
      <c r="C20" s="122"/>
      <c r="D20" s="342"/>
      <c r="E20" s="360"/>
      <c r="F20" s="123" t="s">
        <v>598</v>
      </c>
      <c r="G20" s="390">
        <f>SUM(G12:G19)</f>
        <v>1824.9262730000003</v>
      </c>
      <c r="H20" s="162"/>
      <c r="I20" s="1"/>
      <c r="J20" s="1"/>
      <c r="K20" s="1"/>
      <c r="L20" s="122"/>
      <c r="M20" s="158"/>
    </row>
    <row r="21" spans="1:13" ht="13" x14ac:dyDescent="0.3">
      <c r="A21" s="122"/>
      <c r="B21" s="129"/>
      <c r="C21" s="122"/>
      <c r="D21" s="342"/>
      <c r="E21" s="143"/>
      <c r="F21" s="144" t="s">
        <v>9</v>
      </c>
      <c r="G21" s="156">
        <f>+G20</f>
        <v>1824.9262730000003</v>
      </c>
      <c r="H21" s="162"/>
      <c r="I21" s="1"/>
      <c r="J21" s="1"/>
      <c r="K21" s="1"/>
      <c r="L21" s="122"/>
      <c r="M21" s="158"/>
    </row>
    <row r="22" spans="1:13" ht="13" x14ac:dyDescent="0.3">
      <c r="A22" s="128" t="s">
        <v>599</v>
      </c>
      <c r="B22" s="129"/>
      <c r="C22" s="122"/>
      <c r="D22" s="342"/>
      <c r="E22" s="122"/>
      <c r="F22" s="122"/>
      <c r="G22" s="122"/>
      <c r="H22" s="162"/>
      <c r="I22" s="1"/>
      <c r="J22" s="1"/>
      <c r="K22" s="1"/>
      <c r="L22" s="122"/>
      <c r="M22" s="158"/>
    </row>
    <row r="23" spans="1:13" ht="13" x14ac:dyDescent="0.3">
      <c r="A23" s="435" t="s">
        <v>79</v>
      </c>
      <c r="B23" s="589" t="s">
        <v>591</v>
      </c>
      <c r="C23" s="261" t="s">
        <v>592</v>
      </c>
      <c r="D23" s="345" t="s">
        <v>593</v>
      </c>
      <c r="E23" s="134" t="s">
        <v>600</v>
      </c>
      <c r="F23" s="261" t="s">
        <v>87</v>
      </c>
      <c r="G23" s="134" t="s">
        <v>596</v>
      </c>
      <c r="H23" s="412"/>
      <c r="I23" s="1"/>
      <c r="J23" s="3"/>
      <c r="K23" s="3"/>
      <c r="L23" s="3"/>
      <c r="M23" s="3"/>
    </row>
    <row r="24" spans="1:13" ht="13" x14ac:dyDescent="0.3">
      <c r="A24" s="264" t="s">
        <v>184</v>
      </c>
      <c r="B24" s="8" t="s">
        <v>185</v>
      </c>
      <c r="C24" s="264" t="s">
        <v>17</v>
      </c>
      <c r="D24" s="423">
        <v>0.75</v>
      </c>
      <c r="E24" s="175">
        <f>VLOOKUP(B24,'Rend. Equipos'!$B$7:$E$222,4,FALSE)</f>
        <v>683705.7511892406</v>
      </c>
      <c r="F24" s="266">
        <f>VLOOKUP(B24,'Rend. Equipos'!$B$6:$L$166,MATCH($F$23,'Rend. Equipos'!$B$6:$L$6,0),0)</f>
        <v>2.7777777777777775E-3</v>
      </c>
      <c r="G24" s="176">
        <f t="shared" ref="G24:G25" si="2">+E24*D24*F24</f>
        <v>1424.3869816442509</v>
      </c>
      <c r="H24" s="412"/>
      <c r="I24" s="1"/>
      <c r="J24" s="3"/>
      <c r="K24" s="3"/>
      <c r="L24" s="3"/>
      <c r="M24" s="3"/>
    </row>
    <row r="25" spans="1:13" ht="13" x14ac:dyDescent="0.3">
      <c r="A25" s="320" t="s">
        <v>88</v>
      </c>
      <c r="B25" s="430" t="s">
        <v>89</v>
      </c>
      <c r="C25" s="320" t="s">
        <v>352</v>
      </c>
      <c r="D25" s="424">
        <v>0.5</v>
      </c>
      <c r="E25" s="178">
        <f>VLOOKUP(B25,'Rend. Equipos'!$B$7:$E$222,4,FALSE)</f>
        <v>1028123.0837653707</v>
      </c>
      <c r="F25" s="325">
        <f>VLOOKUP(B25,'Rend. Equipos'!$B$6:$L$166,MATCH($F$23,'Rend. Equipos'!$B$6:$L$6,0),0)</f>
        <v>5.5555555555555556E-4</v>
      </c>
      <c r="G25" s="179">
        <f t="shared" si="2"/>
        <v>285.58974549038072</v>
      </c>
      <c r="H25" s="412"/>
      <c r="I25" s="1"/>
      <c r="J25" s="3"/>
      <c r="K25" s="3"/>
      <c r="L25" s="3"/>
      <c r="M25" s="3"/>
    </row>
    <row r="26" spans="1:13" ht="13" x14ac:dyDescent="0.3">
      <c r="A26" s="320" t="s">
        <v>181</v>
      </c>
      <c r="B26" s="519" t="s">
        <v>183</v>
      </c>
      <c r="C26" s="320" t="s">
        <v>352</v>
      </c>
      <c r="D26" s="457">
        <v>1</v>
      </c>
      <c r="E26" s="178">
        <f>VLOOKUP(B26,'Rend. Equipos'!$B$7:$E$222,4,FALSE)</f>
        <v>72091.108607308124</v>
      </c>
      <c r="F26" s="325">
        <f>VLOOKUP(B26,'Rend. Equipos'!$B$6:$L$166,MATCH($F$23,'Rend. Equipos'!$B$6:$L$6,0),0)</f>
        <v>2.7777777777777779E-3</v>
      </c>
      <c r="G26" s="179">
        <f>+E26*D26*F26</f>
        <v>200.25307946474479</v>
      </c>
      <c r="H26" s="411"/>
      <c r="I26" s="1"/>
      <c r="J26" s="1"/>
      <c r="K26" s="1"/>
      <c r="L26" s="1"/>
      <c r="M26" s="1"/>
    </row>
    <row r="27" spans="1:13" ht="13" x14ac:dyDescent="0.3">
      <c r="A27" s="265" t="s">
        <v>135</v>
      </c>
      <c r="B27" s="522" t="s">
        <v>136</v>
      </c>
      <c r="C27" s="265" t="s">
        <v>17</v>
      </c>
      <c r="D27" s="434">
        <v>1</v>
      </c>
      <c r="E27" s="180">
        <f>VLOOKUP(B27,'Rend. Equipos'!$B$7:$E$222,4,FALSE)</f>
        <v>1241010.6908793931</v>
      </c>
      <c r="F27" s="181">
        <f>VLOOKUP(B27,'Rend. Equipos'!$B$6:$L$166,MATCH($F$23,'Rend. Equipos'!$B$6:$L$6,0),0)</f>
        <v>1.3888888888888887E-3</v>
      </c>
      <c r="G27" s="182">
        <f>+E27*D27*F27</f>
        <v>1723.6259595547124</v>
      </c>
      <c r="H27" s="411"/>
      <c r="I27" s="1"/>
      <c r="J27" s="1"/>
      <c r="K27" s="1"/>
      <c r="L27" s="1"/>
      <c r="M27" s="1"/>
    </row>
    <row r="28" spans="1:13" ht="13" x14ac:dyDescent="0.3">
      <c r="A28" s="122"/>
      <c r="B28" s="129"/>
      <c r="C28" s="122"/>
      <c r="D28" s="342"/>
      <c r="E28" s="360"/>
      <c r="F28" s="123" t="s">
        <v>602</v>
      </c>
      <c r="G28" s="349">
        <f>SUM(G24:G27)</f>
        <v>3633.855766154089</v>
      </c>
      <c r="H28" s="162"/>
      <c r="I28" s="1"/>
      <c r="J28" s="1"/>
      <c r="K28" s="1"/>
      <c r="L28" s="1"/>
      <c r="M28" s="1"/>
    </row>
    <row r="29" spans="1:13" ht="13" x14ac:dyDescent="0.3">
      <c r="A29" s="122"/>
      <c r="B29" s="129"/>
      <c r="C29" s="122"/>
      <c r="D29" s="342"/>
      <c r="E29" s="143"/>
      <c r="F29" s="144" t="s">
        <v>11</v>
      </c>
      <c r="G29" s="156">
        <f>+G28/F9</f>
        <v>234.44230749381219</v>
      </c>
      <c r="H29" s="162"/>
      <c r="I29" s="1"/>
      <c r="J29" s="1"/>
      <c r="K29" s="1"/>
      <c r="L29" s="1"/>
      <c r="M29" s="1"/>
    </row>
    <row r="30" spans="1:13" ht="13" x14ac:dyDescent="0.3">
      <c r="A30" s="128" t="s">
        <v>603</v>
      </c>
      <c r="B30" s="129"/>
      <c r="C30" s="122"/>
      <c r="D30" s="342"/>
      <c r="E30" s="122"/>
      <c r="F30" s="122"/>
      <c r="G30" s="122"/>
      <c r="H30" s="162"/>
      <c r="I30" s="1"/>
      <c r="J30" s="1"/>
      <c r="K30" s="1"/>
      <c r="L30" s="1"/>
      <c r="M30" s="1"/>
    </row>
    <row r="31" spans="1:13" ht="13" x14ac:dyDescent="0.3">
      <c r="A31" s="133" t="s">
        <v>79</v>
      </c>
      <c r="B31" s="589" t="s">
        <v>591</v>
      </c>
      <c r="C31" s="134" t="s">
        <v>592</v>
      </c>
      <c r="D31" s="345" t="s">
        <v>593</v>
      </c>
      <c r="E31" s="134" t="s">
        <v>604</v>
      </c>
      <c r="F31" s="134"/>
      <c r="G31" s="135" t="s">
        <v>596</v>
      </c>
      <c r="H31" s="167"/>
      <c r="I31" s="1"/>
      <c r="J31" s="3"/>
      <c r="K31" s="1" t="s">
        <v>716</v>
      </c>
      <c r="L31" s="1" t="s">
        <v>726</v>
      </c>
      <c r="M31" s="1"/>
    </row>
    <row r="32" spans="1:13" ht="13" x14ac:dyDescent="0.3">
      <c r="A32" s="264" t="s">
        <v>251</v>
      </c>
      <c r="B32" s="116" t="s">
        <v>252</v>
      </c>
      <c r="C32" s="264" t="s">
        <v>605</v>
      </c>
      <c r="D32" s="433">
        <v>1</v>
      </c>
      <c r="E32" s="175">
        <f>VLOOKUP(B32,'Mano de Obra'!$B$8:$C$100,2,FALSE)</f>
        <v>65493.071636571978</v>
      </c>
      <c r="F32" s="175"/>
      <c r="G32" s="176">
        <f>+E32*D32</f>
        <v>65493.071636571978</v>
      </c>
      <c r="H32" s="162"/>
      <c r="I32" s="1"/>
      <c r="J32" s="1" t="s">
        <v>724</v>
      </c>
      <c r="K32" s="1">
        <v>0.45</v>
      </c>
      <c r="L32" s="1">
        <v>7</v>
      </c>
      <c r="M32" s="1">
        <f>+L32/K32</f>
        <v>15.555555555555555</v>
      </c>
    </row>
    <row r="33" spans="1:8" ht="13" x14ac:dyDescent="0.3">
      <c r="A33" s="320" t="s">
        <v>265</v>
      </c>
      <c r="B33" s="35" t="s">
        <v>266</v>
      </c>
      <c r="C33" s="320" t="s">
        <v>605</v>
      </c>
      <c r="D33" s="457">
        <v>1.5</v>
      </c>
      <c r="E33" s="178">
        <f>VLOOKUP(B33,'Mano de Obra'!$B$8:$C$100,2,FALSE)</f>
        <v>85927.097156571981</v>
      </c>
      <c r="F33" s="178"/>
      <c r="G33" s="179">
        <f>+E33*D33</f>
        <v>128890.64573485797</v>
      </c>
      <c r="H33" s="162" t="s">
        <v>729</v>
      </c>
    </row>
    <row r="34" spans="1:8" ht="13" x14ac:dyDescent="0.3">
      <c r="A34" s="265" t="s">
        <v>242</v>
      </c>
      <c r="B34" s="80" t="s">
        <v>228</v>
      </c>
      <c r="C34" s="265" t="s">
        <v>605</v>
      </c>
      <c r="D34" s="434">
        <v>0.5</v>
      </c>
      <c r="E34" s="180">
        <f>VLOOKUP(B34,'Mano de Obra'!$B$8:$C$100,2,FALSE)</f>
        <v>60860.580776571966</v>
      </c>
      <c r="F34" s="180"/>
      <c r="G34" s="182">
        <f>+E34*D34</f>
        <v>30430.290388285983</v>
      </c>
      <c r="H34" s="162"/>
    </row>
    <row r="35" spans="1:8" ht="13" x14ac:dyDescent="0.3">
      <c r="A35" s="139"/>
      <c r="B35" s="590"/>
      <c r="C35" s="139"/>
      <c r="D35" s="346"/>
      <c r="E35" s="140"/>
      <c r="F35" s="141" t="s">
        <v>606</v>
      </c>
      <c r="G35" s="390">
        <f>SUM(G32:G34)</f>
        <v>224814.00775971595</v>
      </c>
      <c r="H35" s="162"/>
    </row>
    <row r="36" spans="1:8" ht="13" x14ac:dyDescent="0.3">
      <c r="A36" s="122"/>
      <c r="B36" s="129"/>
      <c r="C36" s="122"/>
      <c r="D36" s="342"/>
      <c r="E36" s="360"/>
      <c r="F36" s="123" t="s">
        <v>607</v>
      </c>
      <c r="G36" s="349">
        <v>1</v>
      </c>
      <c r="H36" s="162"/>
    </row>
    <row r="37" spans="1:8" ht="13" x14ac:dyDescent="0.3">
      <c r="A37" s="122"/>
      <c r="B37" s="129"/>
      <c r="C37" s="122"/>
      <c r="D37" s="342"/>
      <c r="E37" s="360"/>
      <c r="F37" s="123" t="s">
        <v>608</v>
      </c>
      <c r="G37" s="390">
        <f>+G36*G35</f>
        <v>224814.00775971595</v>
      </c>
      <c r="H37" s="162"/>
    </row>
    <row r="38" spans="1:8" ht="13" x14ac:dyDescent="0.3">
      <c r="A38" s="122"/>
      <c r="B38" s="129"/>
      <c r="C38" s="122"/>
      <c r="D38" s="342"/>
      <c r="E38" s="143"/>
      <c r="F38" s="144" t="s">
        <v>10</v>
      </c>
      <c r="G38" s="156">
        <f>+G37/F9</f>
        <v>14504.129532884901</v>
      </c>
      <c r="H38" s="162"/>
    </row>
    <row r="39" spans="1:8" ht="13" x14ac:dyDescent="0.3">
      <c r="A39" s="122"/>
      <c r="B39" s="129"/>
      <c r="C39" s="122"/>
      <c r="D39" s="342"/>
      <c r="E39" s="122"/>
      <c r="F39" s="123"/>
      <c r="G39" s="130"/>
      <c r="H39" s="162"/>
    </row>
    <row r="40" spans="1:8" ht="13" x14ac:dyDescent="0.3">
      <c r="A40" s="122"/>
      <c r="B40" s="129"/>
      <c r="C40" s="122"/>
      <c r="D40" s="342"/>
      <c r="E40" s="122"/>
      <c r="F40" s="123" t="s">
        <v>609</v>
      </c>
      <c r="G40" s="123">
        <f>+G38+G29+G21</f>
        <v>16563.498113378711</v>
      </c>
      <c r="H40" s="162"/>
    </row>
    <row r="41" spans="1:8" ht="13" x14ac:dyDescent="0.3">
      <c r="A41" s="122"/>
      <c r="B41" s="129"/>
      <c r="C41" s="122"/>
      <c r="D41" s="342"/>
      <c r="E41" s="123" t="s">
        <v>610</v>
      </c>
      <c r="F41" s="198">
        <f>+RESUMEN!$I$2</f>
        <v>0</v>
      </c>
      <c r="G41" s="130">
        <f>IF(F41=0,0,F41*G40)</f>
        <v>0</v>
      </c>
      <c r="H41" s="168"/>
    </row>
    <row r="42" spans="1:8" ht="13" x14ac:dyDescent="0.3">
      <c r="A42" s="122"/>
      <c r="B42" s="129"/>
      <c r="C42" s="122"/>
      <c r="D42" s="342"/>
      <c r="E42" s="123" t="s">
        <v>611</v>
      </c>
      <c r="F42" s="198">
        <f>+RESUMEN!$I$3</f>
        <v>0</v>
      </c>
      <c r="G42" s="130">
        <f>IF(F42=0,0,F42*G40)</f>
        <v>0</v>
      </c>
      <c r="H42" s="162"/>
    </row>
    <row r="43" spans="1:8" ht="13" x14ac:dyDescent="0.3">
      <c r="A43" s="122"/>
      <c r="B43" s="129"/>
      <c r="C43" s="122"/>
      <c r="D43" s="342"/>
      <c r="E43" s="151"/>
      <c r="F43" s="152" t="s">
        <v>612</v>
      </c>
      <c r="G43" s="389">
        <f>SUM(G40:G42)</f>
        <v>16563.498113378711</v>
      </c>
      <c r="H43" s="162"/>
    </row>
  </sheetData>
  <mergeCells count="3">
    <mergeCell ref="A1:G1"/>
    <mergeCell ref="B5:G5"/>
    <mergeCell ref="B7: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/>
  </sheetPr>
  <dimension ref="A1:S39"/>
  <sheetViews>
    <sheetView workbookViewId="0">
      <selection activeCell="B7" sqref="B7:G7"/>
    </sheetView>
  </sheetViews>
  <sheetFormatPr defaultColWidth="11.453125" defaultRowHeight="12.5" x14ac:dyDescent="0.25"/>
  <cols>
    <col min="1" max="1" width="10.36328125" customWidth="1"/>
    <col min="2" max="2" width="38" bestFit="1" customWidth="1"/>
    <col min="3" max="3" width="7.08984375" style="202" bestFit="1" customWidth="1"/>
    <col min="4" max="4" width="9" style="597" bestFit="1" customWidth="1"/>
    <col min="5" max="5" width="15.36328125" bestFit="1" customWidth="1"/>
    <col min="6" max="6" width="9.453125" customWidth="1"/>
    <col min="7" max="7" width="10.90625" bestFit="1" customWidth="1"/>
    <col min="9" max="9" width="5.54296875" bestFit="1" customWidth="1"/>
  </cols>
  <sheetData>
    <row r="1" spans="1:19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25">
      <c r="A2" s="162"/>
      <c r="B2" s="162"/>
      <c r="C2" s="260"/>
      <c r="D2" s="594"/>
      <c r="E2" s="162"/>
      <c r="F2" s="240" t="s">
        <v>78</v>
      </c>
      <c r="G2" s="561" t="s">
        <v>613</v>
      </c>
      <c r="H2" s="162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5" x14ac:dyDescent="0.35">
      <c r="A3" s="165" t="s">
        <v>579</v>
      </c>
      <c r="B3" s="166"/>
      <c r="C3" s="383"/>
      <c r="D3" s="602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3" x14ac:dyDescent="0.3">
      <c r="A4" s="122"/>
      <c r="B4" s="122"/>
      <c r="C4" s="158"/>
      <c r="D4" s="595"/>
      <c r="E4" s="122"/>
      <c r="F4" s="123" t="s">
        <v>580</v>
      </c>
      <c r="G4" s="126">
        <v>54</v>
      </c>
      <c r="H4" s="162"/>
      <c r="I4" s="1"/>
      <c r="J4" s="1"/>
      <c r="K4" s="1"/>
      <c r="L4" s="1">
        <f>6*7</f>
        <v>42</v>
      </c>
      <c r="M4" s="1" t="s">
        <v>730</v>
      </c>
      <c r="N4" s="1"/>
      <c r="O4" s="1"/>
      <c r="P4" s="1"/>
      <c r="Q4" s="1"/>
      <c r="R4" s="1"/>
      <c r="S4" s="1"/>
    </row>
    <row r="5" spans="1:19" ht="13" x14ac:dyDescent="0.25">
      <c r="A5" s="127" t="s">
        <v>581</v>
      </c>
      <c r="B5" s="871" t="s">
        <v>613</v>
      </c>
      <c r="C5" s="872"/>
      <c r="D5" s="872"/>
      <c r="E5" s="872"/>
      <c r="F5" s="872"/>
      <c r="G5" s="872"/>
      <c r="H5" s="162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3" x14ac:dyDescent="0.3">
      <c r="A6" s="128" t="s">
        <v>582</v>
      </c>
      <c r="B6" s="392" t="s">
        <v>613</v>
      </c>
      <c r="C6" s="158"/>
      <c r="D6" s="595"/>
      <c r="E6" s="122"/>
      <c r="F6" s="123" t="s">
        <v>583</v>
      </c>
      <c r="G6" s="392" t="s">
        <v>613</v>
      </c>
      <c r="H6" s="162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5" x14ac:dyDescent="0.25">
      <c r="A7" s="197" t="s">
        <v>584</v>
      </c>
      <c r="B7" s="873" t="s">
        <v>731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3" x14ac:dyDescent="0.3">
      <c r="A8" s="128"/>
      <c r="B8" s="122"/>
      <c r="C8" s="240" t="s">
        <v>586</v>
      </c>
      <c r="D8" s="595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  <c r="N8" s="1"/>
      <c r="O8" s="1"/>
      <c r="P8" s="1"/>
      <c r="Q8" s="1">
        <v>2</v>
      </c>
      <c r="R8" s="1"/>
      <c r="S8" s="1"/>
    </row>
    <row r="9" spans="1:19" ht="13" x14ac:dyDescent="0.3">
      <c r="A9" s="122"/>
      <c r="B9" s="122"/>
      <c r="C9" s="158" t="s">
        <v>45</v>
      </c>
      <c r="D9" s="595"/>
      <c r="E9" s="132">
        <v>1</v>
      </c>
      <c r="F9" s="33">
        <v>8</v>
      </c>
      <c r="G9" s="122" t="s">
        <v>615</v>
      </c>
      <c r="H9" s="162">
        <f>+E9/F9</f>
        <v>0.125</v>
      </c>
      <c r="I9" s="1"/>
      <c r="J9" s="1"/>
      <c r="K9" s="1"/>
      <c r="L9" s="1"/>
      <c r="M9" s="1"/>
      <c r="N9" s="1"/>
      <c r="O9" s="1"/>
      <c r="P9" s="1" t="s">
        <v>732</v>
      </c>
      <c r="Q9" s="1" t="s">
        <v>733</v>
      </c>
      <c r="R9" s="1"/>
      <c r="S9" s="1"/>
    </row>
    <row r="10" spans="1:19" ht="13" x14ac:dyDescent="0.3">
      <c r="A10" s="128" t="s">
        <v>590</v>
      </c>
      <c r="B10" s="122"/>
      <c r="C10" s="158"/>
      <c r="D10" s="595"/>
      <c r="E10" s="122"/>
      <c r="F10" s="122"/>
      <c r="G10" s="122"/>
      <c r="H10" s="162"/>
      <c r="I10" s="1"/>
      <c r="J10" s="1"/>
      <c r="K10" s="1"/>
      <c r="L10" s="1" t="s">
        <v>734</v>
      </c>
      <c r="M10" s="1" t="s">
        <v>735</v>
      </c>
      <c r="N10" s="1">
        <v>0.9</v>
      </c>
      <c r="O10" s="1">
        <v>2.0499999999999998</v>
      </c>
      <c r="P10" s="1">
        <f>+N10+O10+O10</f>
        <v>5</v>
      </c>
      <c r="Q10" s="1">
        <f>+P10*Q8</f>
        <v>10</v>
      </c>
      <c r="R10" s="1" t="s">
        <v>736</v>
      </c>
      <c r="S10" s="1"/>
    </row>
    <row r="11" spans="1:19" ht="13" x14ac:dyDescent="0.3">
      <c r="A11" s="435" t="s">
        <v>79</v>
      </c>
      <c r="B11" s="134" t="s">
        <v>591</v>
      </c>
      <c r="C11" s="261" t="s">
        <v>592</v>
      </c>
      <c r="D11" s="436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  <c r="I11" s="3"/>
      <c r="J11" s="3"/>
      <c r="K11" s="3"/>
      <c r="L11" s="3"/>
      <c r="M11" s="3" t="s">
        <v>737</v>
      </c>
      <c r="N11" s="3">
        <v>0.25</v>
      </c>
      <c r="O11" s="1"/>
      <c r="P11" s="1">
        <f>+P10</f>
        <v>5</v>
      </c>
      <c r="Q11" s="1">
        <f>+N11*P11</f>
        <v>1.25</v>
      </c>
      <c r="R11" s="1"/>
      <c r="S11" s="1"/>
    </row>
    <row r="12" spans="1:19" ht="13" x14ac:dyDescent="0.3">
      <c r="A12" s="264" t="s">
        <v>466</v>
      </c>
      <c r="B12" s="175" t="s">
        <v>469</v>
      </c>
      <c r="C12" s="264" t="s">
        <v>355</v>
      </c>
      <c r="D12" s="423">
        <v>6.25E-2</v>
      </c>
      <c r="E12" s="175">
        <f>VLOOKUP(B12,Materiales!$B$8:$D$118,3,FALSE)</f>
        <v>28011.57</v>
      </c>
      <c r="F12" s="175">
        <v>10</v>
      </c>
      <c r="G12" s="176">
        <f>+D12*E12*((F12+100)/100)</f>
        <v>1925.7954375000002</v>
      </c>
      <c r="H12" s="911">
        <f>+D12*$E$9</f>
        <v>6.25E-2</v>
      </c>
      <c r="I12" s="1"/>
      <c r="J12" s="1"/>
      <c r="K12" s="1"/>
      <c r="L12" s="1"/>
      <c r="M12" s="1" t="s">
        <v>738</v>
      </c>
      <c r="N12" s="1">
        <v>0.9</v>
      </c>
      <c r="O12" s="1">
        <v>2</v>
      </c>
      <c r="P12" s="1">
        <f>+N12*O12</f>
        <v>1.8</v>
      </c>
      <c r="Q12" s="1">
        <f>+P12*Q8</f>
        <v>3.6</v>
      </c>
      <c r="R12" s="1">
        <f>+Q11+Q12</f>
        <v>4.8499999999999996</v>
      </c>
      <c r="S12" s="1" t="s">
        <v>739</v>
      </c>
    </row>
    <row r="13" spans="1:19" ht="13" x14ac:dyDescent="0.3">
      <c r="A13" s="320" t="s">
        <v>489</v>
      </c>
      <c r="B13" s="178" t="s">
        <v>490</v>
      </c>
      <c r="C13" s="320" t="s">
        <v>355</v>
      </c>
      <c r="D13" s="424">
        <v>5.0000000000000001E-3</v>
      </c>
      <c r="E13" s="178">
        <f>VLOOKUP(B13,Materiales!$B$8:$D$118,3,FALSE)</f>
        <v>26907.33</v>
      </c>
      <c r="F13" s="178">
        <v>10</v>
      </c>
      <c r="G13" s="179">
        <f>+D13*E13*((F13+100)/100)</f>
        <v>147.99031500000001</v>
      </c>
      <c r="H13" s="912">
        <f t="shared" ref="H13:H19" si="0">+D13*$E$9</f>
        <v>5.0000000000000001E-3</v>
      </c>
      <c r="I13" s="1"/>
      <c r="J13" s="1"/>
      <c r="K13" s="1"/>
      <c r="L13" s="1"/>
      <c r="M13" s="1"/>
      <c r="N13" s="1"/>
      <c r="O13" s="1"/>
      <c r="P13" s="1"/>
      <c r="Q13" s="1"/>
      <c r="R13" s="1">
        <v>100</v>
      </c>
      <c r="S13" s="1" t="s">
        <v>45</v>
      </c>
    </row>
    <row r="14" spans="1:19" ht="13" x14ac:dyDescent="0.3">
      <c r="A14" s="320" t="s">
        <v>496</v>
      </c>
      <c r="B14" s="178" t="s">
        <v>497</v>
      </c>
      <c r="C14" s="320" t="s">
        <v>17</v>
      </c>
      <c r="D14" s="520">
        <v>0.01</v>
      </c>
      <c r="E14" s="178">
        <f>VLOOKUP(B14,Materiales!$B$8:$D$118,3,FALSE)</f>
        <v>735.06</v>
      </c>
      <c r="F14" s="178">
        <v>5</v>
      </c>
      <c r="G14" s="179">
        <f>+D14*E14*((F14+100)/100)</f>
        <v>7.7181300000000004</v>
      </c>
      <c r="H14" s="912">
        <f t="shared" si="0"/>
        <v>0.01</v>
      </c>
      <c r="I14" s="1"/>
      <c r="J14" s="1">
        <v>2</v>
      </c>
      <c r="K14" s="1" t="s">
        <v>740</v>
      </c>
      <c r="L14" s="1"/>
      <c r="M14" s="1"/>
      <c r="N14" s="1"/>
      <c r="O14" s="1"/>
      <c r="P14" s="1"/>
      <c r="Q14" s="1"/>
      <c r="R14" s="1">
        <f>+R13/R12</f>
        <v>20.618556701030929</v>
      </c>
      <c r="S14" s="1" t="s">
        <v>741</v>
      </c>
    </row>
    <row r="15" spans="1:19" ht="13" x14ac:dyDescent="0.3">
      <c r="A15" s="320" t="s">
        <v>493</v>
      </c>
      <c r="B15" s="178" t="s">
        <v>494</v>
      </c>
      <c r="C15" s="320" t="s">
        <v>17</v>
      </c>
      <c r="D15" s="424">
        <v>0.05</v>
      </c>
      <c r="E15" s="178">
        <f>VLOOKUP(B15,Materiales!$B$8:$D$118,3,FALSE)</f>
        <v>3293.01</v>
      </c>
      <c r="F15" s="178">
        <v>10</v>
      </c>
      <c r="G15" s="179">
        <f t="shared" ref="G15:G19" si="1">+D15*E15*((F15+100)/100)</f>
        <v>181.11555000000004</v>
      </c>
      <c r="H15" s="912">
        <f t="shared" si="0"/>
        <v>0.05</v>
      </c>
      <c r="I15" s="1"/>
      <c r="J15" s="1">
        <v>0.5</v>
      </c>
      <c r="K15" s="1" t="s">
        <v>742</v>
      </c>
      <c r="L15" s="1"/>
      <c r="M15" s="1"/>
      <c r="N15" s="1"/>
      <c r="O15" s="1"/>
      <c r="P15" s="1"/>
      <c r="Q15" s="1"/>
      <c r="R15" s="1"/>
      <c r="S15" s="1"/>
    </row>
    <row r="16" spans="1:19" ht="13" x14ac:dyDescent="0.3">
      <c r="A16" s="320" t="s">
        <v>491</v>
      </c>
      <c r="B16" s="519" t="s">
        <v>492</v>
      </c>
      <c r="C16" s="320" t="s">
        <v>17</v>
      </c>
      <c r="D16" s="520">
        <v>0.02</v>
      </c>
      <c r="E16" s="178">
        <f>VLOOKUP(B16,Materiales!$B$8:$D$118,3,FALSE)</f>
        <v>5661.4</v>
      </c>
      <c r="F16" s="178">
        <v>5</v>
      </c>
      <c r="G16" s="179">
        <f t="shared" si="1"/>
        <v>118.88939999999999</v>
      </c>
      <c r="H16" s="912">
        <f t="shared" si="0"/>
        <v>0.02</v>
      </c>
      <c r="I16" s="1"/>
      <c r="J16" s="1">
        <v>14</v>
      </c>
      <c r="K16" s="1" t="s">
        <v>601</v>
      </c>
      <c r="L16" s="1"/>
      <c r="M16" s="1"/>
      <c r="N16" s="1"/>
      <c r="O16" s="1"/>
      <c r="P16" s="1"/>
      <c r="Q16" s="1"/>
      <c r="R16" s="1"/>
      <c r="S16" s="1"/>
    </row>
    <row r="17" spans="1:19" ht="13" x14ac:dyDescent="0.3">
      <c r="A17" s="320"/>
      <c r="B17" s="519" t="s">
        <v>501</v>
      </c>
      <c r="C17" s="320" t="s">
        <v>17</v>
      </c>
      <c r="D17" s="520">
        <v>0.01</v>
      </c>
      <c r="E17" s="178">
        <f>VLOOKUP(B17,Materiales!$B$8:$D$118,3,FALSE)</f>
        <v>6678.36</v>
      </c>
      <c r="F17" s="178">
        <v>5</v>
      </c>
      <c r="G17" s="179">
        <f t="shared" si="1"/>
        <v>70.122779999999992</v>
      </c>
      <c r="H17" s="912">
        <f t="shared" si="0"/>
        <v>0.01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3" x14ac:dyDescent="0.3">
      <c r="A18" s="320"/>
      <c r="B18" s="519" t="s">
        <v>502</v>
      </c>
      <c r="C18" s="320" t="s">
        <v>17</v>
      </c>
      <c r="D18" s="520">
        <v>0.01</v>
      </c>
      <c r="E18" s="178">
        <f>VLOOKUP(B18,Materiales!$B$8:$D$118,3,FALSE)</f>
        <v>5282.24</v>
      </c>
      <c r="F18" s="178">
        <v>5</v>
      </c>
      <c r="G18" s="179">
        <f t="shared" si="1"/>
        <v>55.463520000000003</v>
      </c>
      <c r="H18" s="912">
        <f t="shared" si="0"/>
        <v>0.01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3" x14ac:dyDescent="0.3">
      <c r="A19" s="265"/>
      <c r="B19" s="522" t="s">
        <v>504</v>
      </c>
      <c r="C19" s="265" t="s">
        <v>17</v>
      </c>
      <c r="D19" s="523">
        <v>0.01</v>
      </c>
      <c r="E19" s="180">
        <f>VLOOKUP(B19,Materiales!$B$8:$D$118,3,FALSE)</f>
        <v>7427.6</v>
      </c>
      <c r="F19" s="180">
        <v>5</v>
      </c>
      <c r="G19" s="182">
        <f t="shared" si="1"/>
        <v>77.989800000000017</v>
      </c>
      <c r="H19" s="913">
        <f t="shared" si="0"/>
        <v>0.01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3" x14ac:dyDescent="0.3">
      <c r="A20" s="139"/>
      <c r="B20" s="139"/>
      <c r="C20" s="262"/>
      <c r="D20" s="596"/>
      <c r="E20" s="140"/>
      <c r="F20" s="141" t="s">
        <v>598</v>
      </c>
      <c r="G20" s="391">
        <f>SUM(G12:G19)</f>
        <v>2585.0849324999999</v>
      </c>
      <c r="H20" s="16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3" x14ac:dyDescent="0.3">
      <c r="A21" s="122"/>
      <c r="B21" s="122"/>
      <c r="C21" s="158"/>
      <c r="D21" s="595"/>
      <c r="E21" s="143"/>
      <c r="F21" s="144" t="s">
        <v>9</v>
      </c>
      <c r="G21" s="156">
        <f>+G20</f>
        <v>2585.0849324999999</v>
      </c>
      <c r="H21" s="162"/>
      <c r="I21" s="1"/>
      <c r="J21" s="1"/>
      <c r="K21" s="1"/>
      <c r="L21" s="1"/>
      <c r="M21" s="1" t="s">
        <v>743</v>
      </c>
      <c r="N21" s="1"/>
      <c r="O21" s="1"/>
      <c r="P21" s="1"/>
      <c r="Q21" s="1"/>
      <c r="R21" s="1"/>
      <c r="S21" s="1"/>
    </row>
    <row r="22" spans="1:19" ht="13" x14ac:dyDescent="0.3">
      <c r="A22" s="128" t="s">
        <v>599</v>
      </c>
      <c r="B22" s="122"/>
      <c r="C22" s="158"/>
      <c r="D22" s="595"/>
      <c r="E22" s="122"/>
      <c r="F22" s="122"/>
      <c r="G22" s="122"/>
      <c r="H22" s="162"/>
      <c r="I22" s="1"/>
      <c r="J22" s="1"/>
      <c r="K22" s="1"/>
      <c r="L22" s="1"/>
      <c r="M22" s="1" t="s">
        <v>744</v>
      </c>
      <c r="N22" s="1" t="s">
        <v>745</v>
      </c>
      <c r="O22" s="1"/>
      <c r="P22" s="1"/>
      <c r="Q22" s="1"/>
      <c r="R22" s="1"/>
      <c r="S22" s="1"/>
    </row>
    <row r="23" spans="1:19" ht="13" x14ac:dyDescent="0.3">
      <c r="A23" s="435" t="s">
        <v>79</v>
      </c>
      <c r="B23" s="134" t="s">
        <v>591</v>
      </c>
      <c r="C23" s="261" t="s">
        <v>592</v>
      </c>
      <c r="D23" s="436" t="s">
        <v>593</v>
      </c>
      <c r="E23" s="134" t="s">
        <v>600</v>
      </c>
      <c r="F23" s="261" t="s">
        <v>87</v>
      </c>
      <c r="G23" s="135" t="s">
        <v>596</v>
      </c>
      <c r="H23" s="167"/>
      <c r="I23" s="3"/>
      <c r="J23" s="3"/>
      <c r="K23" s="3"/>
      <c r="L23" s="3"/>
      <c r="M23" s="3">
        <v>1</v>
      </c>
      <c r="N23" s="3">
        <f>12/3</f>
        <v>4</v>
      </c>
      <c r="O23" s="1"/>
      <c r="P23" s="1"/>
      <c r="Q23" s="1"/>
      <c r="R23" s="1"/>
      <c r="S23" s="1"/>
    </row>
    <row r="24" spans="1:19" ht="13" x14ac:dyDescent="0.3">
      <c r="A24" s="264" t="s">
        <v>181</v>
      </c>
      <c r="B24" s="517" t="s">
        <v>183</v>
      </c>
      <c r="C24" s="264" t="s">
        <v>352</v>
      </c>
      <c r="D24" s="372">
        <v>1</v>
      </c>
      <c r="E24" s="175">
        <f>VLOOKUP(B24,'Rend. Equipos'!$B$7:$E$222,4,FALSE)</f>
        <v>72091.108607308124</v>
      </c>
      <c r="F24" s="266">
        <f>VLOOKUP(B24,'Rend. Equipos'!$B$6:$L$166,MATCH($F$23,'Rend. Equipos'!$B$6:$L$6,0),0)</f>
        <v>2.7777777777777779E-3</v>
      </c>
      <c r="G24" s="176">
        <f>+E24*D24*F24</f>
        <v>200.25307946474479</v>
      </c>
      <c r="H24" s="162"/>
      <c r="I24" s="1"/>
      <c r="J24" s="1"/>
      <c r="K24" s="1"/>
      <c r="L24" s="1"/>
      <c r="M24" s="1">
        <v>4</v>
      </c>
      <c r="N24" s="1">
        <f>M24*N23/M23</f>
        <v>16</v>
      </c>
      <c r="O24" s="278">
        <f>1/N24</f>
        <v>6.25E-2</v>
      </c>
      <c r="P24" s="1"/>
      <c r="Q24" s="1"/>
      <c r="R24" s="1"/>
      <c r="S24" s="1"/>
    </row>
    <row r="25" spans="1:19" ht="13" x14ac:dyDescent="0.3">
      <c r="A25" s="265" t="s">
        <v>135</v>
      </c>
      <c r="B25" s="522" t="s">
        <v>136</v>
      </c>
      <c r="C25" s="265" t="s">
        <v>17</v>
      </c>
      <c r="D25" s="373">
        <v>1</v>
      </c>
      <c r="E25" s="180">
        <f>VLOOKUP(B25,'Rend. Equipos'!$B$7:$E$222,4,FALSE)</f>
        <v>1241010.6908793931</v>
      </c>
      <c r="F25" s="181">
        <f>VLOOKUP(B25,'Rend. Equipos'!$B$6:$L$166,MATCH($F$23,'Rend. Equipos'!$B$6:$L$6,0),0)</f>
        <v>1.3888888888888887E-3</v>
      </c>
      <c r="G25" s="182">
        <f>+E25*D25*F25</f>
        <v>1723.6259595547124</v>
      </c>
      <c r="H25" s="162"/>
      <c r="I25" s="1"/>
      <c r="J25" s="1"/>
      <c r="K25" s="1"/>
      <c r="L25" s="1"/>
      <c r="M25" s="1"/>
      <c r="N25" s="1"/>
      <c r="O25" s="278"/>
      <c r="P25" s="1"/>
      <c r="Q25" s="1"/>
      <c r="R25" s="1"/>
      <c r="S25" s="1"/>
    </row>
    <row r="26" spans="1:19" ht="13" x14ac:dyDescent="0.3">
      <c r="A26" s="139"/>
      <c r="B26" s="139"/>
      <c r="C26" s="262"/>
      <c r="D26" s="596"/>
      <c r="E26" s="140"/>
      <c r="F26" s="141" t="s">
        <v>602</v>
      </c>
      <c r="G26" s="391">
        <f>SUM(G24:G25)</f>
        <v>1923.8790390194572</v>
      </c>
      <c r="H26" s="16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3" x14ac:dyDescent="0.3">
      <c r="A27" s="122"/>
      <c r="B27" s="122"/>
      <c r="C27" s="158"/>
      <c r="D27" s="595"/>
      <c r="E27" s="143"/>
      <c r="F27" s="144" t="s">
        <v>11</v>
      </c>
      <c r="G27" s="156">
        <f>+G26/F9</f>
        <v>240.48487987743215</v>
      </c>
      <c r="H27" s="16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3" x14ac:dyDescent="0.3">
      <c r="A28" s="128" t="s">
        <v>603</v>
      </c>
      <c r="B28" s="122"/>
      <c r="C28" s="158"/>
      <c r="D28" s="595"/>
      <c r="E28" s="122"/>
      <c r="F28" s="122"/>
      <c r="G28" s="122"/>
      <c r="H28" s="162"/>
      <c r="I28" s="1"/>
      <c r="J28" s="263" t="s">
        <v>709</v>
      </c>
      <c r="K28" s="263" t="s">
        <v>746</v>
      </c>
      <c r="L28" s="263" t="s">
        <v>747</v>
      </c>
      <c r="M28" s="1"/>
      <c r="N28" s="1"/>
      <c r="O28" s="1"/>
      <c r="P28" s="1"/>
      <c r="Q28" s="1"/>
      <c r="R28" s="1"/>
      <c r="S28" s="1"/>
    </row>
    <row r="29" spans="1:19" ht="13" x14ac:dyDescent="0.3">
      <c r="A29" s="435" t="s">
        <v>79</v>
      </c>
      <c r="B29" s="134" t="s">
        <v>591</v>
      </c>
      <c r="C29" s="261" t="s">
        <v>592</v>
      </c>
      <c r="D29" s="436" t="s">
        <v>593</v>
      </c>
      <c r="E29" s="134" t="s">
        <v>604</v>
      </c>
      <c r="F29" s="134"/>
      <c r="G29" s="135" t="s">
        <v>596</v>
      </c>
      <c r="H29" s="167"/>
      <c r="I29" s="601" t="s">
        <v>686</v>
      </c>
      <c r="J29" s="322">
        <v>0.9</v>
      </c>
      <c r="K29" s="322">
        <v>7</v>
      </c>
      <c r="L29" s="322">
        <f>+K29/J29</f>
        <v>7.7777777777777777</v>
      </c>
      <c r="M29" s="3"/>
      <c r="N29" s="3"/>
      <c r="O29" s="1"/>
      <c r="P29" s="1"/>
      <c r="Q29" s="1"/>
      <c r="R29" s="1"/>
      <c r="S29" s="1"/>
    </row>
    <row r="30" spans="1:19" ht="13" x14ac:dyDescent="0.3">
      <c r="A30" s="598" t="s">
        <v>265</v>
      </c>
      <c r="B30" s="512" t="s">
        <v>266</v>
      </c>
      <c r="C30" s="598" t="s">
        <v>605</v>
      </c>
      <c r="D30" s="599">
        <v>1</v>
      </c>
      <c r="E30" s="512">
        <f>VLOOKUP(B30,'Mano de Obra'!$B$8:$C$100,2,FALSE)</f>
        <v>85927.097156571981</v>
      </c>
      <c r="F30" s="512"/>
      <c r="G30" s="600">
        <f>+E30*D30</f>
        <v>85927.097156571981</v>
      </c>
      <c r="H30" s="16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3" x14ac:dyDescent="0.3">
      <c r="A31" s="139"/>
      <c r="B31" s="139"/>
      <c r="C31" s="262"/>
      <c r="D31" s="596"/>
      <c r="E31" s="140"/>
      <c r="F31" s="141" t="s">
        <v>606</v>
      </c>
      <c r="G31" s="391">
        <f>SUM(G30:G30)</f>
        <v>85927.097156571981</v>
      </c>
      <c r="H31" s="16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3" x14ac:dyDescent="0.3">
      <c r="A32" s="122"/>
      <c r="B32" s="122"/>
      <c r="C32" s="158"/>
      <c r="D32" s="595"/>
      <c r="E32" s="360"/>
      <c r="F32" s="123" t="s">
        <v>607</v>
      </c>
      <c r="G32" s="349">
        <v>1</v>
      </c>
      <c r="H32" s="16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3" x14ac:dyDescent="0.3">
      <c r="A33" s="122"/>
      <c r="B33" s="122"/>
      <c r="C33" s="158"/>
      <c r="D33" s="595"/>
      <c r="E33" s="360"/>
      <c r="F33" s="123" t="s">
        <v>608</v>
      </c>
      <c r="G33" s="390">
        <f>+G32*G31</f>
        <v>85927.097156571981</v>
      </c>
      <c r="H33" s="16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3" x14ac:dyDescent="0.3">
      <c r="A34" s="122"/>
      <c r="B34" s="122"/>
      <c r="C34" s="158"/>
      <c r="D34" s="595"/>
      <c r="E34" s="143"/>
      <c r="F34" s="144" t="s">
        <v>10</v>
      </c>
      <c r="G34" s="156">
        <f>+G33/F9</f>
        <v>10740.887144571498</v>
      </c>
      <c r="H34" s="16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3" x14ac:dyDescent="0.3">
      <c r="A35" s="122"/>
      <c r="B35" s="122"/>
      <c r="C35" s="158"/>
      <c r="D35" s="595"/>
      <c r="H35" s="16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3" x14ac:dyDescent="0.3">
      <c r="A36" s="122"/>
      <c r="B36" s="122"/>
      <c r="C36" s="158"/>
      <c r="D36" s="595"/>
      <c r="E36" s="122"/>
      <c r="F36" s="123" t="s">
        <v>609</v>
      </c>
      <c r="G36" s="130">
        <f>+G34+G27+G21</f>
        <v>13566.45695694893</v>
      </c>
      <c r="H36" s="16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3" x14ac:dyDescent="0.3">
      <c r="A37" s="122"/>
      <c r="B37" s="122"/>
      <c r="C37" s="158"/>
      <c r="D37" s="595"/>
      <c r="E37" s="123" t="s">
        <v>610</v>
      </c>
      <c r="F37" s="198">
        <f>+RESUMEN!$I$2</f>
        <v>0</v>
      </c>
      <c r="G37" s="130">
        <f>IF(F37=0,0,F37*G36)</f>
        <v>0</v>
      </c>
      <c r="H37" s="16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3" x14ac:dyDescent="0.3">
      <c r="A38" s="122"/>
      <c r="B38" s="122"/>
      <c r="C38" s="158"/>
      <c r="D38" s="595"/>
      <c r="E38" s="123" t="s">
        <v>611</v>
      </c>
      <c r="F38" s="198">
        <f>+RESUMEN!$I$3</f>
        <v>0</v>
      </c>
      <c r="G38" s="130">
        <f>IF(F38=0,0,F38*G36)</f>
        <v>0</v>
      </c>
      <c r="H38" s="16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3" x14ac:dyDescent="0.3">
      <c r="A39" s="875"/>
      <c r="B39" s="870"/>
      <c r="C39" s="158"/>
      <c r="D39" s="595"/>
      <c r="E39" s="151"/>
      <c r="F39" s="152" t="s">
        <v>612</v>
      </c>
      <c r="G39" s="389">
        <f>SUM(G36:G38)</f>
        <v>13566.45695694893</v>
      </c>
      <c r="H39" s="16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</sheetData>
  <mergeCells count="4">
    <mergeCell ref="A1:G1"/>
    <mergeCell ref="B5:G5"/>
    <mergeCell ref="B7:G7"/>
    <mergeCell ref="A39:B39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</sheetPr>
  <dimension ref="A1:N44"/>
  <sheetViews>
    <sheetView workbookViewId="0">
      <selection activeCell="A14" sqref="A14"/>
    </sheetView>
  </sheetViews>
  <sheetFormatPr defaultColWidth="11.453125" defaultRowHeight="12.5" x14ac:dyDescent="0.25"/>
  <cols>
    <col min="1" max="1" width="11.453125" customWidth="1"/>
    <col min="2" max="2" width="33.6328125" customWidth="1"/>
    <col min="3" max="3" width="7.08984375" style="202" bestFit="1" customWidth="1"/>
    <col min="4" max="4" width="9" style="427" bestFit="1" customWidth="1"/>
    <col min="5" max="5" width="15.36328125" bestFit="1" customWidth="1"/>
    <col min="6" max="6" width="9.453125" customWidth="1"/>
    <col min="7" max="7" width="10.54296875" bestFit="1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</row>
    <row r="2" spans="1:14" ht="13" x14ac:dyDescent="0.25">
      <c r="A2" s="162"/>
      <c r="B2" s="162"/>
      <c r="C2" s="260"/>
      <c r="D2" s="501"/>
      <c r="E2" s="162"/>
      <c r="F2" s="240" t="s">
        <v>78</v>
      </c>
      <c r="G2" s="583" t="s">
        <v>711</v>
      </c>
      <c r="H2" s="162"/>
      <c r="I2" s="1"/>
      <c r="J2" s="1"/>
      <c r="K2" s="1"/>
      <c r="L2" s="1"/>
      <c r="M2" s="1"/>
      <c r="N2" s="1"/>
    </row>
    <row r="3" spans="1:14" ht="15.5" x14ac:dyDescent="0.35">
      <c r="A3" s="165" t="s">
        <v>579</v>
      </c>
      <c r="B3" s="166"/>
      <c r="C3" s="383"/>
      <c r="D3" s="502"/>
      <c r="E3" s="166"/>
      <c r="F3" s="166"/>
      <c r="G3" s="166"/>
      <c r="H3" s="162"/>
      <c r="I3" s="1"/>
      <c r="J3" s="1"/>
      <c r="K3" s="1"/>
      <c r="L3" s="1"/>
      <c r="M3" s="1"/>
      <c r="N3" s="1"/>
    </row>
    <row r="4" spans="1:14" ht="13" x14ac:dyDescent="0.3">
      <c r="A4" s="122"/>
      <c r="B4" s="122"/>
      <c r="C4" s="158"/>
      <c r="D4" s="421"/>
      <c r="E4" s="122"/>
      <c r="F4" s="123" t="s">
        <v>580</v>
      </c>
      <c r="G4" s="126">
        <v>55</v>
      </c>
      <c r="H4" s="162"/>
      <c r="I4" s="1"/>
      <c r="J4" s="1"/>
      <c r="K4" s="2" t="s">
        <v>748</v>
      </c>
      <c r="L4" s="2"/>
      <c r="M4" s="1"/>
      <c r="N4" s="1"/>
    </row>
    <row r="5" spans="1:14" ht="13" x14ac:dyDescent="0.25">
      <c r="A5" s="127" t="s">
        <v>581</v>
      </c>
      <c r="B5" s="562" t="s">
        <v>749</v>
      </c>
      <c r="C5" s="603"/>
      <c r="D5" s="584"/>
      <c r="E5" s="563"/>
      <c r="F5" s="563"/>
      <c r="G5" s="563"/>
      <c r="H5" s="162"/>
      <c r="I5" s="1"/>
      <c r="J5" s="51" t="s">
        <v>45</v>
      </c>
      <c r="K5" s="51">
        <v>770</v>
      </c>
      <c r="L5" s="1"/>
      <c r="M5" s="1"/>
      <c r="N5" s="1"/>
    </row>
    <row r="6" spans="1:14" ht="13" x14ac:dyDescent="0.3">
      <c r="A6" s="128" t="s">
        <v>582</v>
      </c>
      <c r="B6" s="562" t="s">
        <v>749</v>
      </c>
      <c r="C6" s="158"/>
      <c r="D6" s="421"/>
      <c r="E6" s="122"/>
      <c r="F6" s="123" t="s">
        <v>583</v>
      </c>
      <c r="G6" s="562" t="s">
        <v>749</v>
      </c>
      <c r="H6" s="162"/>
      <c r="I6" s="1"/>
      <c r="J6" s="1" t="s">
        <v>750</v>
      </c>
      <c r="K6" s="1">
        <v>5</v>
      </c>
      <c r="L6" s="1"/>
      <c r="M6" s="1"/>
      <c r="N6" s="1"/>
    </row>
    <row r="7" spans="1:14" ht="15.5" x14ac:dyDescent="0.25">
      <c r="A7" s="197" t="s">
        <v>584</v>
      </c>
      <c r="B7" s="873" t="s">
        <v>751</v>
      </c>
      <c r="C7" s="874"/>
      <c r="D7" s="874"/>
      <c r="E7" s="874"/>
      <c r="F7" s="874"/>
      <c r="G7" s="874"/>
      <c r="H7" s="162"/>
      <c r="I7" s="162"/>
      <c r="J7" s="1" t="s">
        <v>752</v>
      </c>
      <c r="K7" s="1">
        <f>+K6*20</f>
        <v>100</v>
      </c>
      <c r="L7" s="1"/>
      <c r="M7" s="1"/>
      <c r="N7" s="1"/>
    </row>
    <row r="8" spans="1:14" ht="13" x14ac:dyDescent="0.3">
      <c r="A8" s="128"/>
      <c r="B8" s="122"/>
      <c r="C8" s="240" t="s">
        <v>586</v>
      </c>
      <c r="D8" s="421"/>
      <c r="E8" s="131" t="s">
        <v>587</v>
      </c>
      <c r="F8" s="128" t="s">
        <v>588</v>
      </c>
      <c r="G8" s="122"/>
      <c r="H8" s="162"/>
      <c r="I8" s="1"/>
      <c r="J8" s="1" t="s">
        <v>753</v>
      </c>
      <c r="K8" s="285">
        <v>0.2</v>
      </c>
      <c r="L8" s="1"/>
      <c r="M8" s="1">
        <v>1</v>
      </c>
      <c r="N8" s="1">
        <v>5</v>
      </c>
    </row>
    <row r="9" spans="1:14" ht="13" x14ac:dyDescent="0.3">
      <c r="A9" s="122"/>
      <c r="B9" s="122"/>
      <c r="C9" s="158" t="s">
        <v>45</v>
      </c>
      <c r="D9" s="421"/>
      <c r="E9" s="132">
        <v>1000</v>
      </c>
      <c r="F9" s="33">
        <v>20</v>
      </c>
      <c r="G9" s="158" t="s">
        <v>615</v>
      </c>
      <c r="H9" s="162"/>
      <c r="I9" s="1"/>
      <c r="J9" s="51" t="s">
        <v>754</v>
      </c>
      <c r="K9" s="52">
        <f>+N11</f>
        <v>1.1111111111111112E-2</v>
      </c>
      <c r="L9" s="1"/>
      <c r="M9" s="1">
        <v>18</v>
      </c>
      <c r="N9" s="1">
        <f>+M9*N8/M8</f>
        <v>90</v>
      </c>
    </row>
    <row r="10" spans="1:14" ht="13" x14ac:dyDescent="0.3">
      <c r="A10" s="128" t="s">
        <v>590</v>
      </c>
      <c r="B10" s="122"/>
      <c r="C10" s="158"/>
      <c r="D10" s="421"/>
      <c r="E10" s="122"/>
      <c r="F10" s="122"/>
      <c r="G10" s="122"/>
      <c r="H10" s="162"/>
      <c r="I10" s="1"/>
      <c r="J10" s="1" t="s">
        <v>755</v>
      </c>
      <c r="K10" s="1">
        <v>55</v>
      </c>
      <c r="L10" s="1"/>
      <c r="M10" s="1"/>
      <c r="N10" s="1"/>
    </row>
    <row r="11" spans="1:14" ht="13" x14ac:dyDescent="0.3">
      <c r="A11" s="133" t="s">
        <v>79</v>
      </c>
      <c r="B11" s="134" t="s">
        <v>591</v>
      </c>
      <c r="C11" s="261" t="s">
        <v>592</v>
      </c>
      <c r="D11" s="503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  <c r="I11" s="3"/>
      <c r="J11" s="1" t="s">
        <v>756</v>
      </c>
      <c r="K11" s="1">
        <f>+K10*27</f>
        <v>1485</v>
      </c>
      <c r="L11" s="3"/>
      <c r="M11" s="3"/>
      <c r="N11" s="277">
        <f>1/N9</f>
        <v>1.1111111111111112E-2</v>
      </c>
    </row>
    <row r="12" spans="1:14" ht="13" x14ac:dyDescent="0.3">
      <c r="A12" s="264"/>
      <c r="B12" s="272" t="s">
        <v>476</v>
      </c>
      <c r="C12" s="264" t="s">
        <v>17</v>
      </c>
      <c r="D12" s="386">
        <v>7.4099999999999999E-2</v>
      </c>
      <c r="E12" s="175">
        <f>VLOOKUP(B12,Materiales!$B$8:$D$118,3,FALSE)</f>
        <v>57033.884297520664</v>
      </c>
      <c r="F12" s="175">
        <v>10</v>
      </c>
      <c r="G12" s="176">
        <f t="shared" ref="G12:G17" si="0">+D12*E12*((F12+100)/100)</f>
        <v>4648.8319090909099</v>
      </c>
      <c r="H12" s="176">
        <f>+D12*$E$9</f>
        <v>74.099999999999994</v>
      </c>
      <c r="I12" s="1"/>
      <c r="J12" s="1" t="s">
        <v>753</v>
      </c>
      <c r="K12" s="285">
        <v>2</v>
      </c>
      <c r="L12" s="1"/>
      <c r="M12" s="1"/>
      <c r="N12" s="1"/>
    </row>
    <row r="13" spans="1:14" ht="13" x14ac:dyDescent="0.3">
      <c r="A13" s="320"/>
      <c r="B13" s="41" t="s">
        <v>478</v>
      </c>
      <c r="C13" s="320" t="s">
        <v>17</v>
      </c>
      <c r="D13" s="387">
        <v>1.11E-2</v>
      </c>
      <c r="E13" s="178">
        <f>VLOOKUP(B13,Materiales!$B$8:$D$118,3,FALSE)</f>
        <v>93388.42975206612</v>
      </c>
      <c r="F13" s="178">
        <v>10</v>
      </c>
      <c r="G13" s="179">
        <f t="shared" si="0"/>
        <v>1140.2727272727275</v>
      </c>
      <c r="H13" s="179">
        <f t="shared" ref="H13:H17" si="1">+D13*$E$9</f>
        <v>11.1</v>
      </c>
      <c r="I13" s="1"/>
      <c r="J13" s="51" t="s">
        <v>754</v>
      </c>
      <c r="K13" s="52">
        <f>+K12/27</f>
        <v>7.407407407407407E-2</v>
      </c>
      <c r="L13" s="1"/>
      <c r="M13" s="1"/>
      <c r="N13" s="1"/>
    </row>
    <row r="14" spans="1:14" ht="13" x14ac:dyDescent="0.3">
      <c r="A14" s="320"/>
      <c r="B14" s="178" t="s">
        <v>140</v>
      </c>
      <c r="C14" s="320" t="s">
        <v>17</v>
      </c>
      <c r="D14" s="387">
        <v>0.01</v>
      </c>
      <c r="E14" s="178">
        <f>VLOOKUP(B14,Materiales!$B$8:$D$118,3,FALSE)</f>
        <v>12575.206611570249</v>
      </c>
      <c r="F14" s="178">
        <v>10</v>
      </c>
      <c r="G14" s="179">
        <f t="shared" si="0"/>
        <v>138.32727272727274</v>
      </c>
      <c r="H14" s="179">
        <f t="shared" ref="H14" si="2">+D14*$E$9</f>
        <v>10</v>
      </c>
      <c r="I14" s="1"/>
      <c r="J14" s="1"/>
      <c r="K14" s="284"/>
      <c r="L14" s="1"/>
      <c r="M14" s="1"/>
      <c r="N14" s="1"/>
    </row>
    <row r="15" spans="1:14" ht="13" x14ac:dyDescent="0.3">
      <c r="A15" s="320"/>
      <c r="B15" s="519" t="s">
        <v>501</v>
      </c>
      <c r="C15" s="320" t="s">
        <v>17</v>
      </c>
      <c r="D15" s="387">
        <v>5.0000000000000001E-3</v>
      </c>
      <c r="E15" s="178">
        <f>VLOOKUP(B15,Materiales!$B$8:$D$118,3,FALSE)</f>
        <v>6678.36</v>
      </c>
      <c r="F15" s="178">
        <v>5</v>
      </c>
      <c r="G15" s="179">
        <f t="shared" si="0"/>
        <v>35.061389999999996</v>
      </c>
      <c r="H15" s="179">
        <f t="shared" si="1"/>
        <v>5</v>
      </c>
      <c r="I15" s="1"/>
      <c r="J15" s="1"/>
      <c r="K15" s="284"/>
      <c r="L15" s="1"/>
      <c r="M15" s="1"/>
      <c r="N15" s="1"/>
    </row>
    <row r="16" spans="1:14" ht="13" x14ac:dyDescent="0.3">
      <c r="A16" s="320"/>
      <c r="B16" s="178" t="s">
        <v>497</v>
      </c>
      <c r="C16" s="320" t="s">
        <v>17</v>
      </c>
      <c r="D16" s="387">
        <v>5.0000000000000001E-3</v>
      </c>
      <c r="E16" s="178">
        <f>VLOOKUP(B16,Materiales!$B$8:$D$118,3,FALSE)</f>
        <v>735.06</v>
      </c>
      <c r="F16" s="178">
        <v>5</v>
      </c>
      <c r="G16" s="179">
        <f t="shared" si="0"/>
        <v>3.8590650000000002</v>
      </c>
      <c r="H16" s="179">
        <f t="shared" si="1"/>
        <v>5</v>
      </c>
      <c r="I16" s="1"/>
      <c r="J16" s="1"/>
      <c r="K16" s="284"/>
      <c r="L16" s="1"/>
      <c r="M16" s="1"/>
      <c r="N16" s="1"/>
    </row>
    <row r="17" spans="1:8" ht="13" x14ac:dyDescent="0.3">
      <c r="A17" s="265"/>
      <c r="B17" s="180" t="s">
        <v>494</v>
      </c>
      <c r="C17" s="265" t="s">
        <v>17</v>
      </c>
      <c r="D17" s="388">
        <v>0.01</v>
      </c>
      <c r="E17" s="180">
        <f>VLOOKUP(B17,Materiales!$B$8:$D$118,3,FALSE)</f>
        <v>3293.01</v>
      </c>
      <c r="F17" s="180">
        <v>5</v>
      </c>
      <c r="G17" s="182">
        <f t="shared" si="0"/>
        <v>34.576605000000008</v>
      </c>
      <c r="H17" s="182">
        <f t="shared" si="1"/>
        <v>10</v>
      </c>
    </row>
    <row r="18" spans="1:8" ht="13" x14ac:dyDescent="0.3">
      <c r="A18" s="122"/>
      <c r="B18" s="122"/>
      <c r="C18" s="158"/>
      <c r="D18" s="504"/>
      <c r="E18" s="360"/>
      <c r="F18" s="123" t="s">
        <v>598</v>
      </c>
      <c r="G18" s="390">
        <f>SUM(G12:G17)</f>
        <v>6000.92896909091</v>
      </c>
      <c r="H18" s="162"/>
    </row>
    <row r="19" spans="1:8" ht="13" x14ac:dyDescent="0.3">
      <c r="A19" s="122"/>
      <c r="B19" s="122"/>
      <c r="C19" s="158"/>
      <c r="D19" s="421"/>
      <c r="E19" s="143"/>
      <c r="F19" s="144" t="s">
        <v>9</v>
      </c>
      <c r="G19" s="156">
        <f>+G18</f>
        <v>6000.92896909091</v>
      </c>
      <c r="H19" s="168"/>
    </row>
    <row r="20" spans="1:8" ht="13" x14ac:dyDescent="0.3">
      <c r="A20" s="128" t="s">
        <v>599</v>
      </c>
      <c r="B20" s="122"/>
      <c r="C20" s="158"/>
      <c r="D20" s="421"/>
      <c r="E20" s="122"/>
      <c r="F20" s="122"/>
      <c r="G20" s="122"/>
      <c r="H20" s="162"/>
    </row>
    <row r="21" spans="1:8" ht="13" x14ac:dyDescent="0.3">
      <c r="A21" s="133" t="s">
        <v>79</v>
      </c>
      <c r="B21" s="134" t="s">
        <v>591</v>
      </c>
      <c r="C21" s="261" t="s">
        <v>592</v>
      </c>
      <c r="D21" s="503" t="s">
        <v>593</v>
      </c>
      <c r="E21" s="134" t="s">
        <v>600</v>
      </c>
      <c r="F21" s="261" t="s">
        <v>87</v>
      </c>
      <c r="G21" s="135" t="s">
        <v>596</v>
      </c>
      <c r="H21" s="167"/>
    </row>
    <row r="22" spans="1:8" ht="13" x14ac:dyDescent="0.3">
      <c r="A22" s="264" t="s">
        <v>184</v>
      </c>
      <c r="B22" s="8" t="s">
        <v>185</v>
      </c>
      <c r="C22" s="264" t="s">
        <v>17</v>
      </c>
      <c r="D22" s="423">
        <v>0.75</v>
      </c>
      <c r="E22" s="175">
        <f>VLOOKUP(B22,'Rend. Equipos'!$B$7:$E$222,4,FALSE)</f>
        <v>683705.7511892406</v>
      </c>
      <c r="F22" s="266">
        <f>VLOOKUP(B22,'Rend. Equipos'!$B$6:$L$166,MATCH($F$21,'Rend. Equipos'!$B$6:$L$6,0),0)</f>
        <v>2.7777777777777775E-3</v>
      </c>
      <c r="G22" s="176">
        <f t="shared" ref="G22:G24" si="3">+E22*D22*F22</f>
        <v>1424.3869816442509</v>
      </c>
      <c r="H22" s="162"/>
    </row>
    <row r="23" spans="1:8" ht="13" x14ac:dyDescent="0.3">
      <c r="A23" s="320" t="s">
        <v>88</v>
      </c>
      <c r="B23" s="430" t="s">
        <v>89</v>
      </c>
      <c r="C23" s="320" t="s">
        <v>352</v>
      </c>
      <c r="D23" s="424">
        <v>0.5</v>
      </c>
      <c r="E23" s="178">
        <f>VLOOKUP(B23,'Rend. Equipos'!$B$7:$E$222,4,FALSE)</f>
        <v>1028123.0837653707</v>
      </c>
      <c r="F23" s="325">
        <f>VLOOKUP(B23,'Rend. Equipos'!$B$6:$L$166,MATCH($F$21,'Rend. Equipos'!$B$6:$L$6,0),0)</f>
        <v>5.5555555555555556E-4</v>
      </c>
      <c r="G23" s="179">
        <f t="shared" si="3"/>
        <v>285.58974549038072</v>
      </c>
      <c r="H23" s="162"/>
    </row>
    <row r="24" spans="1:8" ht="13" x14ac:dyDescent="0.3">
      <c r="A24" s="320" t="s">
        <v>181</v>
      </c>
      <c r="B24" s="519" t="s">
        <v>183</v>
      </c>
      <c r="C24" s="320" t="s">
        <v>17</v>
      </c>
      <c r="D24" s="424">
        <v>1</v>
      </c>
      <c r="E24" s="178">
        <f>VLOOKUP(B24,'Rend. Equipos'!$B$7:$E$222,4,FALSE)</f>
        <v>72091.108607308124</v>
      </c>
      <c r="F24" s="325">
        <f>VLOOKUP(B24,'Rend. Equipos'!$B$6:$L$166,MATCH($F$21,'Rend. Equipos'!$B$6:$L$6,0),0)</f>
        <v>2.7777777777777779E-3</v>
      </c>
      <c r="G24" s="179">
        <f t="shared" si="3"/>
        <v>200.25307946474479</v>
      </c>
      <c r="H24" s="162"/>
    </row>
    <row r="25" spans="1:8" ht="13" x14ac:dyDescent="0.3">
      <c r="A25" s="265" t="s">
        <v>135</v>
      </c>
      <c r="B25" s="522" t="s">
        <v>136</v>
      </c>
      <c r="C25" s="265" t="s">
        <v>352</v>
      </c>
      <c r="D25" s="425">
        <v>1</v>
      </c>
      <c r="E25" s="180">
        <f>VLOOKUP(B25,'Rend. Equipos'!$B$7:$E$222,4,FALSE)</f>
        <v>1241010.6908793931</v>
      </c>
      <c r="F25" s="181">
        <f>VLOOKUP(B25,'Rend. Equipos'!$B$6:$L$166,MATCH($F$21,'Rend. Equipos'!$B$6:$L$6,0),0)</f>
        <v>1.3888888888888887E-3</v>
      </c>
      <c r="G25" s="182">
        <f>+E25*D25*F25</f>
        <v>1723.6259595547124</v>
      </c>
      <c r="H25" s="162"/>
    </row>
    <row r="26" spans="1:8" ht="13" x14ac:dyDescent="0.3">
      <c r="A26" s="139"/>
      <c r="B26" s="139"/>
      <c r="C26" s="262"/>
      <c r="D26" s="426"/>
      <c r="E26" s="140"/>
      <c r="F26" s="141" t="s">
        <v>602</v>
      </c>
      <c r="G26" s="391">
        <f>SUM(G22:G25)</f>
        <v>3633.855766154089</v>
      </c>
      <c r="H26" s="162"/>
    </row>
    <row r="27" spans="1:8" ht="13" x14ac:dyDescent="0.3">
      <c r="A27" s="122"/>
      <c r="B27" s="122"/>
      <c r="C27" s="158"/>
      <c r="D27" s="421"/>
      <c r="E27" s="143"/>
      <c r="F27" s="144" t="s">
        <v>11</v>
      </c>
      <c r="G27" s="156">
        <f>+G26/F9</f>
        <v>181.69278830770446</v>
      </c>
      <c r="H27" s="162"/>
    </row>
    <row r="28" spans="1:8" ht="13" x14ac:dyDescent="0.3">
      <c r="A28" s="128" t="s">
        <v>603</v>
      </c>
      <c r="B28" s="122"/>
      <c r="C28" s="158"/>
      <c r="D28" s="421"/>
      <c r="E28" s="122"/>
      <c r="F28" s="122"/>
      <c r="G28" s="122"/>
      <c r="H28" s="162"/>
    </row>
    <row r="29" spans="1:8" ht="13" x14ac:dyDescent="0.3">
      <c r="A29" s="133" t="s">
        <v>79</v>
      </c>
      <c r="B29" s="134" t="s">
        <v>591</v>
      </c>
      <c r="C29" s="261" t="s">
        <v>592</v>
      </c>
      <c r="D29" s="503" t="s">
        <v>593</v>
      </c>
      <c r="E29" s="134" t="s">
        <v>604</v>
      </c>
      <c r="F29" s="134"/>
      <c r="G29" s="135" t="s">
        <v>596</v>
      </c>
      <c r="H29" s="167"/>
    </row>
    <row r="30" spans="1:8" ht="13" x14ac:dyDescent="0.3">
      <c r="A30" s="264" t="s">
        <v>251</v>
      </c>
      <c r="B30" s="116" t="s">
        <v>252</v>
      </c>
      <c r="C30" s="264" t="s">
        <v>605</v>
      </c>
      <c r="D30" s="433">
        <v>1</v>
      </c>
      <c r="E30" s="175">
        <f>VLOOKUP(B30,'Mano de Obra'!$B$8:$C$100,2,FALSE)</f>
        <v>65493.071636571978</v>
      </c>
      <c r="F30" s="175"/>
      <c r="G30" s="176">
        <f>+E30*D30</f>
        <v>65493.071636571978</v>
      </c>
      <c r="H30" s="162"/>
    </row>
    <row r="31" spans="1:8" ht="13" x14ac:dyDescent="0.3">
      <c r="A31" s="320" t="s">
        <v>265</v>
      </c>
      <c r="B31" s="35" t="s">
        <v>266</v>
      </c>
      <c r="C31" s="320" t="s">
        <v>605</v>
      </c>
      <c r="D31" s="457">
        <v>1.5</v>
      </c>
      <c r="E31" s="178">
        <f>VLOOKUP(B31,'Mano de Obra'!$B$8:$C$100,2,FALSE)</f>
        <v>85927.097156571981</v>
      </c>
      <c r="F31" s="178"/>
      <c r="G31" s="179">
        <f>+E31*D31</f>
        <v>128890.64573485797</v>
      </c>
      <c r="H31" s="162" t="s">
        <v>729</v>
      </c>
    </row>
    <row r="32" spans="1:8" ht="13" x14ac:dyDescent="0.3">
      <c r="A32" s="265" t="s">
        <v>242</v>
      </c>
      <c r="B32" s="80" t="s">
        <v>228</v>
      </c>
      <c r="C32" s="265" t="s">
        <v>605</v>
      </c>
      <c r="D32" s="434">
        <v>0.5</v>
      </c>
      <c r="E32" s="180">
        <f>VLOOKUP(B32,'Mano de Obra'!$B$8:$C$100,2,FALSE)</f>
        <v>60860.580776571966</v>
      </c>
      <c r="F32" s="180"/>
      <c r="G32" s="182">
        <f>+E32*D32</f>
        <v>30430.290388285983</v>
      </c>
      <c r="H32" s="162"/>
    </row>
    <row r="33" spans="1:8" ht="13" x14ac:dyDescent="0.3">
      <c r="A33" s="122"/>
      <c r="B33" s="122"/>
      <c r="C33" s="262"/>
      <c r="D33" s="504"/>
      <c r="E33" s="140"/>
      <c r="F33" s="141" t="s">
        <v>606</v>
      </c>
      <c r="G33" s="391">
        <f>SUM(G30:G32)</f>
        <v>224814.00775971595</v>
      </c>
      <c r="H33" s="162"/>
    </row>
    <row r="34" spans="1:8" ht="13" x14ac:dyDescent="0.3">
      <c r="A34" s="122"/>
      <c r="B34" s="122"/>
      <c r="C34" s="158"/>
      <c r="D34" s="421"/>
      <c r="E34" s="360"/>
      <c r="F34" s="123" t="s">
        <v>607</v>
      </c>
      <c r="G34" s="349">
        <v>1</v>
      </c>
      <c r="H34" s="162"/>
    </row>
    <row r="35" spans="1:8" ht="13" x14ac:dyDescent="0.3">
      <c r="A35" s="122"/>
      <c r="B35" s="122"/>
      <c r="C35" s="158"/>
      <c r="D35" s="421"/>
      <c r="E35" s="360"/>
      <c r="F35" s="123" t="s">
        <v>608</v>
      </c>
      <c r="G35" s="390">
        <f>+G34*G33</f>
        <v>224814.00775971595</v>
      </c>
      <c r="H35" s="162"/>
    </row>
    <row r="36" spans="1:8" ht="13" x14ac:dyDescent="0.3">
      <c r="A36" s="122"/>
      <c r="B36" s="122"/>
      <c r="C36" s="158"/>
      <c r="D36" s="421"/>
      <c r="E36" s="143"/>
      <c r="F36" s="144" t="s">
        <v>10</v>
      </c>
      <c r="G36" s="156">
        <f>+G35/F9</f>
        <v>11240.700387985798</v>
      </c>
      <c r="H36" s="162"/>
    </row>
    <row r="37" spans="1:8" ht="13" x14ac:dyDescent="0.3">
      <c r="A37" s="122"/>
      <c r="B37" s="122"/>
      <c r="C37" s="158"/>
      <c r="D37" s="421"/>
      <c r="H37" s="162"/>
    </row>
    <row r="38" spans="1:8" ht="13" x14ac:dyDescent="0.3">
      <c r="A38" s="122"/>
      <c r="B38" s="122"/>
      <c r="C38" s="158"/>
      <c r="D38" s="421"/>
      <c r="E38" s="122"/>
      <c r="F38" s="123" t="s">
        <v>609</v>
      </c>
      <c r="G38" s="123">
        <f>+G36+G27+G19</f>
        <v>17423.322145384413</v>
      </c>
      <c r="H38" s="162"/>
    </row>
    <row r="39" spans="1:8" ht="13" x14ac:dyDescent="0.3">
      <c r="A39" s="122"/>
      <c r="B39" s="122"/>
      <c r="C39" s="158"/>
      <c r="D39" s="421"/>
      <c r="E39" s="123" t="s">
        <v>610</v>
      </c>
      <c r="F39" s="461">
        <f>+RESUMEN!$I$2</f>
        <v>0</v>
      </c>
      <c r="G39" s="130">
        <f>IF(F39=0,0,F39*G38)</f>
        <v>0</v>
      </c>
      <c r="H39" s="168"/>
    </row>
    <row r="40" spans="1:8" ht="13" x14ac:dyDescent="0.3">
      <c r="A40" s="122"/>
      <c r="B40" s="122"/>
      <c r="C40" s="158"/>
      <c r="D40" s="421"/>
      <c r="E40" s="144" t="s">
        <v>611</v>
      </c>
      <c r="F40" s="577">
        <f>+RESUMEN!$I$3</f>
        <v>0</v>
      </c>
      <c r="G40" s="578">
        <f>IF(F40=0,0,F40*G38)</f>
        <v>0</v>
      </c>
      <c r="H40" s="162"/>
    </row>
    <row r="41" spans="1:8" ht="13" x14ac:dyDescent="0.3">
      <c r="A41" s="122"/>
      <c r="B41" s="122"/>
      <c r="C41" s="158"/>
      <c r="D41" s="421"/>
      <c r="E41" s="143"/>
      <c r="F41" s="144" t="s">
        <v>612</v>
      </c>
      <c r="G41" s="156">
        <f>SUM(G38:G40)</f>
        <v>17423.322145384413</v>
      </c>
      <c r="H41" s="162"/>
    </row>
    <row r="42" spans="1:8" ht="13" x14ac:dyDescent="0.3">
      <c r="A42" s="122"/>
      <c r="B42" s="122"/>
      <c r="C42" s="158"/>
      <c r="D42" s="421"/>
      <c r="E42" s="1"/>
      <c r="F42" s="1"/>
      <c r="G42" s="1"/>
      <c r="H42" s="162"/>
    </row>
    <row r="43" spans="1:8" ht="13" x14ac:dyDescent="0.3">
      <c r="A43" s="875"/>
      <c r="B43" s="870"/>
      <c r="C43" s="158"/>
      <c r="D43" s="421"/>
      <c r="E43" s="1"/>
      <c r="F43" s="1"/>
      <c r="G43" s="1"/>
      <c r="H43" s="162"/>
    </row>
    <row r="44" spans="1:8" ht="13" x14ac:dyDescent="0.3">
      <c r="A44" s="875"/>
      <c r="B44" s="870"/>
      <c r="C44" s="158"/>
      <c r="D44" s="421"/>
      <c r="E44" s="1"/>
      <c r="F44" s="1"/>
      <c r="G44" s="1"/>
      <c r="H44" s="162"/>
    </row>
  </sheetData>
  <mergeCells count="4">
    <mergeCell ref="A1:G1"/>
    <mergeCell ref="B7:G7"/>
    <mergeCell ref="A43:B43"/>
    <mergeCell ref="A44:B44"/>
  </mergeCell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/>
  </sheetPr>
  <dimension ref="A2:K41"/>
  <sheetViews>
    <sheetView topLeftCell="A5" workbookViewId="0">
      <selection activeCell="F12" sqref="F12"/>
    </sheetView>
  </sheetViews>
  <sheetFormatPr defaultColWidth="11.453125" defaultRowHeight="12.5" x14ac:dyDescent="0.25"/>
  <cols>
    <col min="1" max="1" width="10.36328125" customWidth="1"/>
    <col min="2" max="2" width="63.6328125" bestFit="1" customWidth="1"/>
    <col min="3" max="3" width="7.08984375" bestFit="1" customWidth="1"/>
    <col min="4" max="4" width="7.90625" style="347" bestFit="1" customWidth="1"/>
    <col min="5" max="5" width="15.36328125" bestFit="1" customWidth="1"/>
    <col min="6" max="6" width="9.453125" customWidth="1"/>
    <col min="7" max="7" width="10.90625" bestFit="1" customWidth="1"/>
  </cols>
  <sheetData>
    <row r="2" spans="1:11" ht="13" x14ac:dyDescent="0.25">
      <c r="A2" s="162"/>
      <c r="B2" s="162"/>
      <c r="C2" s="162"/>
      <c r="D2" s="340"/>
      <c r="E2" s="162"/>
      <c r="F2" s="163" t="s">
        <v>78</v>
      </c>
      <c r="G2" s="392" t="s">
        <v>613</v>
      </c>
      <c r="H2" s="162"/>
      <c r="I2" s="1"/>
      <c r="J2" s="1"/>
      <c r="K2" s="1"/>
    </row>
    <row r="3" spans="1:11" ht="15.5" x14ac:dyDescent="0.35">
      <c r="A3" s="165" t="s">
        <v>579</v>
      </c>
      <c r="B3" s="166"/>
      <c r="C3" s="166"/>
      <c r="D3" s="341"/>
      <c r="E3" s="166"/>
      <c r="F3" s="166"/>
      <c r="G3" s="166"/>
      <c r="H3" s="162"/>
      <c r="I3" s="1"/>
      <c r="J3" s="1"/>
      <c r="K3" s="1"/>
    </row>
    <row r="4" spans="1:11" ht="13" x14ac:dyDescent="0.3">
      <c r="A4" s="122"/>
      <c r="B4" s="122"/>
      <c r="C4" s="122"/>
      <c r="D4" s="342"/>
      <c r="E4" s="122"/>
      <c r="F4" s="123" t="s">
        <v>580</v>
      </c>
      <c r="G4" s="126">
        <v>56</v>
      </c>
      <c r="H4" s="162"/>
      <c r="I4" s="1"/>
      <c r="J4" s="1"/>
      <c r="K4" s="1"/>
    </row>
    <row r="5" spans="1:11" ht="13" x14ac:dyDescent="0.25">
      <c r="A5" s="127" t="s">
        <v>581</v>
      </c>
      <c r="B5" s="392" t="s">
        <v>613</v>
      </c>
      <c r="C5" s="574"/>
      <c r="D5" s="574"/>
      <c r="E5" s="574"/>
      <c r="F5" s="574"/>
      <c r="G5" s="574"/>
      <c r="H5" s="162"/>
      <c r="I5" s="1"/>
      <c r="J5" s="1"/>
      <c r="K5" s="1"/>
    </row>
    <row r="6" spans="1:11" ht="13" x14ac:dyDescent="0.3">
      <c r="A6" s="128" t="s">
        <v>582</v>
      </c>
      <c r="B6" s="392" t="s">
        <v>613</v>
      </c>
      <c r="C6" s="122"/>
      <c r="D6" s="342"/>
      <c r="E6" s="122"/>
      <c r="F6" s="123" t="s">
        <v>583</v>
      </c>
      <c r="G6" s="392" t="s">
        <v>613</v>
      </c>
      <c r="H6" s="162"/>
      <c r="I6" s="1"/>
      <c r="J6" s="1"/>
      <c r="K6" s="1"/>
    </row>
    <row r="7" spans="1:11" ht="15.5" x14ac:dyDescent="0.25">
      <c r="A7" s="197" t="s">
        <v>584</v>
      </c>
      <c r="B7" s="873" t="s">
        <v>757</v>
      </c>
      <c r="C7" s="874"/>
      <c r="D7" s="874"/>
      <c r="E7" s="874"/>
      <c r="F7" s="874"/>
      <c r="G7" s="874"/>
      <c r="H7" s="162"/>
      <c r="I7" s="162"/>
      <c r="J7" s="1"/>
      <c r="K7" s="1"/>
    </row>
    <row r="8" spans="1:11" ht="13" x14ac:dyDescent="0.3">
      <c r="A8" s="128"/>
      <c r="B8" s="122"/>
      <c r="C8" s="131" t="s">
        <v>586</v>
      </c>
      <c r="D8" s="342"/>
      <c r="E8" s="131" t="s">
        <v>587</v>
      </c>
      <c r="F8" s="128" t="s">
        <v>588</v>
      </c>
      <c r="G8" s="122"/>
      <c r="H8" s="162"/>
      <c r="I8" s="1"/>
      <c r="J8" s="1"/>
      <c r="K8" s="1"/>
    </row>
    <row r="9" spans="1:11" ht="13" x14ac:dyDescent="0.3">
      <c r="A9" s="122"/>
      <c r="B9" s="122"/>
      <c r="C9" s="132" t="s">
        <v>45</v>
      </c>
      <c r="D9" s="342"/>
      <c r="E9" s="132">
        <v>100</v>
      </c>
      <c r="F9" s="33">
        <v>13</v>
      </c>
      <c r="G9" s="158" t="s">
        <v>615</v>
      </c>
      <c r="H9" s="162"/>
      <c r="I9" s="1"/>
      <c r="J9" s="506"/>
      <c r="K9" s="1"/>
    </row>
    <row r="10" spans="1:11" ht="13" x14ac:dyDescent="0.3">
      <c r="A10" s="128" t="s">
        <v>590</v>
      </c>
      <c r="B10" s="122"/>
      <c r="C10" s="122"/>
      <c r="D10" s="342"/>
      <c r="E10" s="122"/>
      <c r="F10" s="122"/>
      <c r="G10" s="122"/>
      <c r="H10" s="162"/>
      <c r="I10" s="1"/>
      <c r="J10" s="506"/>
      <c r="K10" s="1"/>
    </row>
    <row r="11" spans="1:11" ht="13" x14ac:dyDescent="0.3">
      <c r="A11" s="133" t="s">
        <v>79</v>
      </c>
      <c r="B11" s="134" t="s">
        <v>591</v>
      </c>
      <c r="C11" s="134" t="s">
        <v>592</v>
      </c>
      <c r="D11" s="345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  <c r="I11" s="3"/>
      <c r="J11" s="322" t="s">
        <v>758</v>
      </c>
      <c r="K11" s="3"/>
    </row>
    <row r="12" spans="1:11" ht="13" x14ac:dyDescent="0.3">
      <c r="A12" s="264" t="s">
        <v>406</v>
      </c>
      <c r="B12" s="175" t="s">
        <v>407</v>
      </c>
      <c r="C12" s="264" t="s">
        <v>374</v>
      </c>
      <c r="D12" s="372">
        <v>0.2</v>
      </c>
      <c r="E12" s="175">
        <f>VLOOKUP(B12,Materiales!$B$8:$D$118,3,FALSE)</f>
        <v>18802.511999999999</v>
      </c>
      <c r="F12" s="175">
        <v>20</v>
      </c>
      <c r="G12" s="176">
        <f>+D12*E12*((F12+100)/100)</f>
        <v>4512.6028799999995</v>
      </c>
      <c r="H12" s="176">
        <f>+D12*$E$9</f>
        <v>20</v>
      </c>
      <c r="I12" s="1"/>
      <c r="J12" s="1">
        <f>5*3</f>
        <v>15</v>
      </c>
      <c r="K12" s="1" t="s">
        <v>759</v>
      </c>
    </row>
    <row r="13" spans="1:11" ht="13" x14ac:dyDescent="0.3">
      <c r="A13" s="320" t="s">
        <v>406</v>
      </c>
      <c r="B13" s="178" t="s">
        <v>416</v>
      </c>
      <c r="C13" s="320" t="s">
        <v>374</v>
      </c>
      <c r="D13" s="374">
        <v>0.2</v>
      </c>
      <c r="E13" s="178">
        <f>VLOOKUP(B13,Materiales!$B$8:$D$118,3,FALSE)</f>
        <v>3214.35</v>
      </c>
      <c r="F13" s="178">
        <v>5</v>
      </c>
      <c r="G13" s="179">
        <f t="shared" ref="G13:G15" si="0">+D13*E13*((F13+100)/100)</f>
        <v>675.01350000000002</v>
      </c>
      <c r="H13" s="179">
        <f t="shared" ref="H13:H15" si="1">+D13*$E$9</f>
        <v>20</v>
      </c>
      <c r="I13" s="1"/>
      <c r="J13" s="1">
        <v>9</v>
      </c>
      <c r="K13" s="1" t="s">
        <v>760</v>
      </c>
    </row>
    <row r="14" spans="1:11" ht="13" x14ac:dyDescent="0.3">
      <c r="A14" s="320"/>
      <c r="B14" s="178" t="s">
        <v>570</v>
      </c>
      <c r="C14" s="320" t="s">
        <v>17</v>
      </c>
      <c r="D14" s="374">
        <f>1/250</f>
        <v>4.0000000000000001E-3</v>
      </c>
      <c r="E14" s="178">
        <f>VLOOKUP(B14,Materiales!$B$8:$D$212,3,FALSE)</f>
        <v>20237</v>
      </c>
      <c r="F14" s="178">
        <v>5</v>
      </c>
      <c r="G14" s="179">
        <f t="shared" si="0"/>
        <v>84.995400000000018</v>
      </c>
      <c r="H14" s="179">
        <f t="shared" si="1"/>
        <v>0.4</v>
      </c>
      <c r="I14" s="1"/>
      <c r="J14" s="1">
        <v>9</v>
      </c>
      <c r="K14" s="1" t="s">
        <v>760</v>
      </c>
    </row>
    <row r="15" spans="1:11" ht="13" x14ac:dyDescent="0.3">
      <c r="A15" s="320"/>
      <c r="B15" s="178" t="s">
        <v>571</v>
      </c>
      <c r="C15" s="320" t="s">
        <v>374</v>
      </c>
      <c r="D15" s="374">
        <f>6/150</f>
        <v>0.04</v>
      </c>
      <c r="E15" s="178">
        <f>VLOOKUP(B15,Materiales!$B$8:$D$212,3,FALSE)</f>
        <v>44669.421487603307</v>
      </c>
      <c r="F15" s="178">
        <v>5</v>
      </c>
      <c r="G15" s="179">
        <f t="shared" si="0"/>
        <v>1876.115702479339</v>
      </c>
      <c r="H15" s="179">
        <f t="shared" si="1"/>
        <v>4</v>
      </c>
      <c r="I15" s="1"/>
      <c r="J15" s="1">
        <v>9</v>
      </c>
      <c r="K15" s="1" t="s">
        <v>760</v>
      </c>
    </row>
    <row r="16" spans="1:11" ht="13" x14ac:dyDescent="0.3">
      <c r="A16" s="87" t="s">
        <v>496</v>
      </c>
      <c r="B16" s="55" t="s">
        <v>497</v>
      </c>
      <c r="C16" s="59" t="s">
        <v>17</v>
      </c>
      <c r="D16" s="373">
        <v>0.01</v>
      </c>
      <c r="E16" s="180">
        <f>VLOOKUP(B16,Materiales!$B$8:$D$212,3,FALSE)</f>
        <v>735.06</v>
      </c>
      <c r="F16" s="180">
        <v>3</v>
      </c>
      <c r="G16" s="182">
        <f t="shared" ref="G16" si="2">+D16*E16*((F16+100)/100)</f>
        <v>7.5711180000000002</v>
      </c>
      <c r="H16" s="182">
        <f t="shared" ref="H16" si="3">+D16*$E$9</f>
        <v>1</v>
      </c>
      <c r="I16" s="1"/>
      <c r="J16" s="1">
        <v>5</v>
      </c>
      <c r="K16" s="1" t="s">
        <v>761</v>
      </c>
    </row>
    <row r="17" spans="1:11" ht="13" x14ac:dyDescent="0.3">
      <c r="A17" s="122"/>
      <c r="B17" s="122"/>
      <c r="C17" s="122"/>
      <c r="D17" s="342"/>
      <c r="E17" s="360"/>
      <c r="F17" s="123" t="s">
        <v>598</v>
      </c>
      <c r="G17" s="390">
        <f>SUM(G12:G16)</f>
        <v>7156.2986004793383</v>
      </c>
      <c r="H17" s="411"/>
      <c r="I17" s="1"/>
      <c r="J17" s="1">
        <f>+SUM(J12:J16)</f>
        <v>47</v>
      </c>
      <c r="K17" s="1" t="s">
        <v>45</v>
      </c>
    </row>
    <row r="18" spans="1:11" ht="13" x14ac:dyDescent="0.3">
      <c r="A18" s="122"/>
      <c r="B18" s="122"/>
      <c r="C18" s="122"/>
      <c r="D18" s="342"/>
      <c r="E18" s="143"/>
      <c r="F18" s="144" t="s">
        <v>9</v>
      </c>
      <c r="G18" s="156">
        <f>+G17</f>
        <v>7156.2986004793383</v>
      </c>
      <c r="H18" s="411"/>
      <c r="I18" s="1"/>
      <c r="J18" s="1">
        <v>3</v>
      </c>
      <c r="K18" s="1" t="s">
        <v>762</v>
      </c>
    </row>
    <row r="19" spans="1:11" ht="13" x14ac:dyDescent="0.3">
      <c r="A19" s="128" t="s">
        <v>599</v>
      </c>
      <c r="B19" s="122"/>
      <c r="C19" s="122"/>
      <c r="D19" s="342"/>
      <c r="E19" s="122"/>
      <c r="F19" s="122"/>
      <c r="G19" s="122"/>
      <c r="H19" s="130"/>
      <c r="I19" s="1"/>
      <c r="J19" s="1">
        <f>+J17/J18</f>
        <v>15.666666666666666</v>
      </c>
      <c r="K19" s="1" t="s">
        <v>763</v>
      </c>
    </row>
    <row r="20" spans="1:11" ht="13" x14ac:dyDescent="0.3">
      <c r="A20" s="133" t="s">
        <v>79</v>
      </c>
      <c r="B20" s="134" t="s">
        <v>591</v>
      </c>
      <c r="C20" s="134" t="s">
        <v>592</v>
      </c>
      <c r="D20" s="345" t="s">
        <v>593</v>
      </c>
      <c r="E20" s="134" t="s">
        <v>600</v>
      </c>
      <c r="F20" s="261" t="s">
        <v>87</v>
      </c>
      <c r="G20" s="135" t="s">
        <v>596</v>
      </c>
      <c r="H20" s="412"/>
      <c r="I20" s="3"/>
    </row>
    <row r="21" spans="1:11" ht="13" x14ac:dyDescent="0.3">
      <c r="A21" s="264" t="s">
        <v>115</v>
      </c>
      <c r="B21" s="175" t="s">
        <v>116</v>
      </c>
      <c r="C21" s="264" t="s">
        <v>352</v>
      </c>
      <c r="D21" s="246">
        <v>1</v>
      </c>
      <c r="E21" s="246">
        <f>VLOOKUP(B21,'Rend. Equipos'!$B$7:$E$222,4,FALSE)</f>
        <v>1424056.5960245545</v>
      </c>
      <c r="F21" s="423">
        <f>VLOOKUP(B21,'Rend. Equipos'!$B$6:$L$166,MATCH($F$20,'Rend. Equipos'!$B$6:$L$6,0),0)</f>
        <v>1.8518518518518517E-3</v>
      </c>
      <c r="G21" s="246">
        <f>+E21*D21*F21</f>
        <v>2637.1418444899155</v>
      </c>
      <c r="H21" s="411"/>
      <c r="I21" s="1"/>
      <c r="J21" s="1"/>
      <c r="K21" s="1"/>
    </row>
    <row r="22" spans="1:11" ht="13" x14ac:dyDescent="0.3">
      <c r="A22" s="265"/>
      <c r="B22" s="180" t="s">
        <v>180</v>
      </c>
      <c r="C22" s="265" t="s">
        <v>17</v>
      </c>
      <c r="D22" s="248">
        <v>1</v>
      </c>
      <c r="E22" s="248">
        <f>VLOOKUP(B22,'Rend. Equipos'!$B$7:$E$222,4,FALSE)</f>
        <v>537162.91844549077</v>
      </c>
      <c r="F22" s="425">
        <f>VLOOKUP(B22,'Rend. Equipos'!$B$6:$L$166,MATCH($F$20,'Rend. Equipos'!$B$6:$L$6,0),0)</f>
        <v>5.5555555555555556E-4</v>
      </c>
      <c r="G22" s="248">
        <f>+E22*D22*F22</f>
        <v>298.42384358082819</v>
      </c>
      <c r="H22" s="411"/>
      <c r="I22" s="1"/>
      <c r="J22" s="1"/>
      <c r="K22" s="1"/>
    </row>
    <row r="23" spans="1:11" ht="13" x14ac:dyDescent="0.3">
      <c r="A23" s="139"/>
      <c r="B23" s="139"/>
      <c r="C23" s="139"/>
      <c r="D23" s="346"/>
      <c r="E23" s="140"/>
      <c r="F23" s="141" t="s">
        <v>602</v>
      </c>
      <c r="G23" s="142">
        <f>SUM(G21:G22)</f>
        <v>2935.5656880707438</v>
      </c>
      <c r="H23" s="358"/>
      <c r="I23" s="1"/>
      <c r="J23" s="1"/>
      <c r="K23" s="1"/>
    </row>
    <row r="24" spans="1:11" ht="13" x14ac:dyDescent="0.3">
      <c r="A24" s="122"/>
      <c r="B24" s="122"/>
      <c r="C24" s="122"/>
      <c r="D24" s="342"/>
      <c r="E24" s="143"/>
      <c r="F24" s="144" t="s">
        <v>11</v>
      </c>
      <c r="G24" s="156">
        <f>+G23/F9</f>
        <v>225.81274523621107</v>
      </c>
      <c r="H24" s="358"/>
      <c r="I24" s="1"/>
      <c r="J24" s="1"/>
      <c r="K24" s="1"/>
    </row>
    <row r="25" spans="1:11" ht="13" x14ac:dyDescent="0.3">
      <c r="A25" s="128" t="s">
        <v>603</v>
      </c>
      <c r="B25" s="122"/>
      <c r="C25" s="122"/>
      <c r="D25" s="342"/>
      <c r="E25" s="122"/>
      <c r="F25" s="122"/>
      <c r="G25" s="122"/>
      <c r="H25" s="162"/>
      <c r="I25" s="1"/>
      <c r="J25" s="1"/>
      <c r="K25" s="1"/>
    </row>
    <row r="26" spans="1:11" ht="13" x14ac:dyDescent="0.3">
      <c r="A26" s="133" t="s">
        <v>79</v>
      </c>
      <c r="B26" s="134" t="s">
        <v>591</v>
      </c>
      <c r="C26" s="134" t="s">
        <v>592</v>
      </c>
      <c r="D26" s="345" t="s">
        <v>593</v>
      </c>
      <c r="E26" s="134" t="s">
        <v>604</v>
      </c>
      <c r="F26" s="134"/>
      <c r="G26" s="135" t="s">
        <v>596</v>
      </c>
      <c r="H26" s="167"/>
      <c r="I26" s="3"/>
      <c r="J26" s="3"/>
      <c r="K26" s="3"/>
    </row>
    <row r="27" spans="1:11" ht="13" x14ac:dyDescent="0.3">
      <c r="A27" s="607" t="s">
        <v>242</v>
      </c>
      <c r="B27" s="25" t="s">
        <v>243</v>
      </c>
      <c r="C27" s="264" t="s">
        <v>605</v>
      </c>
      <c r="D27" s="372">
        <v>1</v>
      </c>
      <c r="E27" s="175">
        <f>VLOOKUP(B27,'Mano de Obra'!$B$8:$C$100,2,FALSE)</f>
        <v>65493.071636571978</v>
      </c>
      <c r="F27" s="175"/>
      <c r="G27" s="176">
        <f>+E27*D27</f>
        <v>65493.071636571978</v>
      </c>
      <c r="H27" s="162"/>
      <c r="I27" s="1"/>
      <c r="J27" s="1"/>
      <c r="K27" s="1"/>
    </row>
    <row r="28" spans="1:11" ht="13" x14ac:dyDescent="0.3">
      <c r="A28" s="265" t="s">
        <v>253</v>
      </c>
      <c r="B28" s="180" t="s">
        <v>254</v>
      </c>
      <c r="C28" s="265" t="s">
        <v>605</v>
      </c>
      <c r="D28" s="373">
        <v>1</v>
      </c>
      <c r="E28" s="180">
        <f>VLOOKUP(B28,'Mano de Obra'!$B$8:$C$100,2,FALSE)</f>
        <v>85927.097156571981</v>
      </c>
      <c r="F28" s="180"/>
      <c r="G28" s="182">
        <f>+E28*D28</f>
        <v>85927.097156571981</v>
      </c>
      <c r="H28" s="162"/>
      <c r="I28" s="1"/>
      <c r="J28" s="1"/>
      <c r="K28" s="1"/>
    </row>
    <row r="29" spans="1:11" ht="13" x14ac:dyDescent="0.3">
      <c r="A29" s="139"/>
      <c r="B29" s="139"/>
      <c r="C29" s="139"/>
      <c r="D29" s="346"/>
      <c r="E29" s="140"/>
      <c r="F29" s="141" t="s">
        <v>606</v>
      </c>
      <c r="G29" s="391">
        <f>SUM(G27:G28)</f>
        <v>151420.16879314397</v>
      </c>
      <c r="H29" s="162"/>
      <c r="I29" s="1"/>
      <c r="J29" s="1"/>
      <c r="K29" s="1"/>
    </row>
    <row r="30" spans="1:11" ht="13" x14ac:dyDescent="0.3">
      <c r="A30" s="122"/>
      <c r="B30" s="122"/>
      <c r="C30" s="122"/>
      <c r="D30" s="342"/>
      <c r="E30" s="360"/>
      <c r="F30" s="123" t="s">
        <v>607</v>
      </c>
      <c r="G30" s="349">
        <v>1</v>
      </c>
      <c r="H30" s="162"/>
      <c r="I30" s="1"/>
      <c r="J30" s="1"/>
      <c r="K30" s="1"/>
    </row>
    <row r="31" spans="1:11" ht="13" x14ac:dyDescent="0.3">
      <c r="A31" s="122"/>
      <c r="B31" s="122"/>
      <c r="C31" s="122"/>
      <c r="D31" s="342"/>
      <c r="E31" s="360"/>
      <c r="F31" s="123" t="s">
        <v>608</v>
      </c>
      <c r="G31" s="390">
        <f>+G30*G29</f>
        <v>151420.16879314397</v>
      </c>
      <c r="H31" s="162"/>
      <c r="I31" s="1"/>
      <c r="J31" s="1"/>
      <c r="K31" s="1"/>
    </row>
    <row r="32" spans="1:11" ht="13" x14ac:dyDescent="0.3">
      <c r="A32" s="122"/>
      <c r="B32" s="122"/>
      <c r="C32" s="122"/>
      <c r="D32" s="342"/>
      <c r="E32" s="143"/>
      <c r="F32" s="144" t="s">
        <v>10</v>
      </c>
      <c r="G32" s="156">
        <f>+G31/F9</f>
        <v>11647.705291780305</v>
      </c>
      <c r="H32" s="162"/>
      <c r="I32" s="1"/>
      <c r="J32" s="1"/>
      <c r="K32" s="1"/>
    </row>
    <row r="34" spans="1:7" ht="13" x14ac:dyDescent="0.3">
      <c r="A34" s="122"/>
      <c r="B34" s="122"/>
      <c r="C34" s="122"/>
      <c r="D34" s="342"/>
      <c r="E34" s="122"/>
      <c r="F34" s="123" t="s">
        <v>609</v>
      </c>
      <c r="G34" s="123">
        <f>+G32+G24+G18</f>
        <v>19029.816637495853</v>
      </c>
    </row>
    <row r="35" spans="1:7" ht="13" x14ac:dyDescent="0.3">
      <c r="A35" s="122"/>
      <c r="B35" s="122"/>
      <c r="C35" s="122"/>
      <c r="D35" s="342"/>
      <c r="E35" s="123" t="s">
        <v>610</v>
      </c>
      <c r="F35" s="198">
        <f>+RESUMEN!$I$2</f>
        <v>0</v>
      </c>
      <c r="G35" s="130">
        <f>IF(F35=0,0,F35*G34)</f>
        <v>0</v>
      </c>
    </row>
    <row r="36" spans="1:7" ht="13" x14ac:dyDescent="0.3">
      <c r="A36" s="122"/>
      <c r="B36" s="122"/>
      <c r="C36" s="122"/>
      <c r="D36" s="342"/>
      <c r="E36" s="123" t="s">
        <v>611</v>
      </c>
      <c r="F36" s="198">
        <f>+RESUMEN!$I$3</f>
        <v>0</v>
      </c>
      <c r="G36" s="130">
        <f>IF(F36=0,0,F36*G34)</f>
        <v>0</v>
      </c>
    </row>
    <row r="37" spans="1:7" ht="13" x14ac:dyDescent="0.3">
      <c r="A37" s="122"/>
      <c r="B37" s="122"/>
      <c r="C37" s="122"/>
      <c r="D37" s="342"/>
      <c r="E37" s="151"/>
      <c r="F37" s="152" t="s">
        <v>612</v>
      </c>
      <c r="G37" s="389">
        <f>SUM(G34:G36)</f>
        <v>19029.816637495853</v>
      </c>
    </row>
    <row r="38" spans="1:7" ht="13" x14ac:dyDescent="0.3">
      <c r="A38" s="122"/>
      <c r="B38" s="122"/>
      <c r="C38" s="122"/>
      <c r="D38" s="342"/>
      <c r="E38" s="122"/>
      <c r="F38" s="122"/>
      <c r="G38" s="122"/>
    </row>
    <row r="39" spans="1:7" ht="13" x14ac:dyDescent="0.3">
      <c r="A39" s="122"/>
      <c r="B39" s="122"/>
      <c r="C39" s="122"/>
      <c r="D39" s="342"/>
      <c r="E39" s="122"/>
      <c r="F39" s="122"/>
      <c r="G39" s="122"/>
    </row>
    <row r="40" spans="1:7" ht="13" x14ac:dyDescent="0.3">
      <c r="A40" s="875"/>
      <c r="B40" s="870"/>
      <c r="C40" s="122"/>
      <c r="D40" s="342"/>
      <c r="E40" s="122"/>
      <c r="F40" s="122"/>
      <c r="G40" s="122"/>
    </row>
    <row r="41" spans="1:7" ht="13" x14ac:dyDescent="0.3">
      <c r="A41" s="875"/>
      <c r="B41" s="870"/>
      <c r="C41" s="122"/>
      <c r="D41" s="342"/>
      <c r="E41" s="1"/>
      <c r="F41" s="1"/>
      <c r="G41" s="1"/>
    </row>
  </sheetData>
  <mergeCells count="3">
    <mergeCell ref="B7:G7"/>
    <mergeCell ref="A40:B40"/>
    <mergeCell ref="A41:B41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/>
  </sheetPr>
  <dimension ref="A1:Q41"/>
  <sheetViews>
    <sheetView topLeftCell="A7" workbookViewId="0">
      <selection activeCell="E15" sqref="E15"/>
    </sheetView>
  </sheetViews>
  <sheetFormatPr defaultColWidth="11.453125" defaultRowHeight="12.5" x14ac:dyDescent="0.25"/>
  <cols>
    <col min="1" max="1" width="9.6328125" customWidth="1"/>
    <col min="2" max="2" width="37.453125" bestFit="1" customWidth="1"/>
    <col min="3" max="3" width="7.08984375" bestFit="1" customWidth="1"/>
    <col min="4" max="4" width="8.6328125" style="347" customWidth="1"/>
    <col min="5" max="5" width="15.36328125" bestFit="1" customWidth="1"/>
    <col min="6" max="6" width="9.453125" customWidth="1"/>
    <col min="7" max="7" width="10.90625" bestFit="1" customWidth="1"/>
  </cols>
  <sheetData>
    <row r="1" spans="1:17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  <c r="P1" s="1"/>
      <c r="Q1" s="1"/>
    </row>
    <row r="2" spans="1:17" ht="13" x14ac:dyDescent="0.25">
      <c r="A2" s="162"/>
      <c r="B2" s="162"/>
      <c r="C2" s="162"/>
      <c r="D2" s="340"/>
      <c r="E2" s="162"/>
      <c r="F2" s="240" t="s">
        <v>78</v>
      </c>
      <c r="G2" s="561" t="s">
        <v>613</v>
      </c>
      <c r="H2" s="162"/>
      <c r="I2" s="1"/>
      <c r="J2" s="1"/>
      <c r="K2" s="1"/>
      <c r="L2" s="1"/>
      <c r="M2" s="1"/>
      <c r="N2" s="1"/>
      <c r="O2" s="1"/>
      <c r="P2" s="1"/>
      <c r="Q2" s="1"/>
    </row>
    <row r="3" spans="1:17" ht="15.5" x14ac:dyDescent="0.35">
      <c r="A3" s="165" t="s">
        <v>579</v>
      </c>
      <c r="B3" s="166"/>
      <c r="C3" s="166"/>
      <c r="D3" s="341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  <c r="P3" s="1"/>
      <c r="Q3" s="1"/>
    </row>
    <row r="4" spans="1:17" ht="13" x14ac:dyDescent="0.3">
      <c r="A4" s="122"/>
      <c r="B4" s="122"/>
      <c r="C4" s="122"/>
      <c r="D4" s="342"/>
      <c r="E4" s="122"/>
      <c r="F4" s="123" t="s">
        <v>580</v>
      </c>
      <c r="G4" s="126">
        <v>57</v>
      </c>
      <c r="H4" s="162"/>
      <c r="I4" s="1"/>
      <c r="J4" s="1"/>
      <c r="K4" s="1"/>
      <c r="L4" s="1"/>
      <c r="M4" s="1"/>
      <c r="N4" s="1"/>
      <c r="O4" s="1"/>
      <c r="P4" s="1"/>
      <c r="Q4" s="1"/>
    </row>
    <row r="5" spans="1:17" ht="13" x14ac:dyDescent="0.25">
      <c r="A5" s="127" t="s">
        <v>581</v>
      </c>
      <c r="B5" s="871" t="s">
        <v>613</v>
      </c>
      <c r="C5" s="872"/>
      <c r="D5" s="872"/>
      <c r="E5" s="872"/>
      <c r="F5" s="872"/>
      <c r="G5" s="872"/>
      <c r="H5" s="162"/>
      <c r="I5" s="1"/>
      <c r="J5" s="1"/>
      <c r="K5" s="1"/>
      <c r="L5" s="1"/>
      <c r="M5" s="1"/>
      <c r="N5" s="1"/>
      <c r="O5" s="1"/>
      <c r="P5" s="1"/>
      <c r="Q5" s="1"/>
    </row>
    <row r="6" spans="1:17" ht="13" x14ac:dyDescent="0.3">
      <c r="A6" s="128" t="s">
        <v>582</v>
      </c>
      <c r="B6" s="392" t="s">
        <v>613</v>
      </c>
      <c r="C6" s="122"/>
      <c r="D6" s="342"/>
      <c r="E6" s="122"/>
      <c r="F6" s="123" t="s">
        <v>583</v>
      </c>
      <c r="G6" s="392" t="s">
        <v>613</v>
      </c>
      <c r="H6" s="162"/>
      <c r="I6" s="1"/>
      <c r="J6" s="1"/>
      <c r="K6" s="1"/>
      <c r="L6" s="1"/>
      <c r="M6" s="1"/>
      <c r="N6" s="1"/>
      <c r="O6" s="1"/>
      <c r="P6" s="1"/>
      <c r="Q6" s="1"/>
    </row>
    <row r="7" spans="1:17" ht="15.5" x14ac:dyDescent="0.25">
      <c r="A7" s="197" t="s">
        <v>584</v>
      </c>
      <c r="B7" s="873" t="s">
        <v>764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  <c r="P7" s="1"/>
      <c r="Q7" s="1"/>
    </row>
    <row r="8" spans="1:17" ht="13" x14ac:dyDescent="0.3">
      <c r="A8" s="128"/>
      <c r="B8" s="122"/>
      <c r="C8" s="131" t="s">
        <v>586</v>
      </c>
      <c r="D8" s="342"/>
      <c r="E8" s="131" t="s">
        <v>587</v>
      </c>
      <c r="F8" s="128" t="s">
        <v>588</v>
      </c>
      <c r="G8" s="122"/>
      <c r="H8" s="162"/>
      <c r="I8" s="1"/>
      <c r="J8" s="1"/>
      <c r="K8" s="1"/>
      <c r="L8" s="1" t="s">
        <v>765</v>
      </c>
      <c r="M8" s="1" t="s">
        <v>644</v>
      </c>
      <c r="N8" s="1"/>
      <c r="O8" s="1"/>
      <c r="P8" s="1"/>
      <c r="Q8" s="1"/>
    </row>
    <row r="9" spans="1:17" ht="13" x14ac:dyDescent="0.3">
      <c r="A9" s="122"/>
      <c r="B9" s="122"/>
      <c r="C9" s="132" t="s">
        <v>45</v>
      </c>
      <c r="D9" s="342"/>
      <c r="E9" s="132">
        <v>100</v>
      </c>
      <c r="F9" s="33">
        <v>10</v>
      </c>
      <c r="G9" s="122" t="s">
        <v>615</v>
      </c>
      <c r="H9" s="162"/>
      <c r="I9" s="1"/>
      <c r="J9" s="1"/>
      <c r="K9" s="1" t="s">
        <v>766</v>
      </c>
      <c r="L9" s="1">
        <v>2.2000000000000002</v>
      </c>
      <c r="M9" s="1">
        <v>1.5</v>
      </c>
      <c r="N9" s="1">
        <f>+L9*2+M9*2</f>
        <v>7.4</v>
      </c>
      <c r="O9" s="1">
        <v>2.4</v>
      </c>
      <c r="P9" s="1">
        <f>+N9*O9</f>
        <v>17.760000000000002</v>
      </c>
      <c r="Q9" s="1" t="s">
        <v>766</v>
      </c>
    </row>
    <row r="10" spans="1:17" ht="13" x14ac:dyDescent="0.3">
      <c r="A10" s="128" t="s">
        <v>590</v>
      </c>
      <c r="B10" s="122"/>
      <c r="C10" s="122"/>
      <c r="D10" s="34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  <c r="P10" s="1">
        <f>+L9*M9*1.1</f>
        <v>3.6300000000000008</v>
      </c>
      <c r="Q10" s="1" t="s">
        <v>767</v>
      </c>
    </row>
    <row r="11" spans="1:17" ht="13" x14ac:dyDescent="0.3">
      <c r="A11" s="435" t="s">
        <v>79</v>
      </c>
      <c r="B11" s="134" t="s">
        <v>591</v>
      </c>
      <c r="C11" s="134" t="s">
        <v>592</v>
      </c>
      <c r="D11" s="345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  <c r="I11" s="3"/>
      <c r="J11" s="3"/>
      <c r="K11" s="3"/>
      <c r="L11" s="3"/>
      <c r="M11" s="3"/>
      <c r="N11" s="3"/>
      <c r="O11" s="1"/>
      <c r="P11" s="1">
        <f>+P9+P10</f>
        <v>21.39</v>
      </c>
      <c r="Q11" s="1" t="s">
        <v>768</v>
      </c>
    </row>
    <row r="12" spans="1:17" ht="13" x14ac:dyDescent="0.3">
      <c r="A12" s="264" t="s">
        <v>406</v>
      </c>
      <c r="B12" s="175" t="s">
        <v>407</v>
      </c>
      <c r="C12" s="264" t="s">
        <v>374</v>
      </c>
      <c r="D12" s="372">
        <v>0.2</v>
      </c>
      <c r="E12" s="175">
        <f>VLOOKUP(B12,Materiales!$B$8:$D$212,3,FALSE)</f>
        <v>18802.511999999999</v>
      </c>
      <c r="F12" s="175">
        <v>20</v>
      </c>
      <c r="G12" s="176">
        <f>+D12*E12*((F12+100)/100)</f>
        <v>4512.6028799999995</v>
      </c>
      <c r="H12" s="176">
        <f>+D12*$E$9</f>
        <v>20</v>
      </c>
      <c r="I12" s="1"/>
      <c r="J12" s="1"/>
      <c r="K12" s="1"/>
      <c r="L12" s="1"/>
      <c r="M12" s="1"/>
      <c r="N12" s="1"/>
      <c r="O12" s="1"/>
      <c r="P12" s="1">
        <v>3</v>
      </c>
      <c r="Q12" s="1" t="s">
        <v>762</v>
      </c>
    </row>
    <row r="13" spans="1:17" ht="13" x14ac:dyDescent="0.3">
      <c r="A13" s="320" t="s">
        <v>406</v>
      </c>
      <c r="B13" s="178" t="s">
        <v>416</v>
      </c>
      <c r="C13" s="320" t="s">
        <v>374</v>
      </c>
      <c r="D13" s="374">
        <v>0.2</v>
      </c>
      <c r="E13" s="178">
        <f>VLOOKUP(B13,Materiales!$B$8:$D$212,3,FALSE)</f>
        <v>3214.35</v>
      </c>
      <c r="F13" s="178">
        <v>5</v>
      </c>
      <c r="G13" s="179">
        <f t="shared" ref="G13:G15" si="0">+D13*E13*((F13+100)/100)</f>
        <v>675.01350000000002</v>
      </c>
      <c r="H13" s="179">
        <f t="shared" ref="H13:H15" si="1">+D13*$E$9</f>
        <v>20</v>
      </c>
      <c r="I13" s="1"/>
      <c r="J13" s="1"/>
      <c r="K13" s="1"/>
      <c r="L13" s="1"/>
      <c r="M13" s="1"/>
      <c r="N13" s="1"/>
      <c r="O13" s="1"/>
      <c r="P13" s="1">
        <f>+P11/P12</f>
        <v>7.13</v>
      </c>
      <c r="Q13" s="1" t="s">
        <v>763</v>
      </c>
    </row>
    <row r="14" spans="1:17" ht="13" x14ac:dyDescent="0.3">
      <c r="A14" s="320"/>
      <c r="B14" s="178" t="s">
        <v>570</v>
      </c>
      <c r="C14" s="320" t="s">
        <v>17</v>
      </c>
      <c r="D14" s="374">
        <f>1/250</f>
        <v>4.0000000000000001E-3</v>
      </c>
      <c r="E14" s="178">
        <f>VLOOKUP(B14,Materiales!$B$8:$D$212,3,FALSE)</f>
        <v>20237</v>
      </c>
      <c r="F14" s="178">
        <v>5</v>
      </c>
      <c r="G14" s="179">
        <f t="shared" si="0"/>
        <v>84.995400000000018</v>
      </c>
      <c r="H14" s="179">
        <f t="shared" si="1"/>
        <v>0.4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13" x14ac:dyDescent="0.3">
      <c r="A15" s="320"/>
      <c r="B15" s="178" t="s">
        <v>571</v>
      </c>
      <c r="C15" s="320" t="s">
        <v>374</v>
      </c>
      <c r="D15" s="374">
        <f>6/150</f>
        <v>0.04</v>
      </c>
      <c r="E15" s="178">
        <f>VLOOKUP(B15,Materiales!$B$8:$D$212,3,FALSE)</f>
        <v>44669.421487603307</v>
      </c>
      <c r="F15" s="178">
        <v>5</v>
      </c>
      <c r="G15" s="179">
        <f t="shared" si="0"/>
        <v>1876.115702479339</v>
      </c>
      <c r="H15" s="179">
        <f t="shared" si="1"/>
        <v>4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13" x14ac:dyDescent="0.3">
      <c r="A16" s="87" t="s">
        <v>496</v>
      </c>
      <c r="B16" s="55" t="s">
        <v>497</v>
      </c>
      <c r="C16" s="59" t="s">
        <v>17</v>
      </c>
      <c r="D16" s="373">
        <v>0.01</v>
      </c>
      <c r="E16" s="180">
        <f>VLOOKUP(B16,Materiales!$B$8:$D$212,3,FALSE)</f>
        <v>735.06</v>
      </c>
      <c r="F16" s="180">
        <v>3</v>
      </c>
      <c r="G16" s="182">
        <f t="shared" ref="G16" si="2">+D16*E16*((F16+100)/100)</f>
        <v>7.5711180000000002</v>
      </c>
      <c r="H16" s="182">
        <f t="shared" ref="H16" si="3">+D16*$E$9</f>
        <v>1</v>
      </c>
      <c r="I16" s="1"/>
      <c r="J16" s="1"/>
      <c r="K16" s="1"/>
      <c r="L16" s="1"/>
      <c r="M16" s="1"/>
      <c r="N16" s="1"/>
      <c r="O16" s="1"/>
      <c r="P16" s="1"/>
      <c r="Q16" s="1"/>
    </row>
    <row r="17" spans="1:8" ht="13" x14ac:dyDescent="0.3">
      <c r="A17" s="139"/>
      <c r="B17" s="139"/>
      <c r="C17" s="139"/>
      <c r="D17" s="346"/>
      <c r="E17" s="140"/>
      <c r="F17" s="141" t="s">
        <v>598</v>
      </c>
      <c r="G17" s="391">
        <f>SUM(G12:G16)</f>
        <v>7156.2986004793383</v>
      </c>
      <c r="H17" s="162"/>
    </row>
    <row r="18" spans="1:8" ht="13" x14ac:dyDescent="0.3">
      <c r="A18" s="122"/>
      <c r="B18" s="122"/>
      <c r="C18" s="122"/>
      <c r="D18" s="342"/>
      <c r="E18" s="143"/>
      <c r="F18" s="144" t="s">
        <v>9</v>
      </c>
      <c r="G18" s="156">
        <f>+G17</f>
        <v>7156.2986004793383</v>
      </c>
      <c r="H18" s="162"/>
    </row>
    <row r="19" spans="1:8" ht="13" x14ac:dyDescent="0.3">
      <c r="A19" s="128" t="s">
        <v>599</v>
      </c>
      <c r="B19" s="122"/>
      <c r="C19" s="122"/>
      <c r="D19" s="342"/>
      <c r="E19" s="122"/>
      <c r="F19" s="122"/>
      <c r="G19" s="122"/>
      <c r="H19" s="162"/>
    </row>
    <row r="20" spans="1:8" ht="13" x14ac:dyDescent="0.3">
      <c r="A20" s="435" t="s">
        <v>79</v>
      </c>
      <c r="B20" s="134" t="s">
        <v>591</v>
      </c>
      <c r="C20" s="134" t="s">
        <v>592</v>
      </c>
      <c r="D20" s="345" t="s">
        <v>593</v>
      </c>
      <c r="E20" s="134" t="s">
        <v>600</v>
      </c>
      <c r="F20" s="261" t="s">
        <v>87</v>
      </c>
      <c r="G20" s="135" t="s">
        <v>596</v>
      </c>
      <c r="H20" s="167"/>
    </row>
    <row r="21" spans="1:8" ht="13" x14ac:dyDescent="0.3">
      <c r="A21" s="264" t="s">
        <v>115</v>
      </c>
      <c r="B21" s="175" t="s">
        <v>116</v>
      </c>
      <c r="C21" s="264" t="s">
        <v>352</v>
      </c>
      <c r="D21" s="246">
        <v>1</v>
      </c>
      <c r="E21" s="175">
        <f>VLOOKUP(B21,'Rend. Equipos'!$B$7:$E$222,4,FALSE)</f>
        <v>1424056.5960245545</v>
      </c>
      <c r="F21" s="266">
        <f>VLOOKUP(B21,'Rend. Equipos'!$B$6:$L$166,MATCH($F$20,'Rend. Equipos'!$B$6:$L$6,0),0)</f>
        <v>1.8518518518518517E-3</v>
      </c>
      <c r="G21" s="176">
        <f>+E21*D21*F21</f>
        <v>2637.1418444899155</v>
      </c>
      <c r="H21" s="162"/>
    </row>
    <row r="22" spans="1:8" ht="13" x14ac:dyDescent="0.3">
      <c r="A22" s="265"/>
      <c r="B22" s="180" t="s">
        <v>180</v>
      </c>
      <c r="C22" s="265" t="s">
        <v>17</v>
      </c>
      <c r="D22" s="248">
        <v>1</v>
      </c>
      <c r="E22" s="180">
        <f>VLOOKUP(B22,'Rend. Equipos'!$B$7:$E$222,4,FALSE)</f>
        <v>537162.91844549077</v>
      </c>
      <c r="F22" s="181">
        <f>VLOOKUP(B22,'Rend. Equipos'!$B$6:$L$166,MATCH($F$20,'Rend. Equipos'!$B$6:$L$6,0),0)</f>
        <v>5.5555555555555556E-4</v>
      </c>
      <c r="G22" s="182">
        <f>+E22*D22*F22</f>
        <v>298.42384358082819</v>
      </c>
      <c r="H22" s="162"/>
    </row>
    <row r="23" spans="1:8" ht="13" x14ac:dyDescent="0.3">
      <c r="A23" s="139"/>
      <c r="B23" s="139"/>
      <c r="C23" s="139"/>
      <c r="D23" s="346"/>
      <c r="E23" s="140"/>
      <c r="F23" s="141" t="s">
        <v>602</v>
      </c>
      <c r="G23" s="391">
        <f>SUM(G21:G22)</f>
        <v>2935.5656880707438</v>
      </c>
      <c r="H23" s="162"/>
    </row>
    <row r="24" spans="1:8" ht="13" x14ac:dyDescent="0.3">
      <c r="A24" s="122"/>
      <c r="B24" s="122"/>
      <c r="C24" s="122"/>
      <c r="D24" s="342"/>
      <c r="E24" s="143"/>
      <c r="F24" s="144" t="s">
        <v>11</v>
      </c>
      <c r="G24" s="156">
        <f>+G23/F9</f>
        <v>293.55656880707437</v>
      </c>
      <c r="H24" s="162"/>
    </row>
    <row r="25" spans="1:8" ht="13" x14ac:dyDescent="0.3">
      <c r="A25" s="128" t="s">
        <v>603</v>
      </c>
      <c r="B25" s="122"/>
      <c r="C25" s="122"/>
      <c r="D25" s="342"/>
      <c r="E25" s="122"/>
      <c r="F25" s="122"/>
      <c r="G25" s="122"/>
      <c r="H25" s="162"/>
    </row>
    <row r="26" spans="1:8" ht="13" x14ac:dyDescent="0.3">
      <c r="A26" s="435" t="s">
        <v>79</v>
      </c>
      <c r="B26" s="134" t="s">
        <v>591</v>
      </c>
      <c r="C26" s="134" t="s">
        <v>592</v>
      </c>
      <c r="D26" s="345" t="s">
        <v>593</v>
      </c>
      <c r="E26" s="134" t="s">
        <v>604</v>
      </c>
      <c r="F26" s="134"/>
      <c r="G26" s="135" t="s">
        <v>596</v>
      </c>
      <c r="H26" s="167"/>
    </row>
    <row r="27" spans="1:8" ht="13" x14ac:dyDescent="0.3">
      <c r="A27" s="607" t="s">
        <v>242</v>
      </c>
      <c r="B27" s="25" t="s">
        <v>243</v>
      </c>
      <c r="C27" s="264" t="s">
        <v>605</v>
      </c>
      <c r="D27" s="372">
        <v>1</v>
      </c>
      <c r="E27" s="175">
        <f>VLOOKUP(B27,'Mano de Obra'!$B$8:$C$100,2,FALSE)</f>
        <v>65493.071636571978</v>
      </c>
      <c r="F27" s="175"/>
      <c r="G27" s="176">
        <f>+E27*D27</f>
        <v>65493.071636571978</v>
      </c>
      <c r="H27" s="162"/>
    </row>
    <row r="28" spans="1:8" ht="13" x14ac:dyDescent="0.3">
      <c r="A28" s="265" t="s">
        <v>253</v>
      </c>
      <c r="B28" s="180" t="s">
        <v>254</v>
      </c>
      <c r="C28" s="265" t="s">
        <v>605</v>
      </c>
      <c r="D28" s="373">
        <v>1</v>
      </c>
      <c r="E28" s="180">
        <f>VLOOKUP(B28,'Mano de Obra'!$B$8:$C$100,2,FALSE)</f>
        <v>85927.097156571981</v>
      </c>
      <c r="F28" s="180"/>
      <c r="G28" s="182">
        <f>+E28*D28</f>
        <v>85927.097156571981</v>
      </c>
      <c r="H28" s="162"/>
    </row>
    <row r="29" spans="1:8" ht="13" x14ac:dyDescent="0.3">
      <c r="A29" s="139"/>
      <c r="B29" s="139"/>
      <c r="C29" s="139"/>
      <c r="D29" s="346"/>
      <c r="E29" s="140"/>
      <c r="F29" s="141" t="s">
        <v>606</v>
      </c>
      <c r="G29" s="391">
        <f>SUM(G27:G28)</f>
        <v>151420.16879314397</v>
      </c>
      <c r="H29" s="162"/>
    </row>
    <row r="30" spans="1:8" ht="13" x14ac:dyDescent="0.3">
      <c r="A30" s="122"/>
      <c r="B30" s="122"/>
      <c r="C30" s="122"/>
      <c r="D30" s="342"/>
      <c r="E30" s="360"/>
      <c r="F30" s="123" t="s">
        <v>607</v>
      </c>
      <c r="G30" s="349">
        <v>1</v>
      </c>
      <c r="H30" s="162"/>
    </row>
    <row r="31" spans="1:8" ht="13" x14ac:dyDescent="0.3">
      <c r="A31" s="122"/>
      <c r="B31" s="122"/>
      <c r="C31" s="122"/>
      <c r="D31" s="342"/>
      <c r="E31" s="360"/>
      <c r="F31" s="123" t="s">
        <v>608</v>
      </c>
      <c r="G31" s="390">
        <f>+G30*G29</f>
        <v>151420.16879314397</v>
      </c>
      <c r="H31" s="162"/>
    </row>
    <row r="32" spans="1:8" ht="13" x14ac:dyDescent="0.3">
      <c r="A32" s="122"/>
      <c r="B32" s="122"/>
      <c r="C32" s="122"/>
      <c r="D32" s="342"/>
      <c r="E32" s="143"/>
      <c r="F32" s="144" t="s">
        <v>10</v>
      </c>
      <c r="G32" s="156">
        <f>+G31/F9</f>
        <v>15142.016879314397</v>
      </c>
      <c r="H32" s="162"/>
    </row>
    <row r="34" spans="1:7" ht="13" x14ac:dyDescent="0.3">
      <c r="A34" s="122"/>
      <c r="B34" s="122"/>
      <c r="C34" s="122"/>
      <c r="D34" s="342"/>
      <c r="E34" s="122"/>
      <c r="F34" s="123" t="s">
        <v>609</v>
      </c>
      <c r="G34" s="123">
        <f>+G32+G24+G18</f>
        <v>22591.87204860081</v>
      </c>
    </row>
    <row r="35" spans="1:7" ht="13" x14ac:dyDescent="0.3">
      <c r="A35" s="122"/>
      <c r="B35" s="122"/>
      <c r="C35" s="122"/>
      <c r="D35" s="342"/>
      <c r="E35" s="123" t="s">
        <v>610</v>
      </c>
      <c r="F35" s="198">
        <f>+RESUMEN!$I$2</f>
        <v>0</v>
      </c>
      <c r="G35" s="130">
        <f>IF(F35=0,0,F35*G34)</f>
        <v>0</v>
      </c>
    </row>
    <row r="36" spans="1:7" ht="13" x14ac:dyDescent="0.3">
      <c r="A36" s="122"/>
      <c r="B36" s="122"/>
      <c r="C36" s="122"/>
      <c r="D36" s="342"/>
      <c r="E36" s="123" t="s">
        <v>611</v>
      </c>
      <c r="F36" s="198">
        <f>+RESUMEN!$I$3</f>
        <v>0</v>
      </c>
      <c r="G36" s="130">
        <f>IF(F36=0,0,F36*G34)</f>
        <v>0</v>
      </c>
    </row>
    <row r="37" spans="1:7" ht="13" x14ac:dyDescent="0.3">
      <c r="A37" s="122"/>
      <c r="B37" s="122"/>
      <c r="C37" s="122"/>
      <c r="D37" s="342"/>
      <c r="E37" s="151"/>
      <c r="F37" s="152" t="s">
        <v>612</v>
      </c>
      <c r="G37" s="389">
        <f>SUM(G34:G36)</f>
        <v>22591.87204860081</v>
      </c>
    </row>
    <row r="38" spans="1:7" ht="13" x14ac:dyDescent="0.3">
      <c r="A38" s="122"/>
      <c r="B38" s="122"/>
      <c r="C38" s="122"/>
      <c r="D38" s="342"/>
      <c r="E38" s="122"/>
      <c r="F38" s="122"/>
      <c r="G38" s="122"/>
    </row>
    <row r="39" spans="1:7" ht="13" x14ac:dyDescent="0.3">
      <c r="A39" s="122"/>
      <c r="B39" s="122"/>
      <c r="C39" s="122"/>
      <c r="D39" s="342"/>
      <c r="E39" s="122"/>
      <c r="F39" s="122"/>
      <c r="G39" s="122"/>
    </row>
    <row r="40" spans="1:7" ht="13" x14ac:dyDescent="0.3">
      <c r="A40" s="875"/>
      <c r="B40" s="870"/>
      <c r="C40" s="122"/>
      <c r="D40" s="342"/>
      <c r="E40" s="122"/>
      <c r="F40" s="122"/>
      <c r="G40" s="122"/>
    </row>
    <row r="41" spans="1:7" ht="13" x14ac:dyDescent="0.3">
      <c r="A41" s="875"/>
      <c r="B41" s="870"/>
      <c r="C41" s="122"/>
      <c r="D41" s="342"/>
      <c r="E41" s="122"/>
      <c r="F41" s="122"/>
      <c r="G41" s="122"/>
    </row>
  </sheetData>
  <mergeCells count="5">
    <mergeCell ref="A1:G1"/>
    <mergeCell ref="B5:G5"/>
    <mergeCell ref="B7:G7"/>
    <mergeCell ref="A40:B40"/>
    <mergeCell ref="A41:B41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/>
  </sheetPr>
  <dimension ref="A2:P41"/>
  <sheetViews>
    <sheetView topLeftCell="A5" workbookViewId="0">
      <selection activeCell="D12" sqref="D12"/>
    </sheetView>
  </sheetViews>
  <sheetFormatPr defaultColWidth="11.453125" defaultRowHeight="12.5" x14ac:dyDescent="0.25"/>
  <cols>
    <col min="1" max="1" width="11" customWidth="1"/>
    <col min="2" max="2" width="35.6328125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</cols>
  <sheetData>
    <row r="2" spans="1:16" ht="13" x14ac:dyDescent="0.25">
      <c r="A2" s="162"/>
      <c r="B2" s="162"/>
      <c r="C2" s="162"/>
      <c r="D2" s="162"/>
      <c r="E2" s="162"/>
      <c r="F2" s="240" t="s">
        <v>78</v>
      </c>
      <c r="G2" s="583" t="s">
        <v>711</v>
      </c>
      <c r="H2" s="162"/>
      <c r="I2" s="1"/>
      <c r="J2" s="322" t="s">
        <v>758</v>
      </c>
      <c r="K2" s="322" t="s">
        <v>769</v>
      </c>
      <c r="L2" s="3" t="s">
        <v>461</v>
      </c>
      <c r="M2" s="1" t="s">
        <v>52</v>
      </c>
      <c r="N2" s="1"/>
      <c r="O2" s="1"/>
      <c r="P2" s="1"/>
    </row>
    <row r="3" spans="1:16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 t="s">
        <v>759</v>
      </c>
      <c r="K3" s="1">
        <v>5</v>
      </c>
      <c r="L3" s="1">
        <v>3</v>
      </c>
      <c r="M3" s="1">
        <f>+K3*2+L3*2</f>
        <v>16</v>
      </c>
      <c r="N3" s="1"/>
      <c r="O3" s="1"/>
      <c r="P3" s="1"/>
    </row>
    <row r="4" spans="1:16" ht="13" x14ac:dyDescent="0.3">
      <c r="A4" s="122"/>
      <c r="B4" s="122"/>
      <c r="C4" s="122"/>
      <c r="D4" s="122"/>
      <c r="E4" s="122"/>
      <c r="F4" s="123" t="s">
        <v>580</v>
      </c>
      <c r="G4" s="126">
        <v>58</v>
      </c>
      <c r="H4" s="162"/>
      <c r="I4" s="1"/>
      <c r="J4" s="1" t="s">
        <v>760</v>
      </c>
      <c r="K4" s="1">
        <v>3</v>
      </c>
      <c r="L4" s="1">
        <v>3</v>
      </c>
      <c r="M4" s="1">
        <f t="shared" ref="M4:M5" si="0">+K4*2+L4*2</f>
        <v>12</v>
      </c>
      <c r="N4" s="1"/>
      <c r="O4" s="1"/>
      <c r="P4" s="1"/>
    </row>
    <row r="5" spans="1:16" ht="13" x14ac:dyDescent="0.25">
      <c r="A5" s="127" t="s">
        <v>581</v>
      </c>
      <c r="B5" s="562" t="s">
        <v>770</v>
      </c>
      <c r="C5" s="563"/>
      <c r="D5" s="563"/>
      <c r="E5" s="563"/>
      <c r="F5" s="563"/>
      <c r="G5" s="563"/>
      <c r="H5" s="162"/>
      <c r="I5" s="1"/>
      <c r="J5" s="1" t="s">
        <v>760</v>
      </c>
      <c r="K5" s="1">
        <v>3</v>
      </c>
      <c r="L5" s="1">
        <v>3</v>
      </c>
      <c r="M5" s="1">
        <f t="shared" si="0"/>
        <v>12</v>
      </c>
      <c r="N5" s="1"/>
      <c r="O5" s="1"/>
      <c r="P5" s="1"/>
    </row>
    <row r="6" spans="1:16" ht="13" x14ac:dyDescent="0.3">
      <c r="A6" s="128" t="s">
        <v>582</v>
      </c>
      <c r="B6" s="500" t="s">
        <v>770</v>
      </c>
      <c r="C6" s="122"/>
      <c r="D6" s="122"/>
      <c r="E6" s="122"/>
      <c r="F6" s="123" t="s">
        <v>583</v>
      </c>
      <c r="G6" s="500" t="s">
        <v>770</v>
      </c>
      <c r="H6" s="162"/>
      <c r="I6" s="1"/>
      <c r="J6" s="1" t="s">
        <v>760</v>
      </c>
      <c r="K6" s="1">
        <v>3</v>
      </c>
      <c r="L6" s="1">
        <v>3</v>
      </c>
      <c r="M6" s="1">
        <f t="shared" ref="M6" si="1">+K6*2+L6*2</f>
        <v>12</v>
      </c>
      <c r="N6" s="1"/>
      <c r="O6" s="1"/>
      <c r="P6" s="1"/>
    </row>
    <row r="7" spans="1:16" ht="15.5" x14ac:dyDescent="0.25">
      <c r="A7" s="197" t="s">
        <v>584</v>
      </c>
      <c r="B7" s="873" t="s">
        <v>771</v>
      </c>
      <c r="C7" s="874"/>
      <c r="D7" s="874"/>
      <c r="E7" s="874"/>
      <c r="F7" s="874"/>
      <c r="G7" s="874"/>
      <c r="H7" s="162"/>
      <c r="I7" s="162"/>
      <c r="J7" s="1" t="s">
        <v>772</v>
      </c>
      <c r="K7" s="1">
        <v>3</v>
      </c>
      <c r="L7" s="1">
        <v>1</v>
      </c>
      <c r="M7" s="1">
        <f>+K7*2+L7</f>
        <v>7</v>
      </c>
      <c r="N7" s="1"/>
      <c r="O7" s="1"/>
      <c r="P7" s="1"/>
    </row>
    <row r="8" spans="1:16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1" t="s">
        <v>773</v>
      </c>
      <c r="K8" s="1">
        <v>4</v>
      </c>
      <c r="L8" s="1">
        <v>1</v>
      </c>
      <c r="M8" s="1">
        <f>+K8+L8*2</f>
        <v>6</v>
      </c>
      <c r="O8" s="1"/>
      <c r="P8" s="1"/>
    </row>
    <row r="9" spans="1:16" ht="13" x14ac:dyDescent="0.3">
      <c r="A9" s="122"/>
      <c r="B9" s="122"/>
      <c r="C9" s="132" t="s">
        <v>52</v>
      </c>
      <c r="D9" s="122"/>
      <c r="E9" s="132">
        <v>100</v>
      </c>
      <c r="F9" s="185">
        <v>30</v>
      </c>
      <c r="G9" s="158" t="s">
        <v>668</v>
      </c>
      <c r="H9" s="162"/>
      <c r="I9" s="1"/>
      <c r="J9" s="1"/>
      <c r="K9" s="1"/>
      <c r="L9" s="1"/>
      <c r="M9" s="1">
        <f>+SUM(M3:M8)</f>
        <v>65</v>
      </c>
      <c r="N9" s="1" t="s">
        <v>52</v>
      </c>
      <c r="O9" s="1"/>
      <c r="P9" s="1"/>
    </row>
    <row r="10" spans="1:16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>
        <v>2</v>
      </c>
      <c r="N10" s="1" t="s">
        <v>601</v>
      </c>
      <c r="O10" s="1"/>
      <c r="P10" s="1"/>
    </row>
    <row r="11" spans="1:16" ht="13" x14ac:dyDescent="0.3">
      <c r="A11" s="435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3"/>
      <c r="J11" s="1"/>
      <c r="K11" s="1" t="s">
        <v>45</v>
      </c>
      <c r="L11" s="1" t="s">
        <v>52</v>
      </c>
      <c r="M11" s="1">
        <f>+M9/M10</f>
        <v>32.5</v>
      </c>
      <c r="N11" s="1" t="s">
        <v>763</v>
      </c>
      <c r="O11" s="1"/>
      <c r="P11" s="1"/>
    </row>
    <row r="12" spans="1:16" ht="13" x14ac:dyDescent="0.3">
      <c r="A12" s="264" t="s">
        <v>406</v>
      </c>
      <c r="B12" s="175" t="s">
        <v>407</v>
      </c>
      <c r="C12" s="264" t="s">
        <v>374</v>
      </c>
      <c r="D12" s="372">
        <v>0.04</v>
      </c>
      <c r="E12" s="264">
        <f>VLOOKUP(B12,Materiales!$B$8:$D$212,3,FALSE)</f>
        <v>18802.511999999999</v>
      </c>
      <c r="F12" s="264">
        <v>20</v>
      </c>
      <c r="G12" s="176">
        <f>+D12*E12*((F12+100)/100)</f>
        <v>902.52057599999989</v>
      </c>
      <c r="H12" s="176">
        <f>+D12*$E$9</f>
        <v>4</v>
      </c>
      <c r="I12" s="1"/>
      <c r="J12" s="1"/>
      <c r="K12" s="1">
        <v>0.2</v>
      </c>
      <c r="L12" s="1">
        <v>1</v>
      </c>
      <c r="M12" s="1"/>
      <c r="N12" s="1" t="s">
        <v>774</v>
      </c>
      <c r="O12" s="1">
        <v>0.2</v>
      </c>
      <c r="P12" s="1">
        <v>1</v>
      </c>
    </row>
    <row r="13" spans="1:16" ht="13" x14ac:dyDescent="0.3">
      <c r="A13" s="320" t="s">
        <v>406</v>
      </c>
      <c r="B13" s="178" t="s">
        <v>416</v>
      </c>
      <c r="C13" s="320" t="s">
        <v>374</v>
      </c>
      <c r="D13" s="374">
        <f>0.04</f>
        <v>0.04</v>
      </c>
      <c r="E13" s="320">
        <f>VLOOKUP(B13,Materiales!$B$8:$D$212,3,FALSE)</f>
        <v>3214.35</v>
      </c>
      <c r="F13" s="320">
        <v>5</v>
      </c>
      <c r="G13" s="179">
        <f t="shared" ref="G13:G16" si="2">+D13*E13*((F13+100)/100)</f>
        <v>135.00270000000003</v>
      </c>
      <c r="H13" s="179">
        <f t="shared" ref="H13:H16" si="3">+D13*$E$9</f>
        <v>4</v>
      </c>
      <c r="I13" s="1"/>
      <c r="J13" s="1"/>
      <c r="K13" s="1">
        <v>1</v>
      </c>
      <c r="L13" s="1">
        <f>+K13*L12/K12</f>
        <v>5</v>
      </c>
      <c r="M13" s="1"/>
      <c r="N13" s="1"/>
      <c r="O13" s="278">
        <f>+P13*O12/P12</f>
        <v>4.0000000000000008E-2</v>
      </c>
      <c r="P13" s="1">
        <v>0.2</v>
      </c>
    </row>
    <row r="14" spans="1:16" ht="13" x14ac:dyDescent="0.3">
      <c r="A14" s="320"/>
      <c r="B14" s="178" t="s">
        <v>570</v>
      </c>
      <c r="C14" s="320" t="s">
        <v>17</v>
      </c>
      <c r="D14" s="374">
        <f>1/1000</f>
        <v>1E-3</v>
      </c>
      <c r="E14" s="320">
        <f>VLOOKUP(B14,Materiales!$B$8:$D$212,3,FALSE)</f>
        <v>20237</v>
      </c>
      <c r="F14" s="320">
        <v>5</v>
      </c>
      <c r="G14" s="179">
        <f t="shared" si="2"/>
        <v>21.248850000000004</v>
      </c>
      <c r="H14" s="179">
        <f t="shared" si="3"/>
        <v>0.1</v>
      </c>
      <c r="I14" s="1"/>
      <c r="J14" s="1"/>
      <c r="K14" s="1"/>
      <c r="L14" s="1"/>
      <c r="M14" s="1"/>
      <c r="N14" s="1"/>
      <c r="O14" s="1"/>
      <c r="P14" s="1"/>
    </row>
    <row r="15" spans="1:16" ht="13" x14ac:dyDescent="0.3">
      <c r="A15" s="320"/>
      <c r="B15" s="178" t="s">
        <v>571</v>
      </c>
      <c r="C15" s="320" t="s">
        <v>374</v>
      </c>
      <c r="D15" s="374">
        <v>0</v>
      </c>
      <c r="E15" s="320">
        <f>VLOOKUP(B15,Materiales!$B$8:$D$212,3,FALSE)</f>
        <v>44669.421487603307</v>
      </c>
      <c r="F15" s="320">
        <v>0</v>
      </c>
      <c r="G15" s="179">
        <f t="shared" si="2"/>
        <v>0</v>
      </c>
      <c r="H15" s="179">
        <f t="shared" si="3"/>
        <v>0</v>
      </c>
      <c r="I15" s="1"/>
      <c r="J15" s="1"/>
      <c r="K15" s="1" t="s">
        <v>775</v>
      </c>
      <c r="L15" s="1"/>
      <c r="M15" s="1"/>
      <c r="N15" s="1"/>
      <c r="O15" s="1"/>
      <c r="P15" s="1"/>
    </row>
    <row r="16" spans="1:16" ht="13" x14ac:dyDescent="0.3">
      <c r="A16" s="87" t="s">
        <v>496</v>
      </c>
      <c r="B16" s="55" t="s">
        <v>497</v>
      </c>
      <c r="C16" s="59" t="s">
        <v>17</v>
      </c>
      <c r="D16" s="373">
        <v>0.01</v>
      </c>
      <c r="E16" s="265">
        <f>VLOOKUP(B16,Materiales!$B$8:$D$212,3,FALSE)</f>
        <v>735.06</v>
      </c>
      <c r="F16" s="265">
        <v>3</v>
      </c>
      <c r="G16" s="182">
        <f t="shared" si="2"/>
        <v>7.5711180000000002</v>
      </c>
      <c r="H16" s="182">
        <f t="shared" si="3"/>
        <v>1</v>
      </c>
      <c r="I16" s="1"/>
      <c r="J16" s="1" t="s">
        <v>45</v>
      </c>
      <c r="K16" s="1">
        <v>1</v>
      </c>
      <c r="L16" s="1">
        <v>5</v>
      </c>
      <c r="M16" s="1"/>
      <c r="N16" s="1"/>
      <c r="O16" s="1"/>
      <c r="P16" s="1"/>
    </row>
    <row r="17" spans="1:12" ht="13" x14ac:dyDescent="0.3">
      <c r="A17" s="139"/>
      <c r="B17" s="139"/>
      <c r="C17" s="139"/>
      <c r="D17" s="188"/>
      <c r="E17" s="140"/>
      <c r="F17" s="141" t="s">
        <v>598</v>
      </c>
      <c r="G17" s="391">
        <f>SUM(G12:G16)</f>
        <v>1066.3432439999999</v>
      </c>
      <c r="H17" s="162"/>
      <c r="I17" s="1"/>
      <c r="J17" s="1" t="s">
        <v>52</v>
      </c>
      <c r="K17" s="1">
        <f>+L12</f>
        <v>1</v>
      </c>
      <c r="L17" s="1">
        <f>+K17*L16/K16</f>
        <v>5</v>
      </c>
    </row>
    <row r="18" spans="1:12" ht="13" x14ac:dyDescent="0.3">
      <c r="A18" s="122"/>
      <c r="B18" s="122"/>
      <c r="C18" s="122"/>
      <c r="D18" s="185"/>
      <c r="E18" s="143"/>
      <c r="F18" s="144" t="s">
        <v>9</v>
      </c>
      <c r="G18" s="156">
        <f>+G17</f>
        <v>1066.3432439999999</v>
      </c>
      <c r="H18" s="162"/>
      <c r="I18" s="1"/>
      <c r="J18" s="1"/>
      <c r="K18" s="1"/>
      <c r="L18" s="1"/>
    </row>
    <row r="19" spans="1:12" ht="13" x14ac:dyDescent="0.3">
      <c r="A19" s="128" t="s">
        <v>599</v>
      </c>
      <c r="B19" s="122"/>
      <c r="C19" s="122"/>
      <c r="D19" s="122"/>
      <c r="E19" s="122"/>
      <c r="F19" s="122"/>
      <c r="G19" s="122"/>
      <c r="H19" s="162"/>
      <c r="I19" s="1"/>
      <c r="J19" s="1"/>
      <c r="K19" s="1"/>
      <c r="L19" s="1"/>
    </row>
    <row r="20" spans="1:12" ht="13" x14ac:dyDescent="0.3">
      <c r="A20" s="435" t="s">
        <v>79</v>
      </c>
      <c r="B20" s="134" t="s">
        <v>591</v>
      </c>
      <c r="C20" s="134" t="s">
        <v>592</v>
      </c>
      <c r="D20" s="134" t="s">
        <v>593</v>
      </c>
      <c r="E20" s="134" t="s">
        <v>600</v>
      </c>
      <c r="F20" s="261" t="s">
        <v>87</v>
      </c>
      <c r="G20" s="135" t="s">
        <v>596</v>
      </c>
      <c r="H20" s="167"/>
      <c r="I20" s="3"/>
      <c r="J20" s="3"/>
      <c r="K20" s="3"/>
      <c r="L20" s="3"/>
    </row>
    <row r="21" spans="1:12" ht="13" x14ac:dyDescent="0.3">
      <c r="A21" s="264" t="s">
        <v>115</v>
      </c>
      <c r="B21" s="175" t="s">
        <v>116</v>
      </c>
      <c r="C21" s="264" t="s">
        <v>352</v>
      </c>
      <c r="D21" s="246">
        <v>1</v>
      </c>
      <c r="E21" s="175">
        <f>VLOOKUP(B21,'Rend. Equipos'!$B$7:$E$222,4,FALSE)</f>
        <v>1424056.5960245545</v>
      </c>
      <c r="F21" s="266">
        <f>VLOOKUP(B21,'Rend. Equipos'!$B$6:$L$166,MATCH($F$20,'Rend. Equipos'!$B$6:$L$6,0),0)</f>
        <v>1.8518518518518517E-3</v>
      </c>
      <c r="G21" s="176">
        <f>+E21*D21*F21</f>
        <v>2637.1418444899155</v>
      </c>
      <c r="H21" s="162"/>
      <c r="I21" s="1"/>
      <c r="J21" s="1"/>
      <c r="K21" s="1"/>
      <c r="L21" s="1"/>
    </row>
    <row r="22" spans="1:12" ht="13" x14ac:dyDescent="0.3">
      <c r="A22" s="265"/>
      <c r="B22" s="180" t="s">
        <v>180</v>
      </c>
      <c r="C22" s="265" t="s">
        <v>17</v>
      </c>
      <c r="D22" s="248">
        <v>1</v>
      </c>
      <c r="E22" s="180">
        <f>VLOOKUP(B22,'Rend. Equipos'!$B$7:$E$222,4,FALSE)</f>
        <v>537162.91844549077</v>
      </c>
      <c r="F22" s="181">
        <f>VLOOKUP(B22,'Rend. Equipos'!$B$6:$L$166,MATCH($F$20,'Rend. Equipos'!$B$6:$L$6,0),0)</f>
        <v>5.5555555555555556E-4</v>
      </c>
      <c r="G22" s="182">
        <f>+E22*D22*F22</f>
        <v>298.42384358082819</v>
      </c>
      <c r="H22" s="162"/>
      <c r="I22" s="1"/>
      <c r="J22" s="1"/>
      <c r="K22" s="1"/>
      <c r="L22" s="1"/>
    </row>
    <row r="23" spans="1:12" ht="13" x14ac:dyDescent="0.3">
      <c r="A23" s="139"/>
      <c r="B23" s="139"/>
      <c r="C23" s="139"/>
      <c r="D23" s="139"/>
      <c r="E23" s="140"/>
      <c r="F23" s="141" t="s">
        <v>602</v>
      </c>
      <c r="G23" s="391">
        <f>SUM(G21:G22)</f>
        <v>2935.5656880707438</v>
      </c>
      <c r="H23" s="162"/>
      <c r="I23" s="1"/>
      <c r="J23" s="1"/>
      <c r="K23" s="1"/>
      <c r="L23" s="1"/>
    </row>
    <row r="24" spans="1:12" ht="13" x14ac:dyDescent="0.3">
      <c r="A24" s="122"/>
      <c r="B24" s="122"/>
      <c r="C24" s="122"/>
      <c r="D24" s="193"/>
      <c r="E24" s="143"/>
      <c r="F24" s="144" t="s">
        <v>11</v>
      </c>
      <c r="G24" s="156">
        <f>+G23/F9</f>
        <v>97.852189602358123</v>
      </c>
      <c r="H24" s="162"/>
      <c r="I24" s="1"/>
      <c r="J24" s="1"/>
      <c r="K24" s="1"/>
      <c r="L24" s="1"/>
    </row>
    <row r="25" spans="1:12" ht="13" x14ac:dyDescent="0.3">
      <c r="A25" s="128" t="s">
        <v>603</v>
      </c>
      <c r="B25" s="122"/>
      <c r="C25" s="122"/>
      <c r="D25" s="193"/>
      <c r="E25" s="122"/>
      <c r="F25" s="122"/>
      <c r="G25" s="122"/>
      <c r="H25" s="162"/>
      <c r="I25" s="1"/>
      <c r="J25" s="1"/>
      <c r="K25" s="1"/>
      <c r="L25" s="1"/>
    </row>
    <row r="26" spans="1:12" ht="13" x14ac:dyDescent="0.3">
      <c r="A26" s="435" t="s">
        <v>79</v>
      </c>
      <c r="B26" s="134" t="s">
        <v>591</v>
      </c>
      <c r="C26" s="134" t="s">
        <v>592</v>
      </c>
      <c r="D26" s="194" t="s">
        <v>593</v>
      </c>
      <c r="E26" s="134" t="s">
        <v>604</v>
      </c>
      <c r="F26" s="134"/>
      <c r="G26" s="135" t="s">
        <v>596</v>
      </c>
      <c r="H26" s="167"/>
      <c r="I26" s="3"/>
      <c r="J26" s="3"/>
      <c r="K26" s="3"/>
      <c r="L26" s="3"/>
    </row>
    <row r="27" spans="1:12" ht="13" x14ac:dyDescent="0.3">
      <c r="A27" s="607" t="s">
        <v>242</v>
      </c>
      <c r="B27" s="25" t="s">
        <v>243</v>
      </c>
      <c r="C27" s="264" t="s">
        <v>605</v>
      </c>
      <c r="D27" s="372">
        <v>1</v>
      </c>
      <c r="E27" s="175">
        <f>VLOOKUP(B27,'Mano de Obra'!$B$8:$C$100,2,FALSE)</f>
        <v>65493.071636571978</v>
      </c>
      <c r="F27" s="146"/>
      <c r="G27" s="148">
        <f>+E27*D27</f>
        <v>65493.071636571978</v>
      </c>
      <c r="H27" s="162"/>
      <c r="I27" s="1"/>
      <c r="J27" s="1"/>
      <c r="K27" s="1"/>
      <c r="L27" s="1"/>
    </row>
    <row r="28" spans="1:12" ht="13" x14ac:dyDescent="0.3">
      <c r="A28" s="265" t="s">
        <v>253</v>
      </c>
      <c r="B28" s="180" t="s">
        <v>254</v>
      </c>
      <c r="C28" s="265" t="s">
        <v>605</v>
      </c>
      <c r="D28" s="373">
        <v>1</v>
      </c>
      <c r="E28" s="180">
        <f>VLOOKUP(B28,'Mano de Obra'!$B$8:$C$100,2,FALSE)</f>
        <v>85927.097156571981</v>
      </c>
      <c r="F28" s="149"/>
      <c r="G28" s="137">
        <f>+E28*D28</f>
        <v>85927.097156571981</v>
      </c>
      <c r="H28" s="162"/>
      <c r="I28" s="1"/>
      <c r="J28" s="1"/>
      <c r="K28" s="1"/>
      <c r="L28" s="1"/>
    </row>
    <row r="29" spans="1:12" ht="13" x14ac:dyDescent="0.3">
      <c r="A29" s="139"/>
      <c r="B29" s="139"/>
      <c r="C29" s="139"/>
      <c r="D29" s="139"/>
      <c r="E29" s="140"/>
      <c r="F29" s="141" t="s">
        <v>606</v>
      </c>
      <c r="G29" s="391">
        <f>SUM(G27:G28)</f>
        <v>151420.16879314397</v>
      </c>
      <c r="H29" s="162"/>
      <c r="I29" s="1"/>
      <c r="J29" s="1"/>
      <c r="K29" s="1"/>
      <c r="L29" s="1"/>
    </row>
    <row r="30" spans="1:12" ht="13" x14ac:dyDescent="0.3">
      <c r="A30" s="122"/>
      <c r="B30" s="122"/>
      <c r="C30" s="122"/>
      <c r="D30" s="122"/>
      <c r="E30" s="360"/>
      <c r="F30" s="123" t="s">
        <v>607</v>
      </c>
      <c r="G30" s="349">
        <v>1</v>
      </c>
      <c r="H30" s="162"/>
      <c r="I30" s="1"/>
      <c r="J30" s="1"/>
      <c r="K30" s="1"/>
      <c r="L30" s="1"/>
    </row>
    <row r="31" spans="1:12" ht="13" x14ac:dyDescent="0.3">
      <c r="A31" s="122"/>
      <c r="B31" s="122"/>
      <c r="C31" s="122"/>
      <c r="D31" s="193"/>
      <c r="E31" s="360"/>
      <c r="F31" s="123" t="s">
        <v>608</v>
      </c>
      <c r="G31" s="390">
        <f>+G30*G29</f>
        <v>151420.16879314397</v>
      </c>
      <c r="H31" s="162"/>
      <c r="I31" s="1"/>
      <c r="J31" s="1"/>
      <c r="K31" s="1"/>
      <c r="L31" s="1"/>
    </row>
    <row r="32" spans="1:12" ht="13" x14ac:dyDescent="0.3">
      <c r="A32" s="122"/>
      <c r="B32" s="122"/>
      <c r="C32" s="122"/>
      <c r="D32" s="193"/>
      <c r="E32" s="143"/>
      <c r="F32" s="144" t="s">
        <v>10</v>
      </c>
      <c r="G32" s="156">
        <f>+G31/F9</f>
        <v>5047.3389597714659</v>
      </c>
      <c r="H32" s="162"/>
      <c r="I32" s="1"/>
      <c r="J32" s="1"/>
      <c r="K32" s="1"/>
      <c r="L32" s="1"/>
    </row>
    <row r="34" spans="1:7" ht="13" x14ac:dyDescent="0.3">
      <c r="A34" s="122"/>
      <c r="B34" s="122"/>
      <c r="C34" s="122"/>
      <c r="D34" s="122"/>
      <c r="E34" s="122"/>
      <c r="F34" s="123" t="s">
        <v>609</v>
      </c>
      <c r="G34" s="123">
        <f>+G32+G24+G18</f>
        <v>6211.5343933738241</v>
      </c>
    </row>
    <row r="35" spans="1:7" ht="13" x14ac:dyDescent="0.3">
      <c r="A35" s="122"/>
      <c r="B35" s="122"/>
      <c r="C35" s="122"/>
      <c r="D35" s="122"/>
      <c r="E35" s="123" t="s">
        <v>610</v>
      </c>
      <c r="F35" s="198">
        <f>+RESUMEN!$I$2</f>
        <v>0</v>
      </c>
      <c r="G35" s="130">
        <f>IF(F35=0,0,F35*G34)</f>
        <v>0</v>
      </c>
    </row>
    <row r="36" spans="1:7" ht="13" x14ac:dyDescent="0.3">
      <c r="A36" s="122"/>
      <c r="B36" s="122"/>
      <c r="C36" s="122"/>
      <c r="D36" s="122"/>
      <c r="E36" s="123" t="s">
        <v>611</v>
      </c>
      <c r="F36" s="198">
        <f>+RESUMEN!$I$3</f>
        <v>0</v>
      </c>
      <c r="G36" s="130">
        <f>IF(F36=0,0,F36*G34)</f>
        <v>0</v>
      </c>
    </row>
    <row r="37" spans="1:7" ht="13" x14ac:dyDescent="0.3">
      <c r="A37" s="122"/>
      <c r="B37" s="122"/>
      <c r="C37" s="122"/>
      <c r="D37" s="122"/>
      <c r="E37" s="151"/>
      <c r="F37" s="152" t="s">
        <v>612</v>
      </c>
      <c r="G37" s="389">
        <f>SUM(G34:G36)</f>
        <v>6211.5343933738241</v>
      </c>
    </row>
    <row r="38" spans="1:7" ht="13" x14ac:dyDescent="0.3">
      <c r="A38" s="122"/>
      <c r="B38" s="122"/>
      <c r="C38" s="122"/>
      <c r="D38" s="122"/>
      <c r="E38" s="122"/>
      <c r="F38" s="122"/>
      <c r="G38" s="122"/>
    </row>
    <row r="39" spans="1:7" ht="13" x14ac:dyDescent="0.3">
      <c r="A39" s="122"/>
      <c r="B39" s="122"/>
      <c r="C39" s="122"/>
      <c r="D39" s="122"/>
      <c r="E39" s="122"/>
      <c r="F39" s="122"/>
      <c r="G39" s="122"/>
    </row>
    <row r="40" spans="1:7" ht="13" x14ac:dyDescent="0.3">
      <c r="A40" s="875"/>
      <c r="B40" s="870"/>
      <c r="C40" s="122"/>
      <c r="D40" s="122"/>
      <c r="E40" s="122"/>
      <c r="F40" s="122"/>
      <c r="G40" s="122"/>
    </row>
    <row r="41" spans="1:7" ht="13" x14ac:dyDescent="0.3">
      <c r="A41" s="875"/>
      <c r="B41" s="870"/>
      <c r="C41" s="122"/>
      <c r="D41" s="122"/>
      <c r="E41" s="1"/>
      <c r="F41" s="1"/>
      <c r="G41" s="1"/>
    </row>
  </sheetData>
  <mergeCells count="3">
    <mergeCell ref="B7:G7"/>
    <mergeCell ref="A40:B40"/>
    <mergeCell ref="A41:B41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9"/>
  </sheetPr>
  <dimension ref="A1:M42"/>
  <sheetViews>
    <sheetView workbookViewId="0">
      <selection activeCell="G12" sqref="G12:G14"/>
    </sheetView>
  </sheetViews>
  <sheetFormatPr defaultColWidth="11.453125" defaultRowHeight="12.5" x14ac:dyDescent="0.25"/>
  <cols>
    <col min="1" max="1" width="13.08984375" customWidth="1"/>
    <col min="2" max="2" width="46.90625" customWidth="1"/>
    <col min="3" max="3" width="7.08984375" bestFit="1" customWidth="1"/>
    <col min="4" max="4" width="9" style="427" bestFit="1" customWidth="1"/>
    <col min="5" max="5" width="15.36328125" bestFit="1" customWidth="1"/>
    <col min="6" max="6" width="9.453125" customWidth="1"/>
    <col min="7" max="7" width="10.36328125" bestFit="1" customWidth="1"/>
    <col min="8" max="8" width="10.6328125" bestFit="1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</row>
    <row r="2" spans="1:13" ht="13" x14ac:dyDescent="0.25">
      <c r="A2" s="162"/>
      <c r="B2" s="162"/>
      <c r="C2" s="162"/>
      <c r="D2" s="501"/>
      <c r="E2" s="162"/>
      <c r="F2" s="163" t="s">
        <v>78</v>
      </c>
      <c r="G2" s="583" t="s">
        <v>711</v>
      </c>
      <c r="H2" s="162"/>
      <c r="I2" s="1"/>
      <c r="J2" s="1"/>
      <c r="K2" s="1"/>
      <c r="L2" s="1"/>
      <c r="M2" s="1"/>
    </row>
    <row r="3" spans="1:13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  <c r="I3" s="1"/>
      <c r="J3" s="1"/>
      <c r="K3" s="1"/>
      <c r="L3" s="1"/>
      <c r="M3" s="1"/>
    </row>
    <row r="4" spans="1:13" ht="13" x14ac:dyDescent="0.3">
      <c r="A4" s="122"/>
      <c r="B4" s="122"/>
      <c r="C4" s="122"/>
      <c r="D4" s="421"/>
      <c r="E4" s="122"/>
      <c r="F4" s="123" t="s">
        <v>580</v>
      </c>
      <c r="G4" s="126">
        <v>59</v>
      </c>
      <c r="H4" s="162"/>
      <c r="I4" s="1"/>
      <c r="J4" s="1"/>
      <c r="K4" s="1"/>
      <c r="L4" s="1"/>
      <c r="M4" s="1"/>
    </row>
    <row r="5" spans="1:13" ht="13" x14ac:dyDescent="0.25">
      <c r="A5" s="127" t="s">
        <v>581</v>
      </c>
      <c r="B5" s="562" t="s">
        <v>770</v>
      </c>
      <c r="C5" s="562"/>
      <c r="D5" s="584"/>
      <c r="E5" s="562"/>
      <c r="F5" s="562"/>
      <c r="G5" s="562"/>
      <c r="H5" s="162"/>
      <c r="I5" s="1"/>
      <c r="J5" s="1"/>
      <c r="K5" s="1"/>
      <c r="L5" s="1"/>
      <c r="M5" s="1"/>
    </row>
    <row r="6" spans="1:13" ht="13" x14ac:dyDescent="0.3">
      <c r="A6" s="128" t="s">
        <v>582</v>
      </c>
      <c r="B6" s="500" t="s">
        <v>770</v>
      </c>
      <c r="C6" s="122"/>
      <c r="D6" s="421"/>
      <c r="E6" s="122"/>
      <c r="F6" s="123" t="s">
        <v>583</v>
      </c>
      <c r="G6" s="500" t="s">
        <v>770</v>
      </c>
      <c r="H6" s="162"/>
      <c r="I6" s="1"/>
      <c r="J6" s="1"/>
      <c r="K6" s="1"/>
      <c r="L6" s="1"/>
      <c r="M6" s="1"/>
    </row>
    <row r="7" spans="1:13" ht="15.5" x14ac:dyDescent="0.25">
      <c r="A7" s="197" t="s">
        <v>584</v>
      </c>
      <c r="B7" s="873" t="s">
        <v>776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</row>
    <row r="8" spans="1:13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</row>
    <row r="9" spans="1:13" ht="13" x14ac:dyDescent="0.3">
      <c r="A9" s="122"/>
      <c r="B9" s="122"/>
      <c r="C9" s="132" t="s">
        <v>45</v>
      </c>
      <c r="D9" s="421"/>
      <c r="E9" s="132">
        <v>100</v>
      </c>
      <c r="F9" s="33">
        <v>11</v>
      </c>
      <c r="G9" s="158" t="s">
        <v>615</v>
      </c>
      <c r="H9" s="162"/>
      <c r="I9" s="1"/>
      <c r="J9" s="1"/>
      <c r="K9" s="1"/>
      <c r="L9" s="1"/>
      <c r="M9" s="1"/>
    </row>
    <row r="10" spans="1:13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  <c r="I10" s="1"/>
      <c r="J10" s="1"/>
      <c r="K10" s="1"/>
      <c r="L10" s="1"/>
      <c r="M10" s="1"/>
    </row>
    <row r="11" spans="1:13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3"/>
      <c r="J11" s="3"/>
      <c r="K11" s="3"/>
      <c r="L11" s="3"/>
      <c r="M11" s="3"/>
    </row>
    <row r="12" spans="1:13" ht="13" x14ac:dyDescent="0.3">
      <c r="A12" s="264" t="s">
        <v>485</v>
      </c>
      <c r="B12" s="175" t="s">
        <v>487</v>
      </c>
      <c r="C12" s="264" t="s">
        <v>355</v>
      </c>
      <c r="D12" s="372">
        <v>4.0000000000000001E-3</v>
      </c>
      <c r="E12" s="175">
        <f>VLOOKUP(B12,Materiales!$B$8:$D$118,3,FALSE)</f>
        <v>30467.49</v>
      </c>
      <c r="F12" s="302">
        <v>5</v>
      </c>
      <c r="G12" s="176">
        <f t="shared" ref="G12:G21" si="0">+D12*E12*((F12+100)/100)</f>
        <v>127.96345800000002</v>
      </c>
      <c r="H12" s="176">
        <f>+D12*$E$9</f>
        <v>0.4</v>
      </c>
      <c r="I12" s="3"/>
      <c r="J12" s="3"/>
      <c r="K12" s="3"/>
      <c r="L12" s="3"/>
      <c r="M12" s="3"/>
    </row>
    <row r="13" spans="1:13" ht="13" x14ac:dyDescent="0.3">
      <c r="A13" s="320" t="s">
        <v>470</v>
      </c>
      <c r="B13" s="178" t="s">
        <v>471</v>
      </c>
      <c r="C13" s="320" t="s">
        <v>355</v>
      </c>
      <c r="D13" s="374">
        <v>0.05</v>
      </c>
      <c r="E13" s="178">
        <f>VLOOKUP(B13,Materiales!$B$8:$D$118,3,FALSE)</f>
        <v>18735.77</v>
      </c>
      <c r="F13" s="283">
        <v>10</v>
      </c>
      <c r="G13" s="179">
        <f t="shared" si="0"/>
        <v>1030.4673500000001</v>
      </c>
      <c r="H13" s="179">
        <f>+D13*$E$9</f>
        <v>5</v>
      </c>
      <c r="I13" s="1"/>
      <c r="J13" s="1" t="s">
        <v>777</v>
      </c>
      <c r="K13" s="158"/>
      <c r="L13" s="122">
        <v>1</v>
      </c>
      <c r="M13" s="158">
        <v>1</v>
      </c>
    </row>
    <row r="14" spans="1:13" ht="13" x14ac:dyDescent="0.3">
      <c r="A14" s="320" t="s">
        <v>459</v>
      </c>
      <c r="B14" s="178" t="s">
        <v>463</v>
      </c>
      <c r="C14" s="320" t="s">
        <v>355</v>
      </c>
      <c r="D14" s="374">
        <v>1.2500000000000001E-2</v>
      </c>
      <c r="E14" s="178">
        <f>VLOOKUP(B14,Materiales!$B$8:$D$118,3,FALSE)</f>
        <v>237603.30578512399</v>
      </c>
      <c r="F14" s="283">
        <v>10</v>
      </c>
      <c r="G14" s="179">
        <f t="shared" si="0"/>
        <v>3267.045454545455</v>
      </c>
      <c r="H14" s="179">
        <f t="shared" ref="H14:H21" si="1">+D14*$E$9</f>
        <v>1.25</v>
      </c>
      <c r="I14" s="1"/>
      <c r="J14" s="1"/>
      <c r="K14" s="158"/>
      <c r="L14" s="122">
        <v>20</v>
      </c>
      <c r="M14" s="158">
        <f>+L14*M13/L13</f>
        <v>20</v>
      </c>
    </row>
    <row r="15" spans="1:13" ht="13" x14ac:dyDescent="0.3">
      <c r="A15" s="320" t="s">
        <v>414</v>
      </c>
      <c r="B15" s="178" t="s">
        <v>415</v>
      </c>
      <c r="C15" s="320" t="s">
        <v>355</v>
      </c>
      <c r="D15" s="374">
        <v>2.5000000000000001E-3</v>
      </c>
      <c r="E15" s="178">
        <f>VLOOKUP(B15,Materiales!$B$8:$D$118,3,FALSE)</f>
        <v>9639</v>
      </c>
      <c r="F15" s="283">
        <v>5</v>
      </c>
      <c r="G15" s="179">
        <f t="shared" si="0"/>
        <v>25.302375000000001</v>
      </c>
      <c r="H15" s="179">
        <f t="shared" si="1"/>
        <v>0.25</v>
      </c>
      <c r="I15" s="1"/>
      <c r="J15" s="1"/>
      <c r="K15" s="158"/>
      <c r="L15" s="122"/>
      <c r="M15" s="158"/>
    </row>
    <row r="16" spans="1:13" ht="13" x14ac:dyDescent="0.3">
      <c r="A16" s="320" t="s">
        <v>496</v>
      </c>
      <c r="B16" s="178" t="s">
        <v>497</v>
      </c>
      <c r="C16" s="320" t="s">
        <v>17</v>
      </c>
      <c r="D16" s="374">
        <v>0.03</v>
      </c>
      <c r="E16" s="178">
        <f>VLOOKUP(B16,Materiales!$B$8:$D$118,3,FALSE)</f>
        <v>735.06</v>
      </c>
      <c r="F16" s="283">
        <v>5</v>
      </c>
      <c r="G16" s="179">
        <f t="shared" si="0"/>
        <v>23.154389999999996</v>
      </c>
      <c r="H16" s="179">
        <f t="shared" si="1"/>
        <v>3</v>
      </c>
      <c r="I16" s="1"/>
      <c r="J16" s="1"/>
      <c r="K16" s="158"/>
      <c r="L16" s="122"/>
      <c r="M16" s="158">
        <v>0.05</v>
      </c>
    </row>
    <row r="17" spans="1:8" ht="13" x14ac:dyDescent="0.3">
      <c r="A17" s="320" t="s">
        <v>493</v>
      </c>
      <c r="B17" s="178" t="s">
        <v>494</v>
      </c>
      <c r="C17" s="320" t="s">
        <v>17</v>
      </c>
      <c r="D17" s="374">
        <v>0.05</v>
      </c>
      <c r="E17" s="178">
        <f>VLOOKUP(B17,Materiales!$B$8:$D$118,3,FALSE)</f>
        <v>3293.01</v>
      </c>
      <c r="F17" s="283">
        <v>10</v>
      </c>
      <c r="G17" s="179">
        <f t="shared" si="0"/>
        <v>181.11555000000004</v>
      </c>
      <c r="H17" s="179">
        <f t="shared" si="1"/>
        <v>5</v>
      </c>
    </row>
    <row r="18" spans="1:8" ht="13" x14ac:dyDescent="0.3">
      <c r="A18" s="320" t="s">
        <v>491</v>
      </c>
      <c r="B18" s="178" t="s">
        <v>492</v>
      </c>
      <c r="C18" s="320" t="s">
        <v>17</v>
      </c>
      <c r="D18" s="374">
        <v>0.05</v>
      </c>
      <c r="E18" s="178">
        <f>VLOOKUP(B18,Materiales!$B$8:$D$118,3,FALSE)</f>
        <v>5661.4</v>
      </c>
      <c r="F18" s="283">
        <v>5</v>
      </c>
      <c r="G18" s="179">
        <f t="shared" si="0"/>
        <v>297.2235</v>
      </c>
      <c r="H18" s="179">
        <f t="shared" si="1"/>
        <v>5</v>
      </c>
    </row>
    <row r="19" spans="1:8" ht="13" x14ac:dyDescent="0.3">
      <c r="A19" s="320"/>
      <c r="B19" s="178" t="s">
        <v>500</v>
      </c>
      <c r="C19" s="320" t="s">
        <v>17</v>
      </c>
      <c r="D19" s="374">
        <v>5.0000000000000001E-3</v>
      </c>
      <c r="E19" s="178">
        <f>VLOOKUP(B19,Materiales!$B$8:$D$118,3,FALSE)</f>
        <v>6678.36</v>
      </c>
      <c r="F19" s="283">
        <v>5</v>
      </c>
      <c r="G19" s="179">
        <f t="shared" si="0"/>
        <v>35.061389999999996</v>
      </c>
      <c r="H19" s="179">
        <f t="shared" si="1"/>
        <v>0.5</v>
      </c>
    </row>
    <row r="20" spans="1:8" ht="13" x14ac:dyDescent="0.3">
      <c r="A20" s="320"/>
      <c r="B20" s="178" t="s">
        <v>502</v>
      </c>
      <c r="C20" s="320" t="s">
        <v>17</v>
      </c>
      <c r="D20" s="374">
        <v>5.0000000000000001E-3</v>
      </c>
      <c r="E20" s="178">
        <f>VLOOKUP(B20,Materiales!$B$8:$D$118,3,FALSE)</f>
        <v>5282.24</v>
      </c>
      <c r="F20" s="283">
        <v>5</v>
      </c>
      <c r="G20" s="179">
        <f t="shared" si="0"/>
        <v>27.731760000000001</v>
      </c>
      <c r="H20" s="179">
        <f t="shared" si="1"/>
        <v>0.5</v>
      </c>
    </row>
    <row r="21" spans="1:8" ht="13" x14ac:dyDescent="0.3">
      <c r="A21" s="265"/>
      <c r="B21" s="180" t="s">
        <v>504</v>
      </c>
      <c r="C21" s="265" t="s">
        <v>17</v>
      </c>
      <c r="D21" s="373">
        <v>0.01</v>
      </c>
      <c r="E21" s="180">
        <f>VLOOKUP(B21,Materiales!$B$8:$D$118,3,FALSE)</f>
        <v>7427.6</v>
      </c>
      <c r="F21" s="303">
        <v>5</v>
      </c>
      <c r="G21" s="182">
        <f t="shared" si="0"/>
        <v>77.989800000000017</v>
      </c>
      <c r="H21" s="182">
        <f t="shared" si="1"/>
        <v>1</v>
      </c>
    </row>
    <row r="22" spans="1:8" ht="13" x14ac:dyDescent="0.3">
      <c r="A22" s="122"/>
      <c r="B22" s="122"/>
      <c r="C22" s="122"/>
      <c r="D22" s="504"/>
      <c r="E22" s="360"/>
      <c r="F22" s="123" t="s">
        <v>598</v>
      </c>
      <c r="G22" s="391">
        <f>SUM(G12:G21)</f>
        <v>5093.0550275454552</v>
      </c>
      <c r="H22" s="162"/>
    </row>
    <row r="23" spans="1:8" ht="13" x14ac:dyDescent="0.3">
      <c r="A23" s="122"/>
      <c r="B23" s="122"/>
      <c r="C23" s="122"/>
      <c r="D23" s="421"/>
      <c r="E23" s="143"/>
      <c r="F23" s="144" t="s">
        <v>9</v>
      </c>
      <c r="G23" s="156">
        <f>+G22</f>
        <v>5093.0550275454552</v>
      </c>
      <c r="H23" s="162"/>
    </row>
    <row r="24" spans="1:8" ht="13" x14ac:dyDescent="0.3">
      <c r="A24" s="128" t="s">
        <v>599</v>
      </c>
      <c r="B24" s="122"/>
      <c r="C24" s="122"/>
      <c r="D24" s="421"/>
      <c r="E24" s="122"/>
      <c r="F24" s="122"/>
      <c r="G24" s="122"/>
      <c r="H24" s="162"/>
    </row>
    <row r="25" spans="1:8" ht="13" x14ac:dyDescent="0.3">
      <c r="A25" s="133" t="s">
        <v>79</v>
      </c>
      <c r="B25" s="134" t="s">
        <v>591</v>
      </c>
      <c r="C25" s="134" t="s">
        <v>592</v>
      </c>
      <c r="D25" s="503" t="s">
        <v>593</v>
      </c>
      <c r="E25" s="134" t="s">
        <v>600</v>
      </c>
      <c r="F25" s="261" t="s">
        <v>87</v>
      </c>
      <c r="G25" s="135" t="s">
        <v>596</v>
      </c>
      <c r="H25" s="167"/>
    </row>
    <row r="26" spans="1:8" ht="13" x14ac:dyDescent="0.3">
      <c r="A26" s="264" t="s">
        <v>181</v>
      </c>
      <c r="B26" s="517" t="s">
        <v>183</v>
      </c>
      <c r="C26" s="264" t="s">
        <v>17</v>
      </c>
      <c r="D26" s="433">
        <v>1</v>
      </c>
      <c r="E26" s="175">
        <f>VLOOKUP(B26,'Rend. Equipos'!$B$7:$E$222,4,FALSE)</f>
        <v>72091.108607308124</v>
      </c>
      <c r="F26" s="266">
        <f>VLOOKUP(B26,'Rend. Equipos'!$B$6:$L$166,MATCH($F$25,'Rend. Equipos'!$B$6:$L$6,0),0)</f>
        <v>2.7777777777777779E-3</v>
      </c>
      <c r="G26" s="176">
        <f>+E26*D26*F26</f>
        <v>200.25307946474479</v>
      </c>
      <c r="H26" s="162"/>
    </row>
    <row r="27" spans="1:8" ht="13" x14ac:dyDescent="0.3">
      <c r="A27" s="265" t="s">
        <v>135</v>
      </c>
      <c r="B27" s="180" t="s">
        <v>136</v>
      </c>
      <c r="C27" s="265" t="s">
        <v>352</v>
      </c>
      <c r="D27" s="434">
        <v>2</v>
      </c>
      <c r="E27" s="180">
        <f>VLOOKUP(B27,'Rend. Equipos'!$B$7:$E$222,4,FALSE)</f>
        <v>1241010.6908793931</v>
      </c>
      <c r="F27" s="181">
        <f>VLOOKUP(B27,'Rend. Equipos'!$B$6:$L$166,MATCH($F$25,'Rend. Equipos'!$B$6:$L$6,0),0)</f>
        <v>1.3888888888888887E-3</v>
      </c>
      <c r="G27" s="182">
        <f>+E27*D27*F27</f>
        <v>3447.2519191094248</v>
      </c>
      <c r="H27" s="162"/>
    </row>
    <row r="28" spans="1:8" ht="13" x14ac:dyDescent="0.3">
      <c r="A28" s="139"/>
      <c r="B28" s="139"/>
      <c r="C28" s="139"/>
      <c r="D28" s="426"/>
      <c r="E28" s="140"/>
      <c r="F28" s="141" t="s">
        <v>602</v>
      </c>
      <c r="G28" s="391">
        <f>SUM(G26:G27)</f>
        <v>3647.5049985741693</v>
      </c>
      <c r="H28" s="162"/>
    </row>
    <row r="29" spans="1:8" ht="13" x14ac:dyDescent="0.3">
      <c r="A29" s="122"/>
      <c r="B29" s="122"/>
      <c r="C29" s="122"/>
      <c r="D29" s="421"/>
      <c r="E29" s="143"/>
      <c r="F29" s="144" t="s">
        <v>11</v>
      </c>
      <c r="G29" s="156">
        <f>+G28/F9</f>
        <v>331.59136350674265</v>
      </c>
      <c r="H29" s="162"/>
    </row>
    <row r="30" spans="1:8" ht="13" x14ac:dyDescent="0.3">
      <c r="A30" s="128" t="s">
        <v>603</v>
      </c>
      <c r="B30" s="122"/>
      <c r="C30" s="122"/>
      <c r="D30" s="421"/>
      <c r="E30" s="122"/>
      <c r="F30" s="122"/>
      <c r="G30" s="122"/>
      <c r="H30" s="162"/>
    </row>
    <row r="31" spans="1:8" ht="13" x14ac:dyDescent="0.3">
      <c r="A31" s="133" t="s">
        <v>79</v>
      </c>
      <c r="B31" s="134" t="s">
        <v>591</v>
      </c>
      <c r="C31" s="134" t="s">
        <v>592</v>
      </c>
      <c r="D31" s="503" t="s">
        <v>593</v>
      </c>
      <c r="E31" s="134" t="s">
        <v>604</v>
      </c>
      <c r="F31" s="134"/>
      <c r="G31" s="135" t="s">
        <v>596</v>
      </c>
      <c r="H31" s="167"/>
    </row>
    <row r="32" spans="1:8" ht="13" x14ac:dyDescent="0.3">
      <c r="A32" s="264" t="s">
        <v>265</v>
      </c>
      <c r="B32" s="175" t="s">
        <v>266</v>
      </c>
      <c r="C32" s="264" t="s">
        <v>605</v>
      </c>
      <c r="D32" s="433">
        <v>1</v>
      </c>
      <c r="E32" s="175">
        <f>VLOOKUP(B32,'Mano de Obra'!$B$8:$C$100,2,FALSE)</f>
        <v>85927.097156571981</v>
      </c>
      <c r="F32" s="175"/>
      <c r="G32" s="176">
        <f>+E32*D32</f>
        <v>85927.097156571981</v>
      </c>
      <c r="H32" s="162"/>
    </row>
    <row r="33" spans="1:8" ht="13" x14ac:dyDescent="0.3">
      <c r="A33" s="265" t="s">
        <v>251</v>
      </c>
      <c r="B33" s="180" t="s">
        <v>252</v>
      </c>
      <c r="C33" s="265" t="s">
        <v>605</v>
      </c>
      <c r="D33" s="434">
        <v>1</v>
      </c>
      <c r="E33" s="180">
        <f>VLOOKUP(B33,'Mano de Obra'!$B$8:$C$100,2,FALSE)</f>
        <v>65493.071636571978</v>
      </c>
      <c r="F33" s="180"/>
      <c r="G33" s="182">
        <f>+E33*D33</f>
        <v>65493.071636571978</v>
      </c>
      <c r="H33" s="162"/>
    </row>
    <row r="34" spans="1:8" ht="13" x14ac:dyDescent="0.3">
      <c r="A34" s="139"/>
      <c r="B34" s="139"/>
      <c r="C34" s="139"/>
      <c r="D34" s="426"/>
      <c r="E34" s="140"/>
      <c r="F34" s="141" t="s">
        <v>606</v>
      </c>
      <c r="G34" s="391">
        <f>SUM(G32:G33)</f>
        <v>151420.16879314397</v>
      </c>
      <c r="H34" s="162"/>
    </row>
    <row r="35" spans="1:8" ht="13" x14ac:dyDescent="0.3">
      <c r="A35" s="122"/>
      <c r="B35" s="122"/>
      <c r="C35" s="122"/>
      <c r="D35" s="421"/>
      <c r="E35" s="360"/>
      <c r="F35" s="123" t="s">
        <v>607</v>
      </c>
      <c r="G35" s="349">
        <v>1</v>
      </c>
      <c r="H35" s="162"/>
    </row>
    <row r="36" spans="1:8" ht="13" x14ac:dyDescent="0.3">
      <c r="A36" s="122"/>
      <c r="B36" s="122"/>
      <c r="C36" s="122"/>
      <c r="D36" s="421"/>
      <c r="E36" s="360"/>
      <c r="F36" s="123" t="s">
        <v>608</v>
      </c>
      <c r="G36" s="390">
        <f>+G35*G34</f>
        <v>151420.16879314397</v>
      </c>
      <c r="H36" s="162"/>
    </row>
    <row r="37" spans="1:8" ht="13" x14ac:dyDescent="0.3">
      <c r="A37" s="122"/>
      <c r="B37" s="122"/>
      <c r="C37" s="122"/>
      <c r="D37" s="421"/>
      <c r="E37" s="143"/>
      <c r="F37" s="144" t="s">
        <v>10</v>
      </c>
      <c r="G37" s="156">
        <f>+G36/F9</f>
        <v>13765.469890285814</v>
      </c>
      <c r="H37" s="162"/>
    </row>
    <row r="38" spans="1:8" ht="13" x14ac:dyDescent="0.3">
      <c r="A38" s="122"/>
      <c r="B38" s="122"/>
      <c r="C38" s="122"/>
      <c r="D38" s="421"/>
      <c r="H38" s="162"/>
    </row>
    <row r="39" spans="1:8" ht="13" x14ac:dyDescent="0.3">
      <c r="A39" s="122"/>
      <c r="B39" s="122"/>
      <c r="C39" s="122"/>
      <c r="D39" s="421"/>
      <c r="E39" s="122"/>
      <c r="F39" s="123" t="s">
        <v>609</v>
      </c>
      <c r="G39" s="123">
        <f>+G37+G29+G23</f>
        <v>19190.116281338014</v>
      </c>
      <c r="H39" s="162"/>
    </row>
    <row r="40" spans="1:8" ht="13" x14ac:dyDescent="0.3">
      <c r="A40" s="122"/>
      <c r="B40" s="122"/>
      <c r="C40" s="122"/>
      <c r="D40" s="421"/>
      <c r="E40" s="123" t="s">
        <v>610</v>
      </c>
      <c r="F40" s="198">
        <f>+RESUMEN!$I$2</f>
        <v>0</v>
      </c>
      <c r="G40" s="130">
        <f>IF(F40=0,0,F40*G39)</f>
        <v>0</v>
      </c>
      <c r="H40" s="168"/>
    </row>
    <row r="41" spans="1:8" ht="13" x14ac:dyDescent="0.3">
      <c r="A41" s="122"/>
      <c r="B41" s="122"/>
      <c r="C41" s="122"/>
      <c r="D41" s="421"/>
      <c r="E41" s="123" t="s">
        <v>611</v>
      </c>
      <c r="F41" s="198">
        <f>+RESUMEN!$I$3</f>
        <v>0</v>
      </c>
      <c r="G41" s="130">
        <f>IF(F41=0,0,F41*G39)</f>
        <v>0</v>
      </c>
      <c r="H41" s="162"/>
    </row>
    <row r="42" spans="1:8" ht="13" x14ac:dyDescent="0.3">
      <c r="A42" s="122"/>
      <c r="B42" s="122"/>
      <c r="C42" s="122"/>
      <c r="D42" s="332"/>
      <c r="E42" s="151"/>
      <c r="F42" s="152" t="s">
        <v>612</v>
      </c>
      <c r="G42" s="389">
        <f>SUM(G39:G41)</f>
        <v>19190.116281338014</v>
      </c>
      <c r="H42" s="1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9"/>
  </sheetPr>
  <dimension ref="A1:M40"/>
  <sheetViews>
    <sheetView workbookViewId="0">
      <selection activeCell="B12" sqref="B12:B13"/>
    </sheetView>
  </sheetViews>
  <sheetFormatPr defaultColWidth="11.453125" defaultRowHeight="12.5" x14ac:dyDescent="0.25"/>
  <cols>
    <col min="1" max="1" width="12.90625" customWidth="1"/>
    <col min="2" max="2" width="38.453125" bestFit="1" customWidth="1"/>
    <col min="3" max="3" width="7.08984375" bestFit="1" customWidth="1"/>
    <col min="4" max="4" width="9" style="427" bestFit="1" customWidth="1"/>
    <col min="5" max="5" width="15.36328125" bestFit="1" customWidth="1"/>
    <col min="6" max="6" width="9.453125" customWidth="1"/>
    <col min="7" max="7" width="10.36328125" bestFit="1" customWidth="1"/>
    <col min="8" max="8" width="10.6328125" bestFit="1" customWidth="1"/>
  </cols>
  <sheetData>
    <row r="1" spans="1:11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</row>
    <row r="2" spans="1:11" ht="13" x14ac:dyDescent="0.25">
      <c r="A2" s="162"/>
      <c r="B2" s="162"/>
      <c r="C2" s="162"/>
      <c r="D2" s="501"/>
      <c r="E2" s="162"/>
      <c r="F2" s="163" t="s">
        <v>78</v>
      </c>
      <c r="G2" s="583" t="s">
        <v>711</v>
      </c>
      <c r="H2" s="162"/>
      <c r="I2" s="1"/>
      <c r="J2" s="1"/>
      <c r="K2" s="1"/>
    </row>
    <row r="3" spans="1:11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  <c r="I3" s="1"/>
      <c r="J3" s="1"/>
      <c r="K3" s="1"/>
    </row>
    <row r="4" spans="1:11" ht="13" x14ac:dyDescent="0.3">
      <c r="A4" s="122"/>
      <c r="B4" s="122"/>
      <c r="C4" s="122"/>
      <c r="D4" s="421"/>
      <c r="E4" s="122"/>
      <c r="F4" s="123" t="s">
        <v>580</v>
      </c>
      <c r="G4" s="126">
        <v>60</v>
      </c>
      <c r="H4" s="162"/>
      <c r="I4" s="1"/>
      <c r="J4" s="1"/>
      <c r="K4" s="1"/>
    </row>
    <row r="5" spans="1:11" ht="13" x14ac:dyDescent="0.25">
      <c r="A5" s="127" t="s">
        <v>581</v>
      </c>
      <c r="B5" s="562" t="s">
        <v>770</v>
      </c>
      <c r="C5" s="563"/>
      <c r="D5" s="584"/>
      <c r="E5" s="563"/>
      <c r="F5" s="563"/>
      <c r="G5" s="563"/>
      <c r="H5" s="162"/>
      <c r="I5" s="1"/>
      <c r="J5" s="1"/>
      <c r="K5" s="1"/>
    </row>
    <row r="6" spans="1:11" ht="13" x14ac:dyDescent="0.3">
      <c r="A6" s="128" t="s">
        <v>582</v>
      </c>
      <c r="B6" s="500" t="s">
        <v>770</v>
      </c>
      <c r="C6" s="122"/>
      <c r="D6" s="421"/>
      <c r="E6" s="122"/>
      <c r="F6" s="123" t="s">
        <v>583</v>
      </c>
      <c r="G6" s="583" t="s">
        <v>711</v>
      </c>
      <c r="H6" s="162"/>
      <c r="I6" s="1"/>
      <c r="J6" s="1"/>
      <c r="K6" s="1"/>
    </row>
    <row r="7" spans="1:11" ht="15.5" x14ac:dyDescent="0.25">
      <c r="A7" s="197" t="s">
        <v>584</v>
      </c>
      <c r="B7" s="873" t="s">
        <v>778</v>
      </c>
      <c r="C7" s="874"/>
      <c r="D7" s="874"/>
      <c r="E7" s="874"/>
      <c r="F7" s="874"/>
      <c r="G7" s="874"/>
      <c r="H7" s="162"/>
      <c r="I7" s="162"/>
      <c r="J7" s="1"/>
      <c r="K7" s="1"/>
    </row>
    <row r="8" spans="1:11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  <c r="I8" s="1"/>
      <c r="J8" s="1"/>
      <c r="K8" s="1"/>
    </row>
    <row r="9" spans="1:11" ht="13" x14ac:dyDescent="0.3">
      <c r="A9" s="122"/>
      <c r="B9" s="122"/>
      <c r="C9" s="132" t="s">
        <v>45</v>
      </c>
      <c r="D9" s="421"/>
      <c r="E9" s="132">
        <v>100</v>
      </c>
      <c r="F9" s="185">
        <v>9.5</v>
      </c>
      <c r="G9" s="158" t="s">
        <v>615</v>
      </c>
      <c r="H9" s="162"/>
      <c r="I9" s="1"/>
      <c r="J9" s="1"/>
      <c r="K9" s="1"/>
    </row>
    <row r="10" spans="1:11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  <c r="I10" s="1"/>
      <c r="J10" s="1"/>
      <c r="K10" s="1"/>
    </row>
    <row r="11" spans="1:11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  <c r="I11" s="3"/>
      <c r="J11" s="3"/>
      <c r="K11" s="3"/>
    </row>
    <row r="12" spans="1:11" ht="13" x14ac:dyDescent="0.3">
      <c r="A12" s="175"/>
      <c r="B12" s="175" t="s">
        <v>430</v>
      </c>
      <c r="C12" s="298" t="s">
        <v>17</v>
      </c>
      <c r="D12" s="433">
        <f>1.1/2.6*1.2</f>
        <v>0.50769230769230766</v>
      </c>
      <c r="E12" s="175">
        <f>VLOOKUP(B12,Materiales!$B$8:$D$118,3,FALSE)</f>
        <v>2147.85</v>
      </c>
      <c r="F12" s="175">
        <v>10</v>
      </c>
      <c r="G12" s="176">
        <f t="shared" ref="G12:G19" si="0">+D12*E12*((F12+100)/100)</f>
        <v>1199.4916153846154</v>
      </c>
      <c r="H12" s="176">
        <f>+D12*$E$9</f>
        <v>50.769230769230766</v>
      </c>
      <c r="I12" s="1"/>
      <c r="J12" s="1"/>
      <c r="K12" s="1">
        <v>1.1000000000000001</v>
      </c>
    </row>
    <row r="13" spans="1:11" ht="13" x14ac:dyDescent="0.3">
      <c r="A13" s="178"/>
      <c r="B13" s="178" t="s">
        <v>431</v>
      </c>
      <c r="C13" s="428" t="s">
        <v>17</v>
      </c>
      <c r="D13" s="457">
        <f>3.2/2.6</f>
        <v>1.2307692307692308</v>
      </c>
      <c r="E13" s="178">
        <f>VLOOKUP(B13,Materiales!$B$8:$D$118,3,FALSE)</f>
        <v>2468.66</v>
      </c>
      <c r="F13" s="178">
        <v>10</v>
      </c>
      <c r="G13" s="179">
        <f t="shared" si="0"/>
        <v>3342.1858461538468</v>
      </c>
      <c r="H13" s="179">
        <f>+D13*$E$9</f>
        <v>123.07692307692308</v>
      </c>
      <c r="I13" s="1"/>
      <c r="J13" s="1"/>
      <c r="K13" s="1">
        <f>+K12/2.6</f>
        <v>0.42307692307692307</v>
      </c>
    </row>
    <row r="14" spans="1:11" ht="13" x14ac:dyDescent="0.3">
      <c r="A14" s="178"/>
      <c r="B14" s="178" t="s">
        <v>432</v>
      </c>
      <c r="C14" s="428" t="s">
        <v>17</v>
      </c>
      <c r="D14" s="457">
        <v>16</v>
      </c>
      <c r="E14" s="178">
        <f>VLOOKUP(B14,Materiales!$B$8:$D$118,3,FALSE)</f>
        <v>32.707173553719009</v>
      </c>
      <c r="F14" s="178">
        <v>5</v>
      </c>
      <c r="G14" s="179">
        <f t="shared" si="0"/>
        <v>549.48051570247935</v>
      </c>
      <c r="H14" s="179">
        <f t="shared" ref="H14:H19" si="1">+D14*$E$9</f>
        <v>1600</v>
      </c>
      <c r="I14" s="1"/>
      <c r="J14" s="1"/>
      <c r="K14" s="1"/>
    </row>
    <row r="15" spans="1:11" ht="13" x14ac:dyDescent="0.3">
      <c r="A15" s="178"/>
      <c r="B15" s="178" t="s">
        <v>434</v>
      </c>
      <c r="C15" s="428" t="s">
        <v>17</v>
      </c>
      <c r="D15" s="457">
        <v>18</v>
      </c>
      <c r="E15" s="178">
        <f>VLOOKUP(B15,Materiales!$B$8:$D$118,3,FALSE)</f>
        <v>17.196317722681361</v>
      </c>
      <c r="F15" s="178">
        <v>5</v>
      </c>
      <c r="G15" s="179">
        <f t="shared" si="0"/>
        <v>325.01040495867773</v>
      </c>
      <c r="H15" s="179">
        <f t="shared" si="1"/>
        <v>1800</v>
      </c>
      <c r="I15" s="1"/>
      <c r="J15" s="1"/>
      <c r="K15" s="1"/>
    </row>
    <row r="16" spans="1:11" ht="13" x14ac:dyDescent="0.3">
      <c r="A16" s="178"/>
      <c r="B16" s="178" t="s">
        <v>436</v>
      </c>
      <c r="C16" s="428" t="s">
        <v>17</v>
      </c>
      <c r="D16" s="457">
        <v>6</v>
      </c>
      <c r="E16" s="178">
        <f>VLOOKUP(B16,Materiales!$B$8:$D$118,3,FALSE)</f>
        <v>65.919008264462803</v>
      </c>
      <c r="F16" s="178">
        <v>5</v>
      </c>
      <c r="G16" s="179">
        <f t="shared" si="0"/>
        <v>415.28975206611568</v>
      </c>
      <c r="H16" s="179">
        <f t="shared" si="1"/>
        <v>600</v>
      </c>
      <c r="I16" s="1"/>
      <c r="J16" s="1"/>
      <c r="K16" s="1"/>
    </row>
    <row r="17" spans="1:13" ht="13" x14ac:dyDescent="0.3">
      <c r="A17" s="178"/>
      <c r="B17" s="178" t="s">
        <v>437</v>
      </c>
      <c r="C17" s="428" t="s">
        <v>52</v>
      </c>
      <c r="D17" s="457">
        <v>1.8333333333333333E-2</v>
      </c>
      <c r="E17" s="178">
        <f>VLOOKUP(B17,Materiales!$B$8:$D$118,3,FALSE)</f>
        <v>4042.71</v>
      </c>
      <c r="F17" s="178">
        <v>5</v>
      </c>
      <c r="G17" s="179">
        <f t="shared" si="0"/>
        <v>77.822167500000006</v>
      </c>
      <c r="H17" s="179">
        <f t="shared" si="1"/>
        <v>1.8333333333333333</v>
      </c>
      <c r="I17" s="1"/>
      <c r="J17" s="1" t="s">
        <v>45</v>
      </c>
      <c r="K17" s="1" t="s">
        <v>403</v>
      </c>
      <c r="L17" s="1"/>
      <c r="M17" s="1"/>
    </row>
    <row r="18" spans="1:13" ht="13" x14ac:dyDescent="0.3">
      <c r="A18" s="178"/>
      <c r="B18" s="178" t="s">
        <v>440</v>
      </c>
      <c r="C18" s="428" t="s">
        <v>403</v>
      </c>
      <c r="D18" s="331">
        <f>+I20</f>
        <v>2.8124999999999997E-2</v>
      </c>
      <c r="E18" s="178">
        <f>VLOOKUP(B18,Materiales!$B$8:$D$118,3,FALSE)</f>
        <v>26872.02</v>
      </c>
      <c r="F18" s="178">
        <v>5</v>
      </c>
      <c r="G18" s="179">
        <f t="shared" si="0"/>
        <v>793.564340625</v>
      </c>
      <c r="H18" s="179">
        <f t="shared" si="1"/>
        <v>2.8124999999999996</v>
      </c>
      <c r="I18" s="1"/>
      <c r="J18" s="1">
        <v>1</v>
      </c>
      <c r="K18" s="1">
        <v>0.9</v>
      </c>
      <c r="L18" s="1"/>
      <c r="M18" s="1">
        <f>+K18/K19</f>
        <v>2.8125000000000001E-2</v>
      </c>
    </row>
    <row r="19" spans="1:13" ht="13" x14ac:dyDescent="0.3">
      <c r="A19" s="180"/>
      <c r="B19" s="180" t="s">
        <v>441</v>
      </c>
      <c r="C19" s="299" t="s">
        <v>17</v>
      </c>
      <c r="D19" s="434">
        <v>0.36</v>
      </c>
      <c r="E19" s="180">
        <f>VLOOKUP(B19,Materiales!$B$8:$D$118,3,FALSE)</f>
        <v>10022.959999999999</v>
      </c>
      <c r="F19" s="180">
        <v>10</v>
      </c>
      <c r="G19" s="179">
        <f t="shared" si="0"/>
        <v>3969.0921600000001</v>
      </c>
      <c r="H19" s="182">
        <f t="shared" si="1"/>
        <v>36</v>
      </c>
      <c r="I19" s="1">
        <v>1</v>
      </c>
      <c r="J19" s="1">
        <f>+K19*J18/K18</f>
        <v>35.555555555555557</v>
      </c>
      <c r="K19" s="1">
        <v>32</v>
      </c>
      <c r="L19" s="1"/>
      <c r="M19" s="1"/>
    </row>
    <row r="20" spans="1:13" ht="13" x14ac:dyDescent="0.3">
      <c r="A20" s="122"/>
      <c r="B20" s="122"/>
      <c r="C20" s="122"/>
      <c r="D20" s="504"/>
      <c r="E20" s="360"/>
      <c r="F20" s="123" t="s">
        <v>598</v>
      </c>
      <c r="G20" s="391">
        <f>SUM(G12:G19)</f>
        <v>10671.936802390735</v>
      </c>
      <c r="H20" s="162"/>
      <c r="I20" s="278">
        <f>+I19/J19</f>
        <v>2.8124999999999997E-2</v>
      </c>
      <c r="J20" s="1"/>
      <c r="K20" s="1"/>
      <c r="L20" s="1"/>
      <c r="M20" s="1"/>
    </row>
    <row r="21" spans="1:13" ht="13" x14ac:dyDescent="0.3">
      <c r="A21" s="122"/>
      <c r="B21" s="122"/>
      <c r="C21" s="122"/>
      <c r="D21" s="421"/>
      <c r="E21" s="143"/>
      <c r="F21" s="144" t="s">
        <v>9</v>
      </c>
      <c r="G21" s="156">
        <f>+G20</f>
        <v>10671.936802390735</v>
      </c>
      <c r="H21" s="162"/>
      <c r="I21" s="1"/>
      <c r="J21" s="1"/>
      <c r="K21" s="1"/>
      <c r="L21" s="1"/>
      <c r="M21" s="1"/>
    </row>
    <row r="22" spans="1:13" ht="13" x14ac:dyDescent="0.3">
      <c r="A22" s="128" t="s">
        <v>599</v>
      </c>
      <c r="B22" s="122"/>
      <c r="C22" s="122"/>
      <c r="D22" s="421"/>
      <c r="E22" s="122"/>
      <c r="F22" s="122"/>
      <c r="G22" s="122"/>
      <c r="H22" s="162"/>
      <c r="I22" s="1"/>
      <c r="J22" s="123"/>
      <c r="K22" s="1"/>
      <c r="L22" s="1"/>
      <c r="M22" s="1"/>
    </row>
    <row r="23" spans="1:13" ht="13" x14ac:dyDescent="0.3">
      <c r="A23" s="133" t="s">
        <v>79</v>
      </c>
      <c r="B23" s="134" t="s">
        <v>591</v>
      </c>
      <c r="C23" s="134" t="s">
        <v>592</v>
      </c>
      <c r="D23" s="503" t="s">
        <v>593</v>
      </c>
      <c r="E23" s="134" t="s">
        <v>600</v>
      </c>
      <c r="F23" s="261" t="s">
        <v>87</v>
      </c>
      <c r="G23" s="135" t="s">
        <v>596</v>
      </c>
      <c r="H23" s="167"/>
      <c r="I23" s="3"/>
      <c r="J23" s="169"/>
      <c r="K23" s="3"/>
      <c r="L23" s="3"/>
      <c r="M23" s="3"/>
    </row>
    <row r="24" spans="1:13" ht="26" x14ac:dyDescent="0.25">
      <c r="A24" s="264" t="s">
        <v>181</v>
      </c>
      <c r="B24" s="660" t="s">
        <v>182</v>
      </c>
      <c r="C24" s="264" t="s">
        <v>17</v>
      </c>
      <c r="D24" s="423">
        <v>1</v>
      </c>
      <c r="E24" s="246">
        <f>VLOOKUP(B24,'Rend. Equipos'!$B$7:$E$222,4,FALSE)</f>
        <v>201885.25333580485</v>
      </c>
      <c r="F24" s="661">
        <f>VLOOKUP(B24,'Rend. Equipos'!$B$6:$L$166,MATCH($F$23,'Rend. Equipos'!$B$6:$L$6,0),0)</f>
        <v>6.9444444444444436E-4</v>
      </c>
      <c r="G24" s="246">
        <f>+E24*D24*F24</f>
        <v>140.19809259430892</v>
      </c>
      <c r="H24" s="162"/>
      <c r="I24" s="1"/>
      <c r="J24" s="1"/>
      <c r="K24" s="1"/>
      <c r="L24" s="1"/>
      <c r="M24" s="1"/>
    </row>
    <row r="25" spans="1:13" ht="13" x14ac:dyDescent="0.3">
      <c r="A25" s="265"/>
      <c r="B25" s="180" t="s">
        <v>177</v>
      </c>
      <c r="C25" s="265" t="s">
        <v>352</v>
      </c>
      <c r="D25" s="425">
        <v>1</v>
      </c>
      <c r="E25" s="248">
        <f>VLOOKUP(B25,'Rend. Equipos'!$B$7:$E$222,4,FALSE)</f>
        <v>1702971.4669775651</v>
      </c>
      <c r="F25" s="662">
        <f>VLOOKUP(B25,'Rend. Equipos'!$B$6:$L$166,MATCH($F$23,'Rend. Equipos'!$B$6:$L$6,0),0)</f>
        <v>1.3888888888888889E-3</v>
      </c>
      <c r="G25" s="248">
        <f>+E25*D25*F25</f>
        <v>2365.2381485799515</v>
      </c>
      <c r="H25" s="162"/>
      <c r="I25" s="1"/>
      <c r="J25" s="1"/>
      <c r="K25" s="1"/>
      <c r="L25" s="1"/>
      <c r="M25" s="1"/>
    </row>
    <row r="26" spans="1:13" ht="13" x14ac:dyDescent="0.3">
      <c r="A26" s="139"/>
      <c r="B26" s="139"/>
      <c r="C26" s="139"/>
      <c r="D26" s="426"/>
      <c r="E26" s="140"/>
      <c r="F26" s="141" t="s">
        <v>602</v>
      </c>
      <c r="G26" s="391">
        <f>SUM(G24:G25)</f>
        <v>2505.4362411742604</v>
      </c>
      <c r="H26" s="162"/>
      <c r="I26" s="1"/>
      <c r="J26" s="1"/>
      <c r="K26" s="1"/>
      <c r="L26" s="1"/>
      <c r="M26" s="1"/>
    </row>
    <row r="27" spans="1:13" ht="13" x14ac:dyDescent="0.3">
      <c r="A27" s="122"/>
      <c r="B27" s="122"/>
      <c r="C27" s="122"/>
      <c r="D27" s="421"/>
      <c r="E27" s="143"/>
      <c r="F27" s="144" t="s">
        <v>11</v>
      </c>
      <c r="G27" s="156">
        <f>+G26/F9</f>
        <v>263.73013064992216</v>
      </c>
      <c r="H27" s="162"/>
      <c r="I27" s="1"/>
      <c r="J27" s="1"/>
      <c r="K27" s="1"/>
      <c r="L27" s="1"/>
      <c r="M27" s="1"/>
    </row>
    <row r="28" spans="1:13" ht="13" x14ac:dyDescent="0.3">
      <c r="A28" s="128" t="s">
        <v>603</v>
      </c>
      <c r="B28" s="122"/>
      <c r="C28" s="122"/>
      <c r="D28" s="421"/>
      <c r="E28" s="122"/>
      <c r="F28" s="122"/>
      <c r="G28" s="122"/>
      <c r="H28" s="162"/>
      <c r="I28" s="1"/>
      <c r="J28" s="1"/>
      <c r="K28" s="1"/>
      <c r="L28" s="1"/>
      <c r="M28" s="1"/>
    </row>
    <row r="29" spans="1:13" ht="13" x14ac:dyDescent="0.3">
      <c r="A29" s="133" t="s">
        <v>79</v>
      </c>
      <c r="B29" s="134" t="s">
        <v>591</v>
      </c>
      <c r="C29" s="134" t="s">
        <v>592</v>
      </c>
      <c r="D29" s="503" t="s">
        <v>593</v>
      </c>
      <c r="E29" s="134" t="s">
        <v>604</v>
      </c>
      <c r="F29" s="134"/>
      <c r="G29" s="135" t="s">
        <v>596</v>
      </c>
      <c r="H29" s="167"/>
      <c r="I29" s="3"/>
      <c r="J29" s="3"/>
      <c r="K29" s="3"/>
      <c r="L29" s="3"/>
      <c r="M29" s="3"/>
    </row>
    <row r="30" spans="1:13" ht="13" x14ac:dyDescent="0.3">
      <c r="A30" s="264" t="s">
        <v>265</v>
      </c>
      <c r="B30" s="175" t="s">
        <v>266</v>
      </c>
      <c r="C30" s="264" t="s">
        <v>605</v>
      </c>
      <c r="D30" s="433">
        <v>1</v>
      </c>
      <c r="E30" s="175">
        <f>VLOOKUP(B30,'Mano de Obra'!$B$8:$C$100,2,FALSE)</f>
        <v>85927.097156571981</v>
      </c>
      <c r="F30" s="175"/>
      <c r="G30" s="176">
        <f>+E30*D30</f>
        <v>85927.097156571981</v>
      </c>
      <c r="H30" s="162"/>
      <c r="I30" s="1"/>
      <c r="J30" s="1"/>
      <c r="K30" s="1"/>
      <c r="L30" s="1"/>
      <c r="M30" s="1"/>
    </row>
    <row r="31" spans="1:13" ht="13" x14ac:dyDescent="0.3">
      <c r="A31" s="265" t="s">
        <v>251</v>
      </c>
      <c r="B31" s="180" t="s">
        <v>252</v>
      </c>
      <c r="C31" s="265" t="s">
        <v>605</v>
      </c>
      <c r="D31" s="434">
        <v>1</v>
      </c>
      <c r="E31" s="180">
        <f>VLOOKUP(B31,'Mano de Obra'!$B$8:$C$100,2,FALSE)</f>
        <v>65493.071636571978</v>
      </c>
      <c r="F31" s="180"/>
      <c r="G31" s="182">
        <f>+E31*D31</f>
        <v>65493.071636571978</v>
      </c>
      <c r="H31" s="162"/>
      <c r="I31" s="1"/>
      <c r="J31" s="1"/>
      <c r="K31" s="1"/>
      <c r="L31" s="1"/>
      <c r="M31" s="1"/>
    </row>
    <row r="32" spans="1:13" ht="13" x14ac:dyDescent="0.3">
      <c r="A32" s="122"/>
      <c r="B32" s="122"/>
      <c r="C32" s="122"/>
      <c r="D32" s="504"/>
      <c r="E32" s="360"/>
      <c r="F32" s="123" t="s">
        <v>606</v>
      </c>
      <c r="G32" s="390">
        <f>SUM(G30:G31)</f>
        <v>151420.16879314397</v>
      </c>
      <c r="H32" s="162"/>
      <c r="I32" s="1"/>
      <c r="J32" s="1"/>
      <c r="K32" s="1"/>
      <c r="L32" s="1"/>
      <c r="M32" s="1"/>
    </row>
    <row r="33" spans="1:11" ht="13" x14ac:dyDescent="0.3">
      <c r="A33" s="122"/>
      <c r="B33" s="122"/>
      <c r="C33" s="122"/>
      <c r="D33" s="421"/>
      <c r="E33" s="360"/>
      <c r="F33" s="123" t="s">
        <v>607</v>
      </c>
      <c r="G33" s="349">
        <v>1</v>
      </c>
      <c r="H33" s="162"/>
      <c r="I33" s="1"/>
      <c r="J33" s="1"/>
      <c r="K33" s="1"/>
    </row>
    <row r="34" spans="1:11" ht="13" x14ac:dyDescent="0.3">
      <c r="A34" s="122"/>
      <c r="B34" s="122"/>
      <c r="C34" s="122"/>
      <c r="D34" s="421"/>
      <c r="E34" s="360"/>
      <c r="F34" s="123" t="s">
        <v>608</v>
      </c>
      <c r="G34" s="390">
        <f>+G33*G32</f>
        <v>151420.16879314397</v>
      </c>
      <c r="H34" s="162"/>
      <c r="I34" s="1"/>
      <c r="J34" s="1"/>
      <c r="K34" s="1"/>
    </row>
    <row r="35" spans="1:11" ht="13" x14ac:dyDescent="0.3">
      <c r="A35" s="122"/>
      <c r="B35" s="122"/>
      <c r="C35" s="122"/>
      <c r="D35" s="421"/>
      <c r="E35" s="143"/>
      <c r="F35" s="144" t="s">
        <v>10</v>
      </c>
      <c r="G35" s="156">
        <f>+G34/F9</f>
        <v>15938.965136120418</v>
      </c>
      <c r="H35" s="162"/>
      <c r="I35" s="1"/>
      <c r="J35" s="1"/>
      <c r="K35" s="1"/>
    </row>
    <row r="36" spans="1:11" ht="13" x14ac:dyDescent="0.3">
      <c r="A36" s="122"/>
      <c r="B36" s="122"/>
      <c r="C36" s="122"/>
      <c r="D36" s="421"/>
      <c r="H36" s="162"/>
      <c r="I36" s="1"/>
      <c r="J36" s="1"/>
      <c r="K36" s="1"/>
    </row>
    <row r="37" spans="1:11" ht="13" x14ac:dyDescent="0.3">
      <c r="A37" s="122"/>
      <c r="B37" s="122"/>
      <c r="C37" s="122"/>
      <c r="D37" s="421"/>
      <c r="E37" s="122"/>
      <c r="F37" s="123" t="s">
        <v>609</v>
      </c>
      <c r="G37" s="123">
        <f>+G35+G27+G21</f>
        <v>26874.632069161074</v>
      </c>
      <c r="H37" s="162"/>
      <c r="I37" s="1"/>
      <c r="J37" s="1"/>
      <c r="K37" s="1"/>
    </row>
    <row r="38" spans="1:11" ht="13" x14ac:dyDescent="0.3">
      <c r="A38" s="122"/>
      <c r="B38" s="122"/>
      <c r="C38" s="122"/>
      <c r="D38" s="421"/>
      <c r="E38" s="123" t="s">
        <v>610</v>
      </c>
      <c r="F38" s="461">
        <f>+RESUMEN!$I$2</f>
        <v>0</v>
      </c>
      <c r="G38" s="130">
        <f>IF(F38=0,0,F38*G37)</f>
        <v>0</v>
      </c>
      <c r="H38" s="168"/>
      <c r="I38" s="1"/>
      <c r="J38" s="1"/>
      <c r="K38" s="1"/>
    </row>
    <row r="39" spans="1:11" ht="13" x14ac:dyDescent="0.3">
      <c r="A39" s="122"/>
      <c r="B39" s="122"/>
      <c r="C39" s="122"/>
      <c r="D39" s="421"/>
      <c r="E39" s="144" t="s">
        <v>611</v>
      </c>
      <c r="F39" s="577">
        <f>+RESUMEN!$I$3</f>
        <v>0</v>
      </c>
      <c r="G39" s="578">
        <f>IF(F39=0,0,F39*G37)</f>
        <v>0</v>
      </c>
      <c r="H39" s="162"/>
      <c r="I39" s="1"/>
      <c r="J39" s="1"/>
      <c r="K39" s="1"/>
    </row>
    <row r="40" spans="1:11" ht="13" x14ac:dyDescent="0.3">
      <c r="A40" s="122"/>
      <c r="B40" s="122"/>
      <c r="C40" s="122"/>
      <c r="D40" s="421"/>
      <c r="E40" s="151"/>
      <c r="F40" s="152" t="s">
        <v>612</v>
      </c>
      <c r="G40" s="389">
        <f>SUM(G37:G39)</f>
        <v>26874.632069161074</v>
      </c>
      <c r="H40" s="162"/>
      <c r="I40" s="1"/>
      <c r="J40" s="1"/>
      <c r="K40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/>
  </sheetPr>
  <dimension ref="A1:H40"/>
  <sheetViews>
    <sheetView workbookViewId="0">
      <selection activeCell="F10" sqref="F10"/>
    </sheetView>
  </sheetViews>
  <sheetFormatPr defaultColWidth="11.453125" defaultRowHeight="12.5" x14ac:dyDescent="0.25"/>
  <cols>
    <col min="1" max="1" width="11.90625" customWidth="1"/>
    <col min="2" max="2" width="37.6328125" bestFit="1" customWidth="1"/>
    <col min="3" max="3" width="7.08984375" bestFit="1" customWidth="1"/>
    <col min="4" max="4" width="8.6328125" style="427" customWidth="1"/>
    <col min="5" max="5" width="15.36328125" bestFit="1" customWidth="1"/>
    <col min="6" max="6" width="9.453125" customWidth="1"/>
    <col min="7" max="7" width="10.36328125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62"/>
    </row>
    <row r="2" spans="1:8" ht="13" x14ac:dyDescent="0.25">
      <c r="A2" s="162"/>
      <c r="B2" s="162"/>
      <c r="C2" s="162"/>
      <c r="D2" s="501"/>
      <c r="E2" s="162"/>
      <c r="F2" s="163" t="s">
        <v>78</v>
      </c>
      <c r="G2" s="583" t="s">
        <v>711</v>
      </c>
      <c r="H2" s="162"/>
    </row>
    <row r="3" spans="1:8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</row>
    <row r="4" spans="1:8" ht="13" x14ac:dyDescent="0.3">
      <c r="A4" s="122"/>
      <c r="B4" s="122"/>
      <c r="C4" s="122"/>
      <c r="D4" s="421"/>
      <c r="E4" s="122"/>
      <c r="F4" s="123" t="s">
        <v>580</v>
      </c>
      <c r="G4" s="126">
        <v>61</v>
      </c>
      <c r="H4" s="162"/>
    </row>
    <row r="5" spans="1:8" ht="13" x14ac:dyDescent="0.25">
      <c r="A5" s="127" t="s">
        <v>581</v>
      </c>
      <c r="B5" s="663" t="s">
        <v>578</v>
      </c>
      <c r="C5" s="563"/>
      <c r="D5" s="563"/>
      <c r="E5" s="563"/>
      <c r="F5" s="563"/>
      <c r="G5" s="563"/>
      <c r="H5" s="162"/>
    </row>
    <row r="6" spans="1:8" ht="13" x14ac:dyDescent="0.3">
      <c r="A6" s="128" t="s">
        <v>582</v>
      </c>
      <c r="B6" s="664" t="s">
        <v>578</v>
      </c>
      <c r="C6" s="122"/>
      <c r="D6" s="421"/>
      <c r="E6" s="122"/>
      <c r="F6" s="123" t="s">
        <v>583</v>
      </c>
      <c r="G6" s="583" t="s">
        <v>711</v>
      </c>
      <c r="H6" s="162"/>
    </row>
    <row r="7" spans="1:8" ht="15.5" x14ac:dyDescent="0.25">
      <c r="A7" s="197" t="s">
        <v>584</v>
      </c>
      <c r="B7" s="873" t="s">
        <v>779</v>
      </c>
      <c r="C7" s="874"/>
      <c r="D7" s="874"/>
      <c r="E7" s="874"/>
      <c r="F7" s="874"/>
      <c r="G7" s="874"/>
      <c r="H7" s="162"/>
    </row>
    <row r="8" spans="1:8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</row>
    <row r="9" spans="1:8" ht="13" x14ac:dyDescent="0.3">
      <c r="A9" s="122"/>
      <c r="B9" s="122"/>
      <c r="C9" s="132" t="s">
        <v>45</v>
      </c>
      <c r="D9" s="421"/>
      <c r="E9" s="132">
        <v>100</v>
      </c>
      <c r="F9" s="185">
        <v>9.5</v>
      </c>
      <c r="G9" s="158" t="s">
        <v>615</v>
      </c>
      <c r="H9" s="162"/>
    </row>
    <row r="10" spans="1:8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</row>
    <row r="11" spans="1:8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</row>
    <row r="12" spans="1:8" ht="13" x14ac:dyDescent="0.3">
      <c r="A12" s="175"/>
      <c r="B12" s="175" t="s">
        <v>428</v>
      </c>
      <c r="C12" s="298" t="s">
        <v>17</v>
      </c>
      <c r="D12" s="433">
        <f>1.1/2.6*1.2</f>
        <v>0.50769230769230766</v>
      </c>
      <c r="E12" s="116">
        <f>VLOOKUP(B12,Materiales!$B$8:$D$118,3,FALSE)</f>
        <v>2932.93</v>
      </c>
      <c r="F12" s="175">
        <v>10</v>
      </c>
      <c r="G12" s="176">
        <f t="shared" ref="G12:G19" si="0">+D12*E12*((F12+100)/100)</f>
        <v>1637.9286</v>
      </c>
      <c r="H12" s="176">
        <f>+D12*$E$9</f>
        <v>50.769230769230766</v>
      </c>
    </row>
    <row r="13" spans="1:8" ht="13" x14ac:dyDescent="0.3">
      <c r="A13" s="178"/>
      <c r="B13" s="178" t="s">
        <v>429</v>
      </c>
      <c r="C13" s="428" t="s">
        <v>17</v>
      </c>
      <c r="D13" s="457">
        <f>3.2/2.6</f>
        <v>1.2307692307692308</v>
      </c>
      <c r="E13" s="35">
        <f>VLOOKUP(B13,Materiales!$B$8:$D$118,3,FALSE)</f>
        <v>3295.47</v>
      </c>
      <c r="F13" s="178">
        <v>10</v>
      </c>
      <c r="G13" s="179">
        <f t="shared" si="0"/>
        <v>4461.5593846153852</v>
      </c>
      <c r="H13" s="179">
        <f>+D13*$E$9</f>
        <v>123.07692307692308</v>
      </c>
    </row>
    <row r="14" spans="1:8" ht="13" x14ac:dyDescent="0.3">
      <c r="A14" s="178"/>
      <c r="B14" s="178" t="s">
        <v>432</v>
      </c>
      <c r="C14" s="428" t="s">
        <v>17</v>
      </c>
      <c r="D14" s="457">
        <v>16</v>
      </c>
      <c r="E14" s="35">
        <f>VLOOKUP(B14,Materiales!$B$8:$D$118,3,FALSE)</f>
        <v>32.707173553719009</v>
      </c>
      <c r="F14" s="178">
        <v>5</v>
      </c>
      <c r="G14" s="179">
        <f t="shared" si="0"/>
        <v>549.48051570247935</v>
      </c>
      <c r="H14" s="179">
        <f t="shared" ref="H14:H19" si="1">+D14*$E$9</f>
        <v>1600</v>
      </c>
    </row>
    <row r="15" spans="1:8" ht="13" x14ac:dyDescent="0.3">
      <c r="A15" s="178"/>
      <c r="B15" s="178" t="s">
        <v>434</v>
      </c>
      <c r="C15" s="428" t="s">
        <v>17</v>
      </c>
      <c r="D15" s="457">
        <v>18</v>
      </c>
      <c r="E15" s="35">
        <f>VLOOKUP(B15,Materiales!$B$8:$D$118,3,FALSE)</f>
        <v>17.196317722681361</v>
      </c>
      <c r="F15" s="178">
        <v>5</v>
      </c>
      <c r="G15" s="179">
        <f t="shared" si="0"/>
        <v>325.01040495867773</v>
      </c>
      <c r="H15" s="179">
        <f t="shared" si="1"/>
        <v>1800</v>
      </c>
    </row>
    <row r="16" spans="1:8" ht="13" x14ac:dyDescent="0.3">
      <c r="A16" s="178"/>
      <c r="B16" s="178" t="s">
        <v>436</v>
      </c>
      <c r="C16" s="428" t="s">
        <v>17</v>
      </c>
      <c r="D16" s="457">
        <v>6</v>
      </c>
      <c r="E16" s="35">
        <f>VLOOKUP(B16,Materiales!$B$8:$D$118,3,FALSE)</f>
        <v>65.919008264462803</v>
      </c>
      <c r="F16" s="178">
        <v>5</v>
      </c>
      <c r="G16" s="179">
        <f t="shared" si="0"/>
        <v>415.28975206611568</v>
      </c>
      <c r="H16" s="179">
        <f t="shared" si="1"/>
        <v>600</v>
      </c>
    </row>
    <row r="17" spans="1:8" ht="13" x14ac:dyDescent="0.3">
      <c r="A17" s="178"/>
      <c r="B17" s="178" t="s">
        <v>437</v>
      </c>
      <c r="C17" s="428" t="s">
        <v>52</v>
      </c>
      <c r="D17" s="457">
        <v>1.8333333333333333E-2</v>
      </c>
      <c r="E17" s="35">
        <f>VLOOKUP(B17,Materiales!$B$8:$D$118,3,FALSE)</f>
        <v>4042.71</v>
      </c>
      <c r="F17" s="178">
        <v>5</v>
      </c>
      <c r="G17" s="179">
        <f t="shared" si="0"/>
        <v>77.822167500000006</v>
      </c>
      <c r="H17" s="179">
        <f t="shared" si="1"/>
        <v>1.8333333333333333</v>
      </c>
    </row>
    <row r="18" spans="1:8" ht="13" x14ac:dyDescent="0.3">
      <c r="A18" s="178"/>
      <c r="B18" s="178" t="s">
        <v>440</v>
      </c>
      <c r="C18" s="428" t="s">
        <v>403</v>
      </c>
      <c r="D18" s="387">
        <v>2.8124999999999997E-2</v>
      </c>
      <c r="E18" s="35">
        <f>VLOOKUP(B18,Materiales!$B$8:$D$118,3,FALSE)</f>
        <v>26872.02</v>
      </c>
      <c r="F18" s="178">
        <v>5</v>
      </c>
      <c r="G18" s="179">
        <f t="shared" si="0"/>
        <v>793.564340625</v>
      </c>
      <c r="H18" s="179">
        <f t="shared" si="1"/>
        <v>2.8124999999999996</v>
      </c>
    </row>
    <row r="19" spans="1:8" ht="13" x14ac:dyDescent="0.3">
      <c r="A19" s="180"/>
      <c r="B19" s="180" t="s">
        <v>442</v>
      </c>
      <c r="C19" s="299" t="s">
        <v>17</v>
      </c>
      <c r="D19" s="434">
        <v>0.36</v>
      </c>
      <c r="E19" s="80">
        <f>VLOOKUP(B19,Materiales!$B$8:$D$118,3,FALSE)</f>
        <v>16160.1</v>
      </c>
      <c r="F19" s="180">
        <v>10</v>
      </c>
      <c r="G19" s="179">
        <f t="shared" si="0"/>
        <v>6399.3995999999997</v>
      </c>
      <c r="H19" s="182">
        <f t="shared" si="1"/>
        <v>36</v>
      </c>
    </row>
    <row r="20" spans="1:8" ht="13" x14ac:dyDescent="0.3">
      <c r="A20" s="139"/>
      <c r="B20" s="139"/>
      <c r="C20" s="139"/>
      <c r="D20" s="426"/>
      <c r="E20" s="140"/>
      <c r="F20" s="141" t="s">
        <v>598</v>
      </c>
      <c r="G20" s="142">
        <f>SUM(G12:G19)</f>
        <v>14660.054765467659</v>
      </c>
      <c r="H20" s="162"/>
    </row>
    <row r="21" spans="1:8" ht="13" x14ac:dyDescent="0.3">
      <c r="A21" s="122"/>
      <c r="B21" s="122"/>
      <c r="C21" s="122"/>
      <c r="D21" s="421"/>
      <c r="E21" s="143"/>
      <c r="F21" s="144" t="s">
        <v>9</v>
      </c>
      <c r="G21" s="156">
        <f>+G20</f>
        <v>14660.054765467659</v>
      </c>
      <c r="H21" s="162"/>
    </row>
    <row r="22" spans="1:8" ht="13" x14ac:dyDescent="0.3">
      <c r="A22" s="128" t="s">
        <v>599</v>
      </c>
      <c r="B22" s="122"/>
      <c r="C22" s="122"/>
      <c r="D22" s="421"/>
      <c r="E22" s="122"/>
      <c r="F22" s="122"/>
      <c r="G22" s="122"/>
      <c r="H22" s="162"/>
    </row>
    <row r="23" spans="1:8" ht="13" x14ac:dyDescent="0.3">
      <c r="A23" s="133" t="s">
        <v>79</v>
      </c>
      <c r="B23" s="134" t="s">
        <v>591</v>
      </c>
      <c r="C23" s="134" t="s">
        <v>592</v>
      </c>
      <c r="D23" s="503" t="s">
        <v>593</v>
      </c>
      <c r="E23" s="134" t="s">
        <v>600</v>
      </c>
      <c r="F23" s="261" t="s">
        <v>87</v>
      </c>
      <c r="G23" s="135" t="s">
        <v>596</v>
      </c>
      <c r="H23" s="167"/>
    </row>
    <row r="24" spans="1:8" ht="26" x14ac:dyDescent="0.25">
      <c r="A24" s="264" t="s">
        <v>181</v>
      </c>
      <c r="B24" s="665" t="s">
        <v>182</v>
      </c>
      <c r="C24" s="264" t="s">
        <v>17</v>
      </c>
      <c r="D24" s="423">
        <v>1</v>
      </c>
      <c r="E24" s="429">
        <f>VLOOKUP(B24,'Rend. Equipos'!$B$7:$E$222,4,FALSE)</f>
        <v>201885.25333580485</v>
      </c>
      <c r="F24" s="661">
        <f>VLOOKUP(B24,'Rend. Equipos'!$B$6:$L$166,MATCH($F$23,'Rend. Equipos'!$B$6:$L$6,0),0)</f>
        <v>6.9444444444444436E-4</v>
      </c>
      <c r="G24" s="429">
        <f>+E24*D24*F24</f>
        <v>140.19809259430892</v>
      </c>
      <c r="H24" s="162"/>
    </row>
    <row r="25" spans="1:8" ht="13" x14ac:dyDescent="0.25">
      <c r="A25" s="265"/>
      <c r="B25" s="432" t="s">
        <v>177</v>
      </c>
      <c r="C25" s="265" t="s">
        <v>352</v>
      </c>
      <c r="D25" s="425">
        <v>1</v>
      </c>
      <c r="E25" s="432">
        <f>VLOOKUP(B25,'Rend. Equipos'!$B$7:$E$222,4,FALSE)</f>
        <v>1702971.4669775651</v>
      </c>
      <c r="F25" s="666">
        <f>VLOOKUP(B25,'Rend. Equipos'!$B$6:$L$166,MATCH($F$23,'Rend. Equipos'!$B$6:$L$6,0),0)</f>
        <v>1.3888888888888889E-3</v>
      </c>
      <c r="G25" s="432">
        <f>+E25*D25*F25</f>
        <v>2365.2381485799515</v>
      </c>
      <c r="H25" s="162"/>
    </row>
    <row r="26" spans="1:8" ht="13" x14ac:dyDescent="0.3">
      <c r="A26" s="139"/>
      <c r="B26" s="139"/>
      <c r="C26" s="139"/>
      <c r="D26" s="426"/>
      <c r="E26" s="140"/>
      <c r="F26" s="141" t="s">
        <v>602</v>
      </c>
      <c r="G26" s="142">
        <f>SUM(G24:G25)</f>
        <v>2505.4362411742604</v>
      </c>
      <c r="H26" s="162"/>
    </row>
    <row r="27" spans="1:8" ht="13" x14ac:dyDescent="0.3">
      <c r="A27" s="122"/>
      <c r="B27" s="122"/>
      <c r="C27" s="122"/>
      <c r="D27" s="421"/>
      <c r="E27" s="143"/>
      <c r="F27" s="144" t="s">
        <v>11</v>
      </c>
      <c r="G27" s="156">
        <f>+G26/F9</f>
        <v>263.73013064992216</v>
      </c>
      <c r="H27" s="162"/>
    </row>
    <row r="28" spans="1:8" ht="13" x14ac:dyDescent="0.3">
      <c r="A28" s="128" t="s">
        <v>603</v>
      </c>
      <c r="B28" s="122"/>
      <c r="C28" s="122"/>
      <c r="D28" s="421"/>
      <c r="E28" s="122"/>
      <c r="F28" s="122"/>
      <c r="G28" s="122"/>
      <c r="H28" s="162"/>
    </row>
    <row r="29" spans="1:8" ht="13" x14ac:dyDescent="0.3">
      <c r="A29" s="133" t="s">
        <v>79</v>
      </c>
      <c r="B29" s="134" t="s">
        <v>591</v>
      </c>
      <c r="C29" s="134" t="s">
        <v>592</v>
      </c>
      <c r="D29" s="503" t="s">
        <v>593</v>
      </c>
      <c r="E29" s="134" t="s">
        <v>604</v>
      </c>
      <c r="F29" s="134"/>
      <c r="G29" s="135" t="s">
        <v>596</v>
      </c>
      <c r="H29" s="167"/>
    </row>
    <row r="30" spans="1:8" ht="13" x14ac:dyDescent="0.3">
      <c r="A30" s="264" t="s">
        <v>265</v>
      </c>
      <c r="B30" s="175" t="s">
        <v>266</v>
      </c>
      <c r="C30" s="264" t="s">
        <v>605</v>
      </c>
      <c r="D30" s="433">
        <v>1</v>
      </c>
      <c r="E30" s="175">
        <f>VLOOKUP(B30,'Mano de Obra'!$B$8:$C$100,2,FALSE)</f>
        <v>85927.097156571981</v>
      </c>
      <c r="F30" s="175"/>
      <c r="G30" s="176">
        <f>+E30*D30</f>
        <v>85927.097156571981</v>
      </c>
      <c r="H30" s="162"/>
    </row>
    <row r="31" spans="1:8" ht="13" x14ac:dyDescent="0.3">
      <c r="A31" s="265" t="s">
        <v>251</v>
      </c>
      <c r="B31" s="180" t="s">
        <v>252</v>
      </c>
      <c r="C31" s="265" t="s">
        <v>605</v>
      </c>
      <c r="D31" s="434">
        <v>1</v>
      </c>
      <c r="E31" s="180">
        <f>VLOOKUP(B31,'Mano de Obra'!$B$8:$C$100,2,FALSE)</f>
        <v>65493.071636571978</v>
      </c>
      <c r="F31" s="180"/>
      <c r="G31" s="182">
        <f>+E31*D31</f>
        <v>65493.071636571978</v>
      </c>
      <c r="H31" s="162"/>
    </row>
    <row r="32" spans="1:8" ht="13" x14ac:dyDescent="0.3">
      <c r="A32" s="122"/>
      <c r="B32" s="122"/>
      <c r="C32" s="122"/>
      <c r="D32" s="426"/>
      <c r="E32" s="140"/>
      <c r="F32" s="141" t="s">
        <v>606</v>
      </c>
      <c r="G32" s="391">
        <f>SUM(G30:G31)</f>
        <v>151420.16879314397</v>
      </c>
      <c r="H32" s="162"/>
    </row>
    <row r="33" spans="1:8" ht="13" x14ac:dyDescent="0.3">
      <c r="A33" s="122"/>
      <c r="B33" s="122"/>
      <c r="C33" s="122"/>
      <c r="D33" s="421"/>
      <c r="E33" s="360"/>
      <c r="F33" s="123" t="s">
        <v>607</v>
      </c>
      <c r="G33" s="349">
        <v>1</v>
      </c>
      <c r="H33" s="162"/>
    </row>
    <row r="34" spans="1:8" ht="13" x14ac:dyDescent="0.3">
      <c r="A34" s="122"/>
      <c r="B34" s="122"/>
      <c r="C34" s="122"/>
      <c r="D34" s="421"/>
      <c r="E34" s="360"/>
      <c r="F34" s="123" t="s">
        <v>608</v>
      </c>
      <c r="G34" s="390">
        <f>+G33*G32</f>
        <v>151420.16879314397</v>
      </c>
      <c r="H34" s="162"/>
    </row>
    <row r="35" spans="1:8" ht="13" x14ac:dyDescent="0.3">
      <c r="A35" s="122"/>
      <c r="B35" s="122"/>
      <c r="C35" s="122"/>
      <c r="D35" s="421"/>
      <c r="E35" s="143"/>
      <c r="F35" s="144" t="s">
        <v>10</v>
      </c>
      <c r="G35" s="156">
        <f>+G34/F9</f>
        <v>15938.965136120418</v>
      </c>
      <c r="H35" s="162"/>
    </row>
    <row r="36" spans="1:8" ht="13" x14ac:dyDescent="0.3">
      <c r="A36" s="122"/>
      <c r="B36" s="122"/>
      <c r="C36" s="122"/>
      <c r="D36" s="421"/>
      <c r="H36" s="162"/>
    </row>
    <row r="37" spans="1:8" ht="13" x14ac:dyDescent="0.3">
      <c r="A37" s="122"/>
      <c r="B37" s="122"/>
      <c r="C37" s="122"/>
      <c r="D37" s="421"/>
      <c r="E37" s="122"/>
      <c r="F37" s="123" t="s">
        <v>609</v>
      </c>
      <c r="G37" s="123">
        <f>+G35+G27+G21</f>
        <v>30862.750032238</v>
      </c>
      <c r="H37" s="162"/>
    </row>
    <row r="38" spans="1:8" ht="13" x14ac:dyDescent="0.3">
      <c r="A38" s="122"/>
      <c r="B38" s="122"/>
      <c r="C38" s="122"/>
      <c r="D38" s="421"/>
      <c r="E38" s="123" t="s">
        <v>610</v>
      </c>
      <c r="F38" s="198">
        <f>+RESUMEN!$I$2</f>
        <v>0</v>
      </c>
      <c r="G38" s="130">
        <f>IF(F38=0,0,F38*G37)</f>
        <v>0</v>
      </c>
      <c r="H38" s="168"/>
    </row>
    <row r="39" spans="1:8" ht="13" x14ac:dyDescent="0.3">
      <c r="A39" s="122"/>
      <c r="B39" s="122"/>
      <c r="C39" s="122"/>
      <c r="D39" s="421"/>
      <c r="E39" s="123" t="s">
        <v>611</v>
      </c>
      <c r="F39" s="198">
        <f>+RESUMEN!$I$3</f>
        <v>0</v>
      </c>
      <c r="G39" s="130">
        <f>IF(F39=0,0,F39*G37)</f>
        <v>0</v>
      </c>
      <c r="H39" s="162"/>
    </row>
    <row r="40" spans="1:8" ht="13" x14ac:dyDescent="0.3">
      <c r="A40" s="122"/>
      <c r="B40" s="122"/>
      <c r="C40" s="122"/>
      <c r="D40" s="421"/>
      <c r="E40" s="151"/>
      <c r="F40" s="152" t="s">
        <v>612</v>
      </c>
      <c r="G40" s="389">
        <f>SUM(G37:G39)</f>
        <v>30862.750032238</v>
      </c>
      <c r="H40" s="162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9"/>
  </sheetPr>
  <dimension ref="A1:H40"/>
  <sheetViews>
    <sheetView workbookViewId="0">
      <selection activeCell="F10" sqref="F10"/>
    </sheetView>
  </sheetViews>
  <sheetFormatPr defaultColWidth="11.54296875" defaultRowHeight="12.5" x14ac:dyDescent="0.25"/>
  <cols>
    <col min="1" max="1" width="10.08984375" style="301" customWidth="1"/>
    <col min="2" max="2" width="35.6328125" style="301" customWidth="1"/>
    <col min="3" max="3" width="7.08984375" style="301" bestFit="1" customWidth="1"/>
    <col min="4" max="4" width="9" style="427" bestFit="1" customWidth="1"/>
    <col min="5" max="5" width="15.36328125" style="301" bestFit="1" customWidth="1"/>
    <col min="6" max="6" width="9.453125" style="301" customWidth="1"/>
    <col min="7" max="7" width="9.6328125" style="301" customWidth="1"/>
    <col min="8" max="16384" width="11.54296875" style="301"/>
  </cols>
  <sheetData>
    <row r="1" spans="1:8" ht="15.5" x14ac:dyDescent="0.25">
      <c r="A1" s="898"/>
      <c r="B1" s="899"/>
      <c r="C1" s="899"/>
      <c r="D1" s="899"/>
      <c r="E1" s="899"/>
      <c r="F1" s="899"/>
      <c r="G1" s="899"/>
      <c r="H1" s="250"/>
    </row>
    <row r="2" spans="1:8" ht="13" x14ac:dyDescent="0.25">
      <c r="A2" s="250"/>
      <c r="B2" s="250"/>
      <c r="C2" s="250"/>
      <c r="D2" s="501"/>
      <c r="E2" s="250"/>
      <c r="F2" s="668" t="s">
        <v>78</v>
      </c>
      <c r="G2" s="669" t="s">
        <v>711</v>
      </c>
      <c r="H2" s="250"/>
    </row>
    <row r="3" spans="1:8" ht="15.5" x14ac:dyDescent="0.35">
      <c r="A3" s="670" t="s">
        <v>579</v>
      </c>
      <c r="B3" s="251"/>
      <c r="C3" s="251"/>
      <c r="D3" s="502"/>
      <c r="E3" s="251"/>
      <c r="F3" s="251"/>
      <c r="G3" s="251"/>
      <c r="H3" s="250"/>
    </row>
    <row r="4" spans="1:8" ht="13" x14ac:dyDescent="0.3">
      <c r="A4" s="33"/>
      <c r="B4" s="33"/>
      <c r="C4" s="33"/>
      <c r="D4" s="421"/>
      <c r="E4" s="33"/>
      <c r="F4" s="452" t="s">
        <v>580</v>
      </c>
      <c r="G4" s="38">
        <v>62</v>
      </c>
      <c r="H4" s="250"/>
    </row>
    <row r="5" spans="1:8" ht="13" x14ac:dyDescent="0.25">
      <c r="A5" s="671" t="s">
        <v>581</v>
      </c>
      <c r="B5" s="672" t="s">
        <v>711</v>
      </c>
      <c r="C5" s="659"/>
      <c r="D5" s="584"/>
      <c r="E5" s="659"/>
      <c r="F5" s="659"/>
      <c r="G5" s="659"/>
      <c r="H5" s="250"/>
    </row>
    <row r="6" spans="1:8" ht="13" x14ac:dyDescent="0.3">
      <c r="A6" s="82" t="s">
        <v>582</v>
      </c>
      <c r="B6" s="673" t="s">
        <v>711</v>
      </c>
      <c r="C6" s="33"/>
      <c r="D6" s="421"/>
      <c r="E6" s="33"/>
      <c r="F6" s="452" t="s">
        <v>583</v>
      </c>
      <c r="G6" s="669" t="s">
        <v>711</v>
      </c>
      <c r="H6" s="250"/>
    </row>
    <row r="7" spans="1:8" ht="15.5" x14ac:dyDescent="0.25">
      <c r="A7" s="674" t="s">
        <v>584</v>
      </c>
      <c r="B7" s="900" t="s">
        <v>780</v>
      </c>
      <c r="C7" s="900"/>
      <c r="D7" s="900"/>
      <c r="E7" s="900"/>
      <c r="F7" s="900"/>
      <c r="G7" s="900"/>
      <c r="H7" s="250"/>
    </row>
    <row r="8" spans="1:8" ht="13" x14ac:dyDescent="0.3">
      <c r="A8" s="82"/>
      <c r="B8" s="33"/>
      <c r="C8" s="67" t="s">
        <v>586</v>
      </c>
      <c r="D8" s="421"/>
      <c r="E8" s="67" t="s">
        <v>587</v>
      </c>
      <c r="F8" s="82" t="s">
        <v>588</v>
      </c>
      <c r="G8" s="33"/>
      <c r="H8" s="250"/>
    </row>
    <row r="9" spans="1:8" ht="13" x14ac:dyDescent="0.3">
      <c r="A9" s="33"/>
      <c r="B9" s="33"/>
      <c r="C9" s="34" t="s">
        <v>45</v>
      </c>
      <c r="D9" s="421"/>
      <c r="E9" s="34">
        <v>100</v>
      </c>
      <c r="F9" s="33">
        <v>9.5</v>
      </c>
      <c r="G9" s="33" t="s">
        <v>615</v>
      </c>
      <c r="H9" s="250"/>
    </row>
    <row r="10" spans="1:8" ht="13" x14ac:dyDescent="0.3">
      <c r="A10" s="82" t="s">
        <v>590</v>
      </c>
      <c r="B10" s="33"/>
      <c r="C10" s="33"/>
      <c r="D10" s="421"/>
      <c r="E10" s="33"/>
      <c r="F10" s="33"/>
      <c r="G10" s="33"/>
      <c r="H10" s="250"/>
    </row>
    <row r="11" spans="1:8" ht="13" x14ac:dyDescent="0.3">
      <c r="A11" s="675" t="s">
        <v>79</v>
      </c>
      <c r="B11" s="252" t="s">
        <v>591</v>
      </c>
      <c r="C11" s="252" t="s">
        <v>592</v>
      </c>
      <c r="D11" s="503" t="s">
        <v>593</v>
      </c>
      <c r="E11" s="252" t="s">
        <v>594</v>
      </c>
      <c r="F11" s="252" t="s">
        <v>595</v>
      </c>
      <c r="G11" s="252" t="s">
        <v>596</v>
      </c>
      <c r="H11" s="78" t="s">
        <v>597</v>
      </c>
    </row>
    <row r="12" spans="1:8" ht="13" x14ac:dyDescent="0.3">
      <c r="A12" s="116"/>
      <c r="B12" s="116" t="s">
        <v>428</v>
      </c>
      <c r="C12" s="518" t="s">
        <v>17</v>
      </c>
      <c r="D12" s="433">
        <v>0.50770000000000004</v>
      </c>
      <c r="E12" s="116">
        <f>VLOOKUP(B12,Materiales!$B$8:$D$118,3,FALSE)</f>
        <v>2932.93</v>
      </c>
      <c r="F12" s="116">
        <v>10</v>
      </c>
      <c r="G12" s="449">
        <f t="shared" ref="G12:G19" si="0">+D12*E12*((F12+100)/100)</f>
        <v>1637.9534171000003</v>
      </c>
      <c r="H12" s="449">
        <f>+D12*$E$9</f>
        <v>50.77</v>
      </c>
    </row>
    <row r="13" spans="1:8" ht="13" x14ac:dyDescent="0.3">
      <c r="A13" s="35"/>
      <c r="B13" s="35" t="s">
        <v>429</v>
      </c>
      <c r="C13" s="479" t="s">
        <v>17</v>
      </c>
      <c r="D13" s="457">
        <v>1.2307692307692308</v>
      </c>
      <c r="E13" s="35">
        <f>VLOOKUP(B13,Materiales!$B$8:$D$118,3,FALSE)</f>
        <v>3295.47</v>
      </c>
      <c r="F13" s="35">
        <v>10</v>
      </c>
      <c r="G13" s="676">
        <f t="shared" si="0"/>
        <v>4461.5593846153852</v>
      </c>
      <c r="H13" s="676">
        <f>+D13*$E$9</f>
        <v>123.07692307692308</v>
      </c>
    </row>
    <row r="14" spans="1:8" ht="13" x14ac:dyDescent="0.3">
      <c r="A14" s="35"/>
      <c r="B14" s="35" t="s">
        <v>432</v>
      </c>
      <c r="C14" s="479" t="s">
        <v>17</v>
      </c>
      <c r="D14" s="457">
        <v>16</v>
      </c>
      <c r="E14" s="35">
        <f>VLOOKUP(B14,Materiales!$B$8:$D$118,3,FALSE)</f>
        <v>32.707173553719009</v>
      </c>
      <c r="F14" s="35">
        <v>5</v>
      </c>
      <c r="G14" s="676">
        <f t="shared" si="0"/>
        <v>549.48051570247935</v>
      </c>
      <c r="H14" s="676">
        <f t="shared" ref="H14:H19" si="1">+D14*$E$9</f>
        <v>1600</v>
      </c>
    </row>
    <row r="15" spans="1:8" ht="13" x14ac:dyDescent="0.3">
      <c r="A15" s="35"/>
      <c r="B15" s="35" t="s">
        <v>434</v>
      </c>
      <c r="C15" s="479" t="s">
        <v>17</v>
      </c>
      <c r="D15" s="457">
        <v>18</v>
      </c>
      <c r="E15" s="35">
        <f>VLOOKUP(B15,Materiales!$B$8:$D$118,3,FALSE)</f>
        <v>17.196317722681361</v>
      </c>
      <c r="F15" s="35">
        <v>5</v>
      </c>
      <c r="G15" s="676">
        <f t="shared" si="0"/>
        <v>325.01040495867773</v>
      </c>
      <c r="H15" s="676">
        <f t="shared" si="1"/>
        <v>1800</v>
      </c>
    </row>
    <row r="16" spans="1:8" ht="13" x14ac:dyDescent="0.3">
      <c r="A16" s="35"/>
      <c r="B16" s="35" t="s">
        <v>436</v>
      </c>
      <c r="C16" s="479" t="s">
        <v>17</v>
      </c>
      <c r="D16" s="457">
        <v>6</v>
      </c>
      <c r="E16" s="35">
        <f>VLOOKUP(B16,Materiales!$B$8:$D$118,3,FALSE)</f>
        <v>65.919008264462803</v>
      </c>
      <c r="F16" s="35">
        <v>5</v>
      </c>
      <c r="G16" s="676">
        <f t="shared" si="0"/>
        <v>415.28975206611568</v>
      </c>
      <c r="H16" s="676">
        <f t="shared" si="1"/>
        <v>600</v>
      </c>
    </row>
    <row r="17" spans="1:8" ht="13" x14ac:dyDescent="0.3">
      <c r="A17" s="35"/>
      <c r="B17" s="35" t="s">
        <v>437</v>
      </c>
      <c r="C17" s="479" t="s">
        <v>52</v>
      </c>
      <c r="D17" s="457">
        <v>1.8333333333333333E-2</v>
      </c>
      <c r="E17" s="35">
        <f>VLOOKUP(B17,Materiales!$B$8:$D$118,3,FALSE)</f>
        <v>4042.71</v>
      </c>
      <c r="F17" s="35">
        <v>5</v>
      </c>
      <c r="G17" s="676">
        <f t="shared" si="0"/>
        <v>77.822167500000006</v>
      </c>
      <c r="H17" s="676">
        <f t="shared" si="1"/>
        <v>1.8333333333333333</v>
      </c>
    </row>
    <row r="18" spans="1:8" ht="13" x14ac:dyDescent="0.3">
      <c r="A18" s="35"/>
      <c r="B18" s="35" t="s">
        <v>440</v>
      </c>
      <c r="C18" s="479" t="s">
        <v>403</v>
      </c>
      <c r="D18" s="331">
        <v>2.8124999999999997E-2</v>
      </c>
      <c r="E18" s="35">
        <f>VLOOKUP(B18,Materiales!$B$8:$D$118,3,FALSE)</f>
        <v>26872.02</v>
      </c>
      <c r="F18" s="35">
        <v>5</v>
      </c>
      <c r="G18" s="676">
        <f t="shared" si="0"/>
        <v>793.564340625</v>
      </c>
      <c r="H18" s="676">
        <f t="shared" si="1"/>
        <v>2.8124999999999996</v>
      </c>
    </row>
    <row r="19" spans="1:8" ht="13" x14ac:dyDescent="0.3">
      <c r="A19" s="80"/>
      <c r="B19" s="80" t="s">
        <v>443</v>
      </c>
      <c r="C19" s="524" t="s">
        <v>17</v>
      </c>
      <c r="D19" s="434">
        <v>0.36</v>
      </c>
      <c r="E19" s="80">
        <f>VLOOKUP(B19,Materiales!$B$8:$D$118,3,FALSE)</f>
        <v>14217.87</v>
      </c>
      <c r="F19" s="80">
        <v>10</v>
      </c>
      <c r="G19" s="450">
        <f t="shared" si="0"/>
        <v>5630.2765200000013</v>
      </c>
      <c r="H19" s="450">
        <f t="shared" si="1"/>
        <v>36</v>
      </c>
    </row>
    <row r="20" spans="1:8" ht="13" x14ac:dyDescent="0.3">
      <c r="A20" s="254"/>
      <c r="B20" s="254"/>
      <c r="C20" s="254"/>
      <c r="D20" s="426"/>
      <c r="E20" s="677"/>
      <c r="F20" s="678" t="s">
        <v>598</v>
      </c>
      <c r="G20" s="462">
        <f>SUM(G12:G19)</f>
        <v>13890.95650256766</v>
      </c>
      <c r="H20" s="250"/>
    </row>
    <row r="21" spans="1:8" ht="13" x14ac:dyDescent="0.3">
      <c r="A21" s="33"/>
      <c r="B21" s="33"/>
      <c r="C21" s="33"/>
      <c r="D21" s="421"/>
      <c r="E21" s="679"/>
      <c r="F21" s="680" t="s">
        <v>9</v>
      </c>
      <c r="G21" s="667">
        <f>+G20</f>
        <v>13890.95650256766</v>
      </c>
      <c r="H21" s="250"/>
    </row>
    <row r="22" spans="1:8" ht="13" x14ac:dyDescent="0.3">
      <c r="A22" s="82" t="s">
        <v>599</v>
      </c>
      <c r="B22" s="33"/>
      <c r="C22" s="33"/>
      <c r="D22" s="421"/>
      <c r="E22" s="33"/>
      <c r="F22" s="33"/>
      <c r="G22" s="33"/>
      <c r="H22" s="250"/>
    </row>
    <row r="23" spans="1:8" ht="13" x14ac:dyDescent="0.3">
      <c r="A23" s="675" t="s">
        <v>79</v>
      </c>
      <c r="B23" s="252" t="s">
        <v>591</v>
      </c>
      <c r="C23" s="252" t="s">
        <v>592</v>
      </c>
      <c r="D23" s="503" t="s">
        <v>593</v>
      </c>
      <c r="E23" s="252" t="s">
        <v>600</v>
      </c>
      <c r="F23" s="447" t="s">
        <v>87</v>
      </c>
      <c r="G23" s="78" t="s">
        <v>596</v>
      </c>
      <c r="H23" s="681"/>
    </row>
    <row r="24" spans="1:8" ht="26" x14ac:dyDescent="0.3">
      <c r="A24" s="116" t="s">
        <v>181</v>
      </c>
      <c r="B24" s="682" t="s">
        <v>182</v>
      </c>
      <c r="C24" s="246" t="s">
        <v>17</v>
      </c>
      <c r="D24" s="423">
        <v>1</v>
      </c>
      <c r="E24" s="246">
        <f>VLOOKUP(B24,'Rend. Equipos'!$B$7:$E$222,4,FALSE)</f>
        <v>201885.25333580485</v>
      </c>
      <c r="F24" s="423">
        <f>VLOOKUP(B24,'Rend. Equipos'!$B$6:$L$166,MATCH($F$23,'Rend. Equipos'!$B$6:$L$6,0),0)</f>
        <v>6.9444444444444436E-4</v>
      </c>
      <c r="G24" s="246">
        <f>+E24*D24*F24</f>
        <v>140.19809259430892</v>
      </c>
      <c r="H24" s="250"/>
    </row>
    <row r="25" spans="1:8" ht="13" x14ac:dyDescent="0.3">
      <c r="A25" s="80" t="s">
        <v>135</v>
      </c>
      <c r="B25" s="56" t="s">
        <v>177</v>
      </c>
      <c r="C25" s="248" t="s">
        <v>352</v>
      </c>
      <c r="D25" s="425">
        <v>1</v>
      </c>
      <c r="E25" s="248">
        <f>VLOOKUP(B25,'Rend. Equipos'!$B$7:$E$222,4,FALSE)</f>
        <v>1702971.4669775651</v>
      </c>
      <c r="F25" s="425">
        <f>VLOOKUP(B25,'Rend. Equipos'!$B$6:$L$166,MATCH($F$23,'Rend. Equipos'!$B$6:$L$6,0),0)</f>
        <v>1.3888888888888889E-3</v>
      </c>
      <c r="G25" s="248">
        <f>+E25*D25*F25</f>
        <v>2365.2381485799515</v>
      </c>
      <c r="H25" s="250"/>
    </row>
    <row r="26" spans="1:8" ht="13" x14ac:dyDescent="0.3">
      <c r="A26" s="254"/>
      <c r="B26" s="254"/>
      <c r="C26" s="254"/>
      <c r="D26" s="426"/>
      <c r="E26" s="677"/>
      <c r="F26" s="678" t="s">
        <v>602</v>
      </c>
      <c r="G26" s="462">
        <f>SUM(G24:G25)</f>
        <v>2505.4362411742604</v>
      </c>
      <c r="H26" s="250"/>
    </row>
    <row r="27" spans="1:8" ht="13" x14ac:dyDescent="0.3">
      <c r="A27" s="33"/>
      <c r="B27" s="33"/>
      <c r="C27" s="33"/>
      <c r="D27" s="421"/>
      <c r="E27" s="679"/>
      <c r="F27" s="680" t="s">
        <v>11</v>
      </c>
      <c r="G27" s="667">
        <f>+G26/F9</f>
        <v>263.73013064992216</v>
      </c>
      <c r="H27" s="250"/>
    </row>
    <row r="28" spans="1:8" ht="13" x14ac:dyDescent="0.3">
      <c r="A28" s="82" t="s">
        <v>603</v>
      </c>
      <c r="B28" s="33"/>
      <c r="C28" s="33"/>
      <c r="D28" s="421"/>
      <c r="E28" s="33"/>
      <c r="F28" s="33"/>
      <c r="G28" s="33"/>
      <c r="H28" s="250"/>
    </row>
    <row r="29" spans="1:8" ht="13" x14ac:dyDescent="0.3">
      <c r="A29" s="675" t="s">
        <v>79</v>
      </c>
      <c r="B29" s="252" t="s">
        <v>591</v>
      </c>
      <c r="C29" s="252" t="s">
        <v>592</v>
      </c>
      <c r="D29" s="503" t="s">
        <v>593</v>
      </c>
      <c r="E29" s="252" t="s">
        <v>604</v>
      </c>
      <c r="F29" s="252"/>
      <c r="G29" s="78" t="s">
        <v>596</v>
      </c>
      <c r="H29" s="681"/>
    </row>
    <row r="30" spans="1:8" ht="13" x14ac:dyDescent="0.3">
      <c r="A30" s="116" t="s">
        <v>265</v>
      </c>
      <c r="B30" s="116" t="s">
        <v>266</v>
      </c>
      <c r="C30" s="246" t="s">
        <v>605</v>
      </c>
      <c r="D30" s="433">
        <v>1</v>
      </c>
      <c r="E30" s="116">
        <f>VLOOKUP(B30,'Mano de Obra'!$B$8:$C$100,2,FALSE)</f>
        <v>85927.097156571981</v>
      </c>
      <c r="F30" s="116"/>
      <c r="G30" s="449">
        <f>+E30*D30</f>
        <v>85927.097156571981</v>
      </c>
      <c r="H30" s="250"/>
    </row>
    <row r="31" spans="1:8" ht="13" x14ac:dyDescent="0.3">
      <c r="A31" s="80" t="s">
        <v>251</v>
      </c>
      <c r="B31" s="80" t="s">
        <v>252</v>
      </c>
      <c r="C31" s="248" t="s">
        <v>605</v>
      </c>
      <c r="D31" s="434">
        <v>1</v>
      </c>
      <c r="E31" s="80">
        <f>VLOOKUP(B31,'Mano de Obra'!$B$8:$C$100,2,FALSE)</f>
        <v>65493.071636571978</v>
      </c>
      <c r="F31" s="80"/>
      <c r="G31" s="450">
        <f>+E31*D31</f>
        <v>65493.071636571978</v>
      </c>
      <c r="H31" s="250"/>
    </row>
    <row r="32" spans="1:8" ht="13" x14ac:dyDescent="0.3">
      <c r="A32" s="33"/>
      <c r="B32" s="33"/>
      <c r="C32" s="33"/>
      <c r="D32" s="504"/>
      <c r="E32" s="677"/>
      <c r="F32" s="678" t="s">
        <v>606</v>
      </c>
      <c r="G32" s="462">
        <f>SUM(G30:G31)</f>
        <v>151420.16879314397</v>
      </c>
      <c r="H32" s="250"/>
    </row>
    <row r="33" spans="1:8" ht="13" x14ac:dyDescent="0.3">
      <c r="A33" s="33"/>
      <c r="B33" s="33"/>
      <c r="C33" s="33"/>
      <c r="D33" s="421"/>
      <c r="E33" s="686"/>
      <c r="F33" s="687" t="s">
        <v>607</v>
      </c>
      <c r="G33" s="688">
        <v>1</v>
      </c>
      <c r="H33" s="250"/>
    </row>
    <row r="34" spans="1:8" ht="13" x14ac:dyDescent="0.3">
      <c r="A34" s="33"/>
      <c r="B34" s="33"/>
      <c r="C34" s="33"/>
      <c r="D34" s="421"/>
      <c r="E34" s="686"/>
      <c r="F34" s="687" t="s">
        <v>608</v>
      </c>
      <c r="G34" s="689">
        <f>+G33*G32</f>
        <v>151420.16879314397</v>
      </c>
      <c r="H34" s="250"/>
    </row>
    <row r="35" spans="1:8" ht="13" x14ac:dyDescent="0.3">
      <c r="A35" s="33"/>
      <c r="B35" s="33"/>
      <c r="C35" s="33"/>
      <c r="D35" s="421"/>
      <c r="E35" s="679"/>
      <c r="F35" s="680" t="s">
        <v>10</v>
      </c>
      <c r="G35" s="667">
        <f>+G34/F9</f>
        <v>15938.965136120418</v>
      </c>
      <c r="H35" s="250"/>
    </row>
    <row r="36" spans="1:8" ht="13" x14ac:dyDescent="0.3">
      <c r="A36" s="33"/>
      <c r="B36" s="33"/>
      <c r="C36" s="33"/>
      <c r="D36" s="421"/>
      <c r="H36" s="250"/>
    </row>
    <row r="37" spans="1:8" ht="13" x14ac:dyDescent="0.3">
      <c r="A37" s="33"/>
      <c r="B37" s="33"/>
      <c r="C37" s="33"/>
      <c r="D37" s="421"/>
      <c r="E37" s="33"/>
      <c r="F37" s="452" t="s">
        <v>609</v>
      </c>
      <c r="G37" s="452">
        <f>+G35+G27+G21</f>
        <v>30093.651769338001</v>
      </c>
      <c r="H37" s="250"/>
    </row>
    <row r="38" spans="1:8" ht="13" x14ac:dyDescent="0.3">
      <c r="A38" s="33"/>
      <c r="B38" s="33"/>
      <c r="C38" s="33"/>
      <c r="D38" s="421"/>
      <c r="E38" s="452" t="s">
        <v>610</v>
      </c>
      <c r="F38" s="198">
        <f>+RESUMEN!$I$2</f>
        <v>0</v>
      </c>
      <c r="G38" s="38">
        <f>IF(F38=0,0,F38*G37)</f>
        <v>0</v>
      </c>
      <c r="H38" s="683"/>
    </row>
    <row r="39" spans="1:8" ht="13" x14ac:dyDescent="0.3">
      <c r="A39" s="33"/>
      <c r="B39" s="33"/>
      <c r="C39" s="33"/>
      <c r="D39" s="421"/>
      <c r="E39" s="452" t="s">
        <v>611</v>
      </c>
      <c r="F39" s="198">
        <f>+RESUMEN!$I$3</f>
        <v>0</v>
      </c>
      <c r="G39" s="38">
        <f>IF(F39=0,0,F39*G37)</f>
        <v>0</v>
      </c>
      <c r="H39" s="250"/>
    </row>
    <row r="40" spans="1:8" ht="13" x14ac:dyDescent="0.3">
      <c r="A40" s="33"/>
      <c r="B40" s="33"/>
      <c r="C40" s="33"/>
      <c r="D40" s="421"/>
      <c r="E40" s="684"/>
      <c r="F40" s="685" t="s">
        <v>612</v>
      </c>
      <c r="G40" s="690">
        <f>SUM(G37:G39)</f>
        <v>30093.651769338001</v>
      </c>
      <c r="H40" s="250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9"/>
  </sheetPr>
  <dimension ref="A1:H38"/>
  <sheetViews>
    <sheetView workbookViewId="0">
      <selection activeCell="F9" sqref="F9"/>
    </sheetView>
  </sheetViews>
  <sheetFormatPr defaultColWidth="11.453125" defaultRowHeight="12.5" x14ac:dyDescent="0.25"/>
  <cols>
    <col min="1" max="1" width="11.08984375" customWidth="1"/>
    <col min="2" max="2" width="36.6328125" customWidth="1"/>
    <col min="3" max="3" width="7.08984375" bestFit="1" customWidth="1"/>
    <col min="4" max="4" width="9" style="427" bestFit="1" customWidth="1"/>
    <col min="5" max="5" width="15.36328125" bestFit="1" customWidth="1"/>
    <col min="6" max="6" width="9.453125" customWidth="1"/>
    <col min="7" max="7" width="11.453125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62"/>
    </row>
    <row r="2" spans="1:8" ht="13" x14ac:dyDescent="0.25">
      <c r="A2" s="162"/>
      <c r="B2" s="162"/>
      <c r="C2" s="162"/>
      <c r="D2" s="501"/>
      <c r="E2" s="162"/>
      <c r="F2" s="163" t="s">
        <v>78</v>
      </c>
      <c r="G2" s="669" t="s">
        <v>711</v>
      </c>
      <c r="H2" s="162"/>
    </row>
    <row r="3" spans="1:8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</row>
    <row r="4" spans="1:8" ht="13" x14ac:dyDescent="0.3">
      <c r="A4" s="122"/>
      <c r="B4" s="122"/>
      <c r="C4" s="122"/>
      <c r="D4" s="421"/>
      <c r="E4" s="122"/>
      <c r="F4" s="123" t="s">
        <v>580</v>
      </c>
      <c r="G4" s="126">
        <v>63</v>
      </c>
      <c r="H4" s="162"/>
    </row>
    <row r="5" spans="1:8" ht="13" x14ac:dyDescent="0.25">
      <c r="A5" s="127" t="s">
        <v>581</v>
      </c>
      <c r="B5" s="673" t="s">
        <v>711</v>
      </c>
      <c r="C5" s="673"/>
      <c r="D5" s="691"/>
      <c r="E5" s="673"/>
      <c r="F5" s="673"/>
      <c r="G5" s="673"/>
      <c r="H5" s="162"/>
    </row>
    <row r="6" spans="1:8" ht="13" x14ac:dyDescent="0.3">
      <c r="A6" s="128" t="s">
        <v>582</v>
      </c>
      <c r="B6" s="673" t="s">
        <v>711</v>
      </c>
      <c r="C6" s="122"/>
      <c r="D6" s="421"/>
      <c r="E6" s="122"/>
      <c r="F6" s="123" t="s">
        <v>583</v>
      </c>
      <c r="G6" s="669" t="s">
        <v>711</v>
      </c>
      <c r="H6" s="162"/>
    </row>
    <row r="7" spans="1:8" ht="15.5" x14ac:dyDescent="0.25">
      <c r="A7" s="197" t="s">
        <v>584</v>
      </c>
      <c r="B7" s="873" t="s">
        <v>781</v>
      </c>
      <c r="C7" s="874"/>
      <c r="D7" s="874"/>
      <c r="E7" s="874"/>
      <c r="F7" s="874"/>
      <c r="G7" s="874"/>
      <c r="H7" s="162"/>
    </row>
    <row r="8" spans="1:8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</row>
    <row r="9" spans="1:8" ht="13" x14ac:dyDescent="0.3">
      <c r="A9" s="122"/>
      <c r="B9" s="122"/>
      <c r="C9" s="132" t="s">
        <v>45</v>
      </c>
      <c r="D9" s="421"/>
      <c r="E9" s="132">
        <v>100</v>
      </c>
      <c r="F9" s="33">
        <v>10</v>
      </c>
      <c r="G9" s="158" t="s">
        <v>615</v>
      </c>
      <c r="H9" s="162"/>
    </row>
    <row r="10" spans="1:8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</row>
    <row r="11" spans="1:8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4" t="s">
        <v>596</v>
      </c>
      <c r="H11" s="78" t="s">
        <v>597</v>
      </c>
    </row>
    <row r="12" spans="1:8" ht="13" x14ac:dyDescent="0.3">
      <c r="A12" s="175"/>
      <c r="B12" s="175" t="s">
        <v>448</v>
      </c>
      <c r="C12" s="298" t="s">
        <v>17</v>
      </c>
      <c r="D12" s="433">
        <v>0.49</v>
      </c>
      <c r="E12" s="175">
        <f>VLOOKUP(B12,Materiales!$B$8:$D$118,3,FALSE)</f>
        <v>2470.5619834710747</v>
      </c>
      <c r="F12" s="246">
        <v>10</v>
      </c>
      <c r="G12" s="246">
        <f t="shared" ref="G12:G17" si="0">+D12*E12*((F12+100)/100)</f>
        <v>1331.6329090909094</v>
      </c>
      <c r="H12" s="246">
        <f>+D12*$E$9</f>
        <v>49</v>
      </c>
    </row>
    <row r="13" spans="1:8" ht="13" x14ac:dyDescent="0.3">
      <c r="A13" s="178"/>
      <c r="B13" s="178" t="s">
        <v>449</v>
      </c>
      <c r="C13" s="428" t="s">
        <v>17</v>
      </c>
      <c r="D13" s="457">
        <v>0.44</v>
      </c>
      <c r="E13" s="178">
        <f>VLOOKUP(B13,Materiales!$B$8:$D$118,3,FALSE)</f>
        <v>3894.6611570247933</v>
      </c>
      <c r="F13" s="247">
        <v>5</v>
      </c>
      <c r="G13" s="247">
        <f t="shared" si="0"/>
        <v>1799.3334545454545</v>
      </c>
      <c r="H13" s="247">
        <f>+D13*$E$9</f>
        <v>44</v>
      </c>
    </row>
    <row r="14" spans="1:8" ht="13" x14ac:dyDescent="0.3">
      <c r="A14" s="178"/>
      <c r="B14" s="178" t="s">
        <v>450</v>
      </c>
      <c r="C14" s="428" t="s">
        <v>17</v>
      </c>
      <c r="D14" s="457"/>
      <c r="E14" s="178">
        <f>VLOOKUP(B14,Materiales!$B$8:$D$118,3,FALSE)</f>
        <v>1262.1735537190084</v>
      </c>
      <c r="F14" s="247">
        <v>5</v>
      </c>
      <c r="G14" s="247">
        <f t="shared" si="0"/>
        <v>0</v>
      </c>
      <c r="H14" s="247">
        <f t="shared" ref="H14:H17" si="1">+D14*$E$9</f>
        <v>0</v>
      </c>
    </row>
    <row r="15" spans="1:8" ht="13" x14ac:dyDescent="0.3">
      <c r="A15" s="178"/>
      <c r="B15" s="178" t="s">
        <v>451</v>
      </c>
      <c r="C15" s="428" t="s">
        <v>17</v>
      </c>
      <c r="D15" s="457">
        <v>2.67</v>
      </c>
      <c r="E15" s="178">
        <f>VLOOKUP(B15,Materiales!$B$8:$D$118,3,FALSE)</f>
        <v>647.24793388429748</v>
      </c>
      <c r="F15" s="247">
        <v>5</v>
      </c>
      <c r="G15" s="247">
        <f t="shared" si="0"/>
        <v>1814.5595826446279</v>
      </c>
      <c r="H15" s="247">
        <f t="shared" si="1"/>
        <v>267</v>
      </c>
    </row>
    <row r="16" spans="1:8" ht="13" x14ac:dyDescent="0.3">
      <c r="A16" s="692"/>
      <c r="B16" s="35" t="s">
        <v>436</v>
      </c>
      <c r="C16" s="693" t="s">
        <v>17</v>
      </c>
      <c r="D16" s="694">
        <v>6</v>
      </c>
      <c r="E16" s="178">
        <f>VLOOKUP(B16,Materiales!$B$8:$D$118,3,FALSE)</f>
        <v>65.919008264462803</v>
      </c>
      <c r="F16" s="247">
        <v>5</v>
      </c>
      <c r="G16" s="247">
        <f t="shared" ref="G16" si="2">+D16*E16*((F16+100)/100)</f>
        <v>415.28975206611568</v>
      </c>
      <c r="H16" s="247">
        <f t="shared" ref="H16" si="3">+D16*$E$9</f>
        <v>600</v>
      </c>
    </row>
    <row r="17" spans="1:8" ht="13" x14ac:dyDescent="0.3">
      <c r="A17" s="180"/>
      <c r="B17" s="180" t="s">
        <v>456</v>
      </c>
      <c r="C17" s="299" t="s">
        <v>17</v>
      </c>
      <c r="D17" s="434">
        <v>0.06</v>
      </c>
      <c r="E17" s="180">
        <f>VLOOKUP(B17,Materiales!$B$8:$D$118,3,FALSE)</f>
        <v>2474.3471074380168</v>
      </c>
      <c r="F17" s="248">
        <v>5</v>
      </c>
      <c r="G17" s="248">
        <f t="shared" si="0"/>
        <v>155.88386776859505</v>
      </c>
      <c r="H17" s="248">
        <f t="shared" si="1"/>
        <v>6</v>
      </c>
    </row>
    <row r="18" spans="1:8" ht="13" x14ac:dyDescent="0.3">
      <c r="A18" s="122"/>
      <c r="B18" s="122"/>
      <c r="C18" s="122"/>
      <c r="D18" s="504"/>
      <c r="E18" s="360"/>
      <c r="F18" s="123" t="s">
        <v>598</v>
      </c>
      <c r="G18" s="390">
        <f>SUM(G12:G17)</f>
        <v>5516.6995661157025</v>
      </c>
      <c r="H18" s="162"/>
    </row>
    <row r="19" spans="1:8" ht="13" x14ac:dyDescent="0.3">
      <c r="A19" s="122"/>
      <c r="B19" s="122"/>
      <c r="C19" s="122"/>
      <c r="D19" s="421"/>
      <c r="E19" s="143"/>
      <c r="F19" s="144" t="s">
        <v>9</v>
      </c>
      <c r="G19" s="156">
        <f>+G18</f>
        <v>5516.6995661157025</v>
      </c>
      <c r="H19" s="162"/>
    </row>
    <row r="20" spans="1:8" ht="13" x14ac:dyDescent="0.3">
      <c r="A20" s="128" t="s">
        <v>599</v>
      </c>
      <c r="B20" s="122"/>
      <c r="C20" s="122"/>
      <c r="D20" s="421"/>
      <c r="E20" s="122"/>
      <c r="F20" s="122"/>
      <c r="G20" s="122"/>
      <c r="H20" s="162"/>
    </row>
    <row r="21" spans="1:8" ht="13" x14ac:dyDescent="0.3">
      <c r="A21" s="133" t="s">
        <v>79</v>
      </c>
      <c r="B21" s="134" t="s">
        <v>591</v>
      </c>
      <c r="C21" s="134" t="s">
        <v>592</v>
      </c>
      <c r="D21" s="503" t="s">
        <v>593</v>
      </c>
      <c r="E21" s="134" t="s">
        <v>600</v>
      </c>
      <c r="F21" s="447" t="s">
        <v>87</v>
      </c>
      <c r="G21" s="135" t="s">
        <v>596</v>
      </c>
      <c r="H21" s="167"/>
    </row>
    <row r="22" spans="1:8" ht="26" x14ac:dyDescent="0.3">
      <c r="A22" s="264" t="s">
        <v>181</v>
      </c>
      <c r="B22" s="695" t="s">
        <v>182</v>
      </c>
      <c r="C22" s="264" t="s">
        <v>17</v>
      </c>
      <c r="D22" s="464">
        <v>1</v>
      </c>
      <c r="E22" s="429">
        <f>VLOOKUP(B22,'Rend. Equipos'!$B$7:$E$222,4,FALSE)</f>
        <v>201885.25333580485</v>
      </c>
      <c r="F22" s="423">
        <f>VLOOKUP(B22,'Rend. Equipos'!$B$6:$L$166,MATCH($F$21,'Rend. Equipos'!$B$6:$L$6,0),0)</f>
        <v>6.9444444444444436E-4</v>
      </c>
      <c r="G22" s="465">
        <f>+E22*D22*F22</f>
        <v>140.19809259430892</v>
      </c>
      <c r="H22" s="162"/>
    </row>
    <row r="23" spans="1:8" ht="13" x14ac:dyDescent="0.3">
      <c r="A23" s="180"/>
      <c r="B23" s="180" t="s">
        <v>177</v>
      </c>
      <c r="C23" s="265" t="s">
        <v>352</v>
      </c>
      <c r="D23" s="468">
        <v>1</v>
      </c>
      <c r="E23" s="432">
        <f>VLOOKUP(B23,'Rend. Equipos'!$B$7:$E$222,4,FALSE)</f>
        <v>1702971.4669775651</v>
      </c>
      <c r="F23" s="425">
        <f>VLOOKUP(B23,'Rend. Equipos'!$B$6:$L$166,MATCH($F$21,'Rend. Equipos'!$B$6:$L$6,0),0)</f>
        <v>1.3888888888888889E-3</v>
      </c>
      <c r="G23" s="469">
        <f>+E23*D23*F23</f>
        <v>2365.2381485799515</v>
      </c>
      <c r="H23" s="162"/>
    </row>
    <row r="24" spans="1:8" ht="13" x14ac:dyDescent="0.3">
      <c r="A24" s="139"/>
      <c r="B24" s="139"/>
      <c r="C24" s="139"/>
      <c r="D24" s="426"/>
      <c r="E24" s="140"/>
      <c r="F24" s="141" t="s">
        <v>602</v>
      </c>
      <c r="G24" s="142">
        <f>SUM(G22:G23)</f>
        <v>2505.4362411742604</v>
      </c>
      <c r="H24" s="162"/>
    </row>
    <row r="25" spans="1:8" ht="13" x14ac:dyDescent="0.3">
      <c r="A25" s="122"/>
      <c r="B25" s="122"/>
      <c r="C25" s="122"/>
      <c r="D25" s="421"/>
      <c r="E25" s="143"/>
      <c r="F25" s="144" t="s">
        <v>11</v>
      </c>
      <c r="G25" s="156">
        <f>+G24/F9</f>
        <v>250.54362411742605</v>
      </c>
      <c r="H25" s="162"/>
    </row>
    <row r="26" spans="1:8" ht="13" x14ac:dyDescent="0.3">
      <c r="A26" s="128" t="s">
        <v>603</v>
      </c>
      <c r="B26" s="122"/>
      <c r="C26" s="122"/>
      <c r="D26" s="421"/>
      <c r="E26" s="122"/>
      <c r="F26" s="122"/>
      <c r="G26" s="122"/>
      <c r="H26" s="162"/>
    </row>
    <row r="27" spans="1:8" ht="13" x14ac:dyDescent="0.3">
      <c r="A27" s="133" t="s">
        <v>79</v>
      </c>
      <c r="B27" s="134" t="s">
        <v>591</v>
      </c>
      <c r="C27" s="134" t="s">
        <v>592</v>
      </c>
      <c r="D27" s="503" t="s">
        <v>593</v>
      </c>
      <c r="E27" s="134" t="s">
        <v>604</v>
      </c>
      <c r="F27" s="134"/>
      <c r="G27" s="135" t="s">
        <v>596</v>
      </c>
      <c r="H27" s="167"/>
    </row>
    <row r="28" spans="1:8" ht="13" x14ac:dyDescent="0.3">
      <c r="A28" s="264" t="s">
        <v>265</v>
      </c>
      <c r="B28" s="175" t="s">
        <v>266</v>
      </c>
      <c r="C28" s="264" t="s">
        <v>605</v>
      </c>
      <c r="D28" s="433">
        <v>1</v>
      </c>
      <c r="E28" s="175">
        <f>VLOOKUP(B28,'Mano de Obra'!$B$8:$C$100,2,FALSE)</f>
        <v>85927.097156571981</v>
      </c>
      <c r="F28" s="175"/>
      <c r="G28" s="176">
        <f>+E28*D28</f>
        <v>85927.097156571981</v>
      </c>
      <c r="H28" s="162"/>
    </row>
    <row r="29" spans="1:8" ht="13" x14ac:dyDescent="0.3">
      <c r="A29" s="265" t="s">
        <v>251</v>
      </c>
      <c r="B29" s="180" t="s">
        <v>252</v>
      </c>
      <c r="C29" s="265" t="s">
        <v>605</v>
      </c>
      <c r="D29" s="434">
        <v>1</v>
      </c>
      <c r="E29" s="180">
        <f>VLOOKUP(B29,'Mano de Obra'!$B$8:$C$100,2,FALSE)</f>
        <v>65493.071636571978</v>
      </c>
      <c r="F29" s="180"/>
      <c r="G29" s="182">
        <f>+E29*D29</f>
        <v>65493.071636571978</v>
      </c>
      <c r="H29" s="162"/>
    </row>
    <row r="30" spans="1:8" ht="13" x14ac:dyDescent="0.3">
      <c r="A30" s="139"/>
      <c r="B30" s="139"/>
      <c r="C30" s="139"/>
      <c r="D30" s="426"/>
      <c r="E30" s="140"/>
      <c r="F30" s="141" t="s">
        <v>606</v>
      </c>
      <c r="G30" s="391">
        <f>SUM(G28:G29)</f>
        <v>151420.16879314397</v>
      </c>
      <c r="H30" s="162"/>
    </row>
    <row r="31" spans="1:8" ht="13" x14ac:dyDescent="0.3">
      <c r="A31" s="122"/>
      <c r="B31" s="122"/>
      <c r="C31" s="122"/>
      <c r="D31" s="421"/>
      <c r="E31" s="360"/>
      <c r="F31" s="123" t="s">
        <v>607</v>
      </c>
      <c r="G31" s="349">
        <v>1</v>
      </c>
      <c r="H31" s="162"/>
    </row>
    <row r="32" spans="1:8" ht="13" x14ac:dyDescent="0.3">
      <c r="A32" s="122"/>
      <c r="B32" s="122"/>
      <c r="C32" s="122"/>
      <c r="D32" s="421"/>
      <c r="E32" s="360"/>
      <c r="F32" s="123" t="s">
        <v>608</v>
      </c>
      <c r="G32" s="390">
        <f>+G31*G30</f>
        <v>151420.16879314397</v>
      </c>
      <c r="H32" s="162"/>
    </row>
    <row r="33" spans="1:8" ht="13" x14ac:dyDescent="0.3">
      <c r="A33" s="122"/>
      <c r="B33" s="122"/>
      <c r="C33" s="122"/>
      <c r="D33" s="421"/>
      <c r="E33" s="143"/>
      <c r="F33" s="144" t="s">
        <v>10</v>
      </c>
      <c r="G33" s="156">
        <f>+G32/F9</f>
        <v>15142.016879314397</v>
      </c>
      <c r="H33" s="162"/>
    </row>
    <row r="34" spans="1:8" ht="13" x14ac:dyDescent="0.3">
      <c r="A34" s="122"/>
      <c r="B34" s="122"/>
      <c r="C34" s="122"/>
      <c r="D34" s="421"/>
      <c r="H34" s="162"/>
    </row>
    <row r="35" spans="1:8" ht="13" x14ac:dyDescent="0.3">
      <c r="A35" s="122"/>
      <c r="B35" s="122"/>
      <c r="C35" s="122"/>
      <c r="D35" s="421"/>
      <c r="E35" s="122"/>
      <c r="F35" s="123" t="s">
        <v>609</v>
      </c>
      <c r="G35" s="123">
        <f>+G33+G25+G19</f>
        <v>20909.260069547527</v>
      </c>
      <c r="H35" s="162"/>
    </row>
    <row r="36" spans="1:8" ht="13" x14ac:dyDescent="0.3">
      <c r="A36" s="122"/>
      <c r="B36" s="122"/>
      <c r="C36" s="122"/>
      <c r="D36" s="421"/>
      <c r="E36" s="123" t="s">
        <v>610</v>
      </c>
      <c r="F36" s="198">
        <f>+RESUMEN!$I$2</f>
        <v>0</v>
      </c>
      <c r="G36" s="130">
        <f>IF(F36=0,0,F36*G35)</f>
        <v>0</v>
      </c>
      <c r="H36" s="168"/>
    </row>
    <row r="37" spans="1:8" ht="13" x14ac:dyDescent="0.3">
      <c r="A37" s="122"/>
      <c r="B37" s="122"/>
      <c r="C37" s="122"/>
      <c r="D37" s="421"/>
      <c r="E37" s="123" t="s">
        <v>611</v>
      </c>
      <c r="F37" s="198">
        <f>+RESUMEN!$I$3</f>
        <v>0</v>
      </c>
      <c r="G37" s="130">
        <f>IF(F37=0,0,F37*G35)</f>
        <v>0</v>
      </c>
      <c r="H37" s="162"/>
    </row>
    <row r="38" spans="1:8" ht="13" x14ac:dyDescent="0.3">
      <c r="A38" s="122"/>
      <c r="B38" s="122"/>
      <c r="C38" s="122"/>
      <c r="D38" s="421"/>
      <c r="E38" s="151"/>
      <c r="F38" s="152" t="s">
        <v>612</v>
      </c>
      <c r="G38" s="690">
        <f>SUM(G35:G37)</f>
        <v>20909.260069547527</v>
      </c>
      <c r="H38" s="162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/>
  </sheetPr>
  <dimension ref="A1:H39"/>
  <sheetViews>
    <sheetView topLeftCell="A12" workbookViewId="0">
      <selection activeCell="F10" sqref="F10"/>
    </sheetView>
  </sheetViews>
  <sheetFormatPr defaultColWidth="11.453125" defaultRowHeight="12.5" x14ac:dyDescent="0.25"/>
  <cols>
    <col min="1" max="1" width="10.36328125" customWidth="1"/>
    <col min="2" max="2" width="35.6328125" customWidth="1"/>
    <col min="3" max="3" width="5.6328125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62"/>
    </row>
    <row r="2" spans="1:8" ht="13" x14ac:dyDescent="0.25">
      <c r="A2" s="162"/>
      <c r="B2" s="162"/>
      <c r="C2" s="162"/>
      <c r="D2" s="162"/>
      <c r="E2" s="162"/>
      <c r="F2" s="163" t="s">
        <v>78</v>
      </c>
      <c r="G2" s="669" t="s">
        <v>711</v>
      </c>
      <c r="H2" s="162"/>
    </row>
    <row r="3" spans="1:8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</row>
    <row r="4" spans="1:8" ht="13" x14ac:dyDescent="0.3">
      <c r="A4" s="122"/>
      <c r="B4" s="122"/>
      <c r="C4" s="122"/>
      <c r="D4" s="122"/>
      <c r="E4" s="122"/>
      <c r="F4" s="123" t="s">
        <v>580</v>
      </c>
      <c r="G4" s="126" t="s">
        <v>31</v>
      </c>
      <c r="H4" s="162"/>
    </row>
    <row r="5" spans="1:8" ht="13" x14ac:dyDescent="0.25">
      <c r="A5" s="127" t="s">
        <v>581</v>
      </c>
      <c r="B5" s="696" t="s">
        <v>711</v>
      </c>
      <c r="C5" s="696"/>
      <c r="D5" s="696"/>
      <c r="E5" s="696"/>
      <c r="F5" s="696"/>
      <c r="G5" s="696"/>
      <c r="H5" s="162"/>
    </row>
    <row r="6" spans="1:8" ht="13" x14ac:dyDescent="0.3">
      <c r="A6" s="128" t="s">
        <v>582</v>
      </c>
      <c r="B6" s="673" t="s">
        <v>711</v>
      </c>
      <c r="C6" s="122"/>
      <c r="D6" s="122"/>
      <c r="E6" s="122"/>
      <c r="F6" s="123" t="s">
        <v>583</v>
      </c>
      <c r="G6" s="669" t="s">
        <v>711</v>
      </c>
      <c r="H6" s="162"/>
    </row>
    <row r="7" spans="1:8" ht="15.5" x14ac:dyDescent="0.25">
      <c r="A7" s="197" t="s">
        <v>584</v>
      </c>
      <c r="B7" s="873" t="s">
        <v>782</v>
      </c>
      <c r="C7" s="874"/>
      <c r="D7" s="874"/>
      <c r="E7" s="874"/>
      <c r="F7" s="874"/>
      <c r="G7" s="874"/>
      <c r="H7" s="162"/>
    </row>
    <row r="8" spans="1:8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</row>
    <row r="9" spans="1:8" ht="13" x14ac:dyDescent="0.3">
      <c r="A9" s="122"/>
      <c r="B9" s="122"/>
      <c r="C9" s="132" t="s">
        <v>45</v>
      </c>
      <c r="D9" s="122"/>
      <c r="E9" s="132">
        <v>100</v>
      </c>
      <c r="F9" s="185">
        <v>10</v>
      </c>
      <c r="G9" s="158" t="s">
        <v>615</v>
      </c>
      <c r="H9" s="162"/>
    </row>
    <row r="10" spans="1:8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</row>
    <row r="11" spans="1:8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4" t="s">
        <v>596</v>
      </c>
      <c r="H11" s="78" t="s">
        <v>597</v>
      </c>
    </row>
    <row r="12" spans="1:8" ht="13" x14ac:dyDescent="0.3">
      <c r="A12" s="175"/>
      <c r="B12" s="175" t="s">
        <v>448</v>
      </c>
      <c r="C12" s="298" t="s">
        <v>17</v>
      </c>
      <c r="D12" s="433">
        <v>0.49</v>
      </c>
      <c r="E12" s="175">
        <f>VLOOKUP(B12,Materiales!$B$8:$D$118,3,FALSE)</f>
        <v>2470.5619834710747</v>
      </c>
      <c r="F12" s="175">
        <v>10</v>
      </c>
      <c r="G12" s="246">
        <f t="shared" ref="G12:G17" si="0">+D12*E12*((F12+100)/100)</f>
        <v>1331.6329090909094</v>
      </c>
      <c r="H12" s="246">
        <f>+D12*$E$9</f>
        <v>49</v>
      </c>
    </row>
    <row r="13" spans="1:8" ht="13" x14ac:dyDescent="0.3">
      <c r="A13" s="178"/>
      <c r="B13" s="178" t="s">
        <v>449</v>
      </c>
      <c r="C13" s="428" t="s">
        <v>17</v>
      </c>
      <c r="D13" s="457">
        <v>0.44</v>
      </c>
      <c r="E13" s="178">
        <f>VLOOKUP(B13,Materiales!$B$8:$D$118,3,FALSE)</f>
        <v>3894.6611570247933</v>
      </c>
      <c r="F13" s="178">
        <v>10</v>
      </c>
      <c r="G13" s="247">
        <f t="shared" si="0"/>
        <v>1885.0160000000001</v>
      </c>
      <c r="H13" s="247">
        <f>+D13*$E$9</f>
        <v>44</v>
      </c>
    </row>
    <row r="14" spans="1:8" ht="13" x14ac:dyDescent="0.3">
      <c r="A14" s="178"/>
      <c r="B14" s="178" t="s">
        <v>450</v>
      </c>
      <c r="C14" s="428" t="s">
        <v>17</v>
      </c>
      <c r="D14" s="457">
        <v>2.62</v>
      </c>
      <c r="E14" s="178">
        <f>VLOOKUP(B14,Materiales!$B$8:$D$118,3,FALSE)</f>
        <v>1262.1735537190084</v>
      </c>
      <c r="F14" s="178">
        <v>10</v>
      </c>
      <c r="G14" s="247">
        <f t="shared" si="0"/>
        <v>3637.5841818181825</v>
      </c>
      <c r="H14" s="247">
        <f t="shared" ref="H14:H17" si="1">+D14*$E$9</f>
        <v>262</v>
      </c>
    </row>
    <row r="15" spans="1:8" ht="13" x14ac:dyDescent="0.3">
      <c r="A15" s="178"/>
      <c r="B15" s="178" t="s">
        <v>451</v>
      </c>
      <c r="C15" s="428" t="s">
        <v>17</v>
      </c>
      <c r="D15" s="457">
        <v>0</v>
      </c>
      <c r="E15" s="178">
        <f>VLOOKUP(B15,Materiales!$B$8:$D$118,3,FALSE)</f>
        <v>647.24793388429748</v>
      </c>
      <c r="F15" s="178">
        <v>10</v>
      </c>
      <c r="G15" s="247">
        <f t="shared" si="0"/>
        <v>0</v>
      </c>
      <c r="H15" s="247">
        <f t="shared" si="1"/>
        <v>0</v>
      </c>
    </row>
    <row r="16" spans="1:8" ht="13" x14ac:dyDescent="0.3">
      <c r="A16" s="178"/>
      <c r="B16" s="178" t="s">
        <v>436</v>
      </c>
      <c r="C16" s="428" t="s">
        <v>17</v>
      </c>
      <c r="D16" s="457">
        <v>6</v>
      </c>
      <c r="E16" s="178">
        <f>VLOOKUP(B16,Materiales!$B$8:$D$118,3,FALSE)</f>
        <v>65.919008264462803</v>
      </c>
      <c r="F16" s="178">
        <v>10</v>
      </c>
      <c r="G16" s="247">
        <f t="shared" ref="G16" si="2">+D16*E16*((F16+100)/100)</f>
        <v>435.06545454545454</v>
      </c>
      <c r="H16" s="247">
        <f t="shared" ref="H16" si="3">+D16*$E$9</f>
        <v>600</v>
      </c>
    </row>
    <row r="17" spans="1:8" ht="13" x14ac:dyDescent="0.3">
      <c r="A17" s="178"/>
      <c r="B17" s="178" t="s">
        <v>456</v>
      </c>
      <c r="C17" s="428" t="s">
        <v>17</v>
      </c>
      <c r="D17" s="457">
        <v>0.06</v>
      </c>
      <c r="E17" s="178">
        <f>VLOOKUP(B17,Materiales!$B$8:$D$118,3,FALSE)</f>
        <v>2474.3471074380168</v>
      </c>
      <c r="F17" s="178">
        <v>10</v>
      </c>
      <c r="G17" s="247">
        <f t="shared" si="0"/>
        <v>163.30690909090913</v>
      </c>
      <c r="H17" s="247">
        <f t="shared" si="1"/>
        <v>6</v>
      </c>
    </row>
    <row r="18" spans="1:8" ht="13" x14ac:dyDescent="0.3">
      <c r="A18" s="180"/>
      <c r="B18" s="180" t="s">
        <v>455</v>
      </c>
      <c r="C18" s="299" t="s">
        <v>17</v>
      </c>
      <c r="D18" s="434">
        <f>1/0.36</f>
        <v>2.7777777777777777</v>
      </c>
      <c r="E18" s="180">
        <f>VLOOKUP(B18,Materiales!$B$8:$D$118,3,FALSE)</f>
        <v>6538.6115702479337</v>
      </c>
      <c r="F18" s="180">
        <v>10</v>
      </c>
      <c r="G18" s="248">
        <f t="shared" ref="G18" si="4">+D18*E18*((F18+100)/100)</f>
        <v>19979.090909090908</v>
      </c>
      <c r="H18" s="248">
        <f>+D18*$E$9</f>
        <v>277.77777777777777</v>
      </c>
    </row>
    <row r="19" spans="1:8" ht="13" x14ac:dyDescent="0.3">
      <c r="A19" s="122"/>
      <c r="B19" s="122"/>
      <c r="C19" s="122"/>
      <c r="D19" s="122"/>
      <c r="E19" s="360"/>
      <c r="F19" s="123" t="s">
        <v>598</v>
      </c>
      <c r="G19" s="390">
        <f>SUM(G12:G18)</f>
        <v>27431.696363636365</v>
      </c>
      <c r="H19" s="162"/>
    </row>
    <row r="20" spans="1:8" ht="13" x14ac:dyDescent="0.3">
      <c r="A20" s="122"/>
      <c r="B20" s="122"/>
      <c r="C20" s="122"/>
      <c r="D20" s="193"/>
      <c r="E20" s="143"/>
      <c r="F20" s="144" t="s">
        <v>9</v>
      </c>
      <c r="G20" s="156">
        <f>+G19</f>
        <v>27431.696363636365</v>
      </c>
      <c r="H20" s="162"/>
    </row>
    <row r="21" spans="1:8" ht="13" x14ac:dyDescent="0.3">
      <c r="A21" s="128" t="s">
        <v>599</v>
      </c>
      <c r="B21" s="122"/>
      <c r="C21" s="122"/>
      <c r="D21" s="193"/>
      <c r="E21" s="122"/>
      <c r="F21" s="122"/>
      <c r="G21" s="122"/>
      <c r="H21" s="162"/>
    </row>
    <row r="22" spans="1:8" ht="13" x14ac:dyDescent="0.3">
      <c r="A22" s="133" t="s">
        <v>79</v>
      </c>
      <c r="B22" s="134" t="s">
        <v>591</v>
      </c>
      <c r="C22" s="134" t="s">
        <v>592</v>
      </c>
      <c r="D22" s="194" t="s">
        <v>593</v>
      </c>
      <c r="E22" s="134" t="s">
        <v>600</v>
      </c>
      <c r="F22" s="447" t="s">
        <v>87</v>
      </c>
      <c r="G22" s="135" t="s">
        <v>596</v>
      </c>
      <c r="H22" s="167"/>
    </row>
    <row r="23" spans="1:8" ht="26" x14ac:dyDescent="0.25">
      <c r="A23" s="264" t="s">
        <v>181</v>
      </c>
      <c r="B23" s="660" t="s">
        <v>182</v>
      </c>
      <c r="C23" s="264" t="s">
        <v>17</v>
      </c>
      <c r="D23" s="700">
        <v>1</v>
      </c>
      <c r="E23" s="264">
        <f>VLOOKUP(B23,'Rend. Equipos'!$B$7:$E$222,4,FALSE)</f>
        <v>201885.25333580485</v>
      </c>
      <c r="F23" s="423">
        <f>VLOOKUP(B23,'Rend. Equipos'!$B$6:$L$166,MATCH($F$22,'Rend. Equipos'!$B$6:$L$6,0),0)</f>
        <v>6.9444444444444436E-4</v>
      </c>
      <c r="G23" s="264">
        <f>+E23*D23*F23</f>
        <v>140.19809259430892</v>
      </c>
      <c r="H23" s="162"/>
    </row>
    <row r="24" spans="1:8" ht="13" x14ac:dyDescent="0.25">
      <c r="A24" s="265" t="s">
        <v>135</v>
      </c>
      <c r="B24" s="420" t="s">
        <v>177</v>
      </c>
      <c r="C24" s="265" t="s">
        <v>352</v>
      </c>
      <c r="D24" s="701">
        <v>1</v>
      </c>
      <c r="E24" s="265">
        <f>VLOOKUP(B24,'Rend. Equipos'!$B$7:$E$222,4,FALSE)</f>
        <v>1702971.4669775651</v>
      </c>
      <c r="F24" s="425">
        <f>VLOOKUP(B24,'Rend. Equipos'!$B$6:$L$166,MATCH($F$22,'Rend. Equipos'!$B$6:$L$6,0),0)</f>
        <v>1.3888888888888889E-3</v>
      </c>
      <c r="G24" s="265">
        <f>+E24*D24*F24</f>
        <v>2365.2381485799515</v>
      </c>
      <c r="H24" s="162"/>
    </row>
    <row r="25" spans="1:8" ht="13" x14ac:dyDescent="0.3">
      <c r="A25" s="139"/>
      <c r="B25" s="139"/>
      <c r="C25" s="139"/>
      <c r="D25" s="697"/>
      <c r="E25" s="140"/>
      <c r="F25" s="141" t="s">
        <v>602</v>
      </c>
      <c r="G25" s="391">
        <f>SUM(G23:G24)</f>
        <v>2505.4362411742604</v>
      </c>
      <c r="H25" s="162"/>
    </row>
    <row r="26" spans="1:8" ht="13" x14ac:dyDescent="0.3">
      <c r="A26" s="122"/>
      <c r="B26" s="122"/>
      <c r="C26" s="122"/>
      <c r="D26" s="698"/>
      <c r="E26" s="143"/>
      <c r="F26" s="144" t="s">
        <v>11</v>
      </c>
      <c r="G26" s="156">
        <f>+G25/F9</f>
        <v>250.54362411742605</v>
      </c>
      <c r="H26" s="162"/>
    </row>
    <row r="27" spans="1:8" ht="13" x14ac:dyDescent="0.3">
      <c r="A27" s="128" t="s">
        <v>603</v>
      </c>
      <c r="B27" s="122"/>
      <c r="C27" s="122"/>
      <c r="D27" s="698"/>
      <c r="E27" s="122"/>
      <c r="F27" s="122"/>
      <c r="G27" s="122"/>
      <c r="H27" s="162"/>
    </row>
    <row r="28" spans="1:8" ht="13" x14ac:dyDescent="0.3">
      <c r="A28" s="133" t="s">
        <v>79</v>
      </c>
      <c r="B28" s="134" t="s">
        <v>591</v>
      </c>
      <c r="C28" s="134" t="s">
        <v>592</v>
      </c>
      <c r="D28" s="699" t="s">
        <v>593</v>
      </c>
      <c r="E28" s="134" t="s">
        <v>604</v>
      </c>
      <c r="F28" s="134"/>
      <c r="G28" s="135" t="s">
        <v>596</v>
      </c>
      <c r="H28" s="167"/>
    </row>
    <row r="29" spans="1:8" ht="13" x14ac:dyDescent="0.3">
      <c r="A29" s="175" t="s">
        <v>265</v>
      </c>
      <c r="B29" s="175" t="s">
        <v>266</v>
      </c>
      <c r="C29" s="264" t="s">
        <v>605</v>
      </c>
      <c r="D29" s="458">
        <v>1</v>
      </c>
      <c r="E29" s="175">
        <f>VLOOKUP(B29,'Mano de Obra'!$B$8:$C$100,2,FALSE)</f>
        <v>85927.097156571981</v>
      </c>
      <c r="F29" s="175"/>
      <c r="G29" s="176">
        <f>+E29*D29</f>
        <v>85927.097156571981</v>
      </c>
      <c r="H29" s="162"/>
    </row>
    <row r="30" spans="1:8" ht="13" x14ac:dyDescent="0.3">
      <c r="A30" s="180" t="s">
        <v>251</v>
      </c>
      <c r="B30" s="180" t="s">
        <v>252</v>
      </c>
      <c r="C30" s="265" t="s">
        <v>605</v>
      </c>
      <c r="D30" s="460">
        <v>1</v>
      </c>
      <c r="E30" s="180">
        <f>VLOOKUP(B30,'Mano de Obra'!$B$8:$C$100,2,FALSE)</f>
        <v>65493.071636571978</v>
      </c>
      <c r="F30" s="180"/>
      <c r="G30" s="182">
        <f>+E30*D30</f>
        <v>65493.071636571978</v>
      </c>
      <c r="H30" s="162"/>
    </row>
    <row r="31" spans="1:8" ht="13" x14ac:dyDescent="0.3">
      <c r="A31" s="139"/>
      <c r="B31" s="139"/>
      <c r="C31" s="139"/>
      <c r="D31" s="139"/>
      <c r="E31" s="140"/>
      <c r="F31" s="141" t="s">
        <v>606</v>
      </c>
      <c r="G31" s="391">
        <f>SUM(G29:G30)</f>
        <v>151420.16879314397</v>
      </c>
      <c r="H31" s="162"/>
    </row>
    <row r="32" spans="1:8" ht="13" x14ac:dyDescent="0.3">
      <c r="A32" s="122"/>
      <c r="B32" s="122"/>
      <c r="C32" s="122"/>
      <c r="D32" s="122"/>
      <c r="E32" s="360"/>
      <c r="F32" s="123" t="s">
        <v>607</v>
      </c>
      <c r="G32" s="349">
        <v>1</v>
      </c>
      <c r="H32" s="162"/>
    </row>
    <row r="33" spans="1:8" ht="13" x14ac:dyDescent="0.3">
      <c r="A33" s="122"/>
      <c r="B33" s="122"/>
      <c r="C33" s="122"/>
      <c r="D33" s="122"/>
      <c r="E33" s="360"/>
      <c r="F33" s="123" t="s">
        <v>608</v>
      </c>
      <c r="G33" s="390">
        <f>+G32*G31</f>
        <v>151420.16879314397</v>
      </c>
      <c r="H33" s="162"/>
    </row>
    <row r="34" spans="1:8" ht="13" x14ac:dyDescent="0.3">
      <c r="A34" s="122"/>
      <c r="B34" s="122"/>
      <c r="C34" s="122"/>
      <c r="D34" s="122"/>
      <c r="E34" s="143"/>
      <c r="F34" s="144" t="s">
        <v>10</v>
      </c>
      <c r="G34" s="156">
        <f>+G33/F9</f>
        <v>15142.016879314397</v>
      </c>
      <c r="H34" s="162"/>
    </row>
    <row r="35" spans="1:8" ht="13" x14ac:dyDescent="0.3">
      <c r="A35" s="122"/>
      <c r="B35" s="122"/>
      <c r="C35" s="122"/>
      <c r="D35" s="122"/>
      <c r="H35" s="162"/>
    </row>
    <row r="36" spans="1:8" ht="13" x14ac:dyDescent="0.3">
      <c r="A36" s="122"/>
      <c r="B36" s="122"/>
      <c r="C36" s="122"/>
      <c r="D36" s="122"/>
      <c r="E36" s="122"/>
      <c r="F36" s="123" t="s">
        <v>609</v>
      </c>
      <c r="G36" s="123">
        <f>+G34+G26+G20</f>
        <v>42824.256867068187</v>
      </c>
      <c r="H36" s="162"/>
    </row>
    <row r="37" spans="1:8" ht="13" x14ac:dyDescent="0.3">
      <c r="A37" s="122"/>
      <c r="B37" s="122"/>
      <c r="C37" s="122"/>
      <c r="D37" s="122"/>
      <c r="E37" s="123" t="s">
        <v>610</v>
      </c>
      <c r="F37" s="198">
        <f>+RESUMEN!$I$2</f>
        <v>0</v>
      </c>
      <c r="G37" s="130">
        <f>IF(F37=0,0,F37*G36)</f>
        <v>0</v>
      </c>
      <c r="H37" s="168"/>
    </row>
    <row r="38" spans="1:8" ht="13" x14ac:dyDescent="0.3">
      <c r="A38" s="122"/>
      <c r="B38" s="122"/>
      <c r="C38" s="122"/>
      <c r="D38" s="122"/>
      <c r="E38" s="123" t="s">
        <v>611</v>
      </c>
      <c r="F38" s="198">
        <f>+RESUMEN!$I$3</f>
        <v>0</v>
      </c>
      <c r="G38" s="130">
        <f>IF(F38=0,0,F38*G36)</f>
        <v>0</v>
      </c>
      <c r="H38" s="162"/>
    </row>
    <row r="39" spans="1:8" ht="13" x14ac:dyDescent="0.3">
      <c r="A39" s="122"/>
      <c r="B39" s="122"/>
      <c r="C39" s="122"/>
      <c r="D39" s="122"/>
      <c r="E39" s="151"/>
      <c r="F39" s="152" t="s">
        <v>612</v>
      </c>
      <c r="G39" s="389">
        <f>SUM(G36:G38)</f>
        <v>42824.256867068187</v>
      </c>
      <c r="H39" s="162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9"/>
  </sheetPr>
  <dimension ref="A1:L41"/>
  <sheetViews>
    <sheetView workbookViewId="0">
      <selection activeCell="D26" sqref="D26"/>
    </sheetView>
  </sheetViews>
  <sheetFormatPr defaultColWidth="11.453125" defaultRowHeight="12.5" x14ac:dyDescent="0.25"/>
  <cols>
    <col min="1" max="1" width="10.36328125" customWidth="1"/>
    <col min="2" max="2" width="38.453125" bestFit="1" customWidth="1"/>
    <col min="3" max="3" width="7.08984375" bestFit="1" customWidth="1"/>
    <col min="4" max="4" width="8.453125" style="427" bestFit="1" customWidth="1"/>
    <col min="5" max="5" width="15.36328125" bestFit="1" customWidth="1"/>
    <col min="6" max="6" width="9.453125" customWidth="1"/>
    <col min="7" max="7" width="9.36328125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62"/>
    </row>
    <row r="2" spans="1:8" ht="13" x14ac:dyDescent="0.25">
      <c r="A2" s="162"/>
      <c r="B2" s="162"/>
      <c r="C2" s="162"/>
      <c r="D2" s="501"/>
      <c r="E2" s="162"/>
      <c r="F2" s="163" t="s">
        <v>78</v>
      </c>
      <c r="G2" s="669" t="s">
        <v>711</v>
      </c>
      <c r="H2" s="162"/>
    </row>
    <row r="3" spans="1:8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</row>
    <row r="4" spans="1:8" ht="13" x14ac:dyDescent="0.3">
      <c r="A4" s="122"/>
      <c r="B4" s="122"/>
      <c r="C4" s="122"/>
      <c r="D4" s="421"/>
      <c r="E4" s="122"/>
      <c r="F4" s="123" t="s">
        <v>580</v>
      </c>
      <c r="G4" s="126">
        <v>64</v>
      </c>
      <c r="H4" s="162"/>
    </row>
    <row r="5" spans="1:8" ht="13" x14ac:dyDescent="0.25">
      <c r="A5" s="127" t="s">
        <v>581</v>
      </c>
      <c r="B5" s="663" t="s">
        <v>711</v>
      </c>
      <c r="C5" s="702"/>
      <c r="D5" s="703"/>
      <c r="E5" s="702"/>
      <c r="F5" s="702"/>
      <c r="G5" s="702"/>
      <c r="H5" s="162"/>
    </row>
    <row r="6" spans="1:8" ht="13" x14ac:dyDescent="0.3">
      <c r="A6" s="128" t="s">
        <v>582</v>
      </c>
      <c r="B6" s="673" t="s">
        <v>711</v>
      </c>
      <c r="C6" s="122"/>
      <c r="D6" s="421"/>
      <c r="E6" s="122"/>
      <c r="F6" s="123" t="s">
        <v>583</v>
      </c>
      <c r="G6" s="669" t="s">
        <v>711</v>
      </c>
      <c r="H6" s="162"/>
    </row>
    <row r="7" spans="1:8" ht="15.5" x14ac:dyDescent="0.25">
      <c r="A7" s="197" t="s">
        <v>584</v>
      </c>
      <c r="B7" s="873" t="s">
        <v>783</v>
      </c>
      <c r="C7" s="874"/>
      <c r="D7" s="874"/>
      <c r="E7" s="874"/>
      <c r="F7" s="874"/>
      <c r="G7" s="874"/>
      <c r="H7" s="162"/>
    </row>
    <row r="8" spans="1:8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</row>
    <row r="9" spans="1:8" ht="13" x14ac:dyDescent="0.3">
      <c r="A9" s="122"/>
      <c r="B9" s="122"/>
      <c r="C9" s="132" t="s">
        <v>45</v>
      </c>
      <c r="D9" s="421"/>
      <c r="E9" s="132">
        <v>100</v>
      </c>
      <c r="F9" s="81">
        <v>7</v>
      </c>
      <c r="G9" s="158" t="s">
        <v>615</v>
      </c>
      <c r="H9" s="162"/>
    </row>
    <row r="10" spans="1:8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</row>
    <row r="11" spans="1:8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4" t="s">
        <v>596</v>
      </c>
      <c r="H11" s="78" t="s">
        <v>597</v>
      </c>
    </row>
    <row r="12" spans="1:8" ht="13" x14ac:dyDescent="0.3">
      <c r="A12" s="175"/>
      <c r="B12" s="175" t="s">
        <v>428</v>
      </c>
      <c r="C12" s="298" t="s">
        <v>17</v>
      </c>
      <c r="D12" s="433">
        <f>1/2.6*1.2</f>
        <v>0.46153846153846145</v>
      </c>
      <c r="E12" s="175">
        <f>VLOOKUP(B12,Materiales!$B$8:$D$118,3,FALSE)</f>
        <v>2932.93</v>
      </c>
      <c r="F12" s="175">
        <v>10</v>
      </c>
      <c r="G12" s="246">
        <f t="shared" ref="G12:G20" si="0">+D12*E12*((F12+100)/100)</f>
        <v>1489.0259999999996</v>
      </c>
      <c r="H12" s="246">
        <f>+D12*$E$9</f>
        <v>46.153846153846146</v>
      </c>
    </row>
    <row r="13" spans="1:8" ht="13" x14ac:dyDescent="0.3">
      <c r="A13" s="178"/>
      <c r="B13" s="178" t="s">
        <v>429</v>
      </c>
      <c r="C13" s="428" t="s">
        <v>17</v>
      </c>
      <c r="D13" s="457">
        <f>3/2.6</f>
        <v>1.1538461538461537</v>
      </c>
      <c r="E13" s="178">
        <f>VLOOKUP(B13,Materiales!$B$8:$D$118,3,FALSE)</f>
        <v>3295.47</v>
      </c>
      <c r="F13" s="178">
        <v>10</v>
      </c>
      <c r="G13" s="179">
        <f t="shared" si="0"/>
        <v>4182.7119230769231</v>
      </c>
      <c r="H13" s="247">
        <f t="shared" ref="H13:H20" si="1">+D13*$E$9</f>
        <v>115.38461538461537</v>
      </c>
    </row>
    <row r="14" spans="1:8" ht="13" x14ac:dyDescent="0.3">
      <c r="A14" s="178"/>
      <c r="B14" s="178" t="s">
        <v>432</v>
      </c>
      <c r="C14" s="428" t="s">
        <v>17</v>
      </c>
      <c r="D14" s="457">
        <v>10</v>
      </c>
      <c r="E14" s="178">
        <f>VLOOKUP(B14,Materiales!$B$8:$D$118,3,FALSE)</f>
        <v>32.707173553719009</v>
      </c>
      <c r="F14" s="178">
        <v>5</v>
      </c>
      <c r="G14" s="179">
        <f t="shared" si="0"/>
        <v>343.42532231404959</v>
      </c>
      <c r="H14" s="247">
        <f t="shared" si="1"/>
        <v>1000</v>
      </c>
    </row>
    <row r="15" spans="1:8" ht="13" x14ac:dyDescent="0.3">
      <c r="A15" s="178"/>
      <c r="B15" s="178" t="s">
        <v>434</v>
      </c>
      <c r="C15" s="428" t="s">
        <v>17</v>
      </c>
      <c r="D15" s="457">
        <v>30</v>
      </c>
      <c r="E15" s="178">
        <f>VLOOKUP(B15,Materiales!$B$8:$D$118,3,FALSE)</f>
        <v>17.196317722681361</v>
      </c>
      <c r="F15" s="178">
        <v>5</v>
      </c>
      <c r="G15" s="179">
        <f t="shared" si="0"/>
        <v>541.68400826446282</v>
      </c>
      <c r="H15" s="247">
        <f t="shared" si="1"/>
        <v>3000</v>
      </c>
    </row>
    <row r="16" spans="1:8" ht="13" x14ac:dyDescent="0.3">
      <c r="A16" s="178"/>
      <c r="B16" s="178" t="s">
        <v>436</v>
      </c>
      <c r="C16" s="428" t="s">
        <v>17</v>
      </c>
      <c r="D16" s="457">
        <v>3.5</v>
      </c>
      <c r="E16" s="178">
        <f>VLOOKUP(B16,Materiales!$B$8:$D$118,3,FALSE)</f>
        <v>65.919008264462803</v>
      </c>
      <c r="F16" s="178">
        <v>5</v>
      </c>
      <c r="G16" s="179">
        <f t="shared" si="0"/>
        <v>242.25235537190079</v>
      </c>
      <c r="H16" s="247">
        <f t="shared" si="1"/>
        <v>350</v>
      </c>
    </row>
    <row r="17" spans="1:12" ht="13" x14ac:dyDescent="0.3">
      <c r="A17" s="178"/>
      <c r="B17" s="178" t="s">
        <v>437</v>
      </c>
      <c r="C17" s="428" t="s">
        <v>52</v>
      </c>
      <c r="D17" s="457">
        <v>0.04</v>
      </c>
      <c r="E17" s="178">
        <f>VLOOKUP(B17,Materiales!$B$8:$D$118,3,FALSE)</f>
        <v>4042.71</v>
      </c>
      <c r="F17" s="178">
        <v>5</v>
      </c>
      <c r="G17" s="179">
        <f t="shared" si="0"/>
        <v>169.79382000000001</v>
      </c>
      <c r="H17" s="247">
        <f t="shared" si="1"/>
        <v>4</v>
      </c>
      <c r="I17" s="1"/>
      <c r="J17" s="1"/>
      <c r="K17" s="1">
        <v>1.8</v>
      </c>
      <c r="L17" s="1">
        <v>1</v>
      </c>
    </row>
    <row r="18" spans="1:12" ht="13" x14ac:dyDescent="0.3">
      <c r="A18" s="178"/>
      <c r="B18" s="178" t="s">
        <v>440</v>
      </c>
      <c r="C18" s="428" t="s">
        <v>403</v>
      </c>
      <c r="D18" s="387">
        <v>5.6300000000000003E-2</v>
      </c>
      <c r="E18" s="178">
        <f>VLOOKUP(B18,Materiales!$B$8:$D$118,3,FALSE)</f>
        <v>26872.02</v>
      </c>
      <c r="F18" s="178">
        <v>5</v>
      </c>
      <c r="G18" s="179">
        <f t="shared" si="0"/>
        <v>1588.5394623</v>
      </c>
      <c r="H18" s="247">
        <f t="shared" si="1"/>
        <v>5.63</v>
      </c>
      <c r="I18" s="1"/>
      <c r="J18" s="1"/>
      <c r="K18" s="1">
        <v>32</v>
      </c>
      <c r="L18" s="1">
        <f>+K18*L17/K17</f>
        <v>17.777777777777779</v>
      </c>
    </row>
    <row r="19" spans="1:12" ht="13" x14ac:dyDescent="0.3">
      <c r="A19" s="178"/>
      <c r="B19" s="178" t="s">
        <v>446</v>
      </c>
      <c r="C19" s="428" t="s">
        <v>17</v>
      </c>
      <c r="D19" s="331">
        <v>0</v>
      </c>
      <c r="E19" s="178">
        <f>VLOOKUP(B19,Materiales!$B$8:$D$118,3,FALSE)</f>
        <v>97970.9</v>
      </c>
      <c r="F19" s="178">
        <v>0</v>
      </c>
      <c r="G19" s="179">
        <f t="shared" si="0"/>
        <v>0</v>
      </c>
      <c r="H19" s="247">
        <f t="shared" si="1"/>
        <v>0</v>
      </c>
      <c r="I19" s="1"/>
      <c r="J19" s="1"/>
      <c r="K19" s="1"/>
      <c r="L19" s="1">
        <f>1/L18</f>
        <v>5.6249999999999994E-2</v>
      </c>
    </row>
    <row r="20" spans="1:12" ht="13" x14ac:dyDescent="0.3">
      <c r="A20" s="180"/>
      <c r="B20" s="180" t="s">
        <v>441</v>
      </c>
      <c r="C20" s="299" t="s">
        <v>17</v>
      </c>
      <c r="D20" s="434">
        <v>0.71</v>
      </c>
      <c r="E20" s="180">
        <f>VLOOKUP(B20,Materiales!$B$8:$D$118,3,FALSE)</f>
        <v>10022.959999999999</v>
      </c>
      <c r="F20" s="180">
        <v>10</v>
      </c>
      <c r="G20" s="182">
        <f t="shared" si="0"/>
        <v>7827.9317599999995</v>
      </c>
      <c r="H20" s="248">
        <f t="shared" si="1"/>
        <v>71</v>
      </c>
      <c r="I20" s="1"/>
      <c r="J20" s="1"/>
      <c r="K20" s="1"/>
      <c r="L20" s="1"/>
    </row>
    <row r="21" spans="1:12" ht="13" x14ac:dyDescent="0.3">
      <c r="A21" s="122"/>
      <c r="B21" s="122"/>
      <c r="C21" s="122"/>
      <c r="D21" s="504"/>
      <c r="E21" s="360"/>
      <c r="F21" s="123" t="s">
        <v>598</v>
      </c>
      <c r="G21" s="390">
        <f>SUM(G12:G20)</f>
        <v>16385.364651327334</v>
      </c>
      <c r="H21" s="162"/>
      <c r="I21" s="1"/>
      <c r="J21" s="1"/>
      <c r="K21" s="1"/>
      <c r="L21" s="1"/>
    </row>
    <row r="22" spans="1:12" ht="13" x14ac:dyDescent="0.3">
      <c r="A22" s="122"/>
      <c r="B22" s="122"/>
      <c r="C22" s="122"/>
      <c r="D22" s="421"/>
      <c r="E22" s="143"/>
      <c r="F22" s="144" t="s">
        <v>9</v>
      </c>
      <c r="G22" s="156">
        <f>+G21</f>
        <v>16385.364651327334</v>
      </c>
      <c r="H22" s="162"/>
      <c r="I22" s="1"/>
      <c r="J22" s="1"/>
      <c r="K22" s="1"/>
      <c r="L22" s="1"/>
    </row>
    <row r="23" spans="1:12" ht="13" x14ac:dyDescent="0.3">
      <c r="A23" s="128" t="s">
        <v>599</v>
      </c>
      <c r="B23" s="122"/>
      <c r="C23" s="122"/>
      <c r="D23" s="421"/>
      <c r="E23" s="122"/>
      <c r="F23" s="122"/>
      <c r="G23" s="122"/>
      <c r="H23" s="162"/>
      <c r="I23" s="1"/>
      <c r="J23" s="1"/>
      <c r="K23" s="1"/>
      <c r="L23" s="1"/>
    </row>
    <row r="24" spans="1:12" ht="13" x14ac:dyDescent="0.3">
      <c r="A24" s="133" t="s">
        <v>79</v>
      </c>
      <c r="B24" s="134" t="s">
        <v>591</v>
      </c>
      <c r="C24" s="134" t="s">
        <v>592</v>
      </c>
      <c r="D24" s="503" t="s">
        <v>593</v>
      </c>
      <c r="E24" s="134" t="s">
        <v>600</v>
      </c>
      <c r="F24" s="447" t="s">
        <v>87</v>
      </c>
      <c r="G24" s="135" t="s">
        <v>596</v>
      </c>
      <c r="H24" s="167"/>
      <c r="I24" s="3"/>
      <c r="J24" s="3"/>
      <c r="K24" s="3"/>
      <c r="L24" s="3"/>
    </row>
    <row r="25" spans="1:12" ht="26" x14ac:dyDescent="0.25">
      <c r="A25" s="246" t="s">
        <v>181</v>
      </c>
      <c r="B25" s="704" t="s">
        <v>182</v>
      </c>
      <c r="C25" s="246" t="s">
        <v>17</v>
      </c>
      <c r="D25" s="246">
        <v>0.5</v>
      </c>
      <c r="E25" s="246">
        <f>VLOOKUP(B25,'Rend. Equipos'!$B$7:$E$222,4,FALSE)</f>
        <v>201885.25333580485</v>
      </c>
      <c r="F25" s="661">
        <f>VLOOKUP(B25,'Rend. Equipos'!$B$6:$L$166,MATCH($F$24,'Rend. Equipos'!$B$6:$L$6,0),0)</f>
        <v>6.9444444444444436E-4</v>
      </c>
      <c r="G25" s="246">
        <f>+E25*D25*F25</f>
        <v>70.099046297154459</v>
      </c>
      <c r="H25" s="162"/>
      <c r="I25" s="1"/>
      <c r="J25" s="1"/>
      <c r="K25" s="1"/>
      <c r="L25" s="1"/>
    </row>
    <row r="26" spans="1:12" ht="13" x14ac:dyDescent="0.25">
      <c r="A26" s="248" t="s">
        <v>135</v>
      </c>
      <c r="B26" s="705" t="s">
        <v>177</v>
      </c>
      <c r="C26" s="248" t="s">
        <v>352</v>
      </c>
      <c r="D26" s="248">
        <v>1</v>
      </c>
      <c r="E26" s="248">
        <f>VLOOKUP(B26,'Rend. Equipos'!$B$7:$E$222,4,FALSE)</f>
        <v>1702971.4669775651</v>
      </c>
      <c r="F26" s="662">
        <f>VLOOKUP(B26,'Rend. Equipos'!$B$6:$L$166,MATCH($F$24,'Rend. Equipos'!$B$6:$L$6,0),0)</f>
        <v>1.3888888888888889E-3</v>
      </c>
      <c r="G26" s="248">
        <f>+E26*D26*F26</f>
        <v>2365.2381485799515</v>
      </c>
      <c r="H26" s="162"/>
      <c r="I26" s="1"/>
      <c r="J26" s="1"/>
      <c r="K26" s="1"/>
      <c r="L26" s="1"/>
    </row>
    <row r="27" spans="1:12" ht="13" x14ac:dyDescent="0.3">
      <c r="A27" s="139"/>
      <c r="B27" s="139"/>
      <c r="C27" s="139"/>
      <c r="D27" s="426"/>
      <c r="E27" s="140"/>
      <c r="F27" s="141" t="s">
        <v>602</v>
      </c>
      <c r="G27" s="142">
        <f>SUM(G25:G26)</f>
        <v>2435.337194877106</v>
      </c>
      <c r="H27" s="162"/>
      <c r="I27" s="1"/>
      <c r="J27" s="1"/>
      <c r="K27" s="1"/>
      <c r="L27" s="1"/>
    </row>
    <row r="28" spans="1:12" ht="13" x14ac:dyDescent="0.3">
      <c r="A28" s="122"/>
      <c r="B28" s="122"/>
      <c r="C28" s="122"/>
      <c r="D28" s="421"/>
      <c r="E28" s="143"/>
      <c r="F28" s="144" t="s">
        <v>11</v>
      </c>
      <c r="G28" s="156">
        <f>+G27/F9</f>
        <v>347.9053135538723</v>
      </c>
      <c r="H28" s="162"/>
      <c r="I28" s="1"/>
      <c r="J28" s="1"/>
      <c r="K28" s="1"/>
      <c r="L28" s="1"/>
    </row>
    <row r="29" spans="1:12" ht="13" x14ac:dyDescent="0.3">
      <c r="A29" s="128" t="s">
        <v>603</v>
      </c>
      <c r="B29" s="122"/>
      <c r="C29" s="122"/>
      <c r="D29" s="421"/>
      <c r="E29" s="122"/>
      <c r="F29" s="122"/>
      <c r="G29" s="122"/>
      <c r="H29" s="162"/>
      <c r="I29" s="1"/>
      <c r="J29" s="1"/>
      <c r="K29" s="1"/>
      <c r="L29" s="1"/>
    </row>
    <row r="30" spans="1:12" ht="13" x14ac:dyDescent="0.3">
      <c r="A30" s="133" t="s">
        <v>79</v>
      </c>
      <c r="B30" s="134" t="s">
        <v>591</v>
      </c>
      <c r="C30" s="134" t="s">
        <v>592</v>
      </c>
      <c r="D30" s="503" t="s">
        <v>593</v>
      </c>
      <c r="E30" s="134" t="s">
        <v>604</v>
      </c>
      <c r="F30" s="134"/>
      <c r="G30" s="135" t="s">
        <v>596</v>
      </c>
      <c r="H30" s="167"/>
      <c r="I30" s="3"/>
      <c r="J30" s="3"/>
      <c r="K30" s="3"/>
      <c r="L30" s="3"/>
    </row>
    <row r="31" spans="1:12" ht="13" x14ac:dyDescent="0.3">
      <c r="A31" s="264" t="s">
        <v>265</v>
      </c>
      <c r="B31" s="175" t="s">
        <v>266</v>
      </c>
      <c r="C31" s="264" t="s">
        <v>605</v>
      </c>
      <c r="D31" s="433">
        <v>1</v>
      </c>
      <c r="E31" s="175">
        <f>VLOOKUP(B31,'Mano de Obra'!$B$8:$C$100,2,FALSE)</f>
        <v>85927.097156571981</v>
      </c>
      <c r="F31" s="175"/>
      <c r="G31" s="176">
        <f>+E31*D31</f>
        <v>85927.097156571981</v>
      </c>
      <c r="H31" s="162"/>
      <c r="I31" s="1"/>
      <c r="J31" s="1"/>
      <c r="K31" s="1"/>
      <c r="L31" s="1"/>
    </row>
    <row r="32" spans="1:12" ht="13" x14ac:dyDescent="0.3">
      <c r="A32" s="265" t="s">
        <v>251</v>
      </c>
      <c r="B32" s="180" t="s">
        <v>252</v>
      </c>
      <c r="C32" s="265" t="s">
        <v>605</v>
      </c>
      <c r="D32" s="434">
        <v>1</v>
      </c>
      <c r="E32" s="180">
        <f>VLOOKUP(B32,'Mano de Obra'!$B$8:$C$100,2,FALSE)</f>
        <v>65493.071636571978</v>
      </c>
      <c r="F32" s="180"/>
      <c r="G32" s="182">
        <f>+E32*D32</f>
        <v>65493.071636571978</v>
      </c>
      <c r="H32" s="162"/>
      <c r="I32" s="1"/>
      <c r="J32" s="1"/>
      <c r="K32" s="1"/>
      <c r="L32" s="1"/>
    </row>
    <row r="33" spans="1:8" ht="13" x14ac:dyDescent="0.3">
      <c r="A33" s="122"/>
      <c r="B33" s="122"/>
      <c r="C33" s="122"/>
      <c r="D33" s="504"/>
      <c r="E33" s="140"/>
      <c r="F33" s="141" t="s">
        <v>606</v>
      </c>
      <c r="G33" s="391">
        <f>SUM(G31:G32)</f>
        <v>151420.16879314397</v>
      </c>
      <c r="H33" s="162"/>
    </row>
    <row r="34" spans="1:8" ht="13" x14ac:dyDescent="0.3">
      <c r="A34" s="122"/>
      <c r="B34" s="122"/>
      <c r="C34" s="122"/>
      <c r="D34" s="421"/>
      <c r="E34" s="360"/>
      <c r="F34" s="123" t="s">
        <v>607</v>
      </c>
      <c r="G34" s="349">
        <v>1</v>
      </c>
      <c r="H34" s="162"/>
    </row>
    <row r="35" spans="1:8" ht="13" x14ac:dyDescent="0.3">
      <c r="A35" s="122"/>
      <c r="B35" s="122"/>
      <c r="C35" s="122"/>
      <c r="D35" s="421"/>
      <c r="E35" s="360"/>
      <c r="F35" s="123" t="s">
        <v>608</v>
      </c>
      <c r="G35" s="390">
        <f>+G34*G33</f>
        <v>151420.16879314397</v>
      </c>
      <c r="H35" s="162"/>
    </row>
    <row r="36" spans="1:8" ht="13" x14ac:dyDescent="0.3">
      <c r="A36" s="122"/>
      <c r="B36" s="122"/>
      <c r="C36" s="122"/>
      <c r="D36" s="421"/>
      <c r="E36" s="143"/>
      <c r="F36" s="144" t="s">
        <v>10</v>
      </c>
      <c r="G36" s="156">
        <f>+G35/F9</f>
        <v>21631.452684734853</v>
      </c>
      <c r="H36" s="162"/>
    </row>
    <row r="37" spans="1:8" ht="13" x14ac:dyDescent="0.3">
      <c r="A37" s="122"/>
      <c r="B37" s="122"/>
      <c r="C37" s="122"/>
      <c r="D37" s="421"/>
      <c r="H37" s="162"/>
    </row>
    <row r="38" spans="1:8" ht="13" x14ac:dyDescent="0.3">
      <c r="A38" s="122"/>
      <c r="B38" s="122"/>
      <c r="C38" s="122"/>
      <c r="D38" s="421"/>
      <c r="E38" s="122"/>
      <c r="F38" s="123" t="s">
        <v>609</v>
      </c>
      <c r="G38" s="123">
        <f>+G36+G28+G22</f>
        <v>38364.722649616058</v>
      </c>
      <c r="H38" s="162"/>
    </row>
    <row r="39" spans="1:8" ht="13" x14ac:dyDescent="0.3">
      <c r="A39" s="122"/>
      <c r="B39" s="122"/>
      <c r="C39" s="122"/>
      <c r="D39" s="421"/>
      <c r="E39" s="123" t="s">
        <v>610</v>
      </c>
      <c r="F39" s="198">
        <f>+RESUMEN!$I$2</f>
        <v>0</v>
      </c>
      <c r="G39" s="130">
        <f>IF(F39=0,0,F39*G38)</f>
        <v>0</v>
      </c>
      <c r="H39" s="168"/>
    </row>
    <row r="40" spans="1:8" ht="13" x14ac:dyDescent="0.3">
      <c r="A40" s="122"/>
      <c r="B40" s="122"/>
      <c r="C40" s="122"/>
      <c r="D40" s="421"/>
      <c r="E40" s="123" t="s">
        <v>611</v>
      </c>
      <c r="F40" s="198">
        <f>+RESUMEN!$I$3</f>
        <v>0</v>
      </c>
      <c r="G40" s="130">
        <f>IF(F40=0,0,F40*G38)</f>
        <v>0</v>
      </c>
      <c r="H40" s="162"/>
    </row>
    <row r="41" spans="1:8" ht="13" x14ac:dyDescent="0.3">
      <c r="A41" s="1"/>
      <c r="B41" s="1"/>
      <c r="C41" s="1"/>
      <c r="D41" s="332"/>
      <c r="E41" s="151"/>
      <c r="F41" s="152" t="s">
        <v>612</v>
      </c>
      <c r="G41" s="389">
        <f>SUM(G38:G40)</f>
        <v>38364.722649616058</v>
      </c>
      <c r="H41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9"/>
  </sheetPr>
  <dimension ref="A1:L42"/>
  <sheetViews>
    <sheetView workbookViewId="0">
      <selection activeCell="J20" sqref="J20"/>
    </sheetView>
  </sheetViews>
  <sheetFormatPr defaultColWidth="11.453125" defaultRowHeight="12.5" x14ac:dyDescent="0.25"/>
  <cols>
    <col min="1" max="1" width="11.54296875" style="202" customWidth="1"/>
    <col min="2" max="2" width="38.6328125" bestFit="1" customWidth="1"/>
    <col min="3" max="3" width="7.08984375" bestFit="1" customWidth="1"/>
    <col min="4" max="4" width="8.453125" style="427" bestFit="1" customWidth="1"/>
    <col min="5" max="5" width="15.36328125" bestFit="1" customWidth="1"/>
    <col min="6" max="6" width="9.453125" customWidth="1"/>
    <col min="7" max="7" width="11.453125" bestFit="1" customWidth="1"/>
    <col min="8" max="8" width="11.90625" bestFit="1" customWidth="1"/>
  </cols>
  <sheetData>
    <row r="1" spans="1:10" ht="15.5" x14ac:dyDescent="0.25">
      <c r="A1" s="869"/>
      <c r="B1" s="870"/>
      <c r="C1" s="870"/>
      <c r="D1" s="870"/>
      <c r="E1" s="870"/>
      <c r="F1" s="870"/>
      <c r="G1" s="870"/>
      <c r="H1" s="162"/>
    </row>
    <row r="2" spans="1:10" ht="13" x14ac:dyDescent="0.25">
      <c r="A2" s="260"/>
      <c r="B2" s="162"/>
      <c r="C2" s="162"/>
      <c r="D2" s="501"/>
      <c r="E2" s="162"/>
      <c r="F2" s="163" t="s">
        <v>78</v>
      </c>
      <c r="G2" s="669" t="s">
        <v>711</v>
      </c>
      <c r="H2" s="162"/>
    </row>
    <row r="3" spans="1:10" ht="15.5" x14ac:dyDescent="0.25">
      <c r="A3" s="648" t="s">
        <v>579</v>
      </c>
      <c r="B3" s="166"/>
      <c r="C3" s="166"/>
      <c r="D3" s="502"/>
      <c r="E3" s="166"/>
      <c r="F3" s="166"/>
      <c r="G3" s="166"/>
      <c r="H3" s="162"/>
    </row>
    <row r="4" spans="1:10" ht="13" x14ac:dyDescent="0.3">
      <c r="A4" s="158"/>
      <c r="B4" s="122"/>
      <c r="C4" s="122"/>
      <c r="D4" s="421"/>
      <c r="E4" s="122"/>
      <c r="F4" s="123" t="s">
        <v>580</v>
      </c>
      <c r="G4" s="126">
        <v>65</v>
      </c>
      <c r="H4" s="162"/>
    </row>
    <row r="5" spans="1:10" ht="13" x14ac:dyDescent="0.25">
      <c r="A5" s="240" t="s">
        <v>581</v>
      </c>
      <c r="B5" s="663" t="s">
        <v>711</v>
      </c>
      <c r="C5" s="702"/>
      <c r="D5" s="703"/>
      <c r="E5" s="702"/>
      <c r="F5" s="702"/>
      <c r="G5" s="702"/>
      <c r="H5" s="162"/>
    </row>
    <row r="6" spans="1:10" ht="13" x14ac:dyDescent="0.3">
      <c r="A6" s="240" t="s">
        <v>582</v>
      </c>
      <c r="B6" s="673" t="s">
        <v>711</v>
      </c>
      <c r="C6" s="122"/>
      <c r="D6" s="421"/>
      <c r="E6" s="122"/>
      <c r="F6" s="123" t="s">
        <v>583</v>
      </c>
      <c r="G6" s="669" t="s">
        <v>711</v>
      </c>
      <c r="H6" s="162"/>
    </row>
    <row r="7" spans="1:10" ht="15.5" x14ac:dyDescent="0.25">
      <c r="A7" s="334" t="s">
        <v>584</v>
      </c>
      <c r="B7" s="873" t="s">
        <v>784</v>
      </c>
      <c r="C7" s="874"/>
      <c r="D7" s="874"/>
      <c r="E7" s="874"/>
      <c r="F7" s="874"/>
      <c r="G7" s="874"/>
      <c r="H7" s="162"/>
    </row>
    <row r="8" spans="1:10" ht="13" x14ac:dyDescent="0.3">
      <c r="A8" s="240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</row>
    <row r="9" spans="1:10" ht="13" x14ac:dyDescent="0.3">
      <c r="A9" s="158"/>
      <c r="B9" s="122"/>
      <c r="C9" s="132" t="s">
        <v>45</v>
      </c>
      <c r="D9" s="421"/>
      <c r="E9" s="132">
        <v>100</v>
      </c>
      <c r="F9" s="81">
        <v>6</v>
      </c>
      <c r="G9" s="158" t="s">
        <v>615</v>
      </c>
      <c r="H9" s="162"/>
    </row>
    <row r="10" spans="1:10" ht="13" x14ac:dyDescent="0.3">
      <c r="A10" s="337" t="s">
        <v>590</v>
      </c>
      <c r="B10" s="122"/>
      <c r="C10" s="122"/>
      <c r="D10" s="421"/>
      <c r="E10" s="122"/>
      <c r="F10" s="122"/>
      <c r="G10" s="122"/>
      <c r="H10" s="162"/>
      <c r="J10">
        <v>95</v>
      </c>
    </row>
    <row r="11" spans="1:10" ht="13" x14ac:dyDescent="0.3">
      <c r="A11" s="435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4" t="s">
        <v>596</v>
      </c>
      <c r="H11" s="78" t="s">
        <v>597</v>
      </c>
    </row>
    <row r="12" spans="1:10" ht="13" x14ac:dyDescent="0.3">
      <c r="A12" s="264"/>
      <c r="B12" s="175" t="s">
        <v>428</v>
      </c>
      <c r="C12" s="298" t="s">
        <v>17</v>
      </c>
      <c r="D12" s="433">
        <v>0.46153846153846145</v>
      </c>
      <c r="E12" s="175">
        <f>VLOOKUP(B12,Materiales!$B$8:$D$118,3,FALSE)</f>
        <v>2932.93</v>
      </c>
      <c r="F12" s="175">
        <v>10</v>
      </c>
      <c r="G12" s="246">
        <f t="shared" ref="G12:G21" si="0">+D12*E12*((F12+100)/100)</f>
        <v>1489.0259999999996</v>
      </c>
      <c r="H12" s="246">
        <f>+D12*$E$9</f>
        <v>46.153846153846146</v>
      </c>
      <c r="J12" s="762">
        <f>+D12*$J$10</f>
        <v>43.84615384615384</v>
      </c>
    </row>
    <row r="13" spans="1:10" ht="13" x14ac:dyDescent="0.3">
      <c r="A13" s="320"/>
      <c r="B13" s="178" t="s">
        <v>429</v>
      </c>
      <c r="C13" s="428" t="s">
        <v>17</v>
      </c>
      <c r="D13" s="457">
        <v>1.1538461538461537</v>
      </c>
      <c r="E13" s="178">
        <f>VLOOKUP(B13,Materiales!$B$8:$D$118,3,FALSE)</f>
        <v>3295.47</v>
      </c>
      <c r="F13" s="178">
        <v>10</v>
      </c>
      <c r="G13" s="179">
        <f t="shared" si="0"/>
        <v>4182.7119230769231</v>
      </c>
      <c r="H13" s="247">
        <f t="shared" ref="H13:H21" si="1">+D13*$E$9</f>
        <v>115.38461538461537</v>
      </c>
      <c r="J13" s="762">
        <f t="shared" ref="J13:J21" si="2">+D13*$J$10</f>
        <v>109.6153846153846</v>
      </c>
    </row>
    <row r="14" spans="1:10" ht="13" x14ac:dyDescent="0.3">
      <c r="A14" s="320"/>
      <c r="B14" s="178" t="s">
        <v>432</v>
      </c>
      <c r="C14" s="428" t="s">
        <v>17</v>
      </c>
      <c r="D14" s="457">
        <v>10</v>
      </c>
      <c r="E14" s="178">
        <f>VLOOKUP(B14,Materiales!$B$8:$D$118,3,FALSE)</f>
        <v>32.707173553719009</v>
      </c>
      <c r="F14" s="178">
        <v>5</v>
      </c>
      <c r="G14" s="179">
        <f t="shared" si="0"/>
        <v>343.42532231404959</v>
      </c>
      <c r="H14" s="247">
        <f t="shared" si="1"/>
        <v>1000</v>
      </c>
      <c r="J14" s="762">
        <f t="shared" si="2"/>
        <v>950</v>
      </c>
    </row>
    <row r="15" spans="1:10" ht="13" x14ac:dyDescent="0.3">
      <c r="A15" s="320"/>
      <c r="B15" s="178" t="s">
        <v>434</v>
      </c>
      <c r="C15" s="428" t="s">
        <v>17</v>
      </c>
      <c r="D15" s="457">
        <v>15</v>
      </c>
      <c r="E15" s="178">
        <f>VLOOKUP(B15,Materiales!$B$8:$D$118,3,FALSE)</f>
        <v>17.196317722681361</v>
      </c>
      <c r="F15" s="178">
        <v>5</v>
      </c>
      <c r="G15" s="179">
        <f t="shared" si="0"/>
        <v>270.84200413223141</v>
      </c>
      <c r="H15" s="247">
        <f t="shared" si="1"/>
        <v>1500</v>
      </c>
      <c r="J15" s="762">
        <f t="shared" si="2"/>
        <v>1425</v>
      </c>
    </row>
    <row r="16" spans="1:10" ht="13" x14ac:dyDescent="0.3">
      <c r="A16" s="320"/>
      <c r="B16" s="178" t="s">
        <v>435</v>
      </c>
      <c r="C16" s="428" t="s">
        <v>17</v>
      </c>
      <c r="D16" s="457">
        <v>30</v>
      </c>
      <c r="E16" s="178">
        <f>VLOOKUP(B16,Materiales!$B$8:$D$118,3,FALSE)</f>
        <v>41.37522727272728</v>
      </c>
      <c r="F16" s="178">
        <v>5</v>
      </c>
      <c r="G16" s="179">
        <f t="shared" si="0"/>
        <v>1303.3196590909092</v>
      </c>
      <c r="H16" s="247">
        <f t="shared" si="1"/>
        <v>3000</v>
      </c>
      <c r="J16" s="762">
        <f t="shared" si="2"/>
        <v>2850</v>
      </c>
    </row>
    <row r="17" spans="1:12" ht="13" x14ac:dyDescent="0.3">
      <c r="A17" s="320"/>
      <c r="B17" s="178" t="s">
        <v>436</v>
      </c>
      <c r="C17" s="428" t="s">
        <v>17</v>
      </c>
      <c r="D17" s="457">
        <v>3.5</v>
      </c>
      <c r="E17" s="178">
        <f>VLOOKUP(B17,Materiales!$B$8:$D$118,3,FALSE)</f>
        <v>65.919008264462803</v>
      </c>
      <c r="F17" s="178">
        <v>5</v>
      </c>
      <c r="G17" s="179">
        <f t="shared" si="0"/>
        <v>242.25235537190079</v>
      </c>
      <c r="H17" s="247">
        <f t="shared" si="1"/>
        <v>350</v>
      </c>
      <c r="I17" s="1"/>
      <c r="J17" s="762">
        <f t="shared" si="2"/>
        <v>332.5</v>
      </c>
      <c r="K17" s="1"/>
      <c r="L17" s="1"/>
    </row>
    <row r="18" spans="1:12" ht="13" x14ac:dyDescent="0.3">
      <c r="A18" s="320"/>
      <c r="B18" s="178" t="s">
        <v>437</v>
      </c>
      <c r="C18" s="428" t="s">
        <v>52</v>
      </c>
      <c r="D18" s="457">
        <v>0.04</v>
      </c>
      <c r="E18" s="178">
        <f>VLOOKUP(B18,Materiales!$B$8:$D$118,3,FALSE)</f>
        <v>4042.71</v>
      </c>
      <c r="F18" s="178">
        <v>5</v>
      </c>
      <c r="G18" s="179">
        <f t="shared" si="0"/>
        <v>169.79382000000001</v>
      </c>
      <c r="H18" s="247">
        <f t="shared" si="1"/>
        <v>4</v>
      </c>
      <c r="I18" s="1"/>
      <c r="J18" s="762">
        <f t="shared" si="2"/>
        <v>3.8000000000000003</v>
      </c>
      <c r="K18" s="1"/>
      <c r="L18" s="1"/>
    </row>
    <row r="19" spans="1:12" ht="13" x14ac:dyDescent="0.3">
      <c r="A19" s="320"/>
      <c r="B19" s="178" t="s">
        <v>440</v>
      </c>
      <c r="C19" s="428" t="s">
        <v>403</v>
      </c>
      <c r="D19" s="387">
        <v>5.6300000000000003E-2</v>
      </c>
      <c r="E19" s="178">
        <f>VLOOKUP(B19,Materiales!$B$8:$D$118,3,FALSE)</f>
        <v>26872.02</v>
      </c>
      <c r="F19" s="178">
        <v>5</v>
      </c>
      <c r="G19" s="179">
        <f t="shared" si="0"/>
        <v>1588.5394623</v>
      </c>
      <c r="H19" s="247">
        <f t="shared" si="1"/>
        <v>5.63</v>
      </c>
      <c r="I19" s="1"/>
      <c r="J19" s="762">
        <f t="shared" si="2"/>
        <v>5.3485000000000005</v>
      </c>
      <c r="K19" s="1">
        <v>21</v>
      </c>
      <c r="L19" s="1">
        <f>+K19*L20/K20</f>
        <v>50400</v>
      </c>
    </row>
    <row r="20" spans="1:12" ht="13" x14ac:dyDescent="0.3">
      <c r="A20" s="320"/>
      <c r="B20" s="178" t="s">
        <v>446</v>
      </c>
      <c r="C20" s="428" t="s">
        <v>17</v>
      </c>
      <c r="D20" s="457">
        <f>1/21.6</f>
        <v>4.6296296296296294E-2</v>
      </c>
      <c r="E20" s="178">
        <f>VLOOKUP(B20,Materiales!$B$8:$D$118,3,FALSE)</f>
        <v>97970.9</v>
      </c>
      <c r="F20" s="178">
        <v>10</v>
      </c>
      <c r="G20" s="179">
        <f t="shared" si="0"/>
        <v>4989.2587962962953</v>
      </c>
      <c r="H20" s="247">
        <f t="shared" si="1"/>
        <v>4.6296296296296298</v>
      </c>
      <c r="I20" s="1"/>
      <c r="J20" s="762">
        <f t="shared" si="2"/>
        <v>4.3981481481481479</v>
      </c>
      <c r="K20" s="1">
        <v>15</v>
      </c>
      <c r="L20" s="1">
        <v>36000</v>
      </c>
    </row>
    <row r="21" spans="1:12" ht="13" x14ac:dyDescent="0.3">
      <c r="A21" s="265"/>
      <c r="B21" s="180" t="s">
        <v>441</v>
      </c>
      <c r="C21" s="299" t="s">
        <v>17</v>
      </c>
      <c r="D21" s="434">
        <f>0.71*2</f>
        <v>1.42</v>
      </c>
      <c r="E21" s="180">
        <f>VLOOKUP(B21,Materiales!$B$8:$D$118,3,FALSE)</f>
        <v>10022.959999999999</v>
      </c>
      <c r="F21" s="180">
        <v>10</v>
      </c>
      <c r="G21" s="182">
        <f t="shared" si="0"/>
        <v>15655.863519999999</v>
      </c>
      <c r="H21" s="248">
        <f t="shared" si="1"/>
        <v>142</v>
      </c>
      <c r="I21" s="1"/>
      <c r="J21" s="762">
        <f t="shared" si="2"/>
        <v>134.9</v>
      </c>
      <c r="K21" s="1">
        <v>21</v>
      </c>
      <c r="L21" s="1">
        <v>65000</v>
      </c>
    </row>
    <row r="22" spans="1:12" ht="13" x14ac:dyDescent="0.3">
      <c r="A22" s="262"/>
      <c r="B22" s="139"/>
      <c r="C22" s="139"/>
      <c r="D22" s="426"/>
      <c r="E22" s="140"/>
      <c r="F22" s="141" t="s">
        <v>598</v>
      </c>
      <c r="G22" s="391">
        <f>SUM(G12:G21)</f>
        <v>30235.032862582309</v>
      </c>
      <c r="H22" s="162"/>
      <c r="I22" s="1"/>
      <c r="J22" s="1"/>
      <c r="K22" s="1"/>
      <c r="L22" s="1"/>
    </row>
    <row r="23" spans="1:12" ht="13" x14ac:dyDescent="0.3">
      <c r="A23" s="158"/>
      <c r="B23" s="122"/>
      <c r="C23" s="122"/>
      <c r="D23" s="421"/>
      <c r="E23" s="143"/>
      <c r="F23" s="144" t="s">
        <v>9</v>
      </c>
      <c r="G23" s="156">
        <f>+G22</f>
        <v>30235.032862582309</v>
      </c>
      <c r="H23" s="162"/>
      <c r="I23" s="1"/>
      <c r="J23" s="1"/>
      <c r="K23" s="1"/>
      <c r="L23" s="1"/>
    </row>
    <row r="24" spans="1:12" ht="13" x14ac:dyDescent="0.3">
      <c r="A24" s="337" t="s">
        <v>599</v>
      </c>
      <c r="B24" s="122"/>
      <c r="C24" s="122"/>
      <c r="D24" s="421"/>
      <c r="E24" s="122"/>
      <c r="F24" s="122"/>
      <c r="G24" s="122"/>
      <c r="H24" s="162"/>
      <c r="I24" s="1"/>
      <c r="J24" s="1"/>
      <c r="K24" s="1"/>
      <c r="L24" s="1"/>
    </row>
    <row r="25" spans="1:12" ht="13" x14ac:dyDescent="0.3">
      <c r="A25" s="435" t="s">
        <v>79</v>
      </c>
      <c r="B25" s="134" t="s">
        <v>591</v>
      </c>
      <c r="C25" s="134" t="s">
        <v>592</v>
      </c>
      <c r="D25" s="503" t="s">
        <v>593</v>
      </c>
      <c r="E25" s="134" t="s">
        <v>600</v>
      </c>
      <c r="F25" s="447" t="s">
        <v>87</v>
      </c>
      <c r="G25" s="135" t="s">
        <v>596</v>
      </c>
      <c r="H25" s="167"/>
      <c r="I25" s="3"/>
      <c r="J25" s="3"/>
      <c r="K25" s="3"/>
      <c r="L25" s="3"/>
    </row>
    <row r="26" spans="1:12" ht="26" x14ac:dyDescent="0.25">
      <c r="A26" s="264" t="s">
        <v>181</v>
      </c>
      <c r="B26" s="704" t="s">
        <v>182</v>
      </c>
      <c r="C26" s="264" t="s">
        <v>17</v>
      </c>
      <c r="D26" s="464">
        <v>0.5</v>
      </c>
      <c r="E26" s="429">
        <f>VLOOKUP(B26,'Rend. Equipos'!$B$7:$E$222,4,FALSE)</f>
        <v>201885.25333580485</v>
      </c>
      <c r="F26" s="661">
        <f>VLOOKUP(B26,'Rend. Equipos'!$B$6:$L$166,MATCH($F$25,'Rend. Equipos'!$B$6:$L$6,0),0)</f>
        <v>6.9444444444444436E-4</v>
      </c>
      <c r="G26" s="465">
        <f>+E26*D26*F26</f>
        <v>70.099046297154459</v>
      </c>
      <c r="H26" s="162"/>
      <c r="I26" s="1"/>
      <c r="J26" s="1"/>
      <c r="K26" s="1"/>
      <c r="L26" s="1"/>
    </row>
    <row r="27" spans="1:12" ht="13" x14ac:dyDescent="0.25">
      <c r="A27" s="265" t="s">
        <v>135</v>
      </c>
      <c r="B27" s="705" t="s">
        <v>177</v>
      </c>
      <c r="C27" s="265" t="s">
        <v>352</v>
      </c>
      <c r="D27" s="468">
        <v>1</v>
      </c>
      <c r="E27" s="432">
        <f>VLOOKUP(B27,'Rend. Equipos'!$B$7:$E$222,4,FALSE)</f>
        <v>1702971.4669775651</v>
      </c>
      <c r="F27" s="662">
        <f>VLOOKUP(B27,'Rend. Equipos'!$B$6:$L$166,MATCH($F$25,'Rend. Equipos'!$B$6:$L$6,0),0)</f>
        <v>1.3888888888888889E-3</v>
      </c>
      <c r="G27" s="469">
        <f>+E27*D27*F27</f>
        <v>2365.2381485799515</v>
      </c>
      <c r="H27" s="162"/>
      <c r="I27" s="1"/>
      <c r="J27" s="1"/>
      <c r="K27" s="1"/>
      <c r="L27" s="1"/>
    </row>
    <row r="28" spans="1:12" ht="13" x14ac:dyDescent="0.3">
      <c r="A28" s="262"/>
      <c r="B28" s="139"/>
      <c r="C28" s="139"/>
      <c r="D28" s="426"/>
      <c r="E28" s="140"/>
      <c r="F28" s="141" t="s">
        <v>602</v>
      </c>
      <c r="G28" s="391">
        <f>SUM(G26:G27)</f>
        <v>2435.337194877106</v>
      </c>
      <c r="H28" s="162"/>
      <c r="I28" s="1"/>
      <c r="J28" s="1"/>
      <c r="K28" s="1"/>
      <c r="L28" s="1"/>
    </row>
    <row r="29" spans="1:12" ht="13" x14ac:dyDescent="0.3">
      <c r="A29" s="158"/>
      <c r="B29" s="122"/>
      <c r="C29" s="122"/>
      <c r="D29" s="421"/>
      <c r="E29" s="143"/>
      <c r="F29" s="144" t="s">
        <v>11</v>
      </c>
      <c r="G29" s="156">
        <f>+G28/F9</f>
        <v>405.88953247951764</v>
      </c>
      <c r="H29" s="162"/>
      <c r="I29" s="1"/>
      <c r="J29" s="1"/>
      <c r="K29" s="1"/>
      <c r="L29" s="1"/>
    </row>
    <row r="30" spans="1:12" ht="13" x14ac:dyDescent="0.3">
      <c r="A30" s="337" t="s">
        <v>603</v>
      </c>
      <c r="B30" s="122"/>
      <c r="C30" s="122"/>
      <c r="D30" s="421"/>
      <c r="E30" s="122"/>
      <c r="F30" s="122"/>
      <c r="G30" s="122"/>
      <c r="H30" s="162"/>
      <c r="I30" s="1"/>
      <c r="J30" s="1"/>
      <c r="K30" s="1"/>
      <c r="L30" s="1"/>
    </row>
    <row r="31" spans="1:12" ht="13" x14ac:dyDescent="0.3">
      <c r="A31" s="435" t="s">
        <v>79</v>
      </c>
      <c r="B31" s="134" t="s">
        <v>591</v>
      </c>
      <c r="C31" s="134" t="s">
        <v>592</v>
      </c>
      <c r="D31" s="503" t="s">
        <v>593</v>
      </c>
      <c r="E31" s="134" t="s">
        <v>604</v>
      </c>
      <c r="F31" s="134"/>
      <c r="G31" s="135" t="s">
        <v>596</v>
      </c>
      <c r="H31" s="167"/>
      <c r="I31" s="3"/>
      <c r="J31" s="3"/>
      <c r="K31" s="3"/>
      <c r="L31" s="3"/>
    </row>
    <row r="32" spans="1:12" ht="13" x14ac:dyDescent="0.3">
      <c r="A32" s="264" t="s">
        <v>265</v>
      </c>
      <c r="B32" s="175" t="s">
        <v>266</v>
      </c>
      <c r="C32" s="264" t="s">
        <v>605</v>
      </c>
      <c r="D32" s="433">
        <v>1</v>
      </c>
      <c r="E32" s="175">
        <f>VLOOKUP(B32,'Mano de Obra'!$B$8:$C$100,2,FALSE)</f>
        <v>85927.097156571981</v>
      </c>
      <c r="F32" s="175"/>
      <c r="G32" s="176">
        <f>+E32*D32</f>
        <v>85927.097156571981</v>
      </c>
      <c r="H32" s="162"/>
      <c r="I32" s="1"/>
      <c r="J32" s="1"/>
      <c r="K32" s="1"/>
      <c r="L32" s="1"/>
    </row>
    <row r="33" spans="1:8" ht="13" x14ac:dyDescent="0.3">
      <c r="A33" s="265" t="s">
        <v>251</v>
      </c>
      <c r="B33" s="180" t="s">
        <v>252</v>
      </c>
      <c r="C33" s="265" t="s">
        <v>605</v>
      </c>
      <c r="D33" s="434">
        <v>1</v>
      </c>
      <c r="E33" s="180">
        <f>VLOOKUP(B33,'Mano de Obra'!$B$8:$C$100,2,FALSE)</f>
        <v>65493.071636571978</v>
      </c>
      <c r="F33" s="180"/>
      <c r="G33" s="182">
        <f>+E33*D33</f>
        <v>65493.071636571978</v>
      </c>
      <c r="H33" s="162"/>
    </row>
    <row r="34" spans="1:8" ht="13" x14ac:dyDescent="0.3">
      <c r="A34" s="158"/>
      <c r="B34" s="122"/>
      <c r="C34" s="122"/>
      <c r="D34" s="504"/>
      <c r="E34" s="360"/>
      <c r="F34" s="123" t="s">
        <v>606</v>
      </c>
      <c r="G34" s="390">
        <f>SUM(G32:G33)</f>
        <v>151420.16879314397</v>
      </c>
      <c r="H34" s="162"/>
    </row>
    <row r="35" spans="1:8" ht="13" x14ac:dyDescent="0.3">
      <c r="A35" s="158"/>
      <c r="B35" s="122"/>
      <c r="C35" s="122"/>
      <c r="D35" s="421"/>
      <c r="E35" s="360"/>
      <c r="F35" s="123" t="s">
        <v>607</v>
      </c>
      <c r="G35" s="349">
        <v>1</v>
      </c>
      <c r="H35" s="162"/>
    </row>
    <row r="36" spans="1:8" ht="13" x14ac:dyDescent="0.3">
      <c r="A36" s="158"/>
      <c r="B36" s="122"/>
      <c r="C36" s="122"/>
      <c r="D36" s="421"/>
      <c r="E36" s="360"/>
      <c r="F36" s="123" t="s">
        <v>608</v>
      </c>
      <c r="G36" s="390">
        <f>+G35*G34</f>
        <v>151420.16879314397</v>
      </c>
      <c r="H36" s="162"/>
    </row>
    <row r="37" spans="1:8" ht="13" x14ac:dyDescent="0.3">
      <c r="A37" s="158"/>
      <c r="B37" s="122"/>
      <c r="C37" s="122"/>
      <c r="D37" s="421"/>
      <c r="E37" s="143"/>
      <c r="F37" s="144" t="s">
        <v>10</v>
      </c>
      <c r="G37" s="156">
        <f>+G36/F9</f>
        <v>25236.694798857327</v>
      </c>
      <c r="H37" s="162"/>
    </row>
    <row r="38" spans="1:8" ht="13" x14ac:dyDescent="0.3">
      <c r="A38" s="158"/>
      <c r="B38" s="122"/>
      <c r="C38" s="122"/>
      <c r="D38" s="421"/>
      <c r="H38" s="162"/>
    </row>
    <row r="39" spans="1:8" ht="13" x14ac:dyDescent="0.3">
      <c r="A39" s="158"/>
      <c r="B39" s="122"/>
      <c r="C39" s="122"/>
      <c r="D39" s="421"/>
      <c r="E39" s="122"/>
      <c r="F39" s="123" t="s">
        <v>609</v>
      </c>
      <c r="G39" s="123">
        <f>+G37+G29+G23</f>
        <v>55877.617193919155</v>
      </c>
      <c r="H39" s="162"/>
    </row>
    <row r="40" spans="1:8" ht="13" x14ac:dyDescent="0.3">
      <c r="A40" s="158"/>
      <c r="B40" s="122"/>
      <c r="C40" s="122"/>
      <c r="D40" s="421"/>
      <c r="E40" s="123" t="s">
        <v>610</v>
      </c>
      <c r="F40" s="198">
        <f>+RESUMEN!$I$2</f>
        <v>0</v>
      </c>
      <c r="G40" s="130">
        <f>IF(F40=0,0,F40*G39)</f>
        <v>0</v>
      </c>
      <c r="H40" s="168"/>
    </row>
    <row r="41" spans="1:8" ht="13" x14ac:dyDescent="0.3">
      <c r="A41" s="158"/>
      <c r="B41" s="122"/>
      <c r="C41" s="122"/>
      <c r="D41" s="421"/>
      <c r="E41" s="123" t="s">
        <v>611</v>
      </c>
      <c r="F41" s="198">
        <f>+RESUMEN!$I$3</f>
        <v>0</v>
      </c>
      <c r="G41" s="130">
        <f>IF(F41=0,0,F41*G39)</f>
        <v>0</v>
      </c>
      <c r="H41" s="162"/>
    </row>
    <row r="42" spans="1:8" ht="13" x14ac:dyDescent="0.3">
      <c r="A42" s="263"/>
      <c r="B42" s="1"/>
      <c r="C42" s="1"/>
      <c r="D42" s="332"/>
      <c r="E42" s="151"/>
      <c r="F42" s="152" t="s">
        <v>612</v>
      </c>
      <c r="G42" s="389">
        <f>SUM(G39:G41)</f>
        <v>55877.617193919155</v>
      </c>
      <c r="H42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9"/>
  </sheetPr>
  <dimension ref="A1:H40"/>
  <sheetViews>
    <sheetView workbookViewId="0">
      <selection activeCell="F8" sqref="F8"/>
    </sheetView>
  </sheetViews>
  <sheetFormatPr defaultColWidth="11.453125" defaultRowHeight="12.5" x14ac:dyDescent="0.25"/>
  <cols>
    <col min="1" max="1" width="12.08984375" customWidth="1"/>
    <col min="2" max="2" width="38.453125" bestFit="1" customWidth="1"/>
    <col min="3" max="3" width="7.08984375" bestFit="1" customWidth="1"/>
    <col min="4" max="4" width="8.6328125" style="427" customWidth="1"/>
    <col min="5" max="5" width="15.36328125" bestFit="1" customWidth="1"/>
    <col min="6" max="6" width="9.453125" customWidth="1"/>
    <col min="7" max="7" width="11.453125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62"/>
    </row>
    <row r="2" spans="1:8" ht="13" x14ac:dyDescent="0.25">
      <c r="A2" s="162"/>
      <c r="B2" s="162"/>
      <c r="C2" s="162"/>
      <c r="D2" s="501"/>
      <c r="E2" s="162"/>
      <c r="F2" s="163" t="s">
        <v>78</v>
      </c>
      <c r="G2" s="669" t="s">
        <v>711</v>
      </c>
      <c r="H2" s="162"/>
    </row>
    <row r="3" spans="1:8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</row>
    <row r="4" spans="1:8" ht="13" x14ac:dyDescent="0.3">
      <c r="A4" s="122"/>
      <c r="B4" s="122"/>
      <c r="C4" s="122"/>
      <c r="D4" s="421"/>
      <c r="E4" s="122"/>
      <c r="F4" s="123" t="s">
        <v>580</v>
      </c>
      <c r="G4" s="126">
        <v>66</v>
      </c>
      <c r="H4" s="162"/>
    </row>
    <row r="5" spans="1:8" ht="13" x14ac:dyDescent="0.25">
      <c r="A5" s="127" t="s">
        <v>581</v>
      </c>
      <c r="B5" s="901" t="s">
        <v>711</v>
      </c>
      <c r="C5" s="902"/>
      <c r="D5" s="902"/>
      <c r="E5" s="902"/>
      <c r="F5" s="902"/>
      <c r="G5" s="902"/>
      <c r="H5" s="162"/>
    </row>
    <row r="6" spans="1:8" ht="13" x14ac:dyDescent="0.3">
      <c r="A6" s="128" t="s">
        <v>582</v>
      </c>
      <c r="B6" s="673" t="s">
        <v>711</v>
      </c>
      <c r="C6" s="122"/>
      <c r="D6" s="421"/>
      <c r="E6" s="122"/>
      <c r="F6" s="123" t="s">
        <v>583</v>
      </c>
      <c r="G6" s="669" t="s">
        <v>711</v>
      </c>
      <c r="H6" s="162"/>
    </row>
    <row r="7" spans="1:8" ht="15.5" x14ac:dyDescent="0.25">
      <c r="A7" s="197" t="s">
        <v>584</v>
      </c>
      <c r="B7" s="873" t="s">
        <v>785</v>
      </c>
      <c r="C7" s="874"/>
      <c r="D7" s="874"/>
      <c r="E7" s="874"/>
      <c r="F7" s="874"/>
      <c r="G7" s="874"/>
      <c r="H7" s="162"/>
    </row>
    <row r="8" spans="1:8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</row>
    <row r="9" spans="1:8" ht="13" x14ac:dyDescent="0.3">
      <c r="A9" s="122"/>
      <c r="B9" s="122"/>
      <c r="C9" s="132" t="s">
        <v>45</v>
      </c>
      <c r="D9" s="421"/>
      <c r="E9" s="132">
        <v>100</v>
      </c>
      <c r="F9" s="185">
        <v>11</v>
      </c>
      <c r="G9" s="122" t="s">
        <v>615</v>
      </c>
      <c r="H9" s="162"/>
    </row>
    <row r="10" spans="1:8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</row>
    <row r="11" spans="1:8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5" t="s">
        <v>596</v>
      </c>
      <c r="H11" s="78" t="s">
        <v>597</v>
      </c>
    </row>
    <row r="12" spans="1:8" ht="13" x14ac:dyDescent="0.3">
      <c r="A12" s="175"/>
      <c r="B12" s="175" t="s">
        <v>428</v>
      </c>
      <c r="C12" s="298" t="s">
        <v>17</v>
      </c>
      <c r="D12" s="433">
        <f>1/2.6*1.2</f>
        <v>0.46153846153846145</v>
      </c>
      <c r="E12" s="175">
        <f>VLOOKUP(B12,Materiales!$B$8:$D$118,3,FALSE)</f>
        <v>2932.93</v>
      </c>
      <c r="F12" s="175">
        <v>10</v>
      </c>
      <c r="G12" s="246">
        <f t="shared" ref="G12:G19" si="0">+D12*E12*((F12+100)/100)</f>
        <v>1489.0259999999996</v>
      </c>
      <c r="H12" s="246">
        <f>+D12*$E$9</f>
        <v>46.153846153846146</v>
      </c>
    </row>
    <row r="13" spans="1:8" ht="13" x14ac:dyDescent="0.3">
      <c r="A13" s="178"/>
      <c r="B13" s="178" t="s">
        <v>429</v>
      </c>
      <c r="C13" s="428" t="s">
        <v>17</v>
      </c>
      <c r="D13" s="457">
        <f>3/2.6</f>
        <v>1.1538461538461537</v>
      </c>
      <c r="E13" s="178">
        <f>VLOOKUP(B13,Materiales!$B$8:$D$118,3,FALSE)</f>
        <v>3295.47</v>
      </c>
      <c r="F13" s="178">
        <v>10</v>
      </c>
      <c r="G13" s="179">
        <f t="shared" si="0"/>
        <v>4182.7119230769231</v>
      </c>
      <c r="H13" s="247">
        <f t="shared" ref="H13:H19" si="1">+D13*$E$9</f>
        <v>115.38461538461537</v>
      </c>
    </row>
    <row r="14" spans="1:8" ht="13" x14ac:dyDescent="0.3">
      <c r="A14" s="178"/>
      <c r="B14" s="178" t="s">
        <v>432</v>
      </c>
      <c r="C14" s="428" t="s">
        <v>17</v>
      </c>
      <c r="D14" s="457">
        <v>10</v>
      </c>
      <c r="E14" s="178">
        <f>VLOOKUP(B14,Materiales!$B$8:$D$118,3,FALSE)</f>
        <v>32.707173553719009</v>
      </c>
      <c r="F14" s="178">
        <v>10</v>
      </c>
      <c r="G14" s="179">
        <f t="shared" si="0"/>
        <v>359.77890909090911</v>
      </c>
      <c r="H14" s="247">
        <f t="shared" si="1"/>
        <v>1000</v>
      </c>
    </row>
    <row r="15" spans="1:8" ht="13" x14ac:dyDescent="0.3">
      <c r="A15" s="178"/>
      <c r="B15" s="178" t="s">
        <v>434</v>
      </c>
      <c r="C15" s="428" t="s">
        <v>17</v>
      </c>
      <c r="D15" s="457">
        <f>30/2</f>
        <v>15</v>
      </c>
      <c r="E15" s="178">
        <f>VLOOKUP(B15,Materiales!$B$8:$D$118,3,FALSE)</f>
        <v>17.196317722681361</v>
      </c>
      <c r="F15" s="178">
        <v>10</v>
      </c>
      <c r="G15" s="179">
        <f t="shared" si="0"/>
        <v>283.73924242424243</v>
      </c>
      <c r="H15" s="247">
        <f t="shared" si="1"/>
        <v>1500</v>
      </c>
    </row>
    <row r="16" spans="1:8" ht="13" x14ac:dyDescent="0.3">
      <c r="A16" s="178"/>
      <c r="B16" s="178" t="s">
        <v>436</v>
      </c>
      <c r="C16" s="428" t="s">
        <v>17</v>
      </c>
      <c r="D16" s="457">
        <v>3.5</v>
      </c>
      <c r="E16" s="178">
        <f>VLOOKUP(B16,Materiales!$B$8:$D$118,3,FALSE)</f>
        <v>65.919008264462803</v>
      </c>
      <c r="F16" s="178">
        <v>10</v>
      </c>
      <c r="G16" s="179">
        <f t="shared" si="0"/>
        <v>253.78818181818181</v>
      </c>
      <c r="H16" s="247">
        <f t="shared" si="1"/>
        <v>350</v>
      </c>
    </row>
    <row r="17" spans="1:8" ht="13" x14ac:dyDescent="0.3">
      <c r="A17" s="178"/>
      <c r="B17" s="178" t="s">
        <v>437</v>
      </c>
      <c r="C17" s="428" t="s">
        <v>52</v>
      </c>
      <c r="D17" s="457">
        <v>0.02</v>
      </c>
      <c r="E17" s="178">
        <f>VLOOKUP(B17,Materiales!$B$8:$D$118,3,FALSE)</f>
        <v>4042.71</v>
      </c>
      <c r="F17" s="178">
        <v>10</v>
      </c>
      <c r="G17" s="179">
        <f t="shared" si="0"/>
        <v>88.939620000000019</v>
      </c>
      <c r="H17" s="247">
        <f t="shared" si="1"/>
        <v>2</v>
      </c>
    </row>
    <row r="18" spans="1:8" ht="13" x14ac:dyDescent="0.3">
      <c r="A18" s="178"/>
      <c r="B18" s="178" t="s">
        <v>440</v>
      </c>
      <c r="C18" s="428" t="s">
        <v>403</v>
      </c>
      <c r="D18" s="387">
        <f>0.028125</f>
        <v>2.8125000000000001E-2</v>
      </c>
      <c r="E18" s="178">
        <f>VLOOKUP(B18,Materiales!$B$8:$D$118,3,FALSE)</f>
        <v>26872.02</v>
      </c>
      <c r="F18" s="178">
        <v>10</v>
      </c>
      <c r="G18" s="179">
        <f t="shared" si="0"/>
        <v>831.35311875000002</v>
      </c>
      <c r="H18" s="247">
        <f t="shared" si="1"/>
        <v>2.8125</v>
      </c>
    </row>
    <row r="19" spans="1:8" ht="13" x14ac:dyDescent="0.3">
      <c r="A19" s="180"/>
      <c r="B19" s="180" t="s">
        <v>441</v>
      </c>
      <c r="C19" s="299" t="s">
        <v>17</v>
      </c>
      <c r="D19" s="434">
        <v>0.36</v>
      </c>
      <c r="E19" s="180">
        <f>VLOOKUP(B19,Materiales!$B$8:$D$118,3,FALSE)</f>
        <v>10022.959999999999</v>
      </c>
      <c r="F19" s="180">
        <v>10</v>
      </c>
      <c r="G19" s="182">
        <f t="shared" si="0"/>
        <v>3969.0921600000001</v>
      </c>
      <c r="H19" s="248">
        <f t="shared" si="1"/>
        <v>36</v>
      </c>
    </row>
    <row r="20" spans="1:8" ht="13" x14ac:dyDescent="0.3">
      <c r="A20" s="122"/>
      <c r="B20" s="122"/>
      <c r="C20" s="122"/>
      <c r="D20" s="504"/>
      <c r="E20" s="360"/>
      <c r="F20" s="123" t="s">
        <v>598</v>
      </c>
      <c r="G20" s="390">
        <f>SUM(G12:G19)</f>
        <v>11458.429155160258</v>
      </c>
      <c r="H20" s="162"/>
    </row>
    <row r="21" spans="1:8" ht="13" x14ac:dyDescent="0.3">
      <c r="A21" s="122"/>
      <c r="B21" s="122"/>
      <c r="C21" s="122"/>
      <c r="D21" s="421"/>
      <c r="E21" s="143"/>
      <c r="F21" s="144" t="s">
        <v>9</v>
      </c>
      <c r="G21" s="156">
        <f>+G20</f>
        <v>11458.429155160258</v>
      </c>
      <c r="H21" s="162"/>
    </row>
    <row r="22" spans="1:8" ht="13" x14ac:dyDescent="0.3">
      <c r="A22" s="128" t="s">
        <v>599</v>
      </c>
      <c r="B22" s="122"/>
      <c r="C22" s="122"/>
      <c r="D22" s="421"/>
      <c r="E22" s="122"/>
      <c r="F22" s="122"/>
      <c r="G22" s="122"/>
      <c r="H22" s="162"/>
    </row>
    <row r="23" spans="1:8" ht="13" x14ac:dyDescent="0.3">
      <c r="A23" s="133" t="s">
        <v>79</v>
      </c>
      <c r="B23" s="134" t="s">
        <v>591</v>
      </c>
      <c r="C23" s="134" t="s">
        <v>592</v>
      </c>
      <c r="D23" s="503" t="s">
        <v>593</v>
      </c>
      <c r="E23" s="134" t="s">
        <v>600</v>
      </c>
      <c r="F23" s="447" t="s">
        <v>87</v>
      </c>
      <c r="G23" s="135" t="s">
        <v>596</v>
      </c>
      <c r="H23" s="167"/>
    </row>
    <row r="24" spans="1:8" ht="26" x14ac:dyDescent="0.25">
      <c r="A24" s="264" t="s">
        <v>181</v>
      </c>
      <c r="B24" s="704" t="s">
        <v>182</v>
      </c>
      <c r="C24" s="264" t="s">
        <v>17</v>
      </c>
      <c r="D24" s="423">
        <v>0.5</v>
      </c>
      <c r="E24" s="246">
        <f>VLOOKUP(B24,'Rend. Equipos'!$B$7:$E$222,4,FALSE)</f>
        <v>201885.25333580485</v>
      </c>
      <c r="F24" s="661">
        <f>VLOOKUP(B24,'Rend. Equipos'!$B$6:$L$166,MATCH($F$23,'Rend. Equipos'!$B$6:$L$6,0),0)</f>
        <v>6.9444444444444436E-4</v>
      </c>
      <c r="G24" s="246">
        <f>+E24*D24*F24</f>
        <v>70.099046297154459</v>
      </c>
      <c r="H24" s="162"/>
    </row>
    <row r="25" spans="1:8" ht="13" x14ac:dyDescent="0.25">
      <c r="A25" s="265" t="s">
        <v>135</v>
      </c>
      <c r="B25" s="705" t="s">
        <v>177</v>
      </c>
      <c r="C25" s="265" t="s">
        <v>352</v>
      </c>
      <c r="D25" s="425">
        <v>1</v>
      </c>
      <c r="E25" s="248">
        <f>VLOOKUP(B25,'Rend. Equipos'!$B$7:$E$222,4,FALSE)</f>
        <v>1702971.4669775651</v>
      </c>
      <c r="F25" s="662">
        <f>VLOOKUP(B25,'Rend. Equipos'!$B$6:$L$166,MATCH($F$23,'Rend. Equipos'!$B$6:$L$6,0),0)</f>
        <v>1.3888888888888889E-3</v>
      </c>
      <c r="G25" s="248">
        <f>+E25*D25*F25</f>
        <v>2365.2381485799515</v>
      </c>
      <c r="H25" s="162"/>
    </row>
    <row r="26" spans="1:8" ht="13" x14ac:dyDescent="0.3">
      <c r="A26" s="139"/>
      <c r="B26" s="139"/>
      <c r="C26" s="139"/>
      <c r="D26" s="426"/>
      <c r="E26" s="140"/>
      <c r="F26" s="141" t="s">
        <v>602</v>
      </c>
      <c r="G26" s="391">
        <f>SUM(G24:G25)</f>
        <v>2435.337194877106</v>
      </c>
      <c r="H26" s="162"/>
    </row>
    <row r="27" spans="1:8" ht="13" x14ac:dyDescent="0.3">
      <c r="A27" s="122"/>
      <c r="B27" s="122"/>
      <c r="C27" s="122"/>
      <c r="D27" s="421"/>
      <c r="E27" s="143"/>
      <c r="F27" s="144" t="s">
        <v>11</v>
      </c>
      <c r="G27" s="156">
        <f>+G26/F9</f>
        <v>221.39429044337328</v>
      </c>
      <c r="H27" s="162"/>
    </row>
    <row r="28" spans="1:8" ht="13" x14ac:dyDescent="0.3">
      <c r="A28" s="128" t="s">
        <v>603</v>
      </c>
      <c r="B28" s="122"/>
      <c r="C28" s="122"/>
      <c r="D28" s="421"/>
      <c r="E28" s="122"/>
      <c r="F28" s="122"/>
      <c r="G28" s="122"/>
      <c r="H28" s="162"/>
    </row>
    <row r="29" spans="1:8" ht="13" x14ac:dyDescent="0.3">
      <c r="A29" s="133" t="s">
        <v>79</v>
      </c>
      <c r="B29" s="134" t="s">
        <v>591</v>
      </c>
      <c r="C29" s="134" t="s">
        <v>592</v>
      </c>
      <c r="D29" s="503" t="s">
        <v>593</v>
      </c>
      <c r="E29" s="134" t="s">
        <v>604</v>
      </c>
      <c r="F29" s="134"/>
      <c r="G29" s="135" t="s">
        <v>596</v>
      </c>
      <c r="H29" s="167"/>
    </row>
    <row r="30" spans="1:8" ht="13" x14ac:dyDescent="0.3">
      <c r="A30" s="175" t="s">
        <v>265</v>
      </c>
      <c r="B30" s="175" t="s">
        <v>266</v>
      </c>
      <c r="C30" s="264" t="s">
        <v>605</v>
      </c>
      <c r="D30" s="433">
        <v>1</v>
      </c>
      <c r="E30" s="175">
        <f>VLOOKUP(B30,'Mano de Obra'!$B$8:$C$100,2,FALSE)</f>
        <v>85927.097156571981</v>
      </c>
      <c r="F30" s="175"/>
      <c r="G30" s="176">
        <f>+E30*D30</f>
        <v>85927.097156571981</v>
      </c>
      <c r="H30" s="162"/>
    </row>
    <row r="31" spans="1:8" ht="13" x14ac:dyDescent="0.3">
      <c r="A31" s="265" t="s">
        <v>251</v>
      </c>
      <c r="B31" s="180" t="s">
        <v>252</v>
      </c>
      <c r="C31" s="265" t="s">
        <v>605</v>
      </c>
      <c r="D31" s="434">
        <v>1</v>
      </c>
      <c r="E31" s="180">
        <f>VLOOKUP(B31,'Mano de Obra'!$B$8:$C$100,2,FALSE)</f>
        <v>65493.071636571978</v>
      </c>
      <c r="F31" s="180"/>
      <c r="G31" s="182">
        <f>+E31*D31</f>
        <v>65493.071636571978</v>
      </c>
      <c r="H31" s="162"/>
    </row>
    <row r="32" spans="1:8" ht="13" x14ac:dyDescent="0.3">
      <c r="A32" s="122"/>
      <c r="B32" s="122"/>
      <c r="C32" s="122"/>
      <c r="D32" s="504"/>
      <c r="E32" s="140"/>
      <c r="F32" s="141" t="s">
        <v>606</v>
      </c>
      <c r="G32" s="391">
        <f>SUM(G30:G31)</f>
        <v>151420.16879314397</v>
      </c>
      <c r="H32" s="162"/>
    </row>
    <row r="33" spans="1:8" ht="13" x14ac:dyDescent="0.3">
      <c r="A33" s="122"/>
      <c r="B33" s="122"/>
      <c r="C33" s="122"/>
      <c r="D33" s="421"/>
      <c r="E33" s="360"/>
      <c r="F33" s="123" t="s">
        <v>607</v>
      </c>
      <c r="G33" s="349">
        <v>1</v>
      </c>
      <c r="H33" s="162"/>
    </row>
    <row r="34" spans="1:8" ht="13" x14ac:dyDescent="0.3">
      <c r="A34" s="122"/>
      <c r="B34" s="122"/>
      <c r="C34" s="122"/>
      <c r="D34" s="421"/>
      <c r="E34" s="360"/>
      <c r="F34" s="123" t="s">
        <v>608</v>
      </c>
      <c r="G34" s="349">
        <f>+G33*G32</f>
        <v>151420.16879314397</v>
      </c>
      <c r="H34" s="162"/>
    </row>
    <row r="35" spans="1:8" ht="13" x14ac:dyDescent="0.3">
      <c r="A35" s="122"/>
      <c r="B35" s="122"/>
      <c r="C35" s="122"/>
      <c r="D35" s="421"/>
      <c r="E35" s="143"/>
      <c r="F35" s="144" t="s">
        <v>10</v>
      </c>
      <c r="G35" s="156">
        <f>+G34/F9</f>
        <v>13765.469890285814</v>
      </c>
      <c r="H35" s="162"/>
    </row>
    <row r="36" spans="1:8" ht="13" x14ac:dyDescent="0.3">
      <c r="A36" s="122"/>
      <c r="B36" s="122"/>
      <c r="C36" s="122"/>
      <c r="D36" s="421"/>
      <c r="H36" s="162"/>
    </row>
    <row r="37" spans="1:8" ht="13" x14ac:dyDescent="0.3">
      <c r="A37" s="122"/>
      <c r="B37" s="122"/>
      <c r="C37" s="122"/>
      <c r="D37" s="421"/>
      <c r="E37" s="122"/>
      <c r="F37" s="123" t="s">
        <v>609</v>
      </c>
      <c r="G37" s="123">
        <f>+G35+G27+G21</f>
        <v>25445.293335889444</v>
      </c>
      <c r="H37" s="162"/>
    </row>
    <row r="38" spans="1:8" ht="13" x14ac:dyDescent="0.3">
      <c r="A38" s="122"/>
      <c r="B38" s="122"/>
      <c r="C38" s="122"/>
      <c r="D38" s="421"/>
      <c r="E38" s="123" t="s">
        <v>610</v>
      </c>
      <c r="F38" s="198">
        <f>+RESUMEN!$I$2</f>
        <v>0</v>
      </c>
      <c r="G38" s="130">
        <f>IF(F38=0,0,F38*G37)</f>
        <v>0</v>
      </c>
      <c r="H38" s="168"/>
    </row>
    <row r="39" spans="1:8" ht="13" x14ac:dyDescent="0.3">
      <c r="A39" s="122"/>
      <c r="B39" s="122"/>
      <c r="C39" s="122"/>
      <c r="D39" s="421"/>
      <c r="E39" s="123" t="s">
        <v>611</v>
      </c>
      <c r="F39" s="198">
        <f>+RESUMEN!$I$3</f>
        <v>0</v>
      </c>
      <c r="G39" s="130">
        <f>IF(F39=0,0,F39*G37)</f>
        <v>0</v>
      </c>
      <c r="H39" s="162"/>
    </row>
    <row r="40" spans="1:8" ht="13" x14ac:dyDescent="0.3">
      <c r="A40" s="1"/>
      <c r="B40" s="1"/>
      <c r="C40" s="1"/>
      <c r="D40" s="332"/>
      <c r="E40" s="151"/>
      <c r="F40" s="152" t="s">
        <v>612</v>
      </c>
      <c r="G40" s="389">
        <f>SUM(G37:G39)</f>
        <v>25445.293335889444</v>
      </c>
      <c r="H40" s="1"/>
    </row>
  </sheetData>
  <mergeCells count="3">
    <mergeCell ref="A1:G1"/>
    <mergeCell ref="B5:G5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9"/>
  </sheetPr>
  <dimension ref="A1:H41"/>
  <sheetViews>
    <sheetView topLeftCell="A12" workbookViewId="0">
      <selection activeCell="G41" sqref="G41"/>
    </sheetView>
  </sheetViews>
  <sheetFormatPr defaultColWidth="11.453125" defaultRowHeight="12.5" x14ac:dyDescent="0.25"/>
  <cols>
    <col min="1" max="1" width="11.08984375" customWidth="1"/>
    <col min="2" max="2" width="38" bestFit="1" customWidth="1"/>
    <col min="3" max="3" width="7.08984375" bestFit="1" customWidth="1"/>
    <col min="4" max="4" width="8.6328125" style="427" customWidth="1"/>
    <col min="5" max="5" width="15.36328125" style="301" bestFit="1" customWidth="1"/>
    <col min="6" max="6" width="9.453125" style="301" customWidth="1"/>
    <col min="7" max="7" width="9.6328125" style="301" customWidth="1"/>
    <col min="10" max="10" width="38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62"/>
    </row>
    <row r="2" spans="1:8" ht="13" x14ac:dyDescent="0.25">
      <c r="A2" s="162"/>
      <c r="B2" s="162"/>
      <c r="C2" s="162"/>
      <c r="D2" s="501"/>
      <c r="E2" s="250"/>
      <c r="F2" s="668" t="s">
        <v>78</v>
      </c>
      <c r="G2" s="549" t="s">
        <v>613</v>
      </c>
      <c r="H2" s="162"/>
    </row>
    <row r="3" spans="1:8" ht="15.5" x14ac:dyDescent="0.35">
      <c r="A3" s="165" t="s">
        <v>579</v>
      </c>
      <c r="B3" s="166"/>
      <c r="C3" s="166"/>
      <c r="D3" s="502"/>
      <c r="E3" s="251"/>
      <c r="F3" s="251"/>
      <c r="G3" s="251"/>
      <c r="H3" s="162"/>
    </row>
    <row r="4" spans="1:8" ht="13" x14ac:dyDescent="0.3">
      <c r="A4" s="122"/>
      <c r="B4" s="122"/>
      <c r="C4" s="122"/>
      <c r="D4" s="421"/>
      <c r="E4" s="33"/>
      <c r="F4" s="452" t="s">
        <v>580</v>
      </c>
      <c r="G4" s="38">
        <v>67</v>
      </c>
      <c r="H4" s="162"/>
    </row>
    <row r="5" spans="1:8" ht="13" x14ac:dyDescent="0.25">
      <c r="A5" s="127" t="s">
        <v>581</v>
      </c>
      <c r="B5" s="562" t="s">
        <v>613</v>
      </c>
      <c r="C5" s="563"/>
      <c r="D5" s="584"/>
      <c r="E5" s="659"/>
      <c r="F5" s="659"/>
      <c r="G5" s="659"/>
      <c r="H5" s="162"/>
    </row>
    <row r="6" spans="1:8" ht="13" x14ac:dyDescent="0.3">
      <c r="A6" s="128" t="s">
        <v>582</v>
      </c>
      <c r="B6" s="415" t="s">
        <v>613</v>
      </c>
      <c r="C6" s="122"/>
      <c r="D6" s="421"/>
      <c r="E6" s="33"/>
      <c r="F6" s="452" t="s">
        <v>583</v>
      </c>
      <c r="G6" s="549" t="s">
        <v>613</v>
      </c>
      <c r="H6" s="162"/>
    </row>
    <row r="7" spans="1:8" ht="15.5" x14ac:dyDescent="0.25">
      <c r="A7" s="197" t="s">
        <v>584</v>
      </c>
      <c r="B7" s="873" t="s">
        <v>786</v>
      </c>
      <c r="C7" s="874"/>
      <c r="D7" s="874"/>
      <c r="E7" s="874"/>
      <c r="F7" s="874"/>
      <c r="G7" s="874"/>
      <c r="H7" s="162"/>
    </row>
    <row r="8" spans="1:8" ht="13" x14ac:dyDescent="0.3">
      <c r="A8" s="128"/>
      <c r="B8" s="122"/>
      <c r="C8" s="131" t="s">
        <v>586</v>
      </c>
      <c r="D8" s="421"/>
      <c r="E8" s="67" t="s">
        <v>587</v>
      </c>
      <c r="F8" s="82" t="s">
        <v>588</v>
      </c>
      <c r="G8" s="33"/>
      <c r="H8" s="162"/>
    </row>
    <row r="9" spans="1:8" ht="13" x14ac:dyDescent="0.3">
      <c r="A9" s="122"/>
      <c r="B9" s="122"/>
      <c r="C9" s="132" t="s">
        <v>45</v>
      </c>
      <c r="D9" s="421"/>
      <c r="E9" s="34">
        <v>100</v>
      </c>
      <c r="F9" s="81">
        <v>20</v>
      </c>
      <c r="G9" s="81" t="s">
        <v>615</v>
      </c>
      <c r="H9" s="162"/>
    </row>
    <row r="10" spans="1:8" ht="13" x14ac:dyDescent="0.3">
      <c r="A10" s="128" t="s">
        <v>590</v>
      </c>
      <c r="B10" s="122"/>
      <c r="C10" s="122"/>
      <c r="D10" s="421"/>
      <c r="E10" s="33"/>
      <c r="F10" s="33"/>
      <c r="G10" s="33"/>
      <c r="H10" s="162"/>
    </row>
    <row r="11" spans="1:8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252" t="s">
        <v>594</v>
      </c>
      <c r="F11" s="252" t="s">
        <v>595</v>
      </c>
      <c r="G11" s="78" t="s">
        <v>596</v>
      </c>
      <c r="H11" s="135" t="s">
        <v>597</v>
      </c>
    </row>
    <row r="12" spans="1:8" ht="13" x14ac:dyDescent="0.3">
      <c r="A12" s="264" t="s">
        <v>466</v>
      </c>
      <c r="B12" s="175" t="s">
        <v>469</v>
      </c>
      <c r="C12" s="264" t="s">
        <v>355</v>
      </c>
      <c r="D12" s="423">
        <v>6.25E-2</v>
      </c>
      <c r="E12" s="116">
        <f>VLOOKUP(B12,Materiales!$B$8:$D$118,3,FALSE)</f>
        <v>28011.57</v>
      </c>
      <c r="F12" s="116">
        <v>10</v>
      </c>
      <c r="G12" s="449">
        <f>+D12*E12*((F12+100)/100)</f>
        <v>1925.7954375000002</v>
      </c>
      <c r="H12" s="449">
        <f>+D12*$E$9</f>
        <v>6.25</v>
      </c>
    </row>
    <row r="13" spans="1:8" ht="13" x14ac:dyDescent="0.3">
      <c r="A13" s="320" t="s">
        <v>489</v>
      </c>
      <c r="B13" s="178" t="s">
        <v>490</v>
      </c>
      <c r="C13" s="320" t="s">
        <v>355</v>
      </c>
      <c r="D13" s="424">
        <v>0.01</v>
      </c>
      <c r="E13" s="35">
        <f>VLOOKUP(B13,Materiales!$B$8:$D$118,3,FALSE)</f>
        <v>26907.33</v>
      </c>
      <c r="F13" s="35">
        <v>10</v>
      </c>
      <c r="G13" s="676">
        <f>+D13*E13*((F13+100)/100)</f>
        <v>295.98063000000002</v>
      </c>
      <c r="H13" s="676">
        <f t="shared" ref="H13:H20" si="0">+D13*$E$9</f>
        <v>1</v>
      </c>
    </row>
    <row r="14" spans="1:8" ht="13" x14ac:dyDescent="0.3">
      <c r="A14" s="320" t="s">
        <v>496</v>
      </c>
      <c r="B14" s="178" t="s">
        <v>497</v>
      </c>
      <c r="C14" s="320" t="s">
        <v>17</v>
      </c>
      <c r="D14" s="520">
        <v>0.03</v>
      </c>
      <c r="E14" s="35">
        <f>VLOOKUP(B14,Materiales!$B$8:$D$118,3,FALSE)</f>
        <v>735.06</v>
      </c>
      <c r="F14" s="35">
        <v>5</v>
      </c>
      <c r="G14" s="676">
        <f>+D14*E14*((F14+100)/100)</f>
        <v>23.154389999999996</v>
      </c>
      <c r="H14" s="676">
        <f t="shared" si="0"/>
        <v>3</v>
      </c>
    </row>
    <row r="15" spans="1:8" ht="13" x14ac:dyDescent="0.3">
      <c r="A15" s="320" t="s">
        <v>493</v>
      </c>
      <c r="B15" s="178" t="s">
        <v>494</v>
      </c>
      <c r="C15" s="320" t="s">
        <v>17</v>
      </c>
      <c r="D15" s="424">
        <v>0.05</v>
      </c>
      <c r="E15" s="35">
        <f>VLOOKUP(B15,Materiales!$B$8:$D$118,3,FALSE)</f>
        <v>3293.01</v>
      </c>
      <c r="F15" s="35">
        <v>10</v>
      </c>
      <c r="G15" s="676">
        <f t="shared" ref="G15:G20" si="1">+D15*E15*((F15+100)/100)</f>
        <v>181.11555000000004</v>
      </c>
      <c r="H15" s="676">
        <f t="shared" si="0"/>
        <v>5</v>
      </c>
    </row>
    <row r="16" spans="1:8" ht="13" x14ac:dyDescent="0.3">
      <c r="A16" s="320" t="s">
        <v>491</v>
      </c>
      <c r="B16" s="519" t="s">
        <v>492</v>
      </c>
      <c r="C16" s="320" t="s">
        <v>17</v>
      </c>
      <c r="D16" s="520">
        <v>0.02</v>
      </c>
      <c r="E16" s="35">
        <f>VLOOKUP(B16,Materiales!$B$8:$D$118,3,FALSE)</f>
        <v>5661.4</v>
      </c>
      <c r="F16" s="35">
        <v>5</v>
      </c>
      <c r="G16" s="676">
        <f t="shared" si="1"/>
        <v>118.88939999999999</v>
      </c>
      <c r="H16" s="676">
        <f t="shared" si="0"/>
        <v>2</v>
      </c>
    </row>
    <row r="17" spans="1:8" ht="13" x14ac:dyDescent="0.3">
      <c r="A17" s="320"/>
      <c r="B17" s="519" t="s">
        <v>501</v>
      </c>
      <c r="C17" s="320" t="s">
        <v>17</v>
      </c>
      <c r="D17" s="520">
        <v>0.01</v>
      </c>
      <c r="E17" s="35">
        <f>VLOOKUP(B17,Materiales!$B$8:$D$118,3,FALSE)</f>
        <v>6678.36</v>
      </c>
      <c r="F17" s="35">
        <v>5</v>
      </c>
      <c r="G17" s="676">
        <f t="shared" si="1"/>
        <v>70.122779999999992</v>
      </c>
      <c r="H17" s="676">
        <f t="shared" si="0"/>
        <v>1</v>
      </c>
    </row>
    <row r="18" spans="1:8" ht="13" x14ac:dyDescent="0.3">
      <c r="A18" s="320"/>
      <c r="B18" s="519" t="s">
        <v>502</v>
      </c>
      <c r="C18" s="320" t="s">
        <v>17</v>
      </c>
      <c r="D18" s="520">
        <v>0.01</v>
      </c>
      <c r="E18" s="35">
        <f>VLOOKUP(B18,Materiales!$B$8:$D$118,3,FALSE)</f>
        <v>5282.24</v>
      </c>
      <c r="F18" s="35">
        <v>5</v>
      </c>
      <c r="G18" s="676">
        <f t="shared" si="1"/>
        <v>55.463520000000003</v>
      </c>
      <c r="H18" s="676">
        <f t="shared" si="0"/>
        <v>1</v>
      </c>
    </row>
    <row r="19" spans="1:8" ht="13" x14ac:dyDescent="0.3">
      <c r="A19" s="320"/>
      <c r="B19" s="519" t="s">
        <v>504</v>
      </c>
      <c r="C19" s="320" t="s">
        <v>17</v>
      </c>
      <c r="D19" s="520">
        <v>0.02</v>
      </c>
      <c r="E19" s="35">
        <f>VLOOKUP(B19,Materiales!$B$8:$D$118,3,FALSE)</f>
        <v>7427.6</v>
      </c>
      <c r="F19" s="35">
        <v>5</v>
      </c>
      <c r="G19" s="676">
        <f t="shared" si="1"/>
        <v>155.97960000000003</v>
      </c>
      <c r="H19" s="676">
        <f t="shared" si="0"/>
        <v>2</v>
      </c>
    </row>
    <row r="20" spans="1:8" ht="13" x14ac:dyDescent="0.3">
      <c r="A20" s="265"/>
      <c r="B20" s="522" t="s">
        <v>471</v>
      </c>
      <c r="C20" s="265" t="s">
        <v>355</v>
      </c>
      <c r="D20" s="523">
        <v>2E-3</v>
      </c>
      <c r="E20" s="80">
        <f>VLOOKUP(B20,Materiales!$B$8:$D$118,3,FALSE)</f>
        <v>18735.77</v>
      </c>
      <c r="F20" s="80">
        <v>10</v>
      </c>
      <c r="G20" s="450">
        <f t="shared" si="1"/>
        <v>41.218694000000006</v>
      </c>
      <c r="H20" s="450">
        <f t="shared" si="0"/>
        <v>0.2</v>
      </c>
    </row>
    <row r="21" spans="1:8" ht="13" x14ac:dyDescent="0.3">
      <c r="A21" s="139"/>
      <c r="B21" s="139"/>
      <c r="C21" s="139"/>
      <c r="D21" s="426"/>
      <c r="E21" s="677"/>
      <c r="F21" s="678" t="s">
        <v>598</v>
      </c>
      <c r="G21" s="462">
        <f>SUM(G12:G20)</f>
        <v>2867.7200015000003</v>
      </c>
      <c r="H21" s="162"/>
    </row>
    <row r="22" spans="1:8" ht="13" x14ac:dyDescent="0.3">
      <c r="A22" s="122"/>
      <c r="B22" s="122"/>
      <c r="C22" s="122"/>
      <c r="D22" s="421"/>
      <c r="E22" s="679"/>
      <c r="F22" s="680" t="s">
        <v>9</v>
      </c>
      <c r="G22" s="667">
        <f>+G21</f>
        <v>2867.7200015000003</v>
      </c>
      <c r="H22" s="162"/>
    </row>
    <row r="23" spans="1:8" ht="13" x14ac:dyDescent="0.3">
      <c r="A23" s="128" t="s">
        <v>599</v>
      </c>
      <c r="B23" s="122"/>
      <c r="C23" s="122"/>
      <c r="D23" s="421"/>
      <c r="E23" s="33"/>
      <c r="F23" s="33"/>
      <c r="G23" s="33"/>
      <c r="H23" s="162"/>
    </row>
    <row r="24" spans="1:8" ht="13" x14ac:dyDescent="0.3">
      <c r="A24" s="133" t="s">
        <v>79</v>
      </c>
      <c r="B24" s="134" t="s">
        <v>591</v>
      </c>
      <c r="C24" s="134" t="s">
        <v>592</v>
      </c>
      <c r="D24" s="503" t="s">
        <v>593</v>
      </c>
      <c r="E24" s="252" t="s">
        <v>600</v>
      </c>
      <c r="F24" s="447" t="s">
        <v>87</v>
      </c>
      <c r="G24" s="78" t="s">
        <v>596</v>
      </c>
      <c r="H24" s="167"/>
    </row>
    <row r="25" spans="1:8" ht="13" x14ac:dyDescent="0.3">
      <c r="A25" s="264" t="s">
        <v>181</v>
      </c>
      <c r="B25" s="175" t="s">
        <v>183</v>
      </c>
      <c r="C25" s="264" t="s">
        <v>17</v>
      </c>
      <c r="D25" s="433">
        <v>1</v>
      </c>
      <c r="E25" s="116">
        <f>VLOOKUP(B25,'Rend. Equipos'!$B$7:$E$222,4,FALSE)</f>
        <v>72091.108607308124</v>
      </c>
      <c r="F25" s="709">
        <f>VLOOKUP(B25,'Rend. Equipos'!$B$6:$L$166,MATCH($F$24,'Rend. Equipos'!$B$6:$L$6,0),0)</f>
        <v>2.7777777777777779E-3</v>
      </c>
      <c r="G25" s="449">
        <f>+E25*D25*F25</f>
        <v>200.25307946474479</v>
      </c>
      <c r="H25" s="162"/>
    </row>
    <row r="26" spans="1:8" ht="13" x14ac:dyDescent="0.3">
      <c r="A26" s="265" t="s">
        <v>135</v>
      </c>
      <c r="B26" s="180" t="s">
        <v>136</v>
      </c>
      <c r="C26" s="265" t="s">
        <v>352</v>
      </c>
      <c r="D26" s="434">
        <v>1</v>
      </c>
      <c r="E26" s="80">
        <f>VLOOKUP(B26,'Rend. Equipos'!$B$7:$E$222,4,FALSE)</f>
        <v>1241010.6908793931</v>
      </c>
      <c r="F26" s="710">
        <f>VLOOKUP(B26,'Rend. Equipos'!$B$6:$L$166,MATCH($F$24,'Rend. Equipos'!$B$6:$L$6,0),0)</f>
        <v>1.3888888888888887E-3</v>
      </c>
      <c r="G26" s="450">
        <f>+E26*D26*F26</f>
        <v>1723.6259595547124</v>
      </c>
      <c r="H26" s="162"/>
    </row>
    <row r="27" spans="1:8" ht="13" x14ac:dyDescent="0.3">
      <c r="A27" s="139"/>
      <c r="B27" s="139"/>
      <c r="C27" s="139"/>
      <c r="D27" s="426"/>
      <c r="E27" s="677"/>
      <c r="F27" s="678" t="s">
        <v>602</v>
      </c>
      <c r="G27" s="462">
        <f>SUM(G25:G26)</f>
        <v>1923.8790390194572</v>
      </c>
      <c r="H27" s="162"/>
    </row>
    <row r="28" spans="1:8" ht="13" x14ac:dyDescent="0.3">
      <c r="A28" s="122"/>
      <c r="B28" s="122"/>
      <c r="C28" s="122"/>
      <c r="D28" s="421"/>
      <c r="E28" s="679"/>
      <c r="F28" s="680" t="s">
        <v>11</v>
      </c>
      <c r="G28" s="667">
        <f>+G27/F9</f>
        <v>96.19395195097286</v>
      </c>
      <c r="H28" s="162"/>
    </row>
    <row r="29" spans="1:8" ht="13" x14ac:dyDescent="0.3">
      <c r="A29" s="128" t="s">
        <v>603</v>
      </c>
      <c r="B29" s="122"/>
      <c r="C29" s="122"/>
      <c r="D29" s="421"/>
      <c r="E29" s="33"/>
      <c r="F29" s="33"/>
      <c r="G29" s="33"/>
      <c r="H29" s="162"/>
    </row>
    <row r="30" spans="1:8" ht="13" x14ac:dyDescent="0.3">
      <c r="A30" s="133" t="s">
        <v>79</v>
      </c>
      <c r="B30" s="134" t="s">
        <v>591</v>
      </c>
      <c r="C30" s="134" t="s">
        <v>592</v>
      </c>
      <c r="D30" s="503" t="s">
        <v>593</v>
      </c>
      <c r="E30" s="252" t="s">
        <v>604</v>
      </c>
      <c r="F30" s="252"/>
      <c r="G30" s="78" t="s">
        <v>596</v>
      </c>
      <c r="H30" s="167"/>
    </row>
    <row r="31" spans="1:8" ht="13" x14ac:dyDescent="0.3">
      <c r="A31" s="264" t="s">
        <v>265</v>
      </c>
      <c r="B31" s="175" t="s">
        <v>266</v>
      </c>
      <c r="C31" s="264" t="s">
        <v>605</v>
      </c>
      <c r="D31" s="433">
        <v>1</v>
      </c>
      <c r="E31" s="116">
        <f>VLOOKUP(B31,'Mano de Obra'!$B$8:$C$100,2,FALSE)</f>
        <v>85927.097156571981</v>
      </c>
      <c r="F31" s="116"/>
      <c r="G31" s="449">
        <f>+E31*D31</f>
        <v>85927.097156571981</v>
      </c>
      <c r="H31" s="162"/>
    </row>
    <row r="32" spans="1:8" ht="13" x14ac:dyDescent="0.3">
      <c r="A32" s="713" t="s">
        <v>251</v>
      </c>
      <c r="B32" s="714" t="s">
        <v>252</v>
      </c>
      <c r="C32" s="265" t="s">
        <v>605</v>
      </c>
      <c r="D32" s="434">
        <v>1</v>
      </c>
      <c r="E32" s="80">
        <f>VLOOKUP(B32,'Mano de Obra'!$B$8:$C$100,2,FALSE)</f>
        <v>65493.071636571978</v>
      </c>
      <c r="F32" s="80"/>
      <c r="G32" s="450">
        <f>+E32*D32</f>
        <v>65493.071636571978</v>
      </c>
      <c r="H32" s="162"/>
    </row>
    <row r="33" spans="1:8" ht="13" x14ac:dyDescent="0.3">
      <c r="A33" s="139"/>
      <c r="B33" s="139"/>
      <c r="C33" s="139"/>
      <c r="D33" s="426"/>
      <c r="E33" s="677"/>
      <c r="F33" s="678" t="s">
        <v>606</v>
      </c>
      <c r="G33" s="462">
        <f>SUM(G31:G32)</f>
        <v>151420.16879314397</v>
      </c>
      <c r="H33" s="162"/>
    </row>
    <row r="34" spans="1:8" ht="13" x14ac:dyDescent="0.3">
      <c r="A34" s="122"/>
      <c r="B34" s="122"/>
      <c r="C34" s="122"/>
      <c r="D34" s="421"/>
      <c r="E34" s="686"/>
      <c r="F34" s="687" t="s">
        <v>607</v>
      </c>
      <c r="G34" s="688">
        <v>1</v>
      </c>
      <c r="H34" s="162"/>
    </row>
    <row r="35" spans="1:8" ht="13" x14ac:dyDescent="0.3">
      <c r="A35" s="122"/>
      <c r="B35" s="122"/>
      <c r="C35" s="122"/>
      <c r="D35" s="421"/>
      <c r="E35" s="686"/>
      <c r="F35" s="687" t="s">
        <v>608</v>
      </c>
      <c r="G35" s="689">
        <f>+G34*G33</f>
        <v>151420.16879314397</v>
      </c>
      <c r="H35" s="162"/>
    </row>
    <row r="36" spans="1:8" ht="13" x14ac:dyDescent="0.3">
      <c r="A36" s="122"/>
      <c r="B36" s="122"/>
      <c r="C36" s="122"/>
      <c r="D36" s="421"/>
      <c r="E36" s="679"/>
      <c r="F36" s="680" t="s">
        <v>10</v>
      </c>
      <c r="G36" s="667">
        <f>+G35/F9</f>
        <v>7571.0084396571983</v>
      </c>
      <c r="H36" s="162"/>
    </row>
    <row r="37" spans="1:8" ht="13" x14ac:dyDescent="0.3">
      <c r="A37" s="122"/>
      <c r="B37" s="122"/>
      <c r="C37" s="122"/>
      <c r="D37" s="421"/>
      <c r="H37" s="162"/>
    </row>
    <row r="38" spans="1:8" ht="13" x14ac:dyDescent="0.3">
      <c r="A38" s="122"/>
      <c r="B38" s="122"/>
      <c r="C38" s="122"/>
      <c r="D38" s="421"/>
      <c r="E38" s="33"/>
      <c r="F38" s="452" t="s">
        <v>609</v>
      </c>
      <c r="G38" s="452">
        <f>+G36+G28+G22</f>
        <v>10534.922393108171</v>
      </c>
      <c r="H38" s="162"/>
    </row>
    <row r="39" spans="1:8" ht="13" x14ac:dyDescent="0.3">
      <c r="A39" s="122"/>
      <c r="B39" s="122"/>
      <c r="C39" s="122"/>
      <c r="D39" s="421"/>
      <c r="E39" s="452" t="s">
        <v>610</v>
      </c>
      <c r="F39" s="708">
        <f>+RESUMEN!$I$2</f>
        <v>0</v>
      </c>
      <c r="G39" s="38">
        <f>IF(F39=0,0,F39*G38)</f>
        <v>0</v>
      </c>
      <c r="H39" s="168"/>
    </row>
    <row r="40" spans="1:8" ht="13" x14ac:dyDescent="0.3">
      <c r="A40" s="122"/>
      <c r="B40" s="122"/>
      <c r="C40" s="122"/>
      <c r="D40" s="421"/>
      <c r="E40" s="452" t="s">
        <v>611</v>
      </c>
      <c r="F40" s="708">
        <f>+RESUMEN!$I$3</f>
        <v>0</v>
      </c>
      <c r="G40" s="38">
        <f>IF(F40=0,0,F40*G38)</f>
        <v>0</v>
      </c>
      <c r="H40" s="162"/>
    </row>
    <row r="41" spans="1:8" ht="13" x14ac:dyDescent="0.3">
      <c r="A41" s="122"/>
      <c r="B41" s="122"/>
      <c r="C41" s="122"/>
      <c r="D41" s="421"/>
      <c r="E41" s="684"/>
      <c r="F41" s="685" t="s">
        <v>612</v>
      </c>
      <c r="G41" s="690">
        <f>SUM(G38:G40)</f>
        <v>10534.922393108171</v>
      </c>
      <c r="H41" s="162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9"/>
  </sheetPr>
  <dimension ref="A1:M38"/>
  <sheetViews>
    <sheetView workbookViewId="0">
      <selection activeCell="F9" sqref="F9"/>
    </sheetView>
  </sheetViews>
  <sheetFormatPr defaultColWidth="11.453125" defaultRowHeight="12.5" x14ac:dyDescent="0.25"/>
  <cols>
    <col min="1" max="1" width="12.36328125" customWidth="1"/>
    <col min="2" max="2" width="40.453125" bestFit="1" customWidth="1"/>
    <col min="3" max="3" width="7.08984375" bestFit="1" customWidth="1"/>
    <col min="4" max="4" width="8.6328125" style="427" customWidth="1"/>
    <col min="5" max="5" width="15.36328125" bestFit="1" customWidth="1"/>
    <col min="6" max="6" width="9.453125" customWidth="1"/>
    <col min="7" max="7" width="12" bestFit="1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</row>
    <row r="2" spans="1:13" ht="13" x14ac:dyDescent="0.25">
      <c r="A2" s="162"/>
      <c r="B2" s="162"/>
      <c r="C2" s="162"/>
      <c r="D2" s="501"/>
      <c r="E2" s="162"/>
      <c r="F2" s="163" t="s">
        <v>78</v>
      </c>
      <c r="G2" s="446" t="s">
        <v>613</v>
      </c>
      <c r="H2" s="162"/>
      <c r="I2" s="1"/>
      <c r="J2" s="1"/>
      <c r="K2" s="1"/>
      <c r="L2" s="1"/>
      <c r="M2" s="1"/>
    </row>
    <row r="3" spans="1:13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  <c r="I3" s="1"/>
      <c r="J3" s="1"/>
      <c r="K3" s="1"/>
      <c r="L3" s="1"/>
      <c r="M3" s="1"/>
    </row>
    <row r="4" spans="1:13" ht="13" x14ac:dyDescent="0.3">
      <c r="A4" s="122"/>
      <c r="B4" s="122"/>
      <c r="C4" s="122"/>
      <c r="D4" s="421"/>
      <c r="E4" s="122"/>
      <c r="F4" s="123" t="s">
        <v>580</v>
      </c>
      <c r="G4" s="126">
        <v>68</v>
      </c>
      <c r="H4" s="162"/>
      <c r="I4" s="1"/>
      <c r="J4" s="1"/>
      <c r="K4" s="1"/>
      <c r="L4" s="1"/>
      <c r="M4" s="1"/>
    </row>
    <row r="5" spans="1:13" ht="13" x14ac:dyDescent="0.25">
      <c r="A5" s="127" t="s">
        <v>581</v>
      </c>
      <c r="B5" s="415" t="s">
        <v>613</v>
      </c>
      <c r="C5" s="563"/>
      <c r="D5" s="584"/>
      <c r="E5" s="563"/>
      <c r="F5" s="563"/>
      <c r="G5" s="563"/>
      <c r="H5" s="162"/>
      <c r="I5" s="1"/>
      <c r="J5" s="1"/>
      <c r="K5" s="1"/>
      <c r="L5" s="1"/>
      <c r="M5" s="1"/>
    </row>
    <row r="6" spans="1:13" ht="13" x14ac:dyDescent="0.3">
      <c r="A6" s="128" t="s">
        <v>582</v>
      </c>
      <c r="B6" s="549" t="s">
        <v>613</v>
      </c>
      <c r="C6" s="122"/>
      <c r="D6" s="421"/>
      <c r="E6" s="122"/>
      <c r="F6" s="123" t="s">
        <v>583</v>
      </c>
      <c r="G6" s="446" t="s">
        <v>613</v>
      </c>
      <c r="H6" s="162"/>
      <c r="I6" s="1"/>
      <c r="J6" s="1"/>
      <c r="K6" s="1"/>
      <c r="L6" s="1"/>
      <c r="M6" s="1"/>
    </row>
    <row r="7" spans="1:13" ht="15.5" x14ac:dyDescent="0.25">
      <c r="A7" s="197" t="s">
        <v>584</v>
      </c>
      <c r="B7" s="873" t="s">
        <v>787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</row>
    <row r="8" spans="1:13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</row>
    <row r="9" spans="1:13" ht="13" x14ac:dyDescent="0.3">
      <c r="A9" s="122"/>
      <c r="B9" s="122" t="s">
        <v>788</v>
      </c>
      <c r="C9" s="132" t="s">
        <v>45</v>
      </c>
      <c r="D9" s="421"/>
      <c r="E9" s="564">
        <v>100</v>
      </c>
      <c r="F9" s="33">
        <v>15</v>
      </c>
      <c r="G9" s="158" t="s">
        <v>615</v>
      </c>
      <c r="H9" s="162"/>
      <c r="I9" s="1"/>
      <c r="J9" s="1"/>
      <c r="K9" s="1"/>
      <c r="L9" s="1"/>
      <c r="M9" s="1"/>
    </row>
    <row r="10" spans="1:13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  <c r="I10" s="1"/>
      <c r="J10" s="1"/>
      <c r="K10" s="1"/>
      <c r="L10" s="1"/>
      <c r="M10" s="1"/>
    </row>
    <row r="11" spans="1:13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4" t="s">
        <v>596</v>
      </c>
      <c r="H11" s="135" t="s">
        <v>597</v>
      </c>
      <c r="I11" s="3"/>
      <c r="J11" s="3"/>
      <c r="K11" s="3"/>
      <c r="L11" s="3"/>
      <c r="M11" s="3"/>
    </row>
    <row r="12" spans="1:13" ht="13" x14ac:dyDescent="0.3">
      <c r="A12" s="264" t="s">
        <v>392</v>
      </c>
      <c r="B12" s="418" t="s">
        <v>399</v>
      </c>
      <c r="C12" s="264" t="s">
        <v>17</v>
      </c>
      <c r="D12" s="433">
        <v>15</v>
      </c>
      <c r="E12" s="175">
        <f>VLOOKUP(B12,Materiales!$B$8:$D$118,3,FALSE)</f>
        <v>0</v>
      </c>
      <c r="F12" s="175">
        <v>5</v>
      </c>
      <c r="G12" s="449">
        <f>+D12*E12*((F12+100)/100)</f>
        <v>0</v>
      </c>
      <c r="H12" s="176">
        <f>+D12*$E$9</f>
        <v>1500</v>
      </c>
      <c r="I12" s="1"/>
      <c r="J12" s="175"/>
      <c r="K12" s="264"/>
      <c r="L12" s="423" t="s">
        <v>623</v>
      </c>
      <c r="M12" s="423" t="s">
        <v>623</v>
      </c>
    </row>
    <row r="13" spans="1:13" ht="13" x14ac:dyDescent="0.3">
      <c r="A13" s="320" t="s">
        <v>377</v>
      </c>
      <c r="B13" s="419" t="s">
        <v>378</v>
      </c>
      <c r="C13" s="320" t="s">
        <v>17</v>
      </c>
      <c r="D13" s="457">
        <v>0.17</v>
      </c>
      <c r="E13" s="178">
        <f>VLOOKUP(B13,Materiales!$B$8:$D$118,3,FALSE)</f>
        <v>3424.53</v>
      </c>
      <c r="F13" s="178">
        <v>10</v>
      </c>
      <c r="G13" s="676">
        <f t="shared" ref="G13:G16" si="0">+D13*E13*((F13+100)/100)</f>
        <v>640.38711000000012</v>
      </c>
      <c r="H13" s="179">
        <f t="shared" ref="H13:H16" si="1">+D13*$E$9</f>
        <v>17</v>
      </c>
      <c r="I13" s="1"/>
      <c r="J13" s="178"/>
      <c r="K13" s="320"/>
      <c r="L13" s="247">
        <v>10</v>
      </c>
      <c r="M13" s="247">
        <v>25</v>
      </c>
    </row>
    <row r="14" spans="1:13" ht="13" x14ac:dyDescent="0.3">
      <c r="A14" s="320" t="s">
        <v>372</v>
      </c>
      <c r="B14" s="419" t="s">
        <v>373</v>
      </c>
      <c r="C14" s="320" t="s">
        <v>374</v>
      </c>
      <c r="D14" s="457">
        <v>0.25</v>
      </c>
      <c r="E14" s="178">
        <f>VLOOKUP(B14,Materiales!$B$8:$D$118,3,FALSE)</f>
        <v>3837.96</v>
      </c>
      <c r="F14" s="178">
        <v>5</v>
      </c>
      <c r="G14" s="676">
        <f t="shared" si="0"/>
        <v>1007.4645</v>
      </c>
      <c r="H14" s="179">
        <f t="shared" si="1"/>
        <v>25</v>
      </c>
      <c r="I14" s="1"/>
      <c r="J14" s="178" t="s">
        <v>373</v>
      </c>
      <c r="K14" s="320" t="s">
        <v>374</v>
      </c>
      <c r="L14" s="320">
        <v>0.1</v>
      </c>
      <c r="M14" s="457">
        <f>+$M$13*L14/$L$13</f>
        <v>0.25</v>
      </c>
    </row>
    <row r="15" spans="1:13" ht="13" x14ac:dyDescent="0.3">
      <c r="A15" s="320" t="s">
        <v>368</v>
      </c>
      <c r="B15" s="419" t="s">
        <v>369</v>
      </c>
      <c r="C15" s="320" t="s">
        <v>370</v>
      </c>
      <c r="D15" s="457">
        <v>0.125</v>
      </c>
      <c r="E15" s="178">
        <f>VLOOKUP(B15,Materiales!$B$8:$D$118,3,FALSE)</f>
        <v>7809.48</v>
      </c>
      <c r="F15" s="178">
        <v>3</v>
      </c>
      <c r="G15" s="676">
        <f t="shared" si="0"/>
        <v>1005.47055</v>
      </c>
      <c r="H15" s="179">
        <f t="shared" si="1"/>
        <v>12.5</v>
      </c>
      <c r="I15" s="1"/>
      <c r="J15" s="178" t="s">
        <v>369</v>
      </c>
      <c r="K15" s="320" t="s">
        <v>374</v>
      </c>
      <c r="L15" s="320">
        <v>0.05</v>
      </c>
      <c r="M15" s="457">
        <f t="shared" ref="M15:M16" si="2">+$M$13*L15/$L$13</f>
        <v>0.125</v>
      </c>
    </row>
    <row r="16" spans="1:13" ht="13" x14ac:dyDescent="0.3">
      <c r="A16" s="265" t="s">
        <v>362</v>
      </c>
      <c r="B16" s="420" t="s">
        <v>363</v>
      </c>
      <c r="C16" s="265" t="s">
        <v>59</v>
      </c>
      <c r="D16" s="434">
        <v>0.03</v>
      </c>
      <c r="E16" s="180">
        <f>VLOOKUP(B16,Materiales!$B$8:$D$118,3,FALSE)</f>
        <v>32399.77</v>
      </c>
      <c r="F16" s="180">
        <v>5</v>
      </c>
      <c r="G16" s="450">
        <f t="shared" si="0"/>
        <v>1020.5927550000001</v>
      </c>
      <c r="H16" s="182">
        <f t="shared" si="1"/>
        <v>3</v>
      </c>
      <c r="I16" s="1"/>
      <c r="J16" s="178" t="s">
        <v>363</v>
      </c>
      <c r="K16" s="320" t="s">
        <v>59</v>
      </c>
      <c r="L16" s="320">
        <v>1.2E-2</v>
      </c>
      <c r="M16" s="457">
        <f t="shared" si="2"/>
        <v>0.03</v>
      </c>
    </row>
    <row r="17" spans="1:8" ht="13" x14ac:dyDescent="0.3">
      <c r="A17" s="122"/>
      <c r="B17" s="122"/>
      <c r="C17" s="122"/>
      <c r="D17" s="504"/>
      <c r="E17" s="360"/>
      <c r="F17" s="123" t="s">
        <v>598</v>
      </c>
      <c r="G17" s="390">
        <f>SUM(G12:G16)</f>
        <v>3673.9149150000003</v>
      </c>
      <c r="H17" s="715"/>
    </row>
    <row r="18" spans="1:8" ht="13" x14ac:dyDescent="0.3">
      <c r="A18" s="122"/>
      <c r="B18" s="122"/>
      <c r="C18" s="122"/>
      <c r="D18" s="421"/>
      <c r="E18" s="143"/>
      <c r="F18" s="144" t="s">
        <v>9</v>
      </c>
      <c r="G18" s="156">
        <f>+G17</f>
        <v>3673.9149150000003</v>
      </c>
      <c r="H18" s="162"/>
    </row>
    <row r="19" spans="1:8" ht="13" x14ac:dyDescent="0.3">
      <c r="A19" s="128" t="s">
        <v>599</v>
      </c>
      <c r="B19" s="122"/>
      <c r="C19" s="122"/>
      <c r="D19" s="421"/>
      <c r="E19" s="122"/>
      <c r="F19" s="122"/>
      <c r="G19" s="122"/>
      <c r="H19" s="162"/>
    </row>
    <row r="20" spans="1:8" ht="13" x14ac:dyDescent="0.3">
      <c r="A20" s="133" t="s">
        <v>79</v>
      </c>
      <c r="B20" s="134" t="s">
        <v>591</v>
      </c>
      <c r="C20" s="134" t="s">
        <v>592</v>
      </c>
      <c r="D20" s="503" t="s">
        <v>593</v>
      </c>
      <c r="E20" s="134" t="s">
        <v>600</v>
      </c>
      <c r="F20" s="417" t="s">
        <v>87</v>
      </c>
      <c r="G20" s="135" t="s">
        <v>596</v>
      </c>
      <c r="H20" s="167"/>
    </row>
    <row r="21" spans="1:8" ht="13" x14ac:dyDescent="0.3">
      <c r="A21" s="264" t="s">
        <v>93</v>
      </c>
      <c r="B21" s="175" t="s">
        <v>94</v>
      </c>
      <c r="C21" s="264" t="s">
        <v>352</v>
      </c>
      <c r="D21" s="433">
        <v>1</v>
      </c>
      <c r="E21" s="175">
        <f>VLOOKUP(B21,'Rend. Equipos'!$B$7:$E$222,4,FALSE)</f>
        <v>2470106.6047045495</v>
      </c>
      <c r="F21" s="464">
        <f>VLOOKUP(B21,'Rend. Equipos'!$B$6:$L$166,MATCH($F$20,'Rend. Equipos'!$B$6:$L$6,0),0)</f>
        <v>9.2592592592592596E-4</v>
      </c>
      <c r="G21" s="176">
        <f>+E21*D21*F21</f>
        <v>2287.1357450968053</v>
      </c>
      <c r="H21" s="162"/>
    </row>
    <row r="22" spans="1:8" ht="13" x14ac:dyDescent="0.3">
      <c r="A22" s="320" t="s">
        <v>88</v>
      </c>
      <c r="B22" s="178" t="s">
        <v>89</v>
      </c>
      <c r="C22" s="320" t="s">
        <v>352</v>
      </c>
      <c r="D22" s="457">
        <v>0.5</v>
      </c>
      <c r="E22" s="178">
        <f>VLOOKUP(B22,'Rend. Equipos'!$B$7:$E$222,4,FALSE)</f>
        <v>1028123.0837653707</v>
      </c>
      <c r="F22" s="466">
        <f>VLOOKUP(B22,'Rend. Equipos'!$B$6:$L$166,MATCH($F$20,'Rend. Equipos'!$B$6:$L$6,0),0)</f>
        <v>5.5555555555555556E-4</v>
      </c>
      <c r="G22" s="179">
        <f t="shared" ref="G22:G23" si="3">+E22*D22*F22</f>
        <v>285.58974549038072</v>
      </c>
      <c r="H22" s="162"/>
    </row>
    <row r="23" spans="1:8" ht="13" x14ac:dyDescent="0.3">
      <c r="A23" s="265" t="s">
        <v>163</v>
      </c>
      <c r="B23" s="180" t="s">
        <v>164</v>
      </c>
      <c r="C23" s="265" t="s">
        <v>17</v>
      </c>
      <c r="D23" s="434">
        <v>1</v>
      </c>
      <c r="E23" s="180">
        <f>VLOOKUP(B23,'Rend. Equipos'!$B$7:$E$222,4,FALSE)</f>
        <v>689222.30122796178</v>
      </c>
      <c r="F23" s="468">
        <f>VLOOKUP(B23,'Rend. Equipos'!$B$6:$L$166,MATCH($F$20,'Rend. Equipos'!$B$6:$L$6,0),0)</f>
        <v>1.3888888888888889E-3</v>
      </c>
      <c r="G23" s="182">
        <f t="shared" si="3"/>
        <v>957.25319614994692</v>
      </c>
      <c r="H23" s="162"/>
    </row>
    <row r="24" spans="1:8" ht="13" x14ac:dyDescent="0.3">
      <c r="A24" s="139"/>
      <c r="B24" s="139"/>
      <c r="C24" s="139"/>
      <c r="D24" s="426"/>
      <c r="E24" s="140"/>
      <c r="F24" s="141" t="s">
        <v>602</v>
      </c>
      <c r="G24" s="391">
        <f>SUM(G21:G23)</f>
        <v>3529.9786867371331</v>
      </c>
      <c r="H24" s="162"/>
    </row>
    <row r="25" spans="1:8" ht="13" x14ac:dyDescent="0.3">
      <c r="A25" s="122"/>
      <c r="B25" s="122"/>
      <c r="C25" s="122"/>
      <c r="D25" s="421"/>
      <c r="E25" s="143"/>
      <c r="F25" s="144" t="s">
        <v>11</v>
      </c>
      <c r="G25" s="156">
        <f>+G24/F9</f>
        <v>235.33191244914221</v>
      </c>
      <c r="H25" s="162"/>
    </row>
    <row r="26" spans="1:8" ht="13" x14ac:dyDescent="0.3">
      <c r="A26" s="128" t="s">
        <v>603</v>
      </c>
      <c r="B26" s="122"/>
      <c r="C26" s="122"/>
      <c r="D26" s="421"/>
      <c r="E26" s="122"/>
      <c r="F26" s="122"/>
      <c r="G26" s="122"/>
      <c r="H26" s="162"/>
    </row>
    <row r="27" spans="1:8" ht="13" x14ac:dyDescent="0.3">
      <c r="A27" s="133" t="s">
        <v>79</v>
      </c>
      <c r="B27" s="134" t="s">
        <v>591</v>
      </c>
      <c r="C27" s="134" t="s">
        <v>592</v>
      </c>
      <c r="D27" s="503" t="s">
        <v>593</v>
      </c>
      <c r="E27" s="134" t="s">
        <v>604</v>
      </c>
      <c r="F27" s="134"/>
      <c r="G27" s="135" t="s">
        <v>596</v>
      </c>
      <c r="H27" s="167"/>
    </row>
    <row r="28" spans="1:8" ht="13" x14ac:dyDescent="0.3">
      <c r="A28" s="264" t="s">
        <v>255</v>
      </c>
      <c r="B28" s="175" t="s">
        <v>256</v>
      </c>
      <c r="C28" s="264" t="s">
        <v>605</v>
      </c>
      <c r="D28" s="433">
        <v>1</v>
      </c>
      <c r="E28" s="175">
        <f>VLOOKUP(B28,'Mano de Obra'!$B$8:$C$100,2,FALSE)</f>
        <v>85927.097156571981</v>
      </c>
      <c r="F28" s="175"/>
      <c r="G28" s="176">
        <f>+E28*D28</f>
        <v>85927.097156571981</v>
      </c>
      <c r="H28" s="162"/>
    </row>
    <row r="29" spans="1:8" ht="13" x14ac:dyDescent="0.3">
      <c r="A29" s="265" t="s">
        <v>228</v>
      </c>
      <c r="B29" s="180" t="s">
        <v>230</v>
      </c>
      <c r="C29" s="265" t="s">
        <v>605</v>
      </c>
      <c r="D29" s="434">
        <v>1</v>
      </c>
      <c r="E29" s="180">
        <f>VLOOKUP(B29,'Mano de Obra'!$B$8:$C$100,2,FALSE)</f>
        <v>60860.580776571966</v>
      </c>
      <c r="F29" s="180"/>
      <c r="G29" s="182">
        <f>+E29*D29</f>
        <v>60860.580776571966</v>
      </c>
      <c r="H29" s="162"/>
    </row>
    <row r="30" spans="1:8" ht="13" x14ac:dyDescent="0.3">
      <c r="A30" s="139"/>
      <c r="B30" s="139"/>
      <c r="C30" s="139"/>
      <c r="D30" s="426"/>
      <c r="E30" s="140"/>
      <c r="F30" s="141" t="s">
        <v>606</v>
      </c>
      <c r="G30" s="391">
        <f>SUM(G28:G29)</f>
        <v>146787.67793314395</v>
      </c>
      <c r="H30" s="162"/>
    </row>
    <row r="31" spans="1:8" ht="13" x14ac:dyDescent="0.3">
      <c r="A31" s="122"/>
      <c r="B31" s="122"/>
      <c r="C31" s="122"/>
      <c r="D31" s="421"/>
      <c r="E31" s="360"/>
      <c r="F31" s="123" t="s">
        <v>607</v>
      </c>
      <c r="G31" s="349">
        <v>1</v>
      </c>
      <c r="H31" s="162"/>
    </row>
    <row r="32" spans="1:8" ht="13" x14ac:dyDescent="0.3">
      <c r="A32" s="122"/>
      <c r="B32" s="122"/>
      <c r="C32" s="122"/>
      <c r="D32" s="421"/>
      <c r="E32" s="360"/>
      <c r="F32" s="123" t="s">
        <v>608</v>
      </c>
      <c r="G32" s="390">
        <f>+G31*G30</f>
        <v>146787.67793314395</v>
      </c>
      <c r="H32" s="162"/>
    </row>
    <row r="33" spans="1:8" ht="13" x14ac:dyDescent="0.3">
      <c r="A33" s="122"/>
      <c r="B33" s="122"/>
      <c r="C33" s="122"/>
      <c r="D33" s="421"/>
      <c r="E33" s="143"/>
      <c r="F33" s="144" t="s">
        <v>10</v>
      </c>
      <c r="G33" s="156">
        <f>+G32/F9</f>
        <v>9785.84519554293</v>
      </c>
      <c r="H33" s="162"/>
    </row>
    <row r="34" spans="1:8" ht="13" x14ac:dyDescent="0.3">
      <c r="A34" s="122"/>
      <c r="B34" s="122"/>
      <c r="C34" s="122"/>
      <c r="D34" s="421"/>
      <c r="H34" s="162"/>
    </row>
    <row r="35" spans="1:8" ht="13" x14ac:dyDescent="0.3">
      <c r="A35" s="122"/>
      <c r="B35" s="122"/>
      <c r="C35" s="122"/>
      <c r="D35" s="421"/>
      <c r="E35" s="122"/>
      <c r="F35" s="123" t="s">
        <v>609</v>
      </c>
      <c r="G35" s="123">
        <f>+G33+G25+G18</f>
        <v>13695.092022992074</v>
      </c>
      <c r="H35" s="162"/>
    </row>
    <row r="36" spans="1:8" ht="13" x14ac:dyDescent="0.3">
      <c r="A36" s="122"/>
      <c r="B36" s="122"/>
      <c r="C36" s="122"/>
      <c r="D36" s="421"/>
      <c r="E36" s="123" t="s">
        <v>610</v>
      </c>
      <c r="F36" s="461">
        <f>+RESUMEN!$I$2</f>
        <v>0</v>
      </c>
      <c r="G36" s="130">
        <f>IF(F36=0,0,F36*G35)</f>
        <v>0</v>
      </c>
      <c r="H36" s="162"/>
    </row>
    <row r="37" spans="1:8" ht="13" x14ac:dyDescent="0.3">
      <c r="A37" s="122"/>
      <c r="B37" s="122"/>
      <c r="C37" s="122"/>
      <c r="D37" s="421"/>
      <c r="E37" s="144" t="s">
        <v>611</v>
      </c>
      <c r="F37" s="577">
        <f>+RESUMEN!$I$3</f>
        <v>0</v>
      </c>
      <c r="G37" s="578">
        <f>IF(F37=0,0,F37*G35)</f>
        <v>0</v>
      </c>
      <c r="H37" s="162"/>
    </row>
    <row r="38" spans="1:8" ht="13" x14ac:dyDescent="0.3">
      <c r="A38" s="122"/>
      <c r="B38" s="122"/>
      <c r="C38" s="122"/>
      <c r="D38" s="421"/>
      <c r="E38" s="151"/>
      <c r="F38" s="152" t="s">
        <v>612</v>
      </c>
      <c r="G38" s="389">
        <f>SUM(G35:G37)</f>
        <v>13695.092022992074</v>
      </c>
      <c r="H38" s="162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9"/>
  </sheetPr>
  <dimension ref="A1:M41"/>
  <sheetViews>
    <sheetView topLeftCell="A6" workbookViewId="0">
      <selection activeCell="D15" sqref="D15"/>
    </sheetView>
  </sheetViews>
  <sheetFormatPr defaultColWidth="11.453125" defaultRowHeight="12.5" x14ac:dyDescent="0.25"/>
  <cols>
    <col min="1" max="1" width="11.6328125" customWidth="1"/>
    <col min="2" max="2" width="40.36328125" bestFit="1" customWidth="1"/>
    <col min="3" max="3" width="7.08984375" bestFit="1" customWidth="1"/>
    <col min="4" max="4" width="9" style="427" bestFit="1" customWidth="1"/>
    <col min="5" max="5" width="15.36328125" bestFit="1" customWidth="1"/>
    <col min="6" max="6" width="9.453125" customWidth="1"/>
    <col min="7" max="7" width="12" bestFit="1" customWidth="1"/>
    <col min="8" max="8" width="10.6328125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</row>
    <row r="2" spans="1:13" ht="13" x14ac:dyDescent="0.25">
      <c r="A2" s="162"/>
      <c r="B2" s="162"/>
      <c r="C2" s="162"/>
      <c r="D2" s="501"/>
      <c r="E2" s="162"/>
      <c r="F2" s="240" t="s">
        <v>78</v>
      </c>
      <c r="G2" s="446" t="s">
        <v>613</v>
      </c>
      <c r="H2" s="162"/>
      <c r="I2" s="1"/>
      <c r="J2" s="1"/>
      <c r="K2" s="1"/>
      <c r="L2" s="1"/>
      <c r="M2" s="1"/>
    </row>
    <row r="3" spans="1:13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  <c r="I3" s="1"/>
      <c r="J3" s="1"/>
      <c r="K3" s="1"/>
      <c r="L3" s="1"/>
      <c r="M3" s="1"/>
    </row>
    <row r="4" spans="1:13" ht="13" x14ac:dyDescent="0.3">
      <c r="A4" s="122"/>
      <c r="B4" s="122"/>
      <c r="C4" s="122"/>
      <c r="D4" s="421"/>
      <c r="E4" s="122"/>
      <c r="F4" s="123" t="s">
        <v>580</v>
      </c>
      <c r="G4" s="126">
        <v>70</v>
      </c>
      <c r="H4" s="162"/>
      <c r="I4" s="1"/>
      <c r="J4" s="1"/>
      <c r="K4" s="1"/>
      <c r="L4" s="1"/>
      <c r="M4" s="1"/>
    </row>
    <row r="5" spans="1:13" ht="13" x14ac:dyDescent="0.25">
      <c r="A5" s="127" t="s">
        <v>581</v>
      </c>
      <c r="B5" s="562" t="s">
        <v>613</v>
      </c>
      <c r="C5" s="563"/>
      <c r="D5" s="563"/>
      <c r="E5" s="563"/>
      <c r="F5" s="563"/>
      <c r="G5" s="563"/>
      <c r="H5" s="162"/>
      <c r="I5" s="1"/>
      <c r="J5" s="1"/>
      <c r="K5" s="1"/>
      <c r="L5" s="1"/>
      <c r="M5" s="1"/>
    </row>
    <row r="6" spans="1:13" ht="13" x14ac:dyDescent="0.3">
      <c r="A6" s="128" t="s">
        <v>582</v>
      </c>
      <c r="B6" s="446" t="s">
        <v>613</v>
      </c>
      <c r="C6" s="122"/>
      <c r="D6" s="421"/>
      <c r="E6" s="122"/>
      <c r="F6" s="123" t="s">
        <v>583</v>
      </c>
      <c r="G6" s="446" t="s">
        <v>613</v>
      </c>
      <c r="H6" s="162"/>
      <c r="I6" s="1"/>
      <c r="J6" s="1"/>
      <c r="K6" s="1"/>
      <c r="L6" s="1"/>
      <c r="M6" s="1"/>
    </row>
    <row r="7" spans="1:13" ht="32.4" customHeight="1" x14ac:dyDescent="0.25">
      <c r="A7" s="197" t="s">
        <v>584</v>
      </c>
      <c r="B7" s="903" t="s">
        <v>789</v>
      </c>
      <c r="C7" s="903"/>
      <c r="D7" s="903"/>
      <c r="E7" s="903"/>
      <c r="F7" s="903"/>
      <c r="G7" s="903"/>
      <c r="H7" s="162"/>
      <c r="I7" s="162"/>
      <c r="J7" s="1"/>
      <c r="K7" s="1"/>
      <c r="L7" s="1"/>
      <c r="M7" s="1"/>
    </row>
    <row r="8" spans="1:13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</row>
    <row r="9" spans="1:13" ht="13" x14ac:dyDescent="0.3">
      <c r="A9" s="122"/>
      <c r="B9" s="122"/>
      <c r="C9" s="132" t="s">
        <v>45</v>
      </c>
      <c r="D9" s="421"/>
      <c r="E9" s="564">
        <v>100</v>
      </c>
      <c r="F9" s="185">
        <v>25</v>
      </c>
      <c r="G9" s="158" t="s">
        <v>615</v>
      </c>
      <c r="H9" s="162"/>
      <c r="I9" s="1"/>
      <c r="J9" s="1"/>
      <c r="K9" s="1"/>
      <c r="L9" s="1"/>
      <c r="M9" s="1"/>
    </row>
    <row r="10" spans="1:13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  <c r="I10" s="1"/>
      <c r="J10" s="1"/>
      <c r="K10" s="1"/>
      <c r="L10" s="1"/>
      <c r="M10" s="1"/>
    </row>
    <row r="11" spans="1:13" ht="13" x14ac:dyDescent="0.25">
      <c r="A11" s="435" t="s">
        <v>79</v>
      </c>
      <c r="B11" s="261" t="s">
        <v>591</v>
      </c>
      <c r="C11" s="261" t="s">
        <v>592</v>
      </c>
      <c r="D11" s="436" t="s">
        <v>593</v>
      </c>
      <c r="E11" s="261" t="s">
        <v>594</v>
      </c>
      <c r="F11" s="261" t="s">
        <v>595</v>
      </c>
      <c r="G11" s="261" t="s">
        <v>596</v>
      </c>
      <c r="H11" s="399" t="s">
        <v>597</v>
      </c>
      <c r="I11" s="3"/>
      <c r="J11" s="3" t="s">
        <v>790</v>
      </c>
      <c r="K11" s="3" t="s">
        <v>45</v>
      </c>
      <c r="L11" s="3"/>
      <c r="M11" s="3"/>
    </row>
    <row r="12" spans="1:13" ht="13" x14ac:dyDescent="0.3">
      <c r="A12" s="298" t="s">
        <v>791</v>
      </c>
      <c r="B12" s="418" t="s">
        <v>474</v>
      </c>
      <c r="C12" s="264" t="s">
        <v>538</v>
      </c>
      <c r="D12" s="423">
        <v>2.7777777777777776E-2</v>
      </c>
      <c r="E12" s="175">
        <f>VLOOKUP(B12,Materiales!$B$8:$D$212,3,FALSE)</f>
        <v>32845.78</v>
      </c>
      <c r="F12" s="175">
        <v>10</v>
      </c>
      <c r="G12" s="449">
        <f>+D12*E12*((F12+100)/100)</f>
        <v>1003.6210555555556</v>
      </c>
      <c r="H12" s="176">
        <f>+D12*$E$9</f>
        <v>2.7777777777777777</v>
      </c>
      <c r="I12" s="3"/>
      <c r="J12" s="593">
        <v>1</v>
      </c>
      <c r="K12" s="593">
        <v>2</v>
      </c>
      <c r="L12" s="3"/>
      <c r="M12" s="3"/>
    </row>
    <row r="13" spans="1:13" ht="13" x14ac:dyDescent="0.3">
      <c r="A13" s="428" t="s">
        <v>791</v>
      </c>
      <c r="B13" s="419" t="s">
        <v>479</v>
      </c>
      <c r="C13" s="320" t="s">
        <v>17</v>
      </c>
      <c r="D13" s="424">
        <v>0.1</v>
      </c>
      <c r="E13" s="178">
        <f>VLOOKUP(B13,Materiales!$B$8:$D$212,3,FALSE)</f>
        <v>70192.210000000006</v>
      </c>
      <c r="F13" s="178">
        <v>10</v>
      </c>
      <c r="G13" s="676">
        <f t="shared" ref="G13:G19" si="0">+D13*E13*((F13+100)/100)</f>
        <v>7721.1431000000021</v>
      </c>
      <c r="H13" s="179">
        <f t="shared" ref="H13:H19" si="1">+D13*$E$9</f>
        <v>10</v>
      </c>
      <c r="I13" s="1"/>
      <c r="J13" s="721">
        <v>18</v>
      </c>
      <c r="K13" s="721">
        <f>+J13*K12/J12</f>
        <v>36</v>
      </c>
      <c r="L13" s="1"/>
      <c r="M13" s="278">
        <f>1/K13</f>
        <v>2.7777777777777776E-2</v>
      </c>
    </row>
    <row r="14" spans="1:13" ht="13" x14ac:dyDescent="0.3">
      <c r="A14" s="428"/>
      <c r="B14" s="419" t="s">
        <v>501</v>
      </c>
      <c r="C14" s="428" t="s">
        <v>17</v>
      </c>
      <c r="D14" s="457">
        <v>0.01</v>
      </c>
      <c r="E14" s="178">
        <f>VLOOKUP(B14,Materiales!$B$8:$D$212,3,FALSE)</f>
        <v>6678.36</v>
      </c>
      <c r="F14" s="178">
        <v>5</v>
      </c>
      <c r="G14" s="676">
        <f t="shared" si="0"/>
        <v>70.122779999999992</v>
      </c>
      <c r="H14" s="179">
        <f t="shared" si="1"/>
        <v>1</v>
      </c>
      <c r="I14" s="1"/>
      <c r="J14" s="1"/>
      <c r="K14" s="1"/>
      <c r="L14" s="1"/>
      <c r="M14" s="1"/>
    </row>
    <row r="15" spans="1:13" ht="13" x14ac:dyDescent="0.3">
      <c r="A15" s="428"/>
      <c r="B15" s="419" t="s">
        <v>502</v>
      </c>
      <c r="C15" s="428" t="s">
        <v>17</v>
      </c>
      <c r="D15" s="457">
        <v>0.02</v>
      </c>
      <c r="E15" s="178">
        <f>VLOOKUP(B15,Materiales!$B$8:$D$212,3,FALSE)</f>
        <v>5282.24</v>
      </c>
      <c r="F15" s="178">
        <v>5</v>
      </c>
      <c r="G15" s="676">
        <f t="shared" si="0"/>
        <v>110.92704000000001</v>
      </c>
      <c r="H15" s="179">
        <f t="shared" si="1"/>
        <v>2</v>
      </c>
      <c r="I15" s="1"/>
      <c r="J15" s="1"/>
      <c r="K15" s="1"/>
      <c r="L15" s="1"/>
      <c r="M15" s="1"/>
    </row>
    <row r="16" spans="1:13" ht="13" x14ac:dyDescent="0.3">
      <c r="A16" s="428"/>
      <c r="B16" s="419" t="s">
        <v>490</v>
      </c>
      <c r="C16" s="428" t="s">
        <v>538</v>
      </c>
      <c r="D16" s="457">
        <v>0.01</v>
      </c>
      <c r="E16" s="178">
        <f>VLOOKUP(B16,Materiales!$B$8:$D$212,3,FALSE)</f>
        <v>26907.33</v>
      </c>
      <c r="F16" s="178">
        <v>5</v>
      </c>
      <c r="G16" s="676">
        <f t="shared" si="0"/>
        <v>282.52696500000002</v>
      </c>
      <c r="H16" s="179">
        <f t="shared" si="1"/>
        <v>1</v>
      </c>
      <c r="I16" s="1"/>
      <c r="J16" s="1"/>
      <c r="K16" s="1"/>
      <c r="L16" s="1"/>
      <c r="M16" s="1"/>
    </row>
    <row r="17" spans="1:8" ht="13" x14ac:dyDescent="0.3">
      <c r="A17" s="428"/>
      <c r="B17" s="419" t="s">
        <v>497</v>
      </c>
      <c r="C17" s="428" t="s">
        <v>17</v>
      </c>
      <c r="D17" s="457">
        <v>0.02</v>
      </c>
      <c r="E17" s="178">
        <f>VLOOKUP(B17,Materiales!$B$8:$D$212,3,FALSE)</f>
        <v>735.06</v>
      </c>
      <c r="F17" s="178">
        <v>5</v>
      </c>
      <c r="G17" s="676">
        <f t="shared" si="0"/>
        <v>15.436260000000001</v>
      </c>
      <c r="H17" s="179">
        <f t="shared" si="1"/>
        <v>2</v>
      </c>
    </row>
    <row r="18" spans="1:8" ht="13" x14ac:dyDescent="0.3">
      <c r="A18" s="428"/>
      <c r="B18" s="419" t="s">
        <v>792</v>
      </c>
      <c r="C18" s="428" t="s">
        <v>17</v>
      </c>
      <c r="D18" s="457">
        <v>0.06</v>
      </c>
      <c r="E18" s="178">
        <f>VLOOKUP(B18,Materiales!$B$8:$D$212,3,FALSE)</f>
        <v>4842</v>
      </c>
      <c r="F18" s="178">
        <v>5</v>
      </c>
      <c r="G18" s="676">
        <f t="shared" si="0"/>
        <v>305.04599999999999</v>
      </c>
      <c r="H18" s="179">
        <f t="shared" si="1"/>
        <v>6</v>
      </c>
    </row>
    <row r="19" spans="1:8" ht="13" x14ac:dyDescent="0.3">
      <c r="A19" s="299"/>
      <c r="B19" s="420" t="s">
        <v>575</v>
      </c>
      <c r="C19" s="299" t="s">
        <v>17</v>
      </c>
      <c r="D19" s="434">
        <v>0.02</v>
      </c>
      <c r="E19" s="180">
        <f>VLOOKUP(B19,Materiales!$B$8:$D$212,3,FALSE)</f>
        <v>12396.694214876034</v>
      </c>
      <c r="F19" s="180">
        <v>5</v>
      </c>
      <c r="G19" s="450">
        <f t="shared" si="0"/>
        <v>260.3305785123967</v>
      </c>
      <c r="H19" s="182">
        <f t="shared" si="1"/>
        <v>2</v>
      </c>
    </row>
    <row r="20" spans="1:8" ht="13" x14ac:dyDescent="0.3">
      <c r="A20" s="122"/>
      <c r="B20" s="122"/>
      <c r="C20" s="122"/>
      <c r="D20" s="504"/>
      <c r="E20" s="360"/>
      <c r="F20" s="123" t="s">
        <v>598</v>
      </c>
      <c r="G20" s="390">
        <f>SUM(G12:G19)</f>
        <v>9769.1537790679558</v>
      </c>
      <c r="H20" s="162"/>
    </row>
    <row r="21" spans="1:8" ht="13" x14ac:dyDescent="0.3">
      <c r="A21" s="122"/>
      <c r="B21" s="122"/>
      <c r="C21" s="122"/>
      <c r="D21" s="421"/>
      <c r="E21" s="143"/>
      <c r="F21" s="144" t="s">
        <v>9</v>
      </c>
      <c r="G21" s="156">
        <f>+G20</f>
        <v>9769.1537790679558</v>
      </c>
      <c r="H21" s="162"/>
    </row>
    <row r="22" spans="1:8" ht="13" x14ac:dyDescent="0.3">
      <c r="A22" s="128" t="s">
        <v>599</v>
      </c>
      <c r="B22" s="122"/>
      <c r="C22" s="122"/>
      <c r="D22" s="421"/>
      <c r="E22" s="122"/>
      <c r="F22" s="122"/>
      <c r="G22" s="122"/>
      <c r="H22" s="162"/>
    </row>
    <row r="23" spans="1:8" ht="13" x14ac:dyDescent="0.3">
      <c r="A23" s="435" t="s">
        <v>79</v>
      </c>
      <c r="B23" s="134" t="s">
        <v>591</v>
      </c>
      <c r="C23" s="134" t="s">
        <v>592</v>
      </c>
      <c r="D23" s="503" t="s">
        <v>593</v>
      </c>
      <c r="E23" s="134" t="s">
        <v>600</v>
      </c>
      <c r="F23" s="417" t="s">
        <v>87</v>
      </c>
      <c r="G23" s="135" t="s">
        <v>596</v>
      </c>
      <c r="H23" s="167"/>
    </row>
    <row r="24" spans="1:8" ht="26" x14ac:dyDescent="0.3">
      <c r="A24" s="279" t="s">
        <v>167</v>
      </c>
      <c r="B24" s="716" t="s">
        <v>168</v>
      </c>
      <c r="C24" s="717" t="s">
        <v>352</v>
      </c>
      <c r="D24" s="718">
        <v>1</v>
      </c>
      <c r="E24" s="718">
        <f>VLOOKUP(B24,'Rend. Equipos'!$B$7:$E$222,4,FALSE)</f>
        <v>579244.09475606401</v>
      </c>
      <c r="F24" s="720">
        <f>VLOOKUP(B24,'Rend. Equipos'!$B$6:$L$166,MATCH($F$23,'Rend. Equipos'!$B$6:$L$6,0),0)</f>
        <v>1.3888888888888889E-3</v>
      </c>
      <c r="G24" s="719">
        <f>+E24*D24*F24</f>
        <v>804.50568716120006</v>
      </c>
      <c r="H24" s="162"/>
    </row>
    <row r="25" spans="1:8" ht="13" x14ac:dyDescent="0.3">
      <c r="A25" s="139"/>
      <c r="B25" s="139"/>
      <c r="C25" s="139"/>
      <c r="D25" s="426"/>
      <c r="E25" s="140"/>
      <c r="F25" s="141" t="s">
        <v>602</v>
      </c>
      <c r="G25" s="391">
        <f>SUM(G24)</f>
        <v>804.50568716120006</v>
      </c>
      <c r="H25" s="162"/>
    </row>
    <row r="26" spans="1:8" ht="13" x14ac:dyDescent="0.3">
      <c r="A26" s="122"/>
      <c r="B26" s="122"/>
      <c r="C26" s="122"/>
      <c r="D26" s="421"/>
      <c r="E26" s="143"/>
      <c r="F26" s="144" t="s">
        <v>11</v>
      </c>
      <c r="G26" s="156">
        <f>SUM(G25)/F9</f>
        <v>32.180227486448004</v>
      </c>
      <c r="H26" s="162"/>
    </row>
    <row r="27" spans="1:8" ht="13" x14ac:dyDescent="0.3">
      <c r="A27" s="128" t="s">
        <v>603</v>
      </c>
      <c r="B27" s="122"/>
      <c r="C27" s="122"/>
      <c r="D27" s="421"/>
      <c r="E27" s="122"/>
      <c r="F27" s="122"/>
      <c r="G27" s="122"/>
      <c r="H27" s="162"/>
    </row>
    <row r="28" spans="1:8" ht="13" x14ac:dyDescent="0.3">
      <c r="A28" s="435" t="s">
        <v>79</v>
      </c>
      <c r="B28" s="134" t="s">
        <v>591</v>
      </c>
      <c r="C28" s="134" t="s">
        <v>592</v>
      </c>
      <c r="D28" s="503" t="s">
        <v>593</v>
      </c>
      <c r="E28" s="134" t="s">
        <v>604</v>
      </c>
      <c r="F28" s="134"/>
      <c r="G28" s="135" t="s">
        <v>596</v>
      </c>
      <c r="H28" s="167"/>
    </row>
    <row r="29" spans="1:8" ht="13" x14ac:dyDescent="0.3">
      <c r="A29" s="264" t="s">
        <v>228</v>
      </c>
      <c r="B29" s="175" t="s">
        <v>230</v>
      </c>
      <c r="C29" s="264" t="s">
        <v>605</v>
      </c>
      <c r="D29" s="433">
        <v>1</v>
      </c>
      <c r="E29" s="175">
        <f>VLOOKUP(B29,'Mano de Obra'!$B$8:$C$100,2,FALSE)</f>
        <v>60860.580776571966</v>
      </c>
      <c r="F29" s="175"/>
      <c r="G29" s="176">
        <f>+E29*D29</f>
        <v>60860.580776571966</v>
      </c>
      <c r="H29" s="162"/>
    </row>
    <row r="30" spans="1:8" ht="13" x14ac:dyDescent="0.3">
      <c r="A30" s="265" t="s">
        <v>255</v>
      </c>
      <c r="B30" s="180" t="s">
        <v>256</v>
      </c>
      <c r="C30" s="265" t="s">
        <v>605</v>
      </c>
      <c r="D30" s="434">
        <v>1</v>
      </c>
      <c r="E30" s="180">
        <f>VLOOKUP(B30,'Mano de Obra'!$B$8:$C$100,2,FALSE)</f>
        <v>85927.097156571981</v>
      </c>
      <c r="F30" s="180"/>
      <c r="G30" s="182">
        <f>+E30*D30</f>
        <v>85927.097156571981</v>
      </c>
      <c r="H30" s="162"/>
    </row>
    <row r="31" spans="1:8" ht="13" x14ac:dyDescent="0.3">
      <c r="A31" s="139"/>
      <c r="B31" s="139"/>
      <c r="C31" s="139"/>
      <c r="D31" s="426"/>
      <c r="E31" s="140"/>
      <c r="F31" s="141" t="s">
        <v>606</v>
      </c>
      <c r="G31" s="391">
        <f>SUM(G29:G30)</f>
        <v>146787.67793314395</v>
      </c>
      <c r="H31" s="162"/>
    </row>
    <row r="32" spans="1:8" ht="13" x14ac:dyDescent="0.3">
      <c r="A32" s="122"/>
      <c r="B32" s="122"/>
      <c r="C32" s="122"/>
      <c r="D32" s="421"/>
      <c r="E32" s="360"/>
      <c r="F32" s="123" t="s">
        <v>607</v>
      </c>
      <c r="G32" s="349">
        <v>1</v>
      </c>
      <c r="H32" s="162"/>
    </row>
    <row r="33" spans="1:8" ht="13" x14ac:dyDescent="0.3">
      <c r="A33" s="122"/>
      <c r="B33" s="122"/>
      <c r="C33" s="122"/>
      <c r="D33" s="421"/>
      <c r="E33" s="360"/>
      <c r="F33" s="123" t="s">
        <v>608</v>
      </c>
      <c r="G33" s="390">
        <f>+G32*G31</f>
        <v>146787.67793314395</v>
      </c>
      <c r="H33" s="162"/>
    </row>
    <row r="34" spans="1:8" ht="13" x14ac:dyDescent="0.3">
      <c r="A34" s="122"/>
      <c r="B34" s="122"/>
      <c r="C34" s="122"/>
      <c r="D34" s="421"/>
      <c r="E34" s="143"/>
      <c r="F34" s="144" t="s">
        <v>10</v>
      </c>
      <c r="G34" s="156">
        <f>+G33/F9</f>
        <v>5871.5071173257575</v>
      </c>
      <c r="H34" s="162"/>
    </row>
    <row r="35" spans="1:8" ht="13" x14ac:dyDescent="0.3">
      <c r="A35" s="122"/>
      <c r="B35" s="122"/>
      <c r="C35" s="122"/>
      <c r="D35" s="421"/>
      <c r="H35" s="162"/>
    </row>
    <row r="36" spans="1:8" ht="13" x14ac:dyDescent="0.3">
      <c r="A36" s="122"/>
      <c r="B36" s="122"/>
      <c r="C36" s="122"/>
      <c r="D36" s="421"/>
      <c r="E36" s="122"/>
      <c r="F36" s="123" t="s">
        <v>609</v>
      </c>
      <c r="G36" s="123">
        <f>+G34+G26+G21</f>
        <v>15672.84112388016</v>
      </c>
      <c r="H36" s="162"/>
    </row>
    <row r="37" spans="1:8" ht="13" x14ac:dyDescent="0.3">
      <c r="A37" s="122"/>
      <c r="B37" s="122"/>
      <c r="C37" s="122"/>
      <c r="D37" s="421"/>
      <c r="E37" s="123" t="s">
        <v>610</v>
      </c>
      <c r="F37" s="198">
        <f>+RESUMEN!$I$2</f>
        <v>0</v>
      </c>
      <c r="G37" s="130">
        <f>IF(F37=0,0,F37*G36)</f>
        <v>0</v>
      </c>
      <c r="H37" s="162"/>
    </row>
    <row r="38" spans="1:8" ht="13" x14ac:dyDescent="0.3">
      <c r="A38" s="122"/>
      <c r="B38" s="122"/>
      <c r="C38" s="122"/>
      <c r="D38" s="421"/>
      <c r="E38" s="123" t="s">
        <v>611</v>
      </c>
      <c r="F38" s="198">
        <f>+RESUMEN!$I$3</f>
        <v>0</v>
      </c>
      <c r="G38" s="130">
        <f>IF(F38=0,0,F38*G36)</f>
        <v>0</v>
      </c>
      <c r="H38" s="162"/>
    </row>
    <row r="39" spans="1:8" ht="13" x14ac:dyDescent="0.3">
      <c r="A39" s="122"/>
      <c r="B39" s="122"/>
      <c r="C39" s="122"/>
      <c r="D39" s="421"/>
      <c r="E39" s="151"/>
      <c r="F39" s="152" t="s">
        <v>612</v>
      </c>
      <c r="G39" s="389">
        <f>SUM(G36:G38)</f>
        <v>15672.84112388016</v>
      </c>
      <c r="H39" s="162"/>
    </row>
    <row r="40" spans="1:8" ht="13" x14ac:dyDescent="0.3">
      <c r="A40" s="122"/>
      <c r="B40" s="122"/>
      <c r="C40" s="122"/>
      <c r="D40" s="421"/>
      <c r="E40" s="122"/>
      <c r="F40" s="122"/>
      <c r="G40" s="122"/>
      <c r="H40" s="162"/>
    </row>
    <row r="41" spans="1:8" ht="13" x14ac:dyDescent="0.3">
      <c r="A41" s="875"/>
      <c r="B41" s="870"/>
      <c r="C41" s="122"/>
      <c r="D41" s="421"/>
      <c r="E41" s="122"/>
      <c r="F41" s="122"/>
      <c r="G41" s="122"/>
      <c r="H41" s="162"/>
    </row>
  </sheetData>
  <mergeCells count="3">
    <mergeCell ref="A1:G1"/>
    <mergeCell ref="B7:G7"/>
    <mergeCell ref="A41:B41"/>
  </mergeCells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9"/>
  </sheetPr>
  <dimension ref="A1:L40"/>
  <sheetViews>
    <sheetView workbookViewId="0">
      <selection activeCell="G6" sqref="G6"/>
    </sheetView>
  </sheetViews>
  <sheetFormatPr defaultColWidth="11.453125" defaultRowHeight="12.5" x14ac:dyDescent="0.25"/>
  <cols>
    <col min="1" max="1" width="11.08984375" customWidth="1"/>
    <col min="2" max="2" width="36.36328125" bestFit="1" customWidth="1"/>
    <col min="3" max="3" width="7.08984375" bestFit="1" customWidth="1"/>
    <col min="4" max="4" width="7.90625" style="427" bestFit="1" customWidth="1"/>
    <col min="5" max="5" width="15.36328125" bestFit="1" customWidth="1"/>
    <col min="6" max="6" width="9.453125" customWidth="1"/>
    <col min="7" max="7" width="10" bestFit="1" customWidth="1"/>
  </cols>
  <sheetData>
    <row r="1" spans="1:12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</row>
    <row r="2" spans="1:12" x14ac:dyDescent="0.25">
      <c r="A2" s="162"/>
      <c r="B2" s="162"/>
      <c r="C2" s="162"/>
      <c r="D2" s="501"/>
      <c r="E2" s="162"/>
      <c r="F2" s="163" t="s">
        <v>78</v>
      </c>
      <c r="G2" s="722" t="s">
        <v>711</v>
      </c>
      <c r="H2" s="162"/>
      <c r="I2" s="1"/>
      <c r="J2" s="1"/>
      <c r="K2" s="1"/>
      <c r="L2" s="1"/>
    </row>
    <row r="3" spans="1:12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  <c r="I3" s="1"/>
      <c r="J3" s="1"/>
      <c r="K3" s="1"/>
      <c r="L3" s="1"/>
    </row>
    <row r="4" spans="1:12" ht="13" x14ac:dyDescent="0.3">
      <c r="A4" s="122"/>
      <c r="B4" s="122"/>
      <c r="C4" s="122"/>
      <c r="D4" s="421"/>
      <c r="E4" s="122"/>
      <c r="F4" s="123" t="s">
        <v>580</v>
      </c>
      <c r="G4" s="126">
        <v>71</v>
      </c>
      <c r="H4" s="162"/>
      <c r="I4" s="1"/>
      <c r="J4" s="1"/>
      <c r="K4" s="1"/>
      <c r="L4" s="1"/>
    </row>
    <row r="5" spans="1:12" ht="13" x14ac:dyDescent="0.25">
      <c r="A5" s="127" t="s">
        <v>581</v>
      </c>
      <c r="B5" s="562" t="s">
        <v>578</v>
      </c>
      <c r="C5" s="563"/>
      <c r="D5" s="584"/>
      <c r="E5" s="563"/>
      <c r="F5" s="563"/>
      <c r="G5" s="563"/>
      <c r="H5" s="162"/>
      <c r="I5" s="1"/>
      <c r="J5" s="1"/>
      <c r="K5" s="1"/>
      <c r="L5" s="1"/>
    </row>
    <row r="6" spans="1:12" ht="13" x14ac:dyDescent="0.3">
      <c r="A6" s="128" t="s">
        <v>582</v>
      </c>
      <c r="B6" s="500" t="s">
        <v>578</v>
      </c>
      <c r="C6" s="122"/>
      <c r="D6" s="421"/>
      <c r="E6" s="122"/>
      <c r="F6" s="123" t="s">
        <v>583</v>
      </c>
      <c r="G6" s="157" t="s">
        <v>711</v>
      </c>
      <c r="H6" s="162"/>
      <c r="I6" s="1"/>
      <c r="J6" s="1"/>
      <c r="K6" s="1"/>
      <c r="L6" s="1"/>
    </row>
    <row r="7" spans="1:12" ht="15.5" x14ac:dyDescent="0.25">
      <c r="A7" s="197" t="s">
        <v>584</v>
      </c>
      <c r="B7" s="903" t="s">
        <v>793</v>
      </c>
      <c r="C7" s="904"/>
      <c r="D7" s="904"/>
      <c r="E7" s="904"/>
      <c r="F7" s="904"/>
      <c r="G7" s="904"/>
      <c r="H7" s="162"/>
      <c r="I7" s="162"/>
      <c r="J7" s="1"/>
      <c r="K7" s="1"/>
      <c r="L7" s="1"/>
    </row>
    <row r="8" spans="1:12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  <c r="I8" s="1"/>
      <c r="J8" s="1"/>
      <c r="K8" s="1"/>
      <c r="L8" s="1"/>
    </row>
    <row r="9" spans="1:12" ht="13" x14ac:dyDescent="0.3">
      <c r="A9" s="122"/>
      <c r="B9" s="122"/>
      <c r="C9" s="132" t="s">
        <v>45</v>
      </c>
      <c r="D9" s="421"/>
      <c r="E9" s="132">
        <v>100</v>
      </c>
      <c r="F9" s="339">
        <v>50</v>
      </c>
      <c r="G9" s="158" t="s">
        <v>615</v>
      </c>
      <c r="H9" s="162"/>
      <c r="I9" s="1"/>
      <c r="J9" s="1"/>
      <c r="K9" s="1"/>
      <c r="L9" s="1"/>
    </row>
    <row r="10" spans="1:12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  <c r="I10" s="1"/>
      <c r="J10" s="1"/>
      <c r="K10" s="1"/>
      <c r="L10" s="1"/>
    </row>
    <row r="11" spans="1:12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261" t="s">
        <v>596</v>
      </c>
      <c r="H11" s="399" t="s">
        <v>597</v>
      </c>
      <c r="I11" s="3"/>
      <c r="J11" s="3"/>
      <c r="K11" s="3"/>
      <c r="L11" s="3"/>
    </row>
    <row r="12" spans="1:12" ht="13" x14ac:dyDescent="0.3">
      <c r="A12" s="264" t="s">
        <v>794</v>
      </c>
      <c r="B12" s="175" t="s">
        <v>473</v>
      </c>
      <c r="C12" s="264" t="s">
        <v>355</v>
      </c>
      <c r="D12" s="433">
        <v>3.5000000000000003E-2</v>
      </c>
      <c r="E12" s="175">
        <f>VLOOKUP(B12,Materiales!$B$8:$D$118,3,FALSE)</f>
        <v>124188.42975206612</v>
      </c>
      <c r="F12" s="175">
        <v>10</v>
      </c>
      <c r="G12" s="449">
        <f>+D12*E12*((F12+100)/100)</f>
        <v>4781.2545454545461</v>
      </c>
      <c r="H12" s="176">
        <f>+D12*$E$9</f>
        <v>3.5000000000000004</v>
      </c>
      <c r="I12" s="1"/>
      <c r="J12" s="1" t="s">
        <v>744</v>
      </c>
      <c r="K12" s="1" t="s">
        <v>45</v>
      </c>
      <c r="L12" s="1"/>
    </row>
    <row r="13" spans="1:12" ht="13" x14ac:dyDescent="0.3">
      <c r="A13" s="320" t="s">
        <v>795</v>
      </c>
      <c r="B13" s="178" t="s">
        <v>483</v>
      </c>
      <c r="C13" s="320" t="s">
        <v>45</v>
      </c>
      <c r="D13" s="457">
        <v>0.04</v>
      </c>
      <c r="E13" s="178">
        <f>VLOOKUP(B13,Materiales!$B$8:$D$118,3,FALSE)</f>
        <v>66115.702479338841</v>
      </c>
      <c r="F13" s="178">
        <v>10</v>
      </c>
      <c r="G13" s="676">
        <f t="shared" ref="G13:G16" si="0">+D13*E13*((F13+100)/100)</f>
        <v>2909.0909090909095</v>
      </c>
      <c r="H13" s="179">
        <f t="shared" ref="H13:H17" si="1">+D13*$E$9</f>
        <v>4</v>
      </c>
      <c r="I13" s="1"/>
      <c r="J13" s="1">
        <v>1</v>
      </c>
      <c r="K13" s="1">
        <v>1.5</v>
      </c>
      <c r="L13" s="1"/>
    </row>
    <row r="14" spans="1:12" ht="13" x14ac:dyDescent="0.3">
      <c r="A14" s="393"/>
      <c r="B14" s="419" t="s">
        <v>501</v>
      </c>
      <c r="C14" s="428" t="s">
        <v>17</v>
      </c>
      <c r="D14" s="457">
        <v>0.01</v>
      </c>
      <c r="E14" s="178">
        <f>VLOOKUP(B14,Materiales!$B$8:$D$212,3,FALSE)</f>
        <v>6678.36</v>
      </c>
      <c r="F14" s="178">
        <v>5</v>
      </c>
      <c r="G14" s="676">
        <f t="shared" si="0"/>
        <v>70.122779999999992</v>
      </c>
      <c r="H14" s="179">
        <f t="shared" si="1"/>
        <v>1</v>
      </c>
      <c r="I14" s="1"/>
      <c r="J14" s="1">
        <v>20</v>
      </c>
      <c r="K14" s="1">
        <f>+J14*K13/J13</f>
        <v>30</v>
      </c>
      <c r="L14" s="284">
        <f>1/K14</f>
        <v>3.3333333333333333E-2</v>
      </c>
    </row>
    <row r="15" spans="1:12" ht="13" x14ac:dyDescent="0.3">
      <c r="A15" s="393"/>
      <c r="B15" s="419" t="s">
        <v>502</v>
      </c>
      <c r="C15" s="428" t="s">
        <v>17</v>
      </c>
      <c r="D15" s="457">
        <v>0.01</v>
      </c>
      <c r="E15" s="178">
        <f>VLOOKUP(B15,Materiales!$B$8:$D$212,3,FALSE)</f>
        <v>5282.24</v>
      </c>
      <c r="F15" s="178">
        <v>5</v>
      </c>
      <c r="G15" s="676">
        <f t="shared" si="0"/>
        <v>55.463520000000003</v>
      </c>
      <c r="H15" s="179">
        <f t="shared" si="1"/>
        <v>1</v>
      </c>
      <c r="I15" s="1"/>
      <c r="J15" s="1"/>
      <c r="K15" s="1"/>
      <c r="L15" s="1"/>
    </row>
    <row r="16" spans="1:12" ht="13" x14ac:dyDescent="0.3">
      <c r="A16" s="393"/>
      <c r="B16" s="419" t="s">
        <v>497</v>
      </c>
      <c r="C16" s="428" t="s">
        <v>17</v>
      </c>
      <c r="D16" s="457">
        <v>0.01</v>
      </c>
      <c r="E16" s="178">
        <f>VLOOKUP(B16,Materiales!$B$8:$D$212,3,FALSE)</f>
        <v>735.06</v>
      </c>
      <c r="F16" s="178">
        <v>5</v>
      </c>
      <c r="G16" s="676">
        <f t="shared" si="0"/>
        <v>7.7181300000000004</v>
      </c>
      <c r="H16" s="179">
        <f t="shared" si="1"/>
        <v>1</v>
      </c>
      <c r="I16" s="1"/>
      <c r="J16" s="1">
        <f>1*25</f>
        <v>25</v>
      </c>
      <c r="K16" s="284">
        <f>1/J16</f>
        <v>0.04</v>
      </c>
      <c r="L16" s="1"/>
    </row>
    <row r="17" spans="1:8" ht="13" x14ac:dyDescent="0.3">
      <c r="A17" s="420"/>
      <c r="B17" s="299"/>
      <c r="C17" s="434"/>
      <c r="D17" s="434"/>
      <c r="E17" s="180"/>
      <c r="F17" s="450"/>
      <c r="G17" s="182"/>
      <c r="H17" s="182">
        <f t="shared" si="1"/>
        <v>0</v>
      </c>
    </row>
    <row r="18" spans="1:8" ht="13" x14ac:dyDescent="0.3">
      <c r="A18" s="122"/>
      <c r="B18" s="122"/>
      <c r="C18" s="122"/>
      <c r="D18" s="504"/>
      <c r="E18" s="360"/>
      <c r="F18" s="123" t="s">
        <v>598</v>
      </c>
      <c r="G18" s="390">
        <f>SUM(G12:G17)</f>
        <v>7823.6498845454553</v>
      </c>
      <c r="H18" s="162"/>
    </row>
    <row r="19" spans="1:8" ht="13" x14ac:dyDescent="0.3">
      <c r="A19" s="122"/>
      <c r="B19" s="122"/>
      <c r="C19" s="122"/>
      <c r="D19" s="421"/>
      <c r="E19" s="143"/>
      <c r="F19" s="144" t="s">
        <v>9</v>
      </c>
      <c r="G19" s="156">
        <f>+G18</f>
        <v>7823.6498845454553</v>
      </c>
      <c r="H19" s="162"/>
    </row>
    <row r="20" spans="1:8" ht="13" x14ac:dyDescent="0.3">
      <c r="A20" s="128" t="s">
        <v>599</v>
      </c>
      <c r="B20" s="122"/>
      <c r="C20" s="122"/>
      <c r="D20" s="421"/>
      <c r="E20" s="122"/>
      <c r="F20" s="122"/>
      <c r="G20" s="122"/>
      <c r="H20" s="162"/>
    </row>
    <row r="21" spans="1:8" ht="13" x14ac:dyDescent="0.3">
      <c r="A21" s="133" t="s">
        <v>79</v>
      </c>
      <c r="B21" s="134" t="s">
        <v>591</v>
      </c>
      <c r="C21" s="134" t="s">
        <v>592</v>
      </c>
      <c r="D21" s="503" t="s">
        <v>593</v>
      </c>
      <c r="E21" s="134" t="s">
        <v>600</v>
      </c>
      <c r="F21" s="417" t="s">
        <v>87</v>
      </c>
      <c r="G21" s="135" t="s">
        <v>596</v>
      </c>
      <c r="H21" s="167"/>
    </row>
    <row r="22" spans="1:8" ht="26" x14ac:dyDescent="0.25">
      <c r="A22" s="652" t="s">
        <v>181</v>
      </c>
      <c r="B22" s="660" t="s">
        <v>182</v>
      </c>
      <c r="C22" s="264" t="s">
        <v>17</v>
      </c>
      <c r="D22" s="423">
        <v>1</v>
      </c>
      <c r="E22" s="264">
        <f>VLOOKUP(B22,'Rend. Equipos'!$B$7:$E$222,4,FALSE)</f>
        <v>201885.25333580485</v>
      </c>
      <c r="F22" s="661">
        <f>VLOOKUP(B22,'Rend. Equipos'!$B$6:$L$166,MATCH($F$21,'Rend. Equipos'!$B$6:$L$6,0),0)</f>
        <v>6.9444444444444436E-4</v>
      </c>
      <c r="G22" s="264">
        <f>+E22*D22*F22</f>
        <v>140.19809259430892</v>
      </c>
      <c r="H22" s="167"/>
    </row>
    <row r="23" spans="1:8" ht="13" x14ac:dyDescent="0.3">
      <c r="A23" s="265" t="s">
        <v>796</v>
      </c>
      <c r="B23" s="180" t="s">
        <v>136</v>
      </c>
      <c r="C23" s="265" t="s">
        <v>352</v>
      </c>
      <c r="D23" s="434">
        <v>1</v>
      </c>
      <c r="E23" s="180">
        <f>VLOOKUP(B23,'Rend. Equipos'!$B$7:$E$222,4,FALSE)</f>
        <v>1241010.6908793931</v>
      </c>
      <c r="F23" s="666">
        <f>VLOOKUP(B23,'Rend. Equipos'!$B$6:$L$166,MATCH($F$21,'Rend. Equipos'!$B$6:$L$6,0),0)</f>
        <v>1.3888888888888887E-3</v>
      </c>
      <c r="G23" s="182">
        <f>+E23*D23*F23</f>
        <v>1723.6259595547124</v>
      </c>
      <c r="H23" s="162"/>
    </row>
    <row r="24" spans="1:8" ht="13" x14ac:dyDescent="0.3">
      <c r="A24" s="122"/>
      <c r="B24" s="122"/>
      <c r="C24" s="122"/>
      <c r="D24" s="504"/>
      <c r="E24" s="360"/>
      <c r="F24" s="123" t="s">
        <v>602</v>
      </c>
      <c r="G24" s="390">
        <f>SUM(G22:G23)</f>
        <v>1863.8240521490213</v>
      </c>
      <c r="H24" s="162"/>
    </row>
    <row r="25" spans="1:8" ht="13" x14ac:dyDescent="0.3">
      <c r="A25" s="122"/>
      <c r="B25" s="122"/>
      <c r="C25" s="122"/>
      <c r="D25" s="421"/>
      <c r="E25" s="143"/>
      <c r="F25" s="144" t="s">
        <v>11</v>
      </c>
      <c r="G25" s="156">
        <f>+G24/F9</f>
        <v>37.276481042980429</v>
      </c>
      <c r="H25" s="162"/>
    </row>
    <row r="26" spans="1:8" ht="13" x14ac:dyDescent="0.3">
      <c r="A26" s="128" t="s">
        <v>603</v>
      </c>
      <c r="B26" s="122"/>
      <c r="C26" s="122"/>
      <c r="D26" s="421"/>
      <c r="E26" s="122"/>
      <c r="F26" s="122"/>
      <c r="G26" s="122"/>
      <c r="H26" s="162"/>
    </row>
    <row r="27" spans="1:8" ht="13" x14ac:dyDescent="0.3">
      <c r="A27" s="133" t="s">
        <v>79</v>
      </c>
      <c r="B27" s="134" t="s">
        <v>591</v>
      </c>
      <c r="C27" s="134" t="s">
        <v>592</v>
      </c>
      <c r="D27" s="503" t="s">
        <v>593</v>
      </c>
      <c r="E27" s="134" t="s">
        <v>604</v>
      </c>
      <c r="F27" s="134"/>
      <c r="G27" s="135" t="s">
        <v>596</v>
      </c>
      <c r="H27" s="167"/>
    </row>
    <row r="28" spans="1:8" ht="13" x14ac:dyDescent="0.3">
      <c r="A28" s="264" t="s">
        <v>228</v>
      </c>
      <c r="B28" s="175" t="s">
        <v>230</v>
      </c>
      <c r="C28" s="264" t="s">
        <v>605</v>
      </c>
      <c r="D28" s="433">
        <v>1</v>
      </c>
      <c r="E28" s="175">
        <f>VLOOKUP(B28,'Mano de Obra'!$B$8:$C$100,2,FALSE)</f>
        <v>60860.580776571966</v>
      </c>
      <c r="F28" s="175"/>
      <c r="G28" s="176">
        <f>+E28*D28</f>
        <v>60860.580776571966</v>
      </c>
      <c r="H28" s="162"/>
    </row>
    <row r="29" spans="1:8" ht="13" x14ac:dyDescent="0.3">
      <c r="A29" s="265" t="s">
        <v>253</v>
      </c>
      <c r="B29" s="180" t="s">
        <v>254</v>
      </c>
      <c r="C29" s="265" t="s">
        <v>605</v>
      </c>
      <c r="D29" s="434">
        <v>1</v>
      </c>
      <c r="E29" s="180">
        <f>VLOOKUP(B29,'Mano de Obra'!$B$8:$C$100,2,FALSE)</f>
        <v>85927.097156571981</v>
      </c>
      <c r="F29" s="180"/>
      <c r="G29" s="182">
        <f>+E29*D29</f>
        <v>85927.097156571981</v>
      </c>
      <c r="H29" s="162"/>
    </row>
    <row r="30" spans="1:8" ht="13" x14ac:dyDescent="0.3">
      <c r="A30" s="122"/>
      <c r="B30" s="122"/>
      <c r="C30" s="122"/>
      <c r="D30" s="504"/>
      <c r="E30" s="140"/>
      <c r="F30" s="141" t="s">
        <v>606</v>
      </c>
      <c r="G30" s="391">
        <f>SUM(G28:G29)</f>
        <v>146787.67793314395</v>
      </c>
      <c r="H30" s="162"/>
    </row>
    <row r="31" spans="1:8" ht="13" x14ac:dyDescent="0.3">
      <c r="A31" s="122"/>
      <c r="B31" s="122"/>
      <c r="C31" s="122"/>
      <c r="D31" s="421"/>
      <c r="E31" s="360"/>
      <c r="F31" s="123" t="s">
        <v>607</v>
      </c>
      <c r="G31" s="349">
        <v>1</v>
      </c>
      <c r="H31" s="162"/>
    </row>
    <row r="32" spans="1:8" ht="13" x14ac:dyDescent="0.3">
      <c r="A32" s="122"/>
      <c r="B32" s="122"/>
      <c r="C32" s="122"/>
      <c r="D32" s="421"/>
      <c r="E32" s="360"/>
      <c r="F32" s="123" t="s">
        <v>608</v>
      </c>
      <c r="G32" s="390">
        <f>+G31*G30</f>
        <v>146787.67793314395</v>
      </c>
      <c r="H32" s="162"/>
    </row>
    <row r="33" spans="1:8" ht="13" x14ac:dyDescent="0.3">
      <c r="A33" s="122"/>
      <c r="B33" s="122"/>
      <c r="C33" s="122"/>
      <c r="D33" s="421"/>
      <c r="E33" s="143"/>
      <c r="F33" s="144" t="s">
        <v>10</v>
      </c>
      <c r="G33" s="156">
        <f>+G32/F9</f>
        <v>2935.7535586628787</v>
      </c>
      <c r="H33" s="162"/>
    </row>
    <row r="34" spans="1:8" ht="13" x14ac:dyDescent="0.3">
      <c r="A34" s="122"/>
      <c r="B34" s="122"/>
      <c r="C34" s="122"/>
      <c r="D34" s="421"/>
      <c r="H34" s="162"/>
    </row>
    <row r="35" spans="1:8" ht="13" x14ac:dyDescent="0.3">
      <c r="A35" s="122"/>
      <c r="B35" s="122"/>
      <c r="C35" s="122"/>
      <c r="D35" s="421"/>
      <c r="E35" s="122"/>
      <c r="F35" s="123" t="s">
        <v>609</v>
      </c>
      <c r="G35" s="123">
        <f>+G33+G25+G18</f>
        <v>10796.679924251315</v>
      </c>
      <c r="H35" s="162"/>
    </row>
    <row r="36" spans="1:8" ht="13" x14ac:dyDescent="0.3">
      <c r="A36" s="122"/>
      <c r="B36" s="122"/>
      <c r="C36" s="122"/>
      <c r="D36" s="421"/>
      <c r="E36" s="123" t="s">
        <v>610</v>
      </c>
      <c r="F36" s="461">
        <f>+RESUMEN!$I$2</f>
        <v>0</v>
      </c>
      <c r="G36" s="130">
        <f>IF(F36=0,0,F36*G35)</f>
        <v>0</v>
      </c>
      <c r="H36" s="162"/>
    </row>
    <row r="37" spans="1:8" ht="13" x14ac:dyDescent="0.3">
      <c r="A37" s="122"/>
      <c r="B37" s="122"/>
      <c r="C37" s="122"/>
      <c r="D37" s="421"/>
      <c r="E37" s="144" t="s">
        <v>611</v>
      </c>
      <c r="F37" s="577">
        <f>+RESUMEN!$I$3</f>
        <v>0</v>
      </c>
      <c r="G37" s="578">
        <f>IF(F37=0,0,F37*G35)</f>
        <v>0</v>
      </c>
      <c r="H37" s="162"/>
    </row>
    <row r="38" spans="1:8" ht="13" x14ac:dyDescent="0.3">
      <c r="A38" s="122"/>
      <c r="B38" s="122"/>
      <c r="C38" s="122"/>
      <c r="D38" s="421"/>
      <c r="E38" s="151"/>
      <c r="F38" s="152" t="s">
        <v>612</v>
      </c>
      <c r="G38" s="389">
        <f>SUM(G35:G37)</f>
        <v>10796.679924251315</v>
      </c>
      <c r="H38" s="162"/>
    </row>
    <row r="39" spans="1:8" ht="13" x14ac:dyDescent="0.3">
      <c r="A39" s="122"/>
      <c r="B39" s="122"/>
      <c r="C39" s="122"/>
      <c r="D39" s="421"/>
      <c r="E39" s="122"/>
      <c r="F39" s="122"/>
      <c r="G39" s="122"/>
      <c r="H39" s="162"/>
    </row>
    <row r="40" spans="1:8" ht="13" x14ac:dyDescent="0.3">
      <c r="A40" s="875"/>
      <c r="B40" s="870"/>
      <c r="C40" s="122"/>
      <c r="D40" s="421"/>
      <c r="E40" s="122"/>
      <c r="F40" s="122"/>
      <c r="G40" s="122"/>
      <c r="H40" s="162"/>
    </row>
  </sheetData>
  <mergeCells count="3">
    <mergeCell ref="A1:G1"/>
    <mergeCell ref="B7:G7"/>
    <mergeCell ref="A40:B40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9"/>
  </sheetPr>
  <dimension ref="A1:H36"/>
  <sheetViews>
    <sheetView workbookViewId="0">
      <selection activeCell="B22" sqref="B22"/>
    </sheetView>
  </sheetViews>
  <sheetFormatPr defaultColWidth="11.453125" defaultRowHeight="12.5" x14ac:dyDescent="0.25"/>
  <cols>
    <col min="1" max="1" width="11" customWidth="1"/>
    <col min="2" max="2" width="38.54296875" bestFit="1" customWidth="1"/>
    <col min="3" max="3" width="7.08984375" bestFit="1" customWidth="1"/>
    <col min="4" max="4" width="8.6328125" style="427" customWidth="1"/>
    <col min="5" max="5" width="15.36328125" bestFit="1" customWidth="1"/>
    <col min="6" max="6" width="13.36328125" customWidth="1"/>
    <col min="7" max="7" width="9.6328125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62"/>
    </row>
    <row r="2" spans="1:8" x14ac:dyDescent="0.25">
      <c r="A2" s="162"/>
      <c r="B2" s="162"/>
      <c r="C2" s="162"/>
      <c r="D2" s="501"/>
      <c r="E2" s="162"/>
      <c r="F2" s="163" t="s">
        <v>78</v>
      </c>
      <c r="G2" s="722" t="s">
        <v>711</v>
      </c>
      <c r="H2" s="162"/>
    </row>
    <row r="3" spans="1:8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</row>
    <row r="4" spans="1:8" ht="13" x14ac:dyDescent="0.3">
      <c r="A4" s="122"/>
      <c r="B4" s="122"/>
      <c r="C4" s="122"/>
      <c r="D4" s="421"/>
      <c r="E4" s="122"/>
      <c r="F4" s="123" t="s">
        <v>580</v>
      </c>
      <c r="G4" s="126">
        <v>72</v>
      </c>
      <c r="H4" s="162"/>
    </row>
    <row r="5" spans="1:8" ht="13" x14ac:dyDescent="0.25">
      <c r="A5" s="127" t="s">
        <v>581</v>
      </c>
      <c r="B5" s="562" t="s">
        <v>711</v>
      </c>
      <c r="C5" s="563"/>
      <c r="D5" s="584"/>
      <c r="E5" s="563"/>
      <c r="F5" s="563"/>
      <c r="G5" s="563"/>
      <c r="H5" s="162"/>
    </row>
    <row r="6" spans="1:8" ht="13" x14ac:dyDescent="0.3">
      <c r="A6" s="128" t="s">
        <v>582</v>
      </c>
      <c r="B6" s="500" t="s">
        <v>711</v>
      </c>
      <c r="C6" s="122"/>
      <c r="D6" s="421"/>
      <c r="E6" s="122"/>
      <c r="F6" s="123" t="s">
        <v>583</v>
      </c>
      <c r="G6" s="157" t="s">
        <v>711</v>
      </c>
      <c r="H6" s="162"/>
    </row>
    <row r="7" spans="1:8" ht="15.5" x14ac:dyDescent="0.25">
      <c r="A7" s="197" t="s">
        <v>584</v>
      </c>
      <c r="B7" s="873" t="s">
        <v>797</v>
      </c>
      <c r="C7" s="874"/>
      <c r="D7" s="874"/>
      <c r="E7" s="874"/>
      <c r="F7" s="874"/>
      <c r="G7" s="874"/>
      <c r="H7" s="162"/>
    </row>
    <row r="8" spans="1:8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</row>
    <row r="9" spans="1:8" ht="13" x14ac:dyDescent="0.3">
      <c r="A9" s="122"/>
      <c r="B9" s="122"/>
      <c r="C9" s="132" t="s">
        <v>45</v>
      </c>
      <c r="D9" s="421"/>
      <c r="E9" s="132">
        <v>100</v>
      </c>
      <c r="F9" s="33">
        <v>35</v>
      </c>
      <c r="G9" s="158" t="s">
        <v>615</v>
      </c>
      <c r="H9" s="162"/>
    </row>
    <row r="10" spans="1:8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</row>
    <row r="11" spans="1:8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4" t="s">
        <v>596</v>
      </c>
      <c r="H11" s="399" t="s">
        <v>597</v>
      </c>
    </row>
    <row r="12" spans="1:8" ht="13" x14ac:dyDescent="0.3">
      <c r="A12" s="264" t="s">
        <v>362</v>
      </c>
      <c r="B12" s="175" t="s">
        <v>418</v>
      </c>
      <c r="C12" s="264" t="s">
        <v>374</v>
      </c>
      <c r="D12" s="423">
        <v>1.5</v>
      </c>
      <c r="E12" s="264">
        <f>VLOOKUP(B12,Materiales!$B$8:$D$118,3,FALSE)</f>
        <v>7534.8</v>
      </c>
      <c r="F12" s="264">
        <v>10</v>
      </c>
      <c r="G12" s="264">
        <f t="shared" ref="G12:G13" si="0">+D12*E12*((F12+100)/100)</f>
        <v>12432.420000000002</v>
      </c>
      <c r="H12" s="176">
        <f t="shared" ref="H12:H13" si="1">+D12*$E$9</f>
        <v>150</v>
      </c>
    </row>
    <row r="13" spans="1:8" ht="13" x14ac:dyDescent="0.3">
      <c r="A13" s="265"/>
      <c r="B13" s="180" t="s">
        <v>576</v>
      </c>
      <c r="C13" s="265" t="s">
        <v>17</v>
      </c>
      <c r="D13" s="425">
        <v>1E-3</v>
      </c>
      <c r="E13" s="265">
        <f>VLOOKUP(B13,Materiales!$B$8:$D$212,3,FALSE)</f>
        <v>465850</v>
      </c>
      <c r="F13" s="265">
        <v>0</v>
      </c>
      <c r="G13" s="265">
        <f t="shared" si="0"/>
        <v>465.85</v>
      </c>
      <c r="H13" s="182">
        <f t="shared" si="1"/>
        <v>0.1</v>
      </c>
    </row>
    <row r="14" spans="1:8" ht="13" x14ac:dyDescent="0.3">
      <c r="A14" s="139"/>
      <c r="B14" s="139"/>
      <c r="C14" s="139"/>
      <c r="D14" s="426"/>
      <c r="E14" s="140"/>
      <c r="F14" s="141" t="s">
        <v>598</v>
      </c>
      <c r="G14" s="391">
        <f>SUM(G12:G13)</f>
        <v>12898.270000000002</v>
      </c>
      <c r="H14" s="162"/>
    </row>
    <row r="15" spans="1:8" ht="13" x14ac:dyDescent="0.3">
      <c r="A15" s="122"/>
      <c r="B15" s="122"/>
      <c r="C15" s="122"/>
      <c r="D15" s="421"/>
      <c r="E15" s="143"/>
      <c r="F15" s="144" t="s">
        <v>9</v>
      </c>
      <c r="G15" s="156">
        <f>+G14</f>
        <v>12898.270000000002</v>
      </c>
      <c r="H15" s="162"/>
    </row>
    <row r="16" spans="1:8" ht="13" x14ac:dyDescent="0.3">
      <c r="A16" s="128" t="s">
        <v>599</v>
      </c>
      <c r="B16" s="122"/>
      <c r="C16" s="122"/>
      <c r="D16" s="421"/>
      <c r="E16" s="122"/>
      <c r="F16" s="122"/>
      <c r="G16" s="122"/>
      <c r="H16" s="167"/>
    </row>
    <row r="17" spans="1:8" ht="13" x14ac:dyDescent="0.3">
      <c r="A17" s="133" t="s">
        <v>79</v>
      </c>
      <c r="B17" s="134" t="s">
        <v>591</v>
      </c>
      <c r="C17" s="134" t="s">
        <v>592</v>
      </c>
      <c r="D17" s="503" t="s">
        <v>593</v>
      </c>
      <c r="E17" s="134" t="s">
        <v>600</v>
      </c>
      <c r="F17" s="417" t="s">
        <v>87</v>
      </c>
      <c r="G17" s="135" t="s">
        <v>596</v>
      </c>
      <c r="H17" s="162"/>
    </row>
    <row r="18" spans="1:8" ht="13" x14ac:dyDescent="0.3">
      <c r="A18" s="264" t="s">
        <v>88</v>
      </c>
      <c r="B18" s="418" t="s">
        <v>89</v>
      </c>
      <c r="C18" s="264" t="s">
        <v>352</v>
      </c>
      <c r="D18" s="433">
        <v>1</v>
      </c>
      <c r="E18" s="175">
        <f>VLOOKUP(B18,'Rend. Equipos'!$B$7:$E$222,4,FALSE)</f>
        <v>1028123.0837653707</v>
      </c>
      <c r="F18" s="464">
        <f>VLOOKUP(B18,'Rend. Equipos'!$B$6:$L$166,MATCH($F$17,'Rend. Equipos'!$B$6:$L$6,0),0)</f>
        <v>5.5555555555555556E-4</v>
      </c>
      <c r="G18" s="176">
        <f>+E18*D18*F18</f>
        <v>571.17949098076144</v>
      </c>
      <c r="H18" s="162"/>
    </row>
    <row r="19" spans="1:8" ht="13" x14ac:dyDescent="0.3">
      <c r="A19" s="320" t="s">
        <v>93</v>
      </c>
      <c r="B19" s="419" t="s">
        <v>94</v>
      </c>
      <c r="C19" s="320" t="s">
        <v>352</v>
      </c>
      <c r="D19" s="457">
        <v>1</v>
      </c>
      <c r="E19" s="178">
        <f>VLOOKUP(B19,'Rend. Equipos'!$B$7:$E$222,4,FALSE)</f>
        <v>2470106.6047045495</v>
      </c>
      <c r="F19" s="466">
        <f>VLOOKUP(B19,'Rend. Equipos'!$B$6:$L$166,MATCH($F$17,'Rend. Equipos'!$B$6:$L$6,0),0)</f>
        <v>9.2592592592592596E-4</v>
      </c>
      <c r="G19" s="179">
        <f>+E19*D19*F19</f>
        <v>2287.1357450968053</v>
      </c>
      <c r="H19" s="162"/>
    </row>
    <row r="20" spans="1:8" ht="13" x14ac:dyDescent="0.3">
      <c r="A20" s="265" t="s">
        <v>163</v>
      </c>
      <c r="B20" s="420" t="s">
        <v>191</v>
      </c>
      <c r="C20" s="265" t="s">
        <v>17</v>
      </c>
      <c r="D20" s="457">
        <v>1</v>
      </c>
      <c r="E20" s="180">
        <f>VLOOKUP(B20,'Rend. Equipos'!$B$7:$E$222,4,FALSE)</f>
        <v>1230000</v>
      </c>
      <c r="F20" s="468">
        <f>VLOOKUP(B20,'Rend. Equipos'!$B$6:$L$166,MATCH($F$17,'Rend. Equipos'!$B$6:$L$6,0),0)</f>
        <v>3.3333333333333333E-2</v>
      </c>
      <c r="G20" s="179">
        <f>+E20*D20*F20</f>
        <v>41000</v>
      </c>
      <c r="H20" s="162"/>
    </row>
    <row r="21" spans="1:8" ht="13" x14ac:dyDescent="0.3">
      <c r="A21" s="139"/>
      <c r="B21" s="139"/>
      <c r="C21" s="139"/>
      <c r="D21" s="426"/>
      <c r="E21" s="140"/>
      <c r="F21" s="141" t="s">
        <v>602</v>
      </c>
      <c r="G21" s="391">
        <f>SUM(G18:G20)</f>
        <v>43858.315236077564</v>
      </c>
      <c r="H21" s="162"/>
    </row>
    <row r="22" spans="1:8" ht="13" x14ac:dyDescent="0.3">
      <c r="A22" s="122"/>
      <c r="B22" s="122"/>
      <c r="C22" s="122"/>
      <c r="D22" s="421"/>
      <c r="E22" s="143"/>
      <c r="F22" s="144" t="s">
        <v>11</v>
      </c>
      <c r="G22" s="156">
        <f>+G21/F9</f>
        <v>1253.0947210307875</v>
      </c>
      <c r="H22" s="162"/>
    </row>
    <row r="23" spans="1:8" ht="13" x14ac:dyDescent="0.3">
      <c r="A23" s="128" t="s">
        <v>603</v>
      </c>
      <c r="B23" s="122"/>
      <c r="C23" s="122"/>
      <c r="D23" s="421"/>
      <c r="E23" s="122"/>
      <c r="F23" s="122"/>
      <c r="G23" s="122"/>
      <c r="H23" s="167"/>
    </row>
    <row r="24" spans="1:8" ht="13" x14ac:dyDescent="0.3">
      <c r="A24" s="133" t="s">
        <v>79</v>
      </c>
      <c r="B24" s="134" t="s">
        <v>591</v>
      </c>
      <c r="C24" s="134" t="s">
        <v>592</v>
      </c>
      <c r="D24" s="503" t="s">
        <v>593</v>
      </c>
      <c r="E24" s="134" t="s">
        <v>604</v>
      </c>
      <c r="F24" s="134"/>
      <c r="G24" s="135" t="s">
        <v>596</v>
      </c>
      <c r="H24" s="162"/>
    </row>
    <row r="25" spans="1:8" ht="13" x14ac:dyDescent="0.3">
      <c r="A25" s="264" t="s">
        <v>255</v>
      </c>
      <c r="B25" s="175" t="s">
        <v>256</v>
      </c>
      <c r="C25" s="264" t="s">
        <v>605</v>
      </c>
      <c r="D25" s="433">
        <v>1</v>
      </c>
      <c r="E25" s="175">
        <f>VLOOKUP(B25,'Mano de Obra'!$B$8:$C$100,2,FALSE)</f>
        <v>85927.097156571981</v>
      </c>
      <c r="F25" s="175"/>
      <c r="G25" s="176">
        <f>+E25*D25</f>
        <v>85927.097156571981</v>
      </c>
      <c r="H25" s="162"/>
    </row>
    <row r="26" spans="1:8" ht="13" x14ac:dyDescent="0.3">
      <c r="A26" s="320" t="s">
        <v>228</v>
      </c>
      <c r="B26" s="178" t="s">
        <v>230</v>
      </c>
      <c r="C26" s="320" t="s">
        <v>605</v>
      </c>
      <c r="D26" s="457">
        <v>1.5</v>
      </c>
      <c r="E26" s="178">
        <f>VLOOKUP(B26,'Mano de Obra'!$B$8:$C$100,2,FALSE)</f>
        <v>60860.580776571966</v>
      </c>
      <c r="F26" s="178"/>
      <c r="G26" s="179">
        <f>+E26*D26</f>
        <v>91290.871164857948</v>
      </c>
      <c r="H26" s="162"/>
    </row>
    <row r="27" spans="1:8" ht="13" x14ac:dyDescent="0.3">
      <c r="A27" s="265" t="s">
        <v>242</v>
      </c>
      <c r="B27" s="180" t="s">
        <v>243</v>
      </c>
      <c r="C27" s="265" t="s">
        <v>605</v>
      </c>
      <c r="D27" s="434">
        <v>1</v>
      </c>
      <c r="E27" s="180">
        <f>VLOOKUP(B27,'Mano de Obra'!$B$8:$C$100,2,FALSE)</f>
        <v>65493.071636571978</v>
      </c>
      <c r="F27" s="180"/>
      <c r="G27" s="182">
        <f>+E27*D27</f>
        <v>65493.071636571978</v>
      </c>
      <c r="H27" s="162"/>
    </row>
    <row r="28" spans="1:8" ht="13" x14ac:dyDescent="0.3">
      <c r="A28" s="139"/>
      <c r="B28" s="139"/>
      <c r="C28" s="139"/>
      <c r="D28" s="426"/>
      <c r="E28" s="140"/>
      <c r="F28" s="141" t="s">
        <v>606</v>
      </c>
      <c r="G28" s="391">
        <f>SUM(G25:G27)</f>
        <v>242711.0399580019</v>
      </c>
      <c r="H28" s="162"/>
    </row>
    <row r="29" spans="1:8" ht="13" x14ac:dyDescent="0.3">
      <c r="A29" s="122"/>
      <c r="B29" s="122"/>
      <c r="C29" s="122"/>
      <c r="D29" s="421"/>
      <c r="E29" s="360"/>
      <c r="F29" s="123" t="s">
        <v>607</v>
      </c>
      <c r="G29" s="349">
        <v>1</v>
      </c>
      <c r="H29" s="162"/>
    </row>
    <row r="30" spans="1:8" ht="13" x14ac:dyDescent="0.3">
      <c r="A30" s="122"/>
      <c r="B30" s="122"/>
      <c r="C30" s="122"/>
      <c r="D30" s="421"/>
      <c r="E30" s="360"/>
      <c r="F30" s="123" t="s">
        <v>608</v>
      </c>
      <c r="G30" s="390">
        <f>+G29*G28</f>
        <v>242711.0399580019</v>
      </c>
      <c r="H30" s="162"/>
    </row>
    <row r="31" spans="1:8" ht="13" x14ac:dyDescent="0.3">
      <c r="A31" s="122"/>
      <c r="B31" s="122"/>
      <c r="C31" s="122"/>
      <c r="D31" s="421"/>
      <c r="E31" s="143"/>
      <c r="F31" s="144" t="s">
        <v>10</v>
      </c>
      <c r="G31" s="156">
        <f>+G30/F9</f>
        <v>6934.6011416571973</v>
      </c>
      <c r="H31" s="162"/>
    </row>
    <row r="33" spans="5:7" ht="13" x14ac:dyDescent="0.3">
      <c r="E33" s="122"/>
      <c r="F33" s="123" t="s">
        <v>609</v>
      </c>
      <c r="G33" s="123">
        <f>+G31+G22+G15</f>
        <v>21085.965862687986</v>
      </c>
    </row>
    <row r="34" spans="5:7" ht="13" x14ac:dyDescent="0.3">
      <c r="E34" s="123" t="s">
        <v>610</v>
      </c>
      <c r="F34" s="198">
        <f>+RESUMEN!$I$2</f>
        <v>0</v>
      </c>
      <c r="G34" s="130">
        <f>IF(F34=0,0,F34*G33)</f>
        <v>0</v>
      </c>
    </row>
    <row r="35" spans="5:7" ht="13" x14ac:dyDescent="0.3">
      <c r="E35" s="123" t="s">
        <v>611</v>
      </c>
      <c r="F35" s="198">
        <f>+RESUMEN!$I$3</f>
        <v>0</v>
      </c>
      <c r="G35" s="130">
        <f>IF(F35=0,0,F35*G33)</f>
        <v>0</v>
      </c>
    </row>
    <row r="36" spans="5:7" ht="13" x14ac:dyDescent="0.3">
      <c r="E36" s="151"/>
      <c r="F36" s="152" t="s">
        <v>612</v>
      </c>
      <c r="G36" s="389">
        <f>SUM(G33:G35)</f>
        <v>21085.965862687986</v>
      </c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9"/>
  </sheetPr>
  <dimension ref="A1:H38"/>
  <sheetViews>
    <sheetView workbookViewId="0">
      <selection activeCell="C18" sqref="C18"/>
    </sheetView>
  </sheetViews>
  <sheetFormatPr defaultColWidth="11.453125" defaultRowHeight="12.5" x14ac:dyDescent="0.25"/>
  <cols>
    <col min="1" max="1" width="10.36328125" customWidth="1"/>
    <col min="2" max="2" width="44" bestFit="1" customWidth="1"/>
    <col min="3" max="3" width="7.08984375" bestFit="1" customWidth="1"/>
    <col min="4" max="4" width="8.6328125" style="427" customWidth="1"/>
    <col min="5" max="5" width="15.36328125" bestFit="1" customWidth="1"/>
    <col min="6" max="6" width="9.54296875" customWidth="1"/>
    <col min="7" max="7" width="9.6328125" style="30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62"/>
    </row>
    <row r="2" spans="1:8" ht="13" x14ac:dyDescent="0.3">
      <c r="A2" s="162"/>
      <c r="B2" s="162"/>
      <c r="C2" s="162"/>
      <c r="D2" s="501"/>
      <c r="E2" s="162"/>
      <c r="F2" s="163" t="s">
        <v>78</v>
      </c>
      <c r="G2" s="725" t="s">
        <v>711</v>
      </c>
      <c r="H2" s="162"/>
    </row>
    <row r="3" spans="1:8" ht="15.5" x14ac:dyDescent="0.35">
      <c r="A3" s="165" t="s">
        <v>579</v>
      </c>
      <c r="B3" s="166"/>
      <c r="C3" s="166"/>
      <c r="D3" s="502"/>
      <c r="E3" s="166"/>
      <c r="F3" s="166"/>
      <c r="G3" s="251"/>
      <c r="H3" s="162"/>
    </row>
    <row r="4" spans="1:8" ht="13" x14ac:dyDescent="0.3">
      <c r="A4" s="122"/>
      <c r="B4" s="122"/>
      <c r="C4" s="122"/>
      <c r="D4" s="421"/>
      <c r="E4" s="122"/>
      <c r="F4" s="123" t="s">
        <v>580</v>
      </c>
      <c r="G4" s="451">
        <v>73</v>
      </c>
      <c r="H4" s="162"/>
    </row>
    <row r="5" spans="1:8" ht="13" x14ac:dyDescent="0.25">
      <c r="A5" s="127" t="s">
        <v>581</v>
      </c>
      <c r="B5" s="562" t="s">
        <v>711</v>
      </c>
      <c r="C5" s="563"/>
      <c r="D5" s="584"/>
      <c r="E5" s="563"/>
      <c r="F5" s="563"/>
      <c r="G5" s="659"/>
      <c r="H5" s="162"/>
    </row>
    <row r="6" spans="1:8" ht="13" x14ac:dyDescent="0.3">
      <c r="A6" s="128" t="s">
        <v>582</v>
      </c>
      <c r="B6" s="500" t="s">
        <v>711</v>
      </c>
      <c r="C6" s="122"/>
      <c r="D6" s="421"/>
      <c r="E6" s="122"/>
      <c r="F6" s="123" t="s">
        <v>583</v>
      </c>
      <c r="G6" s="725" t="s">
        <v>711</v>
      </c>
      <c r="H6" s="162"/>
    </row>
    <row r="7" spans="1:8" ht="15.5" x14ac:dyDescent="0.25">
      <c r="A7" s="197" t="s">
        <v>584</v>
      </c>
      <c r="B7" s="873" t="s">
        <v>798</v>
      </c>
      <c r="C7" s="874"/>
      <c r="D7" s="874"/>
      <c r="E7" s="874"/>
      <c r="F7" s="874"/>
      <c r="G7" s="874"/>
      <c r="H7" s="162"/>
    </row>
    <row r="8" spans="1:8" ht="13" x14ac:dyDescent="0.3">
      <c r="A8" s="128"/>
      <c r="B8" s="122"/>
      <c r="C8" s="240" t="s">
        <v>586</v>
      </c>
      <c r="D8" s="421"/>
      <c r="E8" s="131" t="s">
        <v>587</v>
      </c>
      <c r="F8" s="128" t="s">
        <v>588</v>
      </c>
      <c r="G8" s="33"/>
      <c r="H8" s="162"/>
    </row>
    <row r="9" spans="1:8" ht="13" x14ac:dyDescent="0.3">
      <c r="A9" s="122"/>
      <c r="B9" s="122"/>
      <c r="C9" s="158" t="s">
        <v>45</v>
      </c>
      <c r="D9" s="421"/>
      <c r="E9" s="132">
        <v>100</v>
      </c>
      <c r="F9" s="33">
        <v>20</v>
      </c>
      <c r="G9" s="81" t="s">
        <v>615</v>
      </c>
      <c r="H9" s="162"/>
    </row>
    <row r="10" spans="1:8" ht="13" x14ac:dyDescent="0.3">
      <c r="A10" s="128" t="s">
        <v>590</v>
      </c>
      <c r="B10" s="122"/>
      <c r="C10" s="122"/>
      <c r="D10" s="421"/>
      <c r="E10" s="122"/>
      <c r="F10" s="122"/>
      <c r="G10" s="33"/>
      <c r="H10" s="162"/>
    </row>
    <row r="11" spans="1:8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252" t="s">
        <v>596</v>
      </c>
      <c r="H11" s="399" t="s">
        <v>597</v>
      </c>
    </row>
    <row r="12" spans="1:8" ht="13" x14ac:dyDescent="0.3">
      <c r="A12" s="264" t="s">
        <v>496</v>
      </c>
      <c r="B12" s="175" t="s">
        <v>497</v>
      </c>
      <c r="C12" s="264" t="s">
        <v>17</v>
      </c>
      <c r="D12" s="423">
        <v>0.03</v>
      </c>
      <c r="E12" s="246">
        <f>VLOOKUP(B12,Materiales!$B$8:$D$118,3,FALSE)</f>
        <v>735.06</v>
      </c>
      <c r="F12" s="246">
        <v>5</v>
      </c>
      <c r="G12" s="449">
        <f>+D12*E12*((F12+100)/100)</f>
        <v>23.154389999999996</v>
      </c>
      <c r="H12" s="246">
        <f t="shared" ref="H12:H18" si="0">+D12*$E$9</f>
        <v>3</v>
      </c>
    </row>
    <row r="13" spans="1:8" ht="13" x14ac:dyDescent="0.3">
      <c r="A13" s="320" t="s">
        <v>493</v>
      </c>
      <c r="B13" s="178" t="s">
        <v>438</v>
      </c>
      <c r="C13" s="320" t="s">
        <v>17</v>
      </c>
      <c r="D13" s="424">
        <v>0.05</v>
      </c>
      <c r="E13" s="247">
        <f>VLOOKUP(B13,Materiales!$B$8:$D$118,3,FALSE)</f>
        <v>5920.61</v>
      </c>
      <c r="F13" s="247">
        <v>10</v>
      </c>
      <c r="G13" s="247">
        <f t="shared" ref="G13:G18" si="1">+D13*E13*((F13+100)/100)</f>
        <v>325.63355000000007</v>
      </c>
      <c r="H13" s="247">
        <f t="shared" si="0"/>
        <v>5</v>
      </c>
    </row>
    <row r="14" spans="1:8" ht="13" x14ac:dyDescent="0.3">
      <c r="A14" s="320" t="s">
        <v>491</v>
      </c>
      <c r="B14" s="178" t="s">
        <v>492</v>
      </c>
      <c r="C14" s="320" t="s">
        <v>17</v>
      </c>
      <c r="D14" s="424">
        <v>0.01</v>
      </c>
      <c r="E14" s="247">
        <f>VLOOKUP(B14,Materiales!$B$8:$D$118,3,FALSE)</f>
        <v>5661.4</v>
      </c>
      <c r="F14" s="247">
        <v>5</v>
      </c>
      <c r="G14" s="247">
        <f t="shared" si="1"/>
        <v>59.444699999999997</v>
      </c>
      <c r="H14" s="247">
        <f t="shared" si="0"/>
        <v>1</v>
      </c>
    </row>
    <row r="15" spans="1:8" ht="13" x14ac:dyDescent="0.3">
      <c r="A15" s="320"/>
      <c r="B15" s="178" t="s">
        <v>500</v>
      </c>
      <c r="C15" s="320" t="s">
        <v>17</v>
      </c>
      <c r="D15" s="424">
        <v>5.0000000000000001E-3</v>
      </c>
      <c r="E15" s="247">
        <f>VLOOKUP(B15,Materiales!$B$8:$D$118,3,FALSE)</f>
        <v>6678.36</v>
      </c>
      <c r="F15" s="247">
        <v>5</v>
      </c>
      <c r="G15" s="247">
        <f t="shared" si="1"/>
        <v>35.061389999999996</v>
      </c>
      <c r="H15" s="247">
        <f t="shared" si="0"/>
        <v>0.5</v>
      </c>
    </row>
    <row r="16" spans="1:8" ht="13" x14ac:dyDescent="0.3">
      <c r="A16" s="320"/>
      <c r="B16" s="178" t="s">
        <v>502</v>
      </c>
      <c r="C16" s="320" t="s">
        <v>17</v>
      </c>
      <c r="D16" s="424">
        <v>5.0000000000000001E-3</v>
      </c>
      <c r="E16" s="247">
        <f>VLOOKUP(B16,Materiales!$B$8:$D$118,3,FALSE)</f>
        <v>5282.24</v>
      </c>
      <c r="F16" s="247">
        <v>5</v>
      </c>
      <c r="G16" s="247">
        <f t="shared" si="1"/>
        <v>27.731760000000001</v>
      </c>
      <c r="H16" s="247">
        <f t="shared" si="0"/>
        <v>0.5</v>
      </c>
    </row>
    <row r="17" spans="1:8" ht="13" x14ac:dyDescent="0.3">
      <c r="A17" s="320"/>
      <c r="B17" s="178" t="s">
        <v>504</v>
      </c>
      <c r="C17" s="320" t="s">
        <v>17</v>
      </c>
      <c r="D17" s="424">
        <v>0.01</v>
      </c>
      <c r="E17" s="247">
        <f>VLOOKUP(B17,Materiales!$B$8:$D$118,3,FALSE)</f>
        <v>7427.6</v>
      </c>
      <c r="F17" s="247">
        <v>5</v>
      </c>
      <c r="G17" s="247">
        <f t="shared" si="1"/>
        <v>77.989800000000017</v>
      </c>
      <c r="H17" s="247">
        <f t="shared" si="0"/>
        <v>1</v>
      </c>
    </row>
    <row r="18" spans="1:8" ht="13" x14ac:dyDescent="0.3">
      <c r="A18" s="265" t="s">
        <v>459</v>
      </c>
      <c r="B18" s="180" t="s">
        <v>460</v>
      </c>
      <c r="C18" s="265" t="s">
        <v>355</v>
      </c>
      <c r="D18" s="425">
        <v>1.2500000000000001E-2</v>
      </c>
      <c r="E18" s="248">
        <f>VLOOKUP(B18,Materiales!$B$8:$D$118,3,FALSE)</f>
        <v>120622.23</v>
      </c>
      <c r="F18" s="248">
        <v>10</v>
      </c>
      <c r="G18" s="248">
        <f t="shared" si="1"/>
        <v>1658.5556625000002</v>
      </c>
      <c r="H18" s="248">
        <f t="shared" si="0"/>
        <v>1.25</v>
      </c>
    </row>
    <row r="19" spans="1:8" ht="13" x14ac:dyDescent="0.3">
      <c r="A19" s="122"/>
      <c r="B19" s="122" t="s">
        <v>460</v>
      </c>
      <c r="C19" s="122"/>
      <c r="D19" s="504"/>
      <c r="E19" s="360"/>
      <c r="F19" s="123" t="s">
        <v>598</v>
      </c>
      <c r="G19" s="689">
        <f>SUM(G12:G18)</f>
        <v>2207.5712525000004</v>
      </c>
      <c r="H19" s="162"/>
    </row>
    <row r="20" spans="1:8" ht="13" x14ac:dyDescent="0.3">
      <c r="A20" s="122"/>
      <c r="B20" s="122" t="s">
        <v>460</v>
      </c>
      <c r="C20" s="122"/>
      <c r="D20" s="421"/>
      <c r="E20" s="143"/>
      <c r="F20" s="144" t="s">
        <v>9</v>
      </c>
      <c r="G20" s="667">
        <f>+G19</f>
        <v>2207.5712525000004</v>
      </c>
      <c r="H20" s="162"/>
    </row>
    <row r="21" spans="1:8" ht="13" x14ac:dyDescent="0.3">
      <c r="A21" s="128" t="s">
        <v>599</v>
      </c>
      <c r="B21" s="122"/>
      <c r="C21" s="122"/>
      <c r="D21" s="421"/>
      <c r="E21" s="122"/>
      <c r="F21" s="122"/>
      <c r="G21" s="33"/>
      <c r="H21" s="162"/>
    </row>
    <row r="22" spans="1:8" ht="13" x14ac:dyDescent="0.3">
      <c r="A22" s="133" t="s">
        <v>79</v>
      </c>
      <c r="B22" s="134" t="s">
        <v>591</v>
      </c>
      <c r="C22" s="134" t="s">
        <v>592</v>
      </c>
      <c r="D22" s="503" t="s">
        <v>593</v>
      </c>
      <c r="E22" s="134" t="s">
        <v>600</v>
      </c>
      <c r="F22" s="134" t="s">
        <v>87</v>
      </c>
      <c r="G22" s="78" t="s">
        <v>596</v>
      </c>
      <c r="H22" s="167"/>
    </row>
    <row r="23" spans="1:8" ht="13" x14ac:dyDescent="0.3">
      <c r="A23" s="264" t="s">
        <v>181</v>
      </c>
      <c r="B23" s="175" t="s">
        <v>183</v>
      </c>
      <c r="C23" s="264" t="s">
        <v>17</v>
      </c>
      <c r="D23" s="433">
        <v>1</v>
      </c>
      <c r="E23" s="175">
        <f>VLOOKUP(B23,'Rend. Equipos'!$B$7:$E$222,4,FALSE)</f>
        <v>72091.108607308124</v>
      </c>
      <c r="F23" s="266">
        <f>VLOOKUP(B23,'Rend. Equipos'!$B$6:$L$166,MATCH($F$22,'Rend. Equipos'!$B$6:$L$6,0),0)</f>
        <v>2.7777777777777779E-3</v>
      </c>
      <c r="G23" s="449">
        <f>+E23*D23*F23</f>
        <v>200.25307946474479</v>
      </c>
      <c r="H23" s="162"/>
    </row>
    <row r="24" spans="1:8" ht="13" x14ac:dyDescent="0.3">
      <c r="A24" s="265" t="s">
        <v>135</v>
      </c>
      <c r="B24" s="180" t="s">
        <v>136</v>
      </c>
      <c r="C24" s="265" t="s">
        <v>352</v>
      </c>
      <c r="D24" s="434">
        <v>1</v>
      </c>
      <c r="E24" s="180">
        <f>VLOOKUP(B24,'Rend. Equipos'!$B$7:$E$222,4,FALSE)</f>
        <v>1241010.6908793931</v>
      </c>
      <c r="F24" s="181">
        <f>VLOOKUP(B24,'Rend. Equipos'!$B$6:$L$166,MATCH($F$22,'Rend. Equipos'!$B$6:$L$6,0),0)</f>
        <v>1.3888888888888887E-3</v>
      </c>
      <c r="G24" s="450">
        <f>+E24*D24*F24</f>
        <v>1723.6259595547124</v>
      </c>
      <c r="H24" s="162"/>
    </row>
    <row r="25" spans="1:8" ht="13" x14ac:dyDescent="0.3">
      <c r="A25" s="139"/>
      <c r="B25" s="139"/>
      <c r="C25" s="139"/>
      <c r="D25" s="426"/>
      <c r="E25" s="140"/>
      <c r="F25" s="141" t="s">
        <v>602</v>
      </c>
      <c r="G25" s="462">
        <f>SUM(G23:G24)</f>
        <v>1923.8790390194572</v>
      </c>
      <c r="H25" s="162"/>
    </row>
    <row r="26" spans="1:8" ht="13" x14ac:dyDescent="0.3">
      <c r="A26" s="122"/>
      <c r="B26" s="122"/>
      <c r="C26" s="122"/>
      <c r="D26" s="421"/>
      <c r="E26" s="143"/>
      <c r="F26" s="144" t="s">
        <v>11</v>
      </c>
      <c r="G26" s="667">
        <f>+G25/F9</f>
        <v>96.19395195097286</v>
      </c>
      <c r="H26" s="162"/>
    </row>
    <row r="27" spans="1:8" ht="13" x14ac:dyDescent="0.3">
      <c r="A27" s="128" t="s">
        <v>603</v>
      </c>
      <c r="B27" s="122"/>
      <c r="C27" s="122"/>
      <c r="D27" s="421"/>
      <c r="E27" s="122"/>
      <c r="F27" s="122"/>
      <c r="G27" s="33"/>
      <c r="H27" s="162"/>
    </row>
    <row r="28" spans="1:8" ht="13" x14ac:dyDescent="0.3">
      <c r="A28" s="133" t="s">
        <v>79</v>
      </c>
      <c r="B28" s="134" t="s">
        <v>591</v>
      </c>
      <c r="C28" s="134" t="s">
        <v>592</v>
      </c>
      <c r="D28" s="503" t="s">
        <v>593</v>
      </c>
      <c r="E28" s="134" t="s">
        <v>604</v>
      </c>
      <c r="F28" s="134"/>
      <c r="G28" s="78" t="s">
        <v>596</v>
      </c>
      <c r="H28" s="167"/>
    </row>
    <row r="29" spans="1:8" ht="13" x14ac:dyDescent="0.3">
      <c r="A29" s="265" t="s">
        <v>265</v>
      </c>
      <c r="B29" s="180" t="s">
        <v>266</v>
      </c>
      <c r="C29" s="265" t="s">
        <v>605</v>
      </c>
      <c r="D29" s="434">
        <v>1</v>
      </c>
      <c r="E29" s="180">
        <f>VLOOKUP(B29,'Mano de Obra'!$B$8:$C$100,2,FALSE)</f>
        <v>85927.097156571981</v>
      </c>
      <c r="F29" s="180"/>
      <c r="G29" s="450">
        <f>+E29*D29</f>
        <v>85927.097156571981</v>
      </c>
      <c r="H29" s="162"/>
    </row>
    <row r="30" spans="1:8" ht="13" x14ac:dyDescent="0.3">
      <c r="A30" s="139"/>
      <c r="B30" s="139"/>
      <c r="C30" s="139"/>
      <c r="D30" s="426"/>
      <c r="E30" s="140"/>
      <c r="F30" s="141" t="s">
        <v>606</v>
      </c>
      <c r="G30" s="462">
        <f>SUM(G29:G29)</f>
        <v>85927.097156571981</v>
      </c>
      <c r="H30" s="162"/>
    </row>
    <row r="31" spans="1:8" ht="13" x14ac:dyDescent="0.3">
      <c r="A31" s="122"/>
      <c r="B31" s="122"/>
      <c r="C31" s="122"/>
      <c r="D31" s="421"/>
      <c r="E31" s="360"/>
      <c r="F31" s="123" t="s">
        <v>607</v>
      </c>
      <c r="G31" s="688">
        <v>1</v>
      </c>
      <c r="H31" s="162"/>
    </row>
    <row r="32" spans="1:8" ht="13" x14ac:dyDescent="0.3">
      <c r="A32" s="122"/>
      <c r="B32" s="122"/>
      <c r="C32" s="122"/>
      <c r="D32" s="421"/>
      <c r="E32" s="360"/>
      <c r="F32" s="123" t="s">
        <v>608</v>
      </c>
      <c r="G32" s="689">
        <f>+G31*G30</f>
        <v>85927.097156571981</v>
      </c>
      <c r="H32" s="162"/>
    </row>
    <row r="33" spans="1:8" ht="13" x14ac:dyDescent="0.3">
      <c r="A33" s="122"/>
      <c r="B33" s="122"/>
      <c r="C33" s="122"/>
      <c r="D33" s="421"/>
      <c r="E33" s="143"/>
      <c r="F33" s="144" t="s">
        <v>10</v>
      </c>
      <c r="G33" s="667">
        <f>+G32/F9</f>
        <v>4296.3548578285991</v>
      </c>
      <c r="H33" s="162"/>
    </row>
    <row r="34" spans="1:8" ht="13" x14ac:dyDescent="0.3">
      <c r="A34" s="122"/>
      <c r="B34" s="122"/>
      <c r="C34" s="122"/>
      <c r="D34" s="421"/>
      <c r="H34" s="162"/>
    </row>
    <row r="35" spans="1:8" ht="13" x14ac:dyDescent="0.3">
      <c r="A35" s="122"/>
      <c r="B35" s="122"/>
      <c r="C35" s="122"/>
      <c r="D35" s="421"/>
      <c r="E35" s="122"/>
      <c r="F35" s="123" t="s">
        <v>609</v>
      </c>
      <c r="G35" s="452">
        <f>+G33+G26+G20</f>
        <v>6600.1200622795714</v>
      </c>
      <c r="H35" s="162"/>
    </row>
    <row r="36" spans="1:8" ht="13" x14ac:dyDescent="0.3">
      <c r="A36" s="122"/>
      <c r="B36" s="122"/>
      <c r="C36" s="122"/>
      <c r="D36" s="421"/>
      <c r="E36" s="123" t="s">
        <v>610</v>
      </c>
      <c r="F36" s="198">
        <f>+RESUMEN!$I$2</f>
        <v>0</v>
      </c>
      <c r="G36" s="38">
        <f>IF(F36=0,0,F36*G35)</f>
        <v>0</v>
      </c>
      <c r="H36" s="162"/>
    </row>
    <row r="37" spans="1:8" ht="13" x14ac:dyDescent="0.3">
      <c r="A37" s="122"/>
      <c r="B37" s="122"/>
      <c r="C37" s="122"/>
      <c r="D37" s="421"/>
      <c r="E37" s="123" t="s">
        <v>611</v>
      </c>
      <c r="F37" s="198">
        <f>+RESUMEN!$I$3</f>
        <v>0</v>
      </c>
      <c r="G37" s="38">
        <f>IF(F37=0,0,F37*G35)</f>
        <v>0</v>
      </c>
      <c r="H37" s="162"/>
    </row>
    <row r="38" spans="1:8" ht="13" x14ac:dyDescent="0.3">
      <c r="A38" s="122"/>
      <c r="B38" s="122"/>
      <c r="C38" s="122"/>
      <c r="D38" s="421"/>
      <c r="E38" s="151"/>
      <c r="F38" s="152" t="s">
        <v>612</v>
      </c>
      <c r="G38" s="690">
        <f>SUM(G35:G37)</f>
        <v>6600.1200622795714</v>
      </c>
      <c r="H38" s="162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9"/>
  </sheetPr>
  <dimension ref="A1:M36"/>
  <sheetViews>
    <sheetView workbookViewId="0">
      <selection activeCell="E15" sqref="E15"/>
    </sheetView>
  </sheetViews>
  <sheetFormatPr defaultColWidth="11.453125" defaultRowHeight="12.5" x14ac:dyDescent="0.25"/>
  <cols>
    <col min="1" max="1" width="12.36328125" customWidth="1"/>
    <col min="2" max="2" width="58.90625" bestFit="1" customWidth="1"/>
    <col min="3" max="3" width="7.08984375" bestFit="1" customWidth="1"/>
    <col min="4" max="4" width="8.6328125" style="427" customWidth="1"/>
    <col min="5" max="5" width="15.36328125" bestFit="1" customWidth="1"/>
    <col min="6" max="6" width="9.453125" customWidth="1"/>
    <col min="7" max="7" width="9.6328125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</row>
    <row r="2" spans="1:13" ht="13" x14ac:dyDescent="0.3">
      <c r="A2" s="162"/>
      <c r="B2" s="162"/>
      <c r="C2" s="162"/>
      <c r="D2" s="501"/>
      <c r="E2" s="162"/>
      <c r="F2" s="163" t="s">
        <v>78</v>
      </c>
      <c r="G2" s="725" t="s">
        <v>711</v>
      </c>
      <c r="H2" s="162"/>
      <c r="I2" s="1"/>
      <c r="J2" s="1"/>
      <c r="K2" s="1"/>
      <c r="L2" s="1"/>
      <c r="M2" s="1"/>
    </row>
    <row r="3" spans="1:13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  <c r="I3" s="1"/>
      <c r="J3" s="1"/>
      <c r="K3" s="1"/>
      <c r="L3" s="1"/>
      <c r="M3" s="1"/>
    </row>
    <row r="4" spans="1:13" ht="13" x14ac:dyDescent="0.3">
      <c r="A4" s="122"/>
      <c r="B4" s="122"/>
      <c r="C4" s="122"/>
      <c r="D4" s="421"/>
      <c r="E4" s="122"/>
      <c r="F4" s="123" t="s">
        <v>580</v>
      </c>
      <c r="G4" s="126">
        <v>53</v>
      </c>
      <c r="H4" s="162"/>
      <c r="I4" s="1"/>
      <c r="J4" s="1"/>
      <c r="K4" s="1"/>
      <c r="L4" s="1"/>
      <c r="M4" s="1"/>
    </row>
    <row r="5" spans="1:13" ht="13" x14ac:dyDescent="0.25">
      <c r="A5" s="127" t="s">
        <v>581</v>
      </c>
      <c r="B5" s="562" t="s">
        <v>711</v>
      </c>
      <c r="C5" s="563"/>
      <c r="D5" s="584"/>
      <c r="E5" s="563"/>
      <c r="F5" s="563"/>
      <c r="G5" s="563"/>
      <c r="H5" s="162"/>
      <c r="I5" s="1"/>
      <c r="J5" s="1"/>
      <c r="K5" s="1"/>
      <c r="L5" s="1"/>
      <c r="M5" s="1"/>
    </row>
    <row r="6" spans="1:13" ht="13" x14ac:dyDescent="0.3">
      <c r="A6" s="128" t="s">
        <v>582</v>
      </c>
      <c r="B6" s="725" t="s">
        <v>711</v>
      </c>
      <c r="C6" s="122"/>
      <c r="D6" s="421"/>
      <c r="E6" s="122"/>
      <c r="F6" s="123" t="s">
        <v>583</v>
      </c>
      <c r="G6" s="725" t="s">
        <v>711</v>
      </c>
      <c r="H6" s="162"/>
      <c r="I6" s="1"/>
      <c r="J6" s="1"/>
      <c r="K6" s="1"/>
      <c r="L6" s="1"/>
      <c r="M6" s="1"/>
    </row>
    <row r="7" spans="1:13" ht="15.5" x14ac:dyDescent="0.25">
      <c r="A7" s="197" t="s">
        <v>584</v>
      </c>
      <c r="B7" s="873" t="s">
        <v>799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</row>
    <row r="8" spans="1:13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</row>
    <row r="9" spans="1:13" ht="13" x14ac:dyDescent="0.3">
      <c r="A9" s="122"/>
      <c r="B9" s="122"/>
      <c r="C9" s="132" t="s">
        <v>45</v>
      </c>
      <c r="D9" s="421"/>
      <c r="E9" s="132">
        <v>100</v>
      </c>
      <c r="F9" s="33">
        <v>30</v>
      </c>
      <c r="G9" s="158" t="s">
        <v>615</v>
      </c>
      <c r="H9" s="162"/>
      <c r="I9" s="1"/>
      <c r="J9" s="1"/>
      <c r="K9" s="1"/>
      <c r="L9" s="1"/>
      <c r="M9" s="1"/>
    </row>
    <row r="10" spans="1:13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  <c r="I10" s="1"/>
      <c r="J10" s="1"/>
      <c r="K10" s="1"/>
      <c r="L10" s="1"/>
      <c r="M10" s="1"/>
    </row>
    <row r="11" spans="1:13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5" t="s">
        <v>596</v>
      </c>
      <c r="H11" s="399" t="s">
        <v>597</v>
      </c>
      <c r="I11" s="3"/>
      <c r="J11" s="3"/>
      <c r="K11" s="3"/>
      <c r="L11" s="3"/>
      <c r="M11" s="3"/>
    </row>
    <row r="12" spans="1:13" ht="13" x14ac:dyDescent="0.3">
      <c r="A12" s="264" t="s">
        <v>496</v>
      </c>
      <c r="B12" s="175" t="s">
        <v>497</v>
      </c>
      <c r="C12" s="264" t="s">
        <v>17</v>
      </c>
      <c r="D12" s="433">
        <v>0.03</v>
      </c>
      <c r="E12" s="175">
        <f>VLOOKUP(B12,Materiales!$B$8:$D$118,3,FALSE)</f>
        <v>735.06</v>
      </c>
      <c r="F12" s="175">
        <v>5</v>
      </c>
      <c r="G12" s="176">
        <f t="shared" ref="G12:G15" si="0">+D12*E12*((F12+100)/100)</f>
        <v>23.154389999999996</v>
      </c>
      <c r="H12" s="246">
        <f t="shared" ref="H12:H15" si="1">+D12*$E$9</f>
        <v>3</v>
      </c>
      <c r="I12" s="1"/>
      <c r="J12" s="1"/>
      <c r="K12" s="1"/>
      <c r="L12" s="1"/>
      <c r="M12" s="1"/>
    </row>
    <row r="13" spans="1:13" ht="13" x14ac:dyDescent="0.3">
      <c r="A13" s="320" t="s">
        <v>493</v>
      </c>
      <c r="B13" s="178" t="s">
        <v>438</v>
      </c>
      <c r="C13" s="320" t="s">
        <v>17</v>
      </c>
      <c r="D13" s="457">
        <v>0.02</v>
      </c>
      <c r="E13" s="178">
        <f>VLOOKUP(B13,Materiales!$B$8:$D$118,3,FALSE)</f>
        <v>5920.61</v>
      </c>
      <c r="F13" s="178">
        <v>10</v>
      </c>
      <c r="G13" s="179">
        <f t="shared" si="0"/>
        <v>130.25342000000001</v>
      </c>
      <c r="H13" s="247">
        <f t="shared" si="1"/>
        <v>2</v>
      </c>
      <c r="I13" s="1"/>
      <c r="J13" s="1"/>
      <c r="K13" s="1"/>
      <c r="L13" s="1"/>
      <c r="M13" s="1"/>
    </row>
    <row r="14" spans="1:13" ht="13" x14ac:dyDescent="0.3">
      <c r="A14" s="724" t="s">
        <v>489</v>
      </c>
      <c r="B14" s="692" t="s">
        <v>490</v>
      </c>
      <c r="C14" s="724" t="s">
        <v>17</v>
      </c>
      <c r="D14" s="694">
        <v>2.5000000000000001E-3</v>
      </c>
      <c r="E14" s="178">
        <f>VLOOKUP(B14,Materiales!$B$8:$D$118,3,FALSE)</f>
        <v>26907.33</v>
      </c>
      <c r="F14" s="178">
        <v>10</v>
      </c>
      <c r="G14" s="179">
        <f t="shared" ref="G14" si="2">+D14*E14*((F14+100)/100)</f>
        <v>73.995157500000005</v>
      </c>
      <c r="H14" s="247">
        <f t="shared" ref="H14" si="3">+D14*$E$9</f>
        <v>0.25</v>
      </c>
      <c r="I14" s="1"/>
      <c r="J14" s="1"/>
      <c r="K14" s="1"/>
      <c r="L14" s="1"/>
      <c r="M14" s="1"/>
    </row>
    <row r="15" spans="1:13" ht="13" x14ac:dyDescent="0.3">
      <c r="A15" s="265" t="s">
        <v>459</v>
      </c>
      <c r="B15" s="180" t="s">
        <v>498</v>
      </c>
      <c r="C15" s="265" t="s">
        <v>355</v>
      </c>
      <c r="D15" s="434">
        <v>8.5000000000000006E-3</v>
      </c>
      <c r="E15" s="180">
        <f>VLOOKUP(B15,Materiales!$B$8:$D$118,3,FALSE)</f>
        <v>199110.12396694216</v>
      </c>
      <c r="F15" s="180">
        <v>10</v>
      </c>
      <c r="G15" s="182">
        <f t="shared" si="0"/>
        <v>1861.6796590909094</v>
      </c>
      <c r="H15" s="248">
        <f t="shared" si="1"/>
        <v>0.85000000000000009</v>
      </c>
      <c r="I15" s="1"/>
      <c r="J15" s="1">
        <v>1</v>
      </c>
      <c r="K15" s="1">
        <v>6</v>
      </c>
      <c r="L15" s="1"/>
      <c r="M15" s="1"/>
    </row>
    <row r="16" spans="1:13" ht="13" x14ac:dyDescent="0.3">
      <c r="A16" s="139"/>
      <c r="B16" s="139"/>
      <c r="C16" s="139"/>
      <c r="D16" s="426"/>
      <c r="E16" s="140"/>
      <c r="F16" s="141" t="s">
        <v>598</v>
      </c>
      <c r="G16" s="391">
        <f>SUM(G12:G15)</f>
        <v>2089.0826265909095</v>
      </c>
      <c r="H16" s="162"/>
      <c r="I16" s="1"/>
      <c r="J16" s="1">
        <v>20</v>
      </c>
      <c r="K16" s="1">
        <f>+J16*K15/J15</f>
        <v>120</v>
      </c>
      <c r="L16" s="1"/>
      <c r="M16" s="284">
        <f>1/K16</f>
        <v>8.3333333333333332E-3</v>
      </c>
    </row>
    <row r="17" spans="1:8" ht="13" x14ac:dyDescent="0.3">
      <c r="A17" s="122"/>
      <c r="B17" s="122"/>
      <c r="C17" s="122"/>
      <c r="D17" s="421"/>
      <c r="E17" s="143"/>
      <c r="F17" s="144" t="s">
        <v>9</v>
      </c>
      <c r="G17" s="156">
        <f>+G16</f>
        <v>2089.0826265909095</v>
      </c>
      <c r="H17" s="162"/>
    </row>
    <row r="18" spans="1:8" ht="13" x14ac:dyDescent="0.3">
      <c r="A18" s="128" t="s">
        <v>599</v>
      </c>
      <c r="B18" s="122"/>
      <c r="C18" s="122"/>
      <c r="D18" s="421"/>
      <c r="E18" s="122"/>
      <c r="F18" s="122"/>
      <c r="G18" s="122"/>
      <c r="H18" s="162"/>
    </row>
    <row r="19" spans="1:8" ht="13" x14ac:dyDescent="0.3">
      <c r="A19" s="133" t="s">
        <v>79</v>
      </c>
      <c r="B19" s="134" t="s">
        <v>591</v>
      </c>
      <c r="C19" s="134" t="s">
        <v>592</v>
      </c>
      <c r="D19" s="503" t="s">
        <v>593</v>
      </c>
      <c r="E19" s="134" t="s">
        <v>600</v>
      </c>
      <c r="F19" s="134" t="s">
        <v>87</v>
      </c>
      <c r="G19" s="135" t="s">
        <v>596</v>
      </c>
      <c r="H19" s="167"/>
    </row>
    <row r="20" spans="1:8" ht="13" x14ac:dyDescent="0.3">
      <c r="A20" s="264" t="s">
        <v>181</v>
      </c>
      <c r="B20" s="175" t="s">
        <v>182</v>
      </c>
      <c r="C20" s="264" t="s">
        <v>17</v>
      </c>
      <c r="D20" s="433">
        <v>1</v>
      </c>
      <c r="E20" s="175">
        <f>VLOOKUP(B20,'Rend. Equipos'!$B$7:$E$222,4,FALSE)</f>
        <v>201885.25333580485</v>
      </c>
      <c r="F20" s="266">
        <f>VLOOKUP(B20,'Rend. Equipos'!$B$6:$L$166,MATCH($F$19,'Rend. Equipos'!$B$6:$L$6,0),0)</f>
        <v>6.9444444444444436E-4</v>
      </c>
      <c r="G20" s="176">
        <f>+E20*D20*F20</f>
        <v>140.19809259430892</v>
      </c>
      <c r="H20" s="162"/>
    </row>
    <row r="21" spans="1:8" ht="13" x14ac:dyDescent="0.3">
      <c r="A21" s="265" t="s">
        <v>135</v>
      </c>
      <c r="B21" s="180" t="s">
        <v>136</v>
      </c>
      <c r="C21" s="265" t="s">
        <v>352</v>
      </c>
      <c r="D21" s="434">
        <v>1</v>
      </c>
      <c r="E21" s="180">
        <f>VLOOKUP(B21,'Rend. Equipos'!$B$7:$E$222,4,FALSE)</f>
        <v>1241010.6908793931</v>
      </c>
      <c r="F21" s="181">
        <f>VLOOKUP(B21,'Rend. Equipos'!$B$6:$L$166,MATCH($F$19,'Rend. Equipos'!$B$6:$L$6,0),0)</f>
        <v>1.3888888888888887E-3</v>
      </c>
      <c r="G21" s="182">
        <f>+E21*D21*F21</f>
        <v>1723.6259595547124</v>
      </c>
      <c r="H21" s="162"/>
    </row>
    <row r="22" spans="1:8" ht="13" x14ac:dyDescent="0.3">
      <c r="A22" s="139"/>
      <c r="B22" s="139"/>
      <c r="C22" s="139"/>
      <c r="D22" s="426"/>
      <c r="E22" s="140"/>
      <c r="F22" s="141" t="s">
        <v>602</v>
      </c>
      <c r="G22" s="391">
        <f>SUM(G20:G21)</f>
        <v>1863.8240521490213</v>
      </c>
      <c r="H22" s="162"/>
    </row>
    <row r="23" spans="1:8" ht="13" x14ac:dyDescent="0.3">
      <c r="A23" s="122"/>
      <c r="B23" s="122"/>
      <c r="C23" s="122"/>
      <c r="D23" s="421"/>
      <c r="E23" s="143"/>
      <c r="F23" s="144" t="s">
        <v>11</v>
      </c>
      <c r="G23" s="156">
        <f>+G22/F9</f>
        <v>62.127468404967381</v>
      </c>
      <c r="H23" s="162"/>
    </row>
    <row r="24" spans="1:8" ht="13" x14ac:dyDescent="0.3">
      <c r="A24" s="128" t="s">
        <v>603</v>
      </c>
      <c r="B24" s="122"/>
      <c r="C24" s="122"/>
      <c r="D24" s="421"/>
      <c r="E24" s="122"/>
      <c r="F24" s="122"/>
      <c r="G24" s="122"/>
      <c r="H24" s="162"/>
    </row>
    <row r="25" spans="1:8" ht="13" x14ac:dyDescent="0.3">
      <c r="A25" s="133" t="s">
        <v>79</v>
      </c>
      <c r="B25" s="134" t="s">
        <v>591</v>
      </c>
      <c r="C25" s="134" t="s">
        <v>592</v>
      </c>
      <c r="D25" s="503" t="s">
        <v>593</v>
      </c>
      <c r="E25" s="134" t="s">
        <v>604</v>
      </c>
      <c r="F25" s="134"/>
      <c r="G25" s="135" t="s">
        <v>596</v>
      </c>
      <c r="H25" s="167"/>
    </row>
    <row r="26" spans="1:8" ht="13" x14ac:dyDescent="0.3">
      <c r="A26" s="264" t="s">
        <v>265</v>
      </c>
      <c r="B26" s="175" t="s">
        <v>266</v>
      </c>
      <c r="C26" s="264" t="s">
        <v>605</v>
      </c>
      <c r="D26" s="433">
        <v>1</v>
      </c>
      <c r="E26" s="175">
        <f>VLOOKUP(B26,'Mano de Obra'!$B$8:$C$100,2,FALSE)</f>
        <v>85927.097156571981</v>
      </c>
      <c r="F26" s="175"/>
      <c r="G26" s="176">
        <f>+E26*D26</f>
        <v>85927.097156571981</v>
      </c>
      <c r="H26" s="162"/>
    </row>
    <row r="27" spans="1:8" ht="13" x14ac:dyDescent="0.3">
      <c r="A27" s="265" t="s">
        <v>251</v>
      </c>
      <c r="B27" s="180" t="s">
        <v>252</v>
      </c>
      <c r="C27" s="265" t="s">
        <v>605</v>
      </c>
      <c r="D27" s="434">
        <v>1</v>
      </c>
      <c r="E27" s="180">
        <f>VLOOKUP(B27,'Mano de Obra'!$B$8:$C$100,2,FALSE)</f>
        <v>65493.071636571978</v>
      </c>
      <c r="F27" s="180"/>
      <c r="G27" s="182">
        <f>+E27*D27</f>
        <v>65493.071636571978</v>
      </c>
      <c r="H27" s="162"/>
    </row>
    <row r="28" spans="1:8" ht="13" x14ac:dyDescent="0.3">
      <c r="A28" s="139"/>
      <c r="B28" s="139"/>
      <c r="C28" s="139"/>
      <c r="D28" s="426"/>
      <c r="E28" s="140"/>
      <c r="F28" s="141" t="s">
        <v>606</v>
      </c>
      <c r="G28" s="391">
        <f>SUM(G26:G27)</f>
        <v>151420.16879314397</v>
      </c>
      <c r="H28" s="162"/>
    </row>
    <row r="29" spans="1:8" ht="13" x14ac:dyDescent="0.3">
      <c r="A29" s="122"/>
      <c r="B29" s="122"/>
      <c r="C29" s="122"/>
      <c r="D29" s="421"/>
      <c r="E29" s="360"/>
      <c r="F29" s="123" t="s">
        <v>607</v>
      </c>
      <c r="G29" s="349">
        <v>1</v>
      </c>
      <c r="H29" s="162"/>
    </row>
    <row r="30" spans="1:8" ht="13" x14ac:dyDescent="0.3">
      <c r="A30" s="122"/>
      <c r="B30" s="122"/>
      <c r="C30" s="122"/>
      <c r="D30" s="421"/>
      <c r="E30" s="360"/>
      <c r="F30" s="123" t="s">
        <v>608</v>
      </c>
      <c r="G30" s="390">
        <f>+G29*G28</f>
        <v>151420.16879314397</v>
      </c>
      <c r="H30" s="162"/>
    </row>
    <row r="31" spans="1:8" ht="13" x14ac:dyDescent="0.3">
      <c r="A31" s="122"/>
      <c r="B31" s="122"/>
      <c r="C31" s="122"/>
      <c r="D31" s="421"/>
      <c r="E31" s="143"/>
      <c r="F31" s="144" t="s">
        <v>10</v>
      </c>
      <c r="G31" s="156">
        <f>+G30/F9</f>
        <v>5047.3389597714659</v>
      </c>
      <c r="H31" s="162"/>
    </row>
    <row r="33" spans="5:7" ht="13" x14ac:dyDescent="0.3">
      <c r="E33" s="122"/>
      <c r="F33" s="123" t="s">
        <v>609</v>
      </c>
      <c r="G33" s="123">
        <f>+G31+G23+G17</f>
        <v>7198.5490547673435</v>
      </c>
    </row>
    <row r="34" spans="5:7" ht="13" x14ac:dyDescent="0.3">
      <c r="E34" s="123" t="s">
        <v>610</v>
      </c>
      <c r="F34" s="198">
        <f>+RESUMEN!$I$2</f>
        <v>0</v>
      </c>
      <c r="G34" s="130">
        <f>IF(F34=0,0,F34*G33)</f>
        <v>0</v>
      </c>
    </row>
    <row r="35" spans="5:7" ht="13" x14ac:dyDescent="0.3">
      <c r="E35" s="123" t="s">
        <v>611</v>
      </c>
      <c r="F35" s="198">
        <f>+RESUMEN!$I$3</f>
        <v>0</v>
      </c>
      <c r="G35" s="130">
        <f>IF(F35=0,0,F35*G33)</f>
        <v>0</v>
      </c>
    </row>
    <row r="36" spans="5:7" ht="13" x14ac:dyDescent="0.3">
      <c r="E36" s="151"/>
      <c r="F36" s="152" t="s">
        <v>612</v>
      </c>
      <c r="G36" s="389">
        <f>SUM(G33:G35)</f>
        <v>7198.5490547673435</v>
      </c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M42"/>
  <sheetViews>
    <sheetView workbookViewId="0">
      <selection sqref="A1:G1"/>
    </sheetView>
  </sheetViews>
  <sheetFormatPr defaultColWidth="11.453125" defaultRowHeight="12.5" x14ac:dyDescent="0.25"/>
  <cols>
    <col min="1" max="1" width="10.90625" customWidth="1"/>
    <col min="2" max="2" width="35.6328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9.6328125" customWidth="1"/>
    <col min="10" max="10" width="20.6328125" style="727" bestFit="1" customWidth="1"/>
    <col min="11" max="11" width="3.54296875" bestFit="1" customWidth="1"/>
    <col min="12" max="12" width="5.453125" bestFit="1" customWidth="1"/>
    <col min="13" max="13" width="7.453125" bestFit="1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726"/>
      <c r="K1" s="1"/>
      <c r="L1" s="1"/>
      <c r="M1" s="1"/>
    </row>
    <row r="2" spans="1:13" ht="13" x14ac:dyDescent="0.25">
      <c r="A2" s="162"/>
      <c r="B2" s="162"/>
      <c r="C2" s="162"/>
      <c r="D2" s="162"/>
      <c r="E2" s="162"/>
      <c r="F2" s="240" t="s">
        <v>78</v>
      </c>
      <c r="G2" s="510" t="s">
        <v>613</v>
      </c>
      <c r="H2" s="162"/>
      <c r="I2" s="1"/>
      <c r="J2" s="726"/>
      <c r="K2" s="1"/>
      <c r="L2" s="1"/>
      <c r="M2" s="1"/>
    </row>
    <row r="3" spans="1:13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726"/>
      <c r="K3" s="1"/>
      <c r="L3" s="1"/>
      <c r="M3" s="1"/>
    </row>
    <row r="4" spans="1:13" ht="13" x14ac:dyDescent="0.3">
      <c r="A4" s="122"/>
      <c r="B4" s="122"/>
      <c r="C4" s="122"/>
      <c r="D4" s="122"/>
      <c r="E4" s="122"/>
      <c r="F4" s="123" t="s">
        <v>580</v>
      </c>
      <c r="G4" s="126">
        <v>75</v>
      </c>
      <c r="H4" s="162"/>
      <c r="I4" s="1"/>
      <c r="J4" s="726"/>
      <c r="K4" s="1"/>
      <c r="L4" s="1"/>
      <c r="M4" s="1"/>
    </row>
    <row r="5" spans="1:13" ht="13" x14ac:dyDescent="0.25">
      <c r="A5" s="127" t="s">
        <v>581</v>
      </c>
      <c r="B5" s="892" t="s">
        <v>613</v>
      </c>
      <c r="C5" s="893"/>
      <c r="D5" s="893"/>
      <c r="E5" s="893"/>
      <c r="F5" s="893"/>
      <c r="G5" s="893"/>
      <c r="H5" s="162"/>
      <c r="I5" s="1"/>
      <c r="J5" s="726"/>
      <c r="K5" s="1"/>
      <c r="L5" s="1"/>
      <c r="M5" s="1"/>
    </row>
    <row r="6" spans="1:13" ht="13" x14ac:dyDescent="0.3">
      <c r="A6" s="128" t="s">
        <v>582</v>
      </c>
      <c r="B6" s="510" t="s">
        <v>613</v>
      </c>
      <c r="C6" s="122"/>
      <c r="D6" s="122"/>
      <c r="E6" s="122"/>
      <c r="F6" s="123" t="s">
        <v>583</v>
      </c>
      <c r="G6" s="510" t="s">
        <v>613</v>
      </c>
      <c r="H6" s="162"/>
      <c r="I6" s="1"/>
      <c r="J6" s="726"/>
      <c r="K6" s="1"/>
      <c r="L6" s="1"/>
      <c r="M6" s="1"/>
    </row>
    <row r="7" spans="1:13" ht="15.5" x14ac:dyDescent="0.25">
      <c r="A7" s="197" t="s">
        <v>584</v>
      </c>
      <c r="B7" s="873" t="s">
        <v>800</v>
      </c>
      <c r="C7" s="874"/>
      <c r="D7" s="874"/>
      <c r="E7" s="874"/>
      <c r="F7" s="874"/>
      <c r="G7" s="874"/>
      <c r="H7" s="162"/>
      <c r="I7" s="162"/>
      <c r="J7" s="726"/>
      <c r="K7" s="1"/>
      <c r="L7" s="1"/>
      <c r="M7" s="1"/>
    </row>
    <row r="8" spans="1:13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726"/>
      <c r="K8" s="1"/>
      <c r="L8" s="1"/>
      <c r="M8" s="1"/>
    </row>
    <row r="9" spans="1:13" ht="13" x14ac:dyDescent="0.3">
      <c r="A9" s="122"/>
      <c r="B9" s="122" t="s">
        <v>626</v>
      </c>
      <c r="C9" s="132" t="s">
        <v>45</v>
      </c>
      <c r="D9" s="122"/>
      <c r="E9" s="132">
        <v>100</v>
      </c>
      <c r="F9" s="185">
        <v>15</v>
      </c>
      <c r="G9" s="122" t="s">
        <v>615</v>
      </c>
      <c r="H9" s="162"/>
      <c r="I9" s="1"/>
      <c r="J9" s="726"/>
      <c r="K9" s="1"/>
      <c r="L9" s="1"/>
      <c r="M9" s="1"/>
    </row>
    <row r="10" spans="1:13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726"/>
      <c r="K10" s="1"/>
      <c r="L10" s="1"/>
      <c r="M10" s="1"/>
    </row>
    <row r="11" spans="1:13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3"/>
      <c r="J11" s="601"/>
      <c r="K11" s="3"/>
      <c r="L11" s="3"/>
      <c r="M11" s="3"/>
    </row>
    <row r="12" spans="1:13" ht="13" x14ac:dyDescent="0.3">
      <c r="A12" s="264" t="s">
        <v>377</v>
      </c>
      <c r="B12" s="175" t="s">
        <v>378</v>
      </c>
      <c r="C12" s="264" t="s">
        <v>17</v>
      </c>
      <c r="D12" s="433">
        <v>0.17</v>
      </c>
      <c r="E12" s="175">
        <f>VLOOKUP(B12,Materiales!$B$8:$D$118,3,FALSE)</f>
        <v>3424.53</v>
      </c>
      <c r="F12" s="175">
        <v>10</v>
      </c>
      <c r="G12" s="176">
        <f>+D12*E12*((F12+100)/100)</f>
        <v>640.38711000000012</v>
      </c>
      <c r="H12" s="176">
        <f>+D12*$E$9</f>
        <v>17</v>
      </c>
      <c r="I12" s="1"/>
      <c r="J12" s="379"/>
      <c r="K12" s="122"/>
      <c r="L12" s="132" t="s">
        <v>623</v>
      </c>
      <c r="M12" s="342" t="s">
        <v>623</v>
      </c>
    </row>
    <row r="13" spans="1:13" ht="13" x14ac:dyDescent="0.3">
      <c r="A13" s="320" t="s">
        <v>390</v>
      </c>
      <c r="B13" s="268" t="s">
        <v>398</v>
      </c>
      <c r="C13" s="269" t="s">
        <v>17</v>
      </c>
      <c r="D13" s="457">
        <v>15</v>
      </c>
      <c r="E13" s="178">
        <f>VLOOKUP(B13,Materiales!$B$8:$D$118,3,FALSE)</f>
        <v>694.26</v>
      </c>
      <c r="F13" s="178">
        <v>5</v>
      </c>
      <c r="G13" s="179">
        <f t="shared" ref="G13:G17" si="0">+D13*E13*((F13+100)/100)</f>
        <v>10934.594999999999</v>
      </c>
      <c r="H13" s="179">
        <f t="shared" ref="H13:H17" si="1">+D13*$E$9</f>
        <v>1500</v>
      </c>
      <c r="I13" s="1"/>
      <c r="J13" s="379"/>
      <c r="K13" s="122"/>
      <c r="L13" s="132">
        <v>10</v>
      </c>
      <c r="M13" s="342">
        <v>20</v>
      </c>
    </row>
    <row r="14" spans="1:13" ht="13" x14ac:dyDescent="0.3">
      <c r="A14" s="320" t="s">
        <v>372</v>
      </c>
      <c r="B14" s="178" t="s">
        <v>373</v>
      </c>
      <c r="C14" s="320" t="s">
        <v>374</v>
      </c>
      <c r="D14" s="457">
        <v>0.2</v>
      </c>
      <c r="E14" s="178">
        <f>VLOOKUP(B14,Materiales!$B$8:$D$118,3,FALSE)</f>
        <v>3837.96</v>
      </c>
      <c r="F14" s="178">
        <v>10</v>
      </c>
      <c r="G14" s="179">
        <f t="shared" si="0"/>
        <v>844.35120000000018</v>
      </c>
      <c r="H14" s="179">
        <f t="shared" si="1"/>
        <v>20</v>
      </c>
      <c r="I14" s="1"/>
      <c r="J14" s="379" t="s">
        <v>373</v>
      </c>
      <c r="K14" s="158" t="s">
        <v>374</v>
      </c>
      <c r="L14" s="132">
        <v>0.1</v>
      </c>
      <c r="M14" s="342">
        <v>0.2</v>
      </c>
    </row>
    <row r="15" spans="1:13" ht="13" x14ac:dyDescent="0.3">
      <c r="A15" s="320" t="s">
        <v>368</v>
      </c>
      <c r="B15" s="178" t="s">
        <v>369</v>
      </c>
      <c r="C15" s="320" t="s">
        <v>374</v>
      </c>
      <c r="D15" s="457">
        <v>0.1</v>
      </c>
      <c r="E15" s="178">
        <f>VLOOKUP(B15,Materiales!$B$8:$D$118,3,FALSE)</f>
        <v>7809.48</v>
      </c>
      <c r="F15" s="178">
        <v>10</v>
      </c>
      <c r="G15" s="179">
        <f t="shared" si="0"/>
        <v>859.04280000000006</v>
      </c>
      <c r="H15" s="179">
        <f t="shared" si="1"/>
        <v>10</v>
      </c>
      <c r="I15" s="1"/>
      <c r="J15" s="379" t="s">
        <v>369</v>
      </c>
      <c r="K15" s="158" t="s">
        <v>374</v>
      </c>
      <c r="L15" s="132">
        <v>0.05</v>
      </c>
      <c r="M15" s="342">
        <v>0.1</v>
      </c>
    </row>
    <row r="16" spans="1:13" ht="13" x14ac:dyDescent="0.3">
      <c r="A16" s="320" t="s">
        <v>362</v>
      </c>
      <c r="B16" s="178" t="s">
        <v>363</v>
      </c>
      <c r="C16" s="320" t="s">
        <v>59</v>
      </c>
      <c r="D16" s="457">
        <v>2.4E-2</v>
      </c>
      <c r="E16" s="178">
        <f>VLOOKUP(B16,Materiales!$B$8:$D$118,3,FALSE)</f>
        <v>32399.77</v>
      </c>
      <c r="F16" s="178">
        <v>10</v>
      </c>
      <c r="G16" s="179">
        <f t="shared" si="0"/>
        <v>855.353928</v>
      </c>
      <c r="H16" s="179">
        <f t="shared" si="1"/>
        <v>2.4</v>
      </c>
      <c r="I16" s="1"/>
      <c r="J16" s="379" t="s">
        <v>363</v>
      </c>
      <c r="K16" s="158" t="s">
        <v>59</v>
      </c>
      <c r="L16" s="132">
        <v>1.2E-2</v>
      </c>
      <c r="M16" s="342">
        <v>2.4E-2</v>
      </c>
    </row>
    <row r="17" spans="1:8" ht="13" x14ac:dyDescent="0.3">
      <c r="A17" s="265"/>
      <c r="B17" s="420" t="s">
        <v>617</v>
      </c>
      <c r="C17" s="265" t="s">
        <v>352</v>
      </c>
      <c r="D17" s="434">
        <v>0.01</v>
      </c>
      <c r="E17" s="180">
        <f>+SUM(G12:G16)</f>
        <v>14133.730038</v>
      </c>
      <c r="F17" s="180">
        <v>3</v>
      </c>
      <c r="G17" s="182">
        <f t="shared" si="0"/>
        <v>145.57741939139999</v>
      </c>
      <c r="H17" s="182">
        <f t="shared" si="1"/>
        <v>1</v>
      </c>
    </row>
    <row r="18" spans="1:8" ht="13" x14ac:dyDescent="0.3">
      <c r="A18" s="122"/>
      <c r="B18" s="122"/>
      <c r="C18" s="122"/>
      <c r="D18" s="122"/>
      <c r="E18" s="360"/>
      <c r="F18" s="123" t="s">
        <v>598</v>
      </c>
      <c r="G18" s="390">
        <f>SUM(G12:G17)</f>
        <v>14279.3074573914</v>
      </c>
      <c r="H18" s="162"/>
    </row>
    <row r="19" spans="1:8" ht="13" x14ac:dyDescent="0.3">
      <c r="A19" s="122"/>
      <c r="B19" s="122"/>
      <c r="C19" s="122"/>
      <c r="D19" s="122"/>
      <c r="E19" s="143"/>
      <c r="F19" s="144" t="s">
        <v>9</v>
      </c>
      <c r="G19" s="156">
        <f>+G18</f>
        <v>14279.3074573914</v>
      </c>
      <c r="H19" s="162"/>
    </row>
    <row r="20" spans="1:8" ht="13" x14ac:dyDescent="0.3">
      <c r="A20" s="128" t="s">
        <v>599</v>
      </c>
      <c r="B20" s="122"/>
      <c r="C20" s="122"/>
      <c r="D20" s="193"/>
      <c r="E20" s="122"/>
      <c r="F20" s="122"/>
      <c r="G20" s="122"/>
      <c r="H20" s="162"/>
    </row>
    <row r="21" spans="1:8" ht="13" x14ac:dyDescent="0.3">
      <c r="A21" s="133" t="s">
        <v>79</v>
      </c>
      <c r="B21" s="134" t="s">
        <v>591</v>
      </c>
      <c r="C21" s="134" t="s">
        <v>592</v>
      </c>
      <c r="D21" s="194" t="s">
        <v>593</v>
      </c>
      <c r="E21" s="134" t="s">
        <v>600</v>
      </c>
      <c r="F21" s="134" t="s">
        <v>87</v>
      </c>
      <c r="G21" s="135" t="s">
        <v>596</v>
      </c>
      <c r="H21" s="167"/>
    </row>
    <row r="22" spans="1:8" ht="13" x14ac:dyDescent="0.3">
      <c r="A22" s="264" t="s">
        <v>93</v>
      </c>
      <c r="B22" s="175" t="s">
        <v>94</v>
      </c>
      <c r="C22" s="264" t="s">
        <v>352</v>
      </c>
      <c r="D22" s="458">
        <v>1</v>
      </c>
      <c r="E22" s="175">
        <f>VLOOKUP(B22,'Rend. Equipos'!$B$7:$E$222,4,FALSE)</f>
        <v>2470106.6047045495</v>
      </c>
      <c r="F22" s="266">
        <f>VLOOKUP(B22,'Rend. Equipos'!$B$6:$L$166,MATCH($F$21,'Rend. Equipos'!$B$6:$L$6,0),0)</f>
        <v>9.2592592592592596E-4</v>
      </c>
      <c r="G22" s="176">
        <f>+E22*D22*F22</f>
        <v>2287.1357450968053</v>
      </c>
      <c r="H22" s="162"/>
    </row>
    <row r="23" spans="1:8" ht="13" x14ac:dyDescent="0.3">
      <c r="A23" s="320" t="s">
        <v>88</v>
      </c>
      <c r="B23" s="178" t="s">
        <v>89</v>
      </c>
      <c r="C23" s="320" t="s">
        <v>352</v>
      </c>
      <c r="D23" s="511">
        <v>0.5</v>
      </c>
      <c r="E23" s="178">
        <f>VLOOKUP(B23,'Rend. Equipos'!$B$7:$E$222,4,FALSE)</f>
        <v>1028123.0837653707</v>
      </c>
      <c r="F23" s="325">
        <f>VLOOKUP(B23,'Rend. Equipos'!$B$6:$L$166,MATCH($F$21,'Rend. Equipos'!$B$6:$L$6,0),0)</f>
        <v>5.5555555555555556E-4</v>
      </c>
      <c r="G23" s="179">
        <f t="shared" ref="G23:G24" si="2">+E23*D23*F23</f>
        <v>285.58974549038072</v>
      </c>
      <c r="H23" s="162"/>
    </row>
    <row r="24" spans="1:8" ht="13" x14ac:dyDescent="0.3">
      <c r="A24" s="265" t="s">
        <v>163</v>
      </c>
      <c r="B24" s="180" t="s">
        <v>164</v>
      </c>
      <c r="C24" s="265" t="s">
        <v>17</v>
      </c>
      <c r="D24" s="460">
        <v>1</v>
      </c>
      <c r="E24" s="180">
        <f>VLOOKUP(B24,'Rend. Equipos'!$B$7:$E$222,4,FALSE)</f>
        <v>689222.30122796178</v>
      </c>
      <c r="F24" s="181">
        <f>VLOOKUP(B24,'Rend. Equipos'!$B$6:$L$166,MATCH($F$21,'Rend. Equipos'!$B$6:$L$6,0),0)</f>
        <v>1.3888888888888889E-3</v>
      </c>
      <c r="G24" s="182">
        <f t="shared" si="2"/>
        <v>957.25319614994692</v>
      </c>
      <c r="H24" s="162"/>
    </row>
    <row r="25" spans="1:8" ht="13" x14ac:dyDescent="0.3">
      <c r="A25" s="139"/>
      <c r="B25" s="139"/>
      <c r="C25" s="139"/>
      <c r="D25" s="139"/>
      <c r="E25" s="140"/>
      <c r="F25" s="141" t="s">
        <v>602</v>
      </c>
      <c r="G25" s="391">
        <f>SUM(G22:G24)</f>
        <v>3529.9786867371331</v>
      </c>
      <c r="H25" s="162"/>
    </row>
    <row r="26" spans="1:8" ht="13" x14ac:dyDescent="0.3">
      <c r="A26" s="122"/>
      <c r="B26" s="122"/>
      <c r="C26" s="122"/>
      <c r="D26" s="122"/>
      <c r="E26" s="143"/>
      <c r="F26" s="144" t="s">
        <v>11</v>
      </c>
      <c r="G26" s="156">
        <f>+G25/F9</f>
        <v>235.33191244914221</v>
      </c>
      <c r="H26" s="162"/>
    </row>
    <row r="27" spans="1:8" ht="13" x14ac:dyDescent="0.3">
      <c r="A27" s="128" t="s">
        <v>603</v>
      </c>
      <c r="B27" s="122"/>
      <c r="C27" s="122"/>
      <c r="D27" s="122"/>
      <c r="E27" s="122"/>
      <c r="F27" s="122"/>
      <c r="G27" s="122"/>
      <c r="H27" s="162"/>
    </row>
    <row r="28" spans="1:8" ht="13" x14ac:dyDescent="0.3">
      <c r="A28" s="133" t="s">
        <v>79</v>
      </c>
      <c r="B28" s="134" t="s">
        <v>591</v>
      </c>
      <c r="C28" s="134" t="s">
        <v>592</v>
      </c>
      <c r="D28" s="134" t="s">
        <v>593</v>
      </c>
      <c r="E28" s="134" t="s">
        <v>604</v>
      </c>
      <c r="F28" s="134"/>
      <c r="G28" s="135" t="s">
        <v>596</v>
      </c>
      <c r="H28" s="167"/>
    </row>
    <row r="29" spans="1:8" ht="13" x14ac:dyDescent="0.3">
      <c r="A29" s="175" t="s">
        <v>255</v>
      </c>
      <c r="B29" s="175" t="s">
        <v>256</v>
      </c>
      <c r="C29" s="264" t="s">
        <v>605</v>
      </c>
      <c r="D29" s="195">
        <v>1</v>
      </c>
      <c r="E29" s="175">
        <f>VLOOKUP(B29,'Mano de Obra'!$B$8:$C$100,2,FALSE)</f>
        <v>85927.097156571981</v>
      </c>
      <c r="F29" s="175"/>
      <c r="G29" s="176">
        <f>+E29*D29</f>
        <v>85927.097156571981</v>
      </c>
      <c r="H29" s="162"/>
    </row>
    <row r="30" spans="1:8" ht="13" x14ac:dyDescent="0.3">
      <c r="A30" s="180" t="s">
        <v>242</v>
      </c>
      <c r="B30" s="180" t="s">
        <v>243</v>
      </c>
      <c r="C30" s="265" t="s">
        <v>605</v>
      </c>
      <c r="D30" s="326">
        <v>1</v>
      </c>
      <c r="E30" s="180">
        <f>VLOOKUP(B30,'Mano de Obra'!$B$8:$C$100,2,FALSE)</f>
        <v>65493.071636571978</v>
      </c>
      <c r="F30" s="180"/>
      <c r="G30" s="182">
        <f>+E30*D30</f>
        <v>65493.071636571978</v>
      </c>
      <c r="H30" s="162"/>
    </row>
    <row r="31" spans="1:8" ht="13" x14ac:dyDescent="0.3">
      <c r="A31" s="139"/>
      <c r="B31" s="139"/>
      <c r="C31" s="139"/>
      <c r="D31" s="192"/>
      <c r="E31" s="140"/>
      <c r="F31" s="141" t="s">
        <v>606</v>
      </c>
      <c r="G31" s="391">
        <f>SUM(G29:G30)</f>
        <v>151420.16879314397</v>
      </c>
      <c r="H31" s="162"/>
    </row>
    <row r="32" spans="1:8" ht="13" x14ac:dyDescent="0.3">
      <c r="A32" s="122"/>
      <c r="B32" s="122"/>
      <c r="C32" s="122"/>
      <c r="D32" s="122"/>
      <c r="E32" s="360"/>
      <c r="F32" s="123" t="s">
        <v>607</v>
      </c>
      <c r="G32" s="349">
        <v>1</v>
      </c>
      <c r="H32" s="162"/>
    </row>
    <row r="33" spans="1:8" ht="13" x14ac:dyDescent="0.3">
      <c r="A33" s="122"/>
      <c r="B33" s="122"/>
      <c r="C33" s="122"/>
      <c r="D33" s="122"/>
      <c r="E33" s="360"/>
      <c r="F33" s="123" t="s">
        <v>608</v>
      </c>
      <c r="G33" s="390">
        <f>+G32*G31</f>
        <v>151420.16879314397</v>
      </c>
      <c r="H33" s="162"/>
    </row>
    <row r="34" spans="1:8" ht="13" x14ac:dyDescent="0.3">
      <c r="A34" s="122"/>
      <c r="B34" s="122"/>
      <c r="C34" s="122"/>
      <c r="D34" s="122"/>
      <c r="E34" s="143"/>
      <c r="F34" s="144" t="s">
        <v>10</v>
      </c>
      <c r="G34" s="156">
        <f>+G33/F9</f>
        <v>10094.677919542932</v>
      </c>
      <c r="H34" s="162"/>
    </row>
    <row r="35" spans="1:8" ht="13" x14ac:dyDescent="0.3">
      <c r="A35" s="122"/>
      <c r="B35" s="122"/>
      <c r="C35" s="122"/>
      <c r="D35" s="122"/>
      <c r="H35" s="162"/>
    </row>
    <row r="36" spans="1:8" ht="13" x14ac:dyDescent="0.3">
      <c r="A36" s="122"/>
      <c r="B36" s="122"/>
      <c r="C36" s="122"/>
      <c r="D36" s="122"/>
      <c r="E36" s="122"/>
      <c r="F36" s="123" t="s">
        <v>609</v>
      </c>
      <c r="G36" s="123">
        <f>+G34+G26+G19</f>
        <v>24609.317289383474</v>
      </c>
      <c r="H36" s="162"/>
    </row>
    <row r="37" spans="1:8" ht="13" x14ac:dyDescent="0.3">
      <c r="A37" s="122"/>
      <c r="B37" s="122"/>
      <c r="C37" s="122"/>
      <c r="D37" s="122"/>
      <c r="E37" s="123" t="s">
        <v>610</v>
      </c>
      <c r="F37" s="198">
        <f>+RESUMEN!$I$2</f>
        <v>0</v>
      </c>
      <c r="G37" s="130">
        <f>IF(F37=0,0,F37*G36)</f>
        <v>0</v>
      </c>
      <c r="H37" s="162"/>
    </row>
    <row r="38" spans="1:8" ht="13" x14ac:dyDescent="0.3">
      <c r="A38" s="122"/>
      <c r="B38" s="122"/>
      <c r="C38" s="122"/>
      <c r="D38" s="122"/>
      <c r="E38" s="123" t="s">
        <v>611</v>
      </c>
      <c r="F38" s="198">
        <f>+RESUMEN!$I$3</f>
        <v>0</v>
      </c>
      <c r="G38" s="130">
        <f>IF(F38=0,0,F38*G36)</f>
        <v>0</v>
      </c>
      <c r="H38" s="162"/>
    </row>
    <row r="39" spans="1:8" ht="13" x14ac:dyDescent="0.3">
      <c r="A39" s="122"/>
      <c r="B39" s="122"/>
      <c r="C39" s="122"/>
      <c r="D39" s="122"/>
      <c r="E39" s="151"/>
      <c r="F39" s="152" t="s">
        <v>612</v>
      </c>
      <c r="G39" s="389">
        <f>SUM(G36:G38)</f>
        <v>24609.317289383474</v>
      </c>
      <c r="H39" s="162"/>
    </row>
    <row r="40" spans="1:8" ht="13" x14ac:dyDescent="0.3">
      <c r="A40" s="122"/>
      <c r="B40" s="122"/>
      <c r="C40" s="122"/>
      <c r="D40" s="122"/>
      <c r="E40" s="1"/>
      <c r="F40" s="1"/>
      <c r="G40" s="1"/>
      <c r="H40" s="162"/>
    </row>
    <row r="41" spans="1:8" ht="13" x14ac:dyDescent="0.3">
      <c r="A41" s="875"/>
      <c r="B41" s="870"/>
      <c r="C41" s="122"/>
      <c r="D41" s="122"/>
      <c r="E41" s="1"/>
      <c r="F41" s="1"/>
      <c r="G41" s="1"/>
      <c r="H41" s="162"/>
    </row>
    <row r="42" spans="1:8" ht="13" x14ac:dyDescent="0.3">
      <c r="A42" s="875"/>
      <c r="B42" s="870"/>
      <c r="C42" s="122"/>
      <c r="D42" s="122"/>
      <c r="E42" s="1"/>
      <c r="F42" s="1"/>
      <c r="G42" s="1"/>
      <c r="H42" s="162"/>
    </row>
  </sheetData>
  <mergeCells count="5">
    <mergeCell ref="A1:G1"/>
    <mergeCell ref="B5:G5"/>
    <mergeCell ref="B7:G7"/>
    <mergeCell ref="A41:B41"/>
    <mergeCell ref="A42:B42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5" width="8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80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803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804</v>
      </c>
      <c r="D9" s="122"/>
      <c r="E9" s="132">
        <v>1403.3</v>
      </c>
      <c r="F9" s="185">
        <v>450</v>
      </c>
      <c r="G9" s="122" t="s">
        <v>805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 t="s">
        <v>806</v>
      </c>
      <c r="B12" s="138" t="s">
        <v>807</v>
      </c>
      <c r="C12" s="136" t="s">
        <v>522</v>
      </c>
      <c r="D12" s="186">
        <v>6.7000000000000004E-2</v>
      </c>
      <c r="E12" s="136">
        <f>VLOOKUP(B12,Materiales!$B$8:$D$118,3,FALSE)</f>
        <v>2302.02</v>
      </c>
      <c r="F12" s="136">
        <v>15</v>
      </c>
      <c r="G12" s="148">
        <f>+E12*D12*1+F12</f>
        <v>169.23534000000001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 t="s">
        <v>520</v>
      </c>
      <c r="B13" s="138" t="s">
        <v>521</v>
      </c>
      <c r="C13" s="138" t="s">
        <v>522</v>
      </c>
      <c r="D13" s="187">
        <v>1</v>
      </c>
      <c r="E13" s="138">
        <f>VLOOKUP(B13,Materiales!$B$8:$D$118,3,FALSE)</f>
        <v>1269.26</v>
      </c>
      <c r="F13" s="138">
        <v>7</v>
      </c>
      <c r="G13" s="137">
        <f>+E13*D13*1+F13</f>
        <v>1276.26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38"/>
      <c r="B14" s="138"/>
      <c r="C14" s="138"/>
      <c r="D14" s="187"/>
      <c r="E14" s="138"/>
      <c r="F14" s="138"/>
      <c r="G14" s="137"/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38"/>
      <c r="B15" s="138"/>
      <c r="C15" s="138"/>
      <c r="D15" s="155"/>
      <c r="E15" s="138"/>
      <c r="F15" s="138"/>
      <c r="G15" s="137"/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9"/>
      <c r="B16" s="139"/>
      <c r="C16" s="139"/>
      <c r="D16" s="139"/>
      <c r="E16" s="140"/>
      <c r="F16" s="141" t="s">
        <v>598</v>
      </c>
      <c r="G16" s="142">
        <f>SUM(G12:G15)</f>
        <v>1445.4953399999999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22"/>
      <c r="B17" s="122"/>
      <c r="C17" s="122"/>
      <c r="D17" s="122"/>
      <c r="E17" s="143"/>
      <c r="F17" s="144" t="s">
        <v>9</v>
      </c>
      <c r="G17" s="145">
        <f>+G16</f>
        <v>1445.4953399999999</v>
      </c>
    </row>
    <row r="18" spans="1:7" ht="13" x14ac:dyDescent="0.3">
      <c r="A18" s="128" t="s">
        <v>599</v>
      </c>
      <c r="B18" s="122"/>
      <c r="C18" s="122"/>
      <c r="D18" s="122"/>
      <c r="E18" s="122"/>
      <c r="F18" s="122"/>
      <c r="G18" s="122"/>
    </row>
    <row r="19" spans="1:7" ht="13" x14ac:dyDescent="0.3">
      <c r="A19" s="133" t="s">
        <v>79</v>
      </c>
      <c r="B19" s="134" t="s">
        <v>591</v>
      </c>
      <c r="C19" s="134"/>
      <c r="D19" s="194" t="s">
        <v>593</v>
      </c>
      <c r="E19" s="134" t="s">
        <v>600</v>
      </c>
      <c r="F19" s="134" t="s">
        <v>808</v>
      </c>
      <c r="G19" s="135" t="s">
        <v>596</v>
      </c>
    </row>
    <row r="20" spans="1:7" ht="13" x14ac:dyDescent="0.3">
      <c r="A20" s="136" t="s">
        <v>150</v>
      </c>
      <c r="B20" s="122" t="s">
        <v>809</v>
      </c>
      <c r="C20" s="146"/>
      <c r="D20" s="190">
        <v>1</v>
      </c>
      <c r="E20" s="136" t="e">
        <f>VLOOKUP(B20,'Rend. Equipos'!$B$7:$E$222,2,FALSE)</f>
        <v>#N/A</v>
      </c>
      <c r="F20" s="147">
        <v>0.02</v>
      </c>
      <c r="G20" s="137" t="e">
        <f>+E20*D20*F20</f>
        <v>#N/A</v>
      </c>
    </row>
    <row r="21" spans="1:7" ht="13" x14ac:dyDescent="0.3">
      <c r="A21" s="139"/>
      <c r="B21" s="139"/>
      <c r="C21" s="139"/>
      <c r="D21" s="192"/>
      <c r="E21" s="140"/>
      <c r="F21" s="141" t="s">
        <v>602</v>
      </c>
      <c r="G21" s="142" t="e">
        <f>SUM(G20:G20)</f>
        <v>#N/A</v>
      </c>
    </row>
    <row r="22" spans="1:7" ht="13" x14ac:dyDescent="0.3">
      <c r="A22" s="122"/>
      <c r="B22" s="122"/>
      <c r="C22" s="122"/>
      <c r="D22" s="122"/>
      <c r="E22" s="143"/>
      <c r="F22" s="144" t="s">
        <v>11</v>
      </c>
      <c r="G22" s="156" t="e">
        <f>+G21/F9</f>
        <v>#N/A</v>
      </c>
    </row>
    <row r="23" spans="1:7" ht="13" x14ac:dyDescent="0.3">
      <c r="A23" s="128" t="s">
        <v>603</v>
      </c>
      <c r="B23" s="122"/>
      <c r="C23" s="122"/>
      <c r="D23" s="122"/>
      <c r="E23" s="122"/>
      <c r="F23" s="122"/>
      <c r="G23" s="122"/>
    </row>
    <row r="24" spans="1:7" ht="13" x14ac:dyDescent="0.3">
      <c r="A24" s="133" t="s">
        <v>79</v>
      </c>
      <c r="B24" s="134" t="s">
        <v>591</v>
      </c>
      <c r="C24" s="134"/>
      <c r="D24" s="134" t="s">
        <v>593</v>
      </c>
      <c r="E24" s="134" t="s">
        <v>604</v>
      </c>
      <c r="F24" s="134"/>
      <c r="G24" s="135" t="s">
        <v>596</v>
      </c>
    </row>
    <row r="25" spans="1:7" ht="13" x14ac:dyDescent="0.3">
      <c r="A25" s="136" t="s">
        <v>255</v>
      </c>
      <c r="B25" s="122" t="s">
        <v>233</v>
      </c>
      <c r="C25" s="146"/>
      <c r="D25" s="147">
        <v>2</v>
      </c>
      <c r="E25" s="122">
        <f>VLOOKUP(B25,'Mano de Obra'!$B$8:$C$100,2,FALSE)</f>
        <v>60860.580776571966</v>
      </c>
      <c r="F25" s="146"/>
      <c r="G25" s="148">
        <f>+E25*D25</f>
        <v>121721.16155314393</v>
      </c>
    </row>
    <row r="26" spans="1:7" ht="13" x14ac:dyDescent="0.3">
      <c r="A26" s="138" t="s">
        <v>228</v>
      </c>
      <c r="B26" s="122" t="s">
        <v>246</v>
      </c>
      <c r="C26" s="149"/>
      <c r="D26" s="191">
        <v>1</v>
      </c>
      <c r="E26" s="122">
        <f>VLOOKUP(B26,'Mano de Obra'!$B$8:$C$100,2,FALSE)</f>
        <v>65493.071636571978</v>
      </c>
      <c r="F26" s="149"/>
      <c r="G26" s="137">
        <f>+E26*D26</f>
        <v>65493.071636571978</v>
      </c>
    </row>
    <row r="27" spans="1:7" ht="13" x14ac:dyDescent="0.3">
      <c r="A27" s="138" t="s">
        <v>242</v>
      </c>
      <c r="B27" s="122" t="s">
        <v>258</v>
      </c>
      <c r="C27" s="149"/>
      <c r="D27" s="191">
        <v>2</v>
      </c>
      <c r="E27" s="122">
        <f>VLOOKUP(B27,'Mano de Obra'!$B$8:$C$100,2,FALSE)</f>
        <v>85927.097156571981</v>
      </c>
      <c r="F27" s="149"/>
      <c r="G27" s="137">
        <f>+E27*D27</f>
        <v>171854.19431314396</v>
      </c>
    </row>
    <row r="28" spans="1:7" ht="13" x14ac:dyDescent="0.3">
      <c r="A28" s="139"/>
      <c r="B28" s="139"/>
      <c r="C28" s="139"/>
      <c r="D28" s="192"/>
      <c r="E28" s="151"/>
      <c r="F28" s="152" t="s">
        <v>606</v>
      </c>
      <c r="G28" s="153">
        <f>SUM(G25:G27)</f>
        <v>359068.42750285985</v>
      </c>
    </row>
    <row r="29" spans="1:7" ht="13" x14ac:dyDescent="0.3">
      <c r="A29" s="122"/>
      <c r="B29" s="122"/>
      <c r="C29" s="122"/>
      <c r="D29" s="122"/>
      <c r="E29" s="122"/>
      <c r="F29" s="123" t="s">
        <v>607</v>
      </c>
      <c r="G29" s="130">
        <v>1</v>
      </c>
    </row>
    <row r="30" spans="1:7" ht="13" x14ac:dyDescent="0.3">
      <c r="A30" s="122"/>
      <c r="B30" s="122"/>
      <c r="C30" s="122"/>
      <c r="D30" s="122"/>
      <c r="E30" s="122"/>
      <c r="F30" s="123" t="s">
        <v>608</v>
      </c>
      <c r="G30" s="130">
        <f>+G29*G28</f>
        <v>359068.42750285985</v>
      </c>
    </row>
    <row r="31" spans="1:7" ht="13" x14ac:dyDescent="0.3">
      <c r="A31" s="122"/>
      <c r="B31" s="122"/>
      <c r="C31" s="122"/>
      <c r="D31" s="122"/>
      <c r="E31" s="122"/>
      <c r="F31" s="123" t="s">
        <v>10</v>
      </c>
      <c r="G31" s="130">
        <f>+G30/F9</f>
        <v>797.92983889524407</v>
      </c>
    </row>
    <row r="32" spans="1:7" ht="13" x14ac:dyDescent="0.3">
      <c r="A32" s="122"/>
      <c r="B32" s="122"/>
      <c r="C32" s="122"/>
      <c r="D32" s="122"/>
      <c r="E32" s="122"/>
      <c r="F32" s="123" t="s">
        <v>609</v>
      </c>
      <c r="G32" s="130" t="e">
        <f>+G31+G22+G17</f>
        <v>#N/A</v>
      </c>
    </row>
    <row r="33" spans="4:7" ht="13" x14ac:dyDescent="0.3">
      <c r="D33" s="122"/>
      <c r="E33" s="123" t="s">
        <v>610</v>
      </c>
      <c r="F33" s="198">
        <f>+RESUMEN!$I$2</f>
        <v>0</v>
      </c>
      <c r="G33" s="130">
        <f>IF(F33=0,0,F33*G32)</f>
        <v>0</v>
      </c>
    </row>
    <row r="34" spans="4:7" ht="13" x14ac:dyDescent="0.3">
      <c r="D34" s="122"/>
      <c r="E34" s="123" t="s">
        <v>611</v>
      </c>
      <c r="F34" s="198">
        <f>+RESUMEN!$I$3</f>
        <v>0</v>
      </c>
      <c r="G34" s="130">
        <f>IF(F34=0,0,F34*G32)</f>
        <v>0</v>
      </c>
    </row>
    <row r="35" spans="4:7" ht="13" x14ac:dyDescent="0.3">
      <c r="D35" s="122"/>
      <c r="E35" s="151"/>
      <c r="F35" s="152" t="s">
        <v>612</v>
      </c>
      <c r="G35" s="154" t="e">
        <f>SUM(G32:G34)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5" bestFit="1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81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810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804</v>
      </c>
      <c r="D9" s="122"/>
      <c r="E9" s="132">
        <v>2140</v>
      </c>
      <c r="F9" s="185">
        <v>380</v>
      </c>
      <c r="G9" s="122" t="s">
        <v>805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 t="s">
        <v>806</v>
      </c>
      <c r="B12" s="138" t="s">
        <v>807</v>
      </c>
      <c r="C12" s="136" t="s">
        <v>522</v>
      </c>
      <c r="D12" s="186">
        <v>6.7000000000000004E-2</v>
      </c>
      <c r="E12" s="136">
        <f>VLOOKUP(B12,Materiales!$B$8:$D$118,3,FALSE)</f>
        <v>2302.02</v>
      </c>
      <c r="F12" s="136">
        <v>15</v>
      </c>
      <c r="G12" s="148">
        <f>+E12*D12*1+F12</f>
        <v>169.23534000000001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 t="s">
        <v>520</v>
      </c>
      <c r="B13" s="138" t="s">
        <v>521</v>
      </c>
      <c r="C13" s="138" t="s">
        <v>522</v>
      </c>
      <c r="D13" s="187">
        <v>1</v>
      </c>
      <c r="E13" s="138">
        <f>VLOOKUP(B13,Materiales!$B$8:$D$118,3,FALSE)</f>
        <v>1269.26</v>
      </c>
      <c r="F13" s="138">
        <v>7</v>
      </c>
      <c r="G13" s="137">
        <f>+E13*D13*1+F13</f>
        <v>1276.26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38"/>
      <c r="B14" s="138"/>
      <c r="C14" s="138"/>
      <c r="D14" s="187"/>
      <c r="E14" s="138"/>
      <c r="F14" s="138"/>
      <c r="G14" s="137"/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38"/>
      <c r="B15" s="138"/>
      <c r="C15" s="138"/>
      <c r="D15" s="155"/>
      <c r="E15" s="138"/>
      <c r="F15" s="138"/>
      <c r="G15" s="137"/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9"/>
      <c r="B16" s="139"/>
      <c r="C16" s="139"/>
      <c r="D16" s="139"/>
      <c r="E16" s="140"/>
      <c r="F16" s="141" t="s">
        <v>598</v>
      </c>
      <c r="G16" s="142">
        <f>SUM(G12:G15)</f>
        <v>1445.4953399999999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22"/>
      <c r="B17" s="122"/>
      <c r="C17" s="122"/>
      <c r="D17" s="122"/>
      <c r="E17" s="143"/>
      <c r="F17" s="144" t="s">
        <v>9</v>
      </c>
      <c r="G17" s="145">
        <f>+G16</f>
        <v>1445.4953399999999</v>
      </c>
    </row>
    <row r="18" spans="1:7" ht="13" x14ac:dyDescent="0.3">
      <c r="A18" s="128" t="s">
        <v>599</v>
      </c>
      <c r="B18" s="122"/>
      <c r="C18" s="122"/>
      <c r="D18" s="122"/>
      <c r="E18" s="122"/>
      <c r="F18" s="122"/>
      <c r="G18" s="122"/>
    </row>
    <row r="19" spans="1:7" ht="13" x14ac:dyDescent="0.3">
      <c r="A19" s="133" t="s">
        <v>79</v>
      </c>
      <c r="B19" s="134" t="s">
        <v>591</v>
      </c>
      <c r="C19" s="134"/>
      <c r="D19" s="194" t="s">
        <v>593</v>
      </c>
      <c r="E19" s="134" t="s">
        <v>600</v>
      </c>
      <c r="F19" s="134" t="s">
        <v>808</v>
      </c>
      <c r="G19" s="135" t="s">
        <v>596</v>
      </c>
    </row>
    <row r="20" spans="1:7" ht="13" x14ac:dyDescent="0.3">
      <c r="A20" s="136" t="s">
        <v>150</v>
      </c>
      <c r="B20" s="122" t="s">
        <v>809</v>
      </c>
      <c r="C20" s="146"/>
      <c r="D20" s="190">
        <v>1</v>
      </c>
      <c r="E20" s="136" t="e">
        <f>VLOOKUP(B20,'Rend. Equipos'!$B$7:$E$222,2,FALSE)</f>
        <v>#N/A</v>
      </c>
      <c r="F20" s="147">
        <v>0.02</v>
      </c>
      <c r="G20" s="137" t="e">
        <f>+E20*D20*F20</f>
        <v>#N/A</v>
      </c>
    </row>
    <row r="21" spans="1:7" ht="13" x14ac:dyDescent="0.3">
      <c r="A21" s="139"/>
      <c r="B21" s="139"/>
      <c r="C21" s="139"/>
      <c r="D21" s="192"/>
      <c r="E21" s="140"/>
      <c r="F21" s="141" t="s">
        <v>602</v>
      </c>
      <c r="G21" s="142" t="e">
        <f>SUM(G20:G20)</f>
        <v>#N/A</v>
      </c>
    </row>
    <row r="22" spans="1:7" ht="13" x14ac:dyDescent="0.3">
      <c r="A22" s="122"/>
      <c r="B22" s="122"/>
      <c r="C22" s="122"/>
      <c r="D22" s="122"/>
      <c r="E22" s="143"/>
      <c r="F22" s="144" t="s">
        <v>11</v>
      </c>
      <c r="G22" s="156" t="e">
        <f>+G21/F9</f>
        <v>#N/A</v>
      </c>
    </row>
    <row r="23" spans="1:7" ht="13" x14ac:dyDescent="0.3">
      <c r="A23" s="128" t="s">
        <v>603</v>
      </c>
      <c r="B23" s="122"/>
      <c r="C23" s="122"/>
      <c r="D23" s="122"/>
      <c r="E23" s="122"/>
      <c r="F23" s="122"/>
      <c r="G23" s="122"/>
    </row>
    <row r="24" spans="1:7" ht="13" x14ac:dyDescent="0.3">
      <c r="A24" s="133" t="s">
        <v>79</v>
      </c>
      <c r="B24" s="134" t="s">
        <v>591</v>
      </c>
      <c r="C24" s="134"/>
      <c r="D24" s="134" t="s">
        <v>593</v>
      </c>
      <c r="E24" s="134" t="s">
        <v>604</v>
      </c>
      <c r="F24" s="134"/>
      <c r="G24" s="135" t="s">
        <v>596</v>
      </c>
    </row>
    <row r="25" spans="1:7" ht="13" x14ac:dyDescent="0.3">
      <c r="A25" s="136" t="s">
        <v>255</v>
      </c>
      <c r="B25" s="122" t="s">
        <v>233</v>
      </c>
      <c r="C25" s="146"/>
      <c r="D25" s="147">
        <v>2</v>
      </c>
      <c r="E25" s="122">
        <f>VLOOKUP(B25,'Mano de Obra'!$B$8:$C$100,2,FALSE)</f>
        <v>60860.580776571966</v>
      </c>
      <c r="F25" s="146"/>
      <c r="G25" s="148">
        <f>+E25*D25</f>
        <v>121721.16155314393</v>
      </c>
    </row>
    <row r="26" spans="1:7" ht="13" x14ac:dyDescent="0.3">
      <c r="A26" s="138" t="s">
        <v>228</v>
      </c>
      <c r="B26" s="122" t="s">
        <v>246</v>
      </c>
      <c r="C26" s="149"/>
      <c r="D26" s="191">
        <v>1</v>
      </c>
      <c r="E26" s="122">
        <f>VLOOKUP(B26,'Mano de Obra'!$B$8:$C$100,2,FALSE)</f>
        <v>65493.071636571978</v>
      </c>
      <c r="F26" s="149"/>
      <c r="G26" s="137">
        <f>+E26*D26</f>
        <v>65493.071636571978</v>
      </c>
    </row>
    <row r="27" spans="1:7" ht="13" x14ac:dyDescent="0.3">
      <c r="A27" s="138" t="s">
        <v>242</v>
      </c>
      <c r="B27" s="122" t="s">
        <v>258</v>
      </c>
      <c r="C27" s="149"/>
      <c r="D27" s="191">
        <v>2</v>
      </c>
      <c r="E27" s="122">
        <f>VLOOKUP(B27,'Mano de Obra'!$B$8:$C$100,2,FALSE)</f>
        <v>85927.097156571981</v>
      </c>
      <c r="F27" s="149"/>
      <c r="G27" s="137">
        <f>+E27*D27</f>
        <v>171854.19431314396</v>
      </c>
    </row>
    <row r="28" spans="1:7" ht="13" x14ac:dyDescent="0.3">
      <c r="A28" s="139"/>
      <c r="B28" s="139"/>
      <c r="C28" s="139"/>
      <c r="D28" s="192"/>
      <c r="E28" s="151"/>
      <c r="F28" s="152" t="s">
        <v>606</v>
      </c>
      <c r="G28" s="153">
        <f>SUM(G25:G27)</f>
        <v>359068.42750285985</v>
      </c>
    </row>
    <row r="29" spans="1:7" ht="13" x14ac:dyDescent="0.3">
      <c r="A29" s="122"/>
      <c r="B29" s="122"/>
      <c r="C29" s="122"/>
      <c r="D29" s="122"/>
      <c r="E29" s="122"/>
      <c r="F29" s="123" t="s">
        <v>607</v>
      </c>
      <c r="G29" s="130">
        <v>1</v>
      </c>
    </row>
    <row r="30" spans="1:7" ht="13" x14ac:dyDescent="0.3">
      <c r="A30" s="122"/>
      <c r="B30" s="122"/>
      <c r="C30" s="122"/>
      <c r="D30" s="122"/>
      <c r="E30" s="122"/>
      <c r="F30" s="123" t="s">
        <v>608</v>
      </c>
      <c r="G30" s="130">
        <f>+G29*G28</f>
        <v>359068.42750285985</v>
      </c>
    </row>
    <row r="31" spans="1:7" ht="13" x14ac:dyDescent="0.3">
      <c r="A31" s="122"/>
      <c r="B31" s="122"/>
      <c r="C31" s="122"/>
      <c r="D31" s="122"/>
      <c r="E31" s="122"/>
      <c r="F31" s="123" t="s">
        <v>10</v>
      </c>
      <c r="G31" s="130">
        <f>+G30/F9</f>
        <v>944.91691448121014</v>
      </c>
    </row>
    <row r="32" spans="1:7" ht="13" x14ac:dyDescent="0.3">
      <c r="A32" s="122"/>
      <c r="B32" s="122"/>
      <c r="C32" s="122"/>
      <c r="D32" s="122"/>
      <c r="E32" s="122"/>
      <c r="F32" s="123" t="s">
        <v>609</v>
      </c>
      <c r="G32" s="130" t="e">
        <f>+G31+G22+G17</f>
        <v>#N/A</v>
      </c>
    </row>
    <row r="33" spans="4:7" ht="13" x14ac:dyDescent="0.3">
      <c r="D33" s="122"/>
      <c r="E33" s="123" t="s">
        <v>610</v>
      </c>
      <c r="F33" s="198">
        <f>+RESUMEN!$I$2</f>
        <v>0</v>
      </c>
      <c r="G33" s="130">
        <f>IF(F33=0,0,F33*G32)</f>
        <v>0</v>
      </c>
    </row>
    <row r="34" spans="4:7" ht="13" x14ac:dyDescent="0.3">
      <c r="D34" s="122"/>
      <c r="E34" s="123" t="s">
        <v>611</v>
      </c>
      <c r="F34" s="198">
        <f>+RESUMEN!$I$3</f>
        <v>0</v>
      </c>
      <c r="G34" s="130">
        <f>IF(F34=0,0,F34*G32)</f>
        <v>0</v>
      </c>
    </row>
    <row r="35" spans="4:7" ht="13" x14ac:dyDescent="0.3">
      <c r="D35" s="122"/>
      <c r="E35" s="151"/>
      <c r="F35" s="152" t="s">
        <v>612</v>
      </c>
      <c r="G35" s="154" t="e">
        <f>SUM(G32:G34)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5" bestFit="1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82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811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804</v>
      </c>
      <c r="D9" s="122"/>
      <c r="E9" s="132">
        <v>5769.2</v>
      </c>
      <c r="F9" s="185">
        <v>420</v>
      </c>
      <c r="G9" s="122" t="s">
        <v>805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 t="s">
        <v>806</v>
      </c>
      <c r="B12" s="138" t="s">
        <v>807</v>
      </c>
      <c r="C12" s="136" t="s">
        <v>522</v>
      </c>
      <c r="D12" s="186">
        <v>6.7000000000000004E-2</v>
      </c>
      <c r="E12" s="136">
        <f>VLOOKUP(B12,Materiales!$B$8:$D$118,3,FALSE)</f>
        <v>2302.02</v>
      </c>
      <c r="F12" s="136">
        <v>15</v>
      </c>
      <c r="G12" s="148">
        <f>+E12*D12*1+F12</f>
        <v>169.23534000000001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 t="s">
        <v>520</v>
      </c>
      <c r="B13" s="138" t="s">
        <v>521</v>
      </c>
      <c r="C13" s="138" t="s">
        <v>522</v>
      </c>
      <c r="D13" s="187">
        <v>1</v>
      </c>
      <c r="E13" s="138">
        <f>VLOOKUP(B13,Materiales!$B$8:$D$118,3,FALSE)</f>
        <v>1269.26</v>
      </c>
      <c r="F13" s="138">
        <v>7</v>
      </c>
      <c r="G13" s="137">
        <f>+E13*D13*1+F13</f>
        <v>1276.26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38"/>
      <c r="B14" s="138"/>
      <c r="C14" s="138"/>
      <c r="D14" s="187"/>
      <c r="E14" s="138"/>
      <c r="F14" s="138"/>
      <c r="G14" s="137"/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38"/>
      <c r="B15" s="138"/>
      <c r="C15" s="138"/>
      <c r="D15" s="155"/>
      <c r="E15" s="138"/>
      <c r="F15" s="138"/>
      <c r="G15" s="137"/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9"/>
      <c r="B16" s="139"/>
      <c r="C16" s="139"/>
      <c r="D16" s="139"/>
      <c r="E16" s="140"/>
      <c r="F16" s="141" t="s">
        <v>598</v>
      </c>
      <c r="G16" s="142">
        <f>SUM(G12:G15)</f>
        <v>1445.4953399999999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22"/>
      <c r="B17" s="122"/>
      <c r="C17" s="122"/>
      <c r="D17" s="122"/>
      <c r="E17" s="143"/>
      <c r="F17" s="144" t="s">
        <v>9</v>
      </c>
      <c r="G17" s="145">
        <f>+G16</f>
        <v>1445.4953399999999</v>
      </c>
    </row>
    <row r="18" spans="1:7" ht="13" x14ac:dyDescent="0.3">
      <c r="A18" s="128" t="s">
        <v>599</v>
      </c>
      <c r="B18" s="122"/>
      <c r="C18" s="122"/>
      <c r="D18" s="122"/>
      <c r="E18" s="122"/>
      <c r="F18" s="122"/>
      <c r="G18" s="122"/>
    </row>
    <row r="19" spans="1:7" ht="13" x14ac:dyDescent="0.3">
      <c r="A19" s="133" t="s">
        <v>79</v>
      </c>
      <c r="B19" s="134" t="s">
        <v>591</v>
      </c>
      <c r="C19" s="134"/>
      <c r="D19" s="194" t="s">
        <v>593</v>
      </c>
      <c r="E19" s="134" t="s">
        <v>600</v>
      </c>
      <c r="F19" s="134" t="s">
        <v>808</v>
      </c>
      <c r="G19" s="135" t="s">
        <v>596</v>
      </c>
    </row>
    <row r="20" spans="1:7" ht="13" x14ac:dyDescent="0.3">
      <c r="A20" s="136" t="s">
        <v>150</v>
      </c>
      <c r="B20" s="122" t="s">
        <v>809</v>
      </c>
      <c r="C20" s="146"/>
      <c r="D20" s="190">
        <v>1</v>
      </c>
      <c r="E20" s="136" t="e">
        <f>VLOOKUP(B20,'Rend. Equipos'!$B$7:$E$222,2,FALSE)</f>
        <v>#N/A</v>
      </c>
      <c r="F20" s="147">
        <v>0.02</v>
      </c>
      <c r="G20" s="137" t="e">
        <f>+E20*D20*F20</f>
        <v>#N/A</v>
      </c>
    </row>
    <row r="21" spans="1:7" ht="13" x14ac:dyDescent="0.3">
      <c r="A21" s="139"/>
      <c r="B21" s="139"/>
      <c r="C21" s="139"/>
      <c r="D21" s="192"/>
      <c r="E21" s="140"/>
      <c r="F21" s="141" t="s">
        <v>602</v>
      </c>
      <c r="G21" s="142" t="e">
        <f>SUM(G20:G20)</f>
        <v>#N/A</v>
      </c>
    </row>
    <row r="22" spans="1:7" ht="13" x14ac:dyDescent="0.3">
      <c r="A22" s="122"/>
      <c r="B22" s="122"/>
      <c r="C22" s="122"/>
      <c r="D22" s="122"/>
      <c r="E22" s="143"/>
      <c r="F22" s="144" t="s">
        <v>11</v>
      </c>
      <c r="G22" s="156" t="e">
        <f>+G21/F9</f>
        <v>#N/A</v>
      </c>
    </row>
    <row r="23" spans="1:7" ht="13" x14ac:dyDescent="0.3">
      <c r="A23" s="128" t="s">
        <v>603</v>
      </c>
      <c r="B23" s="122"/>
      <c r="C23" s="122"/>
      <c r="D23" s="122"/>
      <c r="E23" s="122"/>
      <c r="F23" s="122"/>
      <c r="G23" s="122"/>
    </row>
    <row r="24" spans="1:7" ht="13" x14ac:dyDescent="0.3">
      <c r="A24" s="133" t="s">
        <v>79</v>
      </c>
      <c r="B24" s="134" t="s">
        <v>591</v>
      </c>
      <c r="C24" s="134"/>
      <c r="D24" s="134" t="s">
        <v>593</v>
      </c>
      <c r="E24" s="134" t="s">
        <v>604</v>
      </c>
      <c r="F24" s="134"/>
      <c r="G24" s="135" t="s">
        <v>596</v>
      </c>
    </row>
    <row r="25" spans="1:7" ht="13" x14ac:dyDescent="0.3">
      <c r="A25" s="136" t="s">
        <v>255</v>
      </c>
      <c r="B25" s="122" t="s">
        <v>233</v>
      </c>
      <c r="C25" s="146"/>
      <c r="D25" s="147">
        <v>2</v>
      </c>
      <c r="E25" s="122">
        <f>VLOOKUP(B25,'Mano de Obra'!$B$8:$C$100,2,FALSE)</f>
        <v>60860.580776571966</v>
      </c>
      <c r="F25" s="146"/>
      <c r="G25" s="148">
        <f>+E25*D25</f>
        <v>121721.16155314393</v>
      </c>
    </row>
    <row r="26" spans="1:7" ht="13" x14ac:dyDescent="0.3">
      <c r="A26" s="138" t="s">
        <v>228</v>
      </c>
      <c r="B26" s="122" t="s">
        <v>246</v>
      </c>
      <c r="C26" s="149"/>
      <c r="D26" s="191">
        <v>1</v>
      </c>
      <c r="E26" s="122">
        <f>VLOOKUP(B26,'Mano de Obra'!$B$8:$C$100,2,FALSE)</f>
        <v>65493.071636571978</v>
      </c>
      <c r="F26" s="149"/>
      <c r="G26" s="137">
        <f>+E26*D26</f>
        <v>65493.071636571978</v>
      </c>
    </row>
    <row r="27" spans="1:7" ht="13" x14ac:dyDescent="0.3">
      <c r="A27" s="138" t="s">
        <v>242</v>
      </c>
      <c r="B27" s="122" t="s">
        <v>258</v>
      </c>
      <c r="C27" s="149"/>
      <c r="D27" s="191">
        <v>2</v>
      </c>
      <c r="E27" s="122">
        <f>VLOOKUP(B27,'Mano de Obra'!$B$8:$C$100,2,FALSE)</f>
        <v>85927.097156571981</v>
      </c>
      <c r="F27" s="149"/>
      <c r="G27" s="137">
        <f>+E27*D27</f>
        <v>171854.19431314396</v>
      </c>
    </row>
    <row r="28" spans="1:7" ht="13" x14ac:dyDescent="0.3">
      <c r="A28" s="139"/>
      <c r="B28" s="139"/>
      <c r="C28" s="139"/>
      <c r="D28" s="192"/>
      <c r="E28" s="151"/>
      <c r="F28" s="152" t="s">
        <v>606</v>
      </c>
      <c r="G28" s="153">
        <f>SUM(G25:G27)</f>
        <v>359068.42750285985</v>
      </c>
    </row>
    <row r="29" spans="1:7" ht="13" x14ac:dyDescent="0.3">
      <c r="A29" s="122"/>
      <c r="B29" s="122"/>
      <c r="C29" s="122"/>
      <c r="D29" s="122"/>
      <c r="E29" s="122"/>
      <c r="F29" s="123" t="s">
        <v>607</v>
      </c>
      <c r="G29" s="130">
        <v>1</v>
      </c>
    </row>
    <row r="30" spans="1:7" ht="13" x14ac:dyDescent="0.3">
      <c r="A30" s="122"/>
      <c r="B30" s="122"/>
      <c r="C30" s="122"/>
      <c r="D30" s="122"/>
      <c r="E30" s="122"/>
      <c r="F30" s="123" t="s">
        <v>608</v>
      </c>
      <c r="G30" s="130">
        <f>+G29*G28</f>
        <v>359068.42750285985</v>
      </c>
    </row>
    <row r="31" spans="1:7" ht="13" x14ac:dyDescent="0.3">
      <c r="A31" s="122"/>
      <c r="B31" s="122"/>
      <c r="C31" s="122"/>
      <c r="D31" s="122"/>
      <c r="E31" s="122"/>
      <c r="F31" s="123" t="s">
        <v>10</v>
      </c>
      <c r="G31" s="130">
        <f>+G30/F9</f>
        <v>854.92482738776152</v>
      </c>
    </row>
    <row r="32" spans="1:7" ht="13" x14ac:dyDescent="0.3">
      <c r="A32" s="122"/>
      <c r="B32" s="122"/>
      <c r="C32" s="122"/>
      <c r="D32" s="122"/>
      <c r="E32" s="122"/>
      <c r="F32" s="123" t="s">
        <v>609</v>
      </c>
      <c r="G32" s="130" t="e">
        <f>+G31+G22+G17</f>
        <v>#N/A</v>
      </c>
    </row>
    <row r="33" spans="4:7" ht="13" x14ac:dyDescent="0.3">
      <c r="D33" s="122"/>
      <c r="E33" s="123" t="s">
        <v>610</v>
      </c>
      <c r="F33" s="198">
        <f>+RESUMEN!$I$2</f>
        <v>0</v>
      </c>
      <c r="G33" s="130">
        <f>IF(F33=0,0,F33*G32)</f>
        <v>0</v>
      </c>
    </row>
    <row r="34" spans="4:7" ht="13" x14ac:dyDescent="0.3">
      <c r="D34" s="122"/>
      <c r="E34" s="123" t="s">
        <v>611</v>
      </c>
      <c r="F34" s="198">
        <f>+RESUMEN!$I$3</f>
        <v>0</v>
      </c>
      <c r="G34" s="130">
        <f>IF(F34=0,0,F34*G32)</f>
        <v>0</v>
      </c>
    </row>
    <row r="35" spans="4:7" ht="13" x14ac:dyDescent="0.3">
      <c r="D35" s="122"/>
      <c r="E35" s="151"/>
      <c r="F35" s="152" t="s">
        <v>612</v>
      </c>
      <c r="G35" s="154" t="e">
        <f>SUM(G32:G34)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5" bestFit="1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83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812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804</v>
      </c>
      <c r="D9" s="122"/>
      <c r="E9" s="132">
        <v>8219.1</v>
      </c>
      <c r="F9" s="185">
        <v>400</v>
      </c>
      <c r="G9" s="122" t="s">
        <v>805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 t="s">
        <v>806</v>
      </c>
      <c r="B12" s="138" t="s">
        <v>807</v>
      </c>
      <c r="C12" s="136" t="s">
        <v>522</v>
      </c>
      <c r="D12" s="186">
        <v>6.7000000000000004E-2</v>
      </c>
      <c r="E12" s="136">
        <f>VLOOKUP(B12,Materiales!$B$8:$D$118,3,FALSE)</f>
        <v>2302.02</v>
      </c>
      <c r="F12" s="136">
        <v>15</v>
      </c>
      <c r="G12" s="148">
        <f>+E12*D12*1+F12</f>
        <v>169.23534000000001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 t="s">
        <v>520</v>
      </c>
      <c r="B13" s="138" t="s">
        <v>521</v>
      </c>
      <c r="C13" s="138" t="s">
        <v>522</v>
      </c>
      <c r="D13" s="187">
        <v>1</v>
      </c>
      <c r="E13" s="138">
        <f>VLOOKUP(B13,Materiales!$B$8:$D$118,3,FALSE)</f>
        <v>1269.26</v>
      </c>
      <c r="F13" s="138">
        <v>7</v>
      </c>
      <c r="G13" s="137">
        <f>+E13*D13*1+F13</f>
        <v>1276.26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38"/>
      <c r="B14" s="138"/>
      <c r="C14" s="138"/>
      <c r="D14" s="187"/>
      <c r="E14" s="138"/>
      <c r="F14" s="138"/>
      <c r="G14" s="137"/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38"/>
      <c r="B15" s="138"/>
      <c r="C15" s="138"/>
      <c r="D15" s="155"/>
      <c r="E15" s="138"/>
      <c r="F15" s="138"/>
      <c r="G15" s="137"/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9"/>
      <c r="B16" s="139"/>
      <c r="C16" s="139"/>
      <c r="D16" s="139"/>
      <c r="E16" s="140"/>
      <c r="F16" s="141" t="s">
        <v>598</v>
      </c>
      <c r="G16" s="142">
        <f>SUM(G12:G15)</f>
        <v>1445.4953399999999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22"/>
      <c r="B17" s="122"/>
      <c r="C17" s="122"/>
      <c r="D17" s="122"/>
      <c r="E17" s="143"/>
      <c r="F17" s="144" t="s">
        <v>9</v>
      </c>
      <c r="G17" s="145">
        <f>+G16</f>
        <v>1445.4953399999999</v>
      </c>
    </row>
    <row r="18" spans="1:7" ht="13" x14ac:dyDescent="0.3">
      <c r="A18" s="128" t="s">
        <v>599</v>
      </c>
      <c r="B18" s="122"/>
      <c r="C18" s="122"/>
      <c r="D18" s="122"/>
      <c r="E18" s="122"/>
      <c r="F18" s="122"/>
      <c r="G18" s="122"/>
    </row>
    <row r="19" spans="1:7" ht="13" x14ac:dyDescent="0.3">
      <c r="A19" s="133" t="s">
        <v>79</v>
      </c>
      <c r="B19" s="134" t="s">
        <v>591</v>
      </c>
      <c r="C19" s="134"/>
      <c r="D19" s="194" t="s">
        <v>593</v>
      </c>
      <c r="E19" s="134" t="s">
        <v>600</v>
      </c>
      <c r="F19" s="134" t="s">
        <v>808</v>
      </c>
      <c r="G19" s="135" t="s">
        <v>596</v>
      </c>
    </row>
    <row r="20" spans="1:7" ht="13" x14ac:dyDescent="0.3">
      <c r="A20" s="136" t="s">
        <v>150</v>
      </c>
      <c r="B20" s="122" t="s">
        <v>809</v>
      </c>
      <c r="C20" s="146"/>
      <c r="D20" s="190">
        <v>1</v>
      </c>
      <c r="E20" s="136" t="e">
        <f>VLOOKUP(B20,'Rend. Equipos'!$B$7:$E$222,2,FALSE)</f>
        <v>#N/A</v>
      </c>
      <c r="F20" s="147">
        <v>0.02</v>
      </c>
      <c r="G20" s="137" t="e">
        <f>+E20*D20*F20</f>
        <v>#N/A</v>
      </c>
    </row>
    <row r="21" spans="1:7" ht="13" x14ac:dyDescent="0.3">
      <c r="A21" s="139"/>
      <c r="B21" s="139"/>
      <c r="C21" s="139"/>
      <c r="D21" s="192"/>
      <c r="E21" s="140"/>
      <c r="F21" s="141" t="s">
        <v>602</v>
      </c>
      <c r="G21" s="142" t="e">
        <f>SUM(G20:G20)</f>
        <v>#N/A</v>
      </c>
    </row>
    <row r="22" spans="1:7" ht="13" x14ac:dyDescent="0.3">
      <c r="A22" s="122"/>
      <c r="B22" s="122"/>
      <c r="C22" s="122"/>
      <c r="D22" s="122"/>
      <c r="E22" s="143"/>
      <c r="F22" s="144" t="s">
        <v>11</v>
      </c>
      <c r="G22" s="156" t="e">
        <f>+G21/F9</f>
        <v>#N/A</v>
      </c>
    </row>
    <row r="23" spans="1:7" ht="13" x14ac:dyDescent="0.3">
      <c r="A23" s="128" t="s">
        <v>603</v>
      </c>
      <c r="B23" s="122"/>
      <c r="C23" s="122"/>
      <c r="D23" s="122"/>
      <c r="E23" s="122"/>
      <c r="F23" s="122"/>
      <c r="G23" s="122"/>
    </row>
    <row r="24" spans="1:7" ht="13" x14ac:dyDescent="0.3">
      <c r="A24" s="133" t="s">
        <v>79</v>
      </c>
      <c r="B24" s="134" t="s">
        <v>591</v>
      </c>
      <c r="C24" s="134"/>
      <c r="D24" s="134" t="s">
        <v>593</v>
      </c>
      <c r="E24" s="134" t="s">
        <v>604</v>
      </c>
      <c r="F24" s="134"/>
      <c r="G24" s="135" t="s">
        <v>596</v>
      </c>
    </row>
    <row r="25" spans="1:7" ht="13" x14ac:dyDescent="0.3">
      <c r="A25" s="136" t="s">
        <v>255</v>
      </c>
      <c r="B25" s="122" t="s">
        <v>233</v>
      </c>
      <c r="C25" s="146"/>
      <c r="D25" s="147">
        <v>2</v>
      </c>
      <c r="E25" s="122">
        <f>VLOOKUP(B25,'Mano de Obra'!$B$8:$C$100,2,FALSE)</f>
        <v>60860.580776571966</v>
      </c>
      <c r="F25" s="146"/>
      <c r="G25" s="148">
        <f>+E25*D25</f>
        <v>121721.16155314393</v>
      </c>
    </row>
    <row r="26" spans="1:7" ht="13" x14ac:dyDescent="0.3">
      <c r="A26" s="138" t="s">
        <v>228</v>
      </c>
      <c r="B26" s="122" t="s">
        <v>246</v>
      </c>
      <c r="C26" s="149"/>
      <c r="D26" s="191">
        <v>1</v>
      </c>
      <c r="E26" s="122">
        <f>VLOOKUP(B26,'Mano de Obra'!$B$8:$C$100,2,FALSE)</f>
        <v>65493.071636571978</v>
      </c>
      <c r="F26" s="149"/>
      <c r="G26" s="137">
        <f>+E26*D26</f>
        <v>65493.071636571978</v>
      </c>
    </row>
    <row r="27" spans="1:7" ht="13" x14ac:dyDescent="0.3">
      <c r="A27" s="138" t="s">
        <v>242</v>
      </c>
      <c r="B27" s="122" t="s">
        <v>258</v>
      </c>
      <c r="C27" s="149"/>
      <c r="D27" s="191">
        <v>2</v>
      </c>
      <c r="E27" s="122">
        <f>VLOOKUP(B27,'Mano de Obra'!$B$8:$C$100,2,FALSE)</f>
        <v>85927.097156571981</v>
      </c>
      <c r="F27" s="149"/>
      <c r="G27" s="137">
        <f>+E27*D27</f>
        <v>171854.19431314396</v>
      </c>
    </row>
    <row r="28" spans="1:7" ht="13" x14ac:dyDescent="0.3">
      <c r="A28" s="139"/>
      <c r="B28" s="139"/>
      <c r="C28" s="139"/>
      <c r="D28" s="192"/>
      <c r="E28" s="151"/>
      <c r="F28" s="152" t="s">
        <v>606</v>
      </c>
      <c r="G28" s="153">
        <f>SUM(G25:G27)</f>
        <v>359068.42750285985</v>
      </c>
    </row>
    <row r="29" spans="1:7" ht="13" x14ac:dyDescent="0.3">
      <c r="A29" s="122"/>
      <c r="B29" s="122"/>
      <c r="C29" s="122"/>
      <c r="D29" s="122"/>
      <c r="E29" s="122"/>
      <c r="F29" s="123" t="s">
        <v>607</v>
      </c>
      <c r="G29" s="130">
        <v>1</v>
      </c>
    </row>
    <row r="30" spans="1:7" ht="13" x14ac:dyDescent="0.3">
      <c r="A30" s="122"/>
      <c r="B30" s="122"/>
      <c r="C30" s="122"/>
      <c r="D30" s="122"/>
      <c r="E30" s="122"/>
      <c r="F30" s="123" t="s">
        <v>608</v>
      </c>
      <c r="G30" s="130">
        <f>+G29*G28</f>
        <v>359068.42750285985</v>
      </c>
    </row>
    <row r="31" spans="1:7" ht="13" x14ac:dyDescent="0.3">
      <c r="A31" s="122"/>
      <c r="B31" s="122"/>
      <c r="C31" s="122"/>
      <c r="D31" s="122"/>
      <c r="E31" s="122"/>
      <c r="F31" s="123" t="s">
        <v>10</v>
      </c>
      <c r="G31" s="130">
        <f>+G30/F9</f>
        <v>897.67106875714967</v>
      </c>
    </row>
    <row r="32" spans="1:7" ht="13" x14ac:dyDescent="0.3">
      <c r="A32" s="122"/>
      <c r="B32" s="122"/>
      <c r="C32" s="122"/>
      <c r="D32" s="122"/>
      <c r="E32" s="122"/>
      <c r="F32" s="123" t="s">
        <v>609</v>
      </c>
      <c r="G32" s="130" t="e">
        <f>+G31+G22+G17</f>
        <v>#N/A</v>
      </c>
    </row>
    <row r="33" spans="1:7" ht="13" x14ac:dyDescent="0.3">
      <c r="A33" s="122"/>
      <c r="B33" s="122"/>
      <c r="C33" s="122"/>
      <c r="D33" s="122"/>
      <c r="E33" s="123" t="s">
        <v>610</v>
      </c>
      <c r="F33" s="198">
        <f>+RESUMEN!$I$2</f>
        <v>0</v>
      </c>
      <c r="G33" s="130">
        <f>IF(F33=0,0,F33*G32)</f>
        <v>0</v>
      </c>
    </row>
    <row r="34" spans="1:7" ht="13" x14ac:dyDescent="0.3">
      <c r="A34" s="122"/>
      <c r="B34" s="122"/>
      <c r="C34" s="122"/>
      <c r="D34" s="122"/>
      <c r="E34" s="123" t="s">
        <v>611</v>
      </c>
      <c r="F34" s="198">
        <f>+RESUMEN!$I$3</f>
        <v>0</v>
      </c>
      <c r="G34" s="130">
        <f>IF(F34=0,0,F34*G32)</f>
        <v>0</v>
      </c>
    </row>
    <row r="35" spans="1:7" ht="13" x14ac:dyDescent="0.3">
      <c r="A35" s="875"/>
      <c r="B35" s="870"/>
      <c r="C35" s="122"/>
      <c r="D35" s="122"/>
      <c r="E35" s="151"/>
      <c r="F35" s="152" t="s">
        <v>612</v>
      </c>
      <c r="G35" s="154" t="e">
        <f>SUM(G32:G34)</f>
        <v>#N/A</v>
      </c>
    </row>
  </sheetData>
  <mergeCells count="5">
    <mergeCell ref="A1:G1"/>
    <mergeCell ref="B5:G5"/>
    <mergeCell ref="B7:G7"/>
    <mergeCell ref="J8:O8"/>
    <mergeCell ref="A35:B35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" customWidth="1"/>
    <col min="6" max="6" width="18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84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813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45</v>
      </c>
      <c r="D9" s="122"/>
      <c r="E9" s="132">
        <v>929.74</v>
      </c>
      <c r="F9" s="185">
        <v>150</v>
      </c>
      <c r="G9" s="122" t="s">
        <v>615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 t="s">
        <v>806</v>
      </c>
      <c r="B12" s="138" t="s">
        <v>807</v>
      </c>
      <c r="C12" s="136" t="s">
        <v>522</v>
      </c>
      <c r="D12" s="186">
        <v>6.5000000000000002E-2</v>
      </c>
      <c r="E12" s="136">
        <f>VLOOKUP(B12,Materiales!$B$8:$D$118,3,FALSE)</f>
        <v>2302.02</v>
      </c>
      <c r="F12" s="136">
        <v>15</v>
      </c>
      <c r="G12" s="148">
        <f>+E12*D12*1+F12</f>
        <v>164.63130000000001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 t="s">
        <v>520</v>
      </c>
      <c r="B13" s="138" t="s">
        <v>420</v>
      </c>
      <c r="C13" s="138" t="s">
        <v>45</v>
      </c>
      <c r="D13" s="187">
        <f>1.2/14.4</f>
        <v>8.3333333333333329E-2</v>
      </c>
      <c r="E13" s="138">
        <f>VLOOKUP(B13,Materiales!$B$8:$D$118,3,FALSE)</f>
        <v>126755.8</v>
      </c>
      <c r="F13" s="138">
        <v>7</v>
      </c>
      <c r="G13" s="137">
        <f>+E13*D13*1+F13</f>
        <v>10569.983333333334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38"/>
      <c r="B14" s="138"/>
      <c r="C14" s="138"/>
      <c r="D14" s="187"/>
      <c r="E14" s="138"/>
      <c r="F14" s="138"/>
      <c r="G14" s="137"/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38"/>
      <c r="B15" s="138"/>
      <c r="C15" s="138"/>
      <c r="D15" s="155"/>
      <c r="E15" s="138"/>
      <c r="F15" s="138"/>
      <c r="G15" s="137"/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9"/>
      <c r="B16" s="139"/>
      <c r="C16" s="139"/>
      <c r="D16" s="139"/>
      <c r="E16" s="140"/>
      <c r="F16" s="141" t="s">
        <v>598</v>
      </c>
      <c r="G16" s="142">
        <f>SUM(G12:G15)</f>
        <v>10734.614633333334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22"/>
      <c r="B17" s="122"/>
      <c r="C17" s="122"/>
      <c r="D17" s="122"/>
      <c r="E17" s="143"/>
      <c r="F17" s="144" t="s">
        <v>9</v>
      </c>
      <c r="G17" s="145">
        <f>+G16</f>
        <v>10734.614633333334</v>
      </c>
    </row>
    <row r="18" spans="1:7" ht="13" x14ac:dyDescent="0.3">
      <c r="A18" s="128" t="s">
        <v>599</v>
      </c>
      <c r="B18" s="122"/>
      <c r="C18" s="122"/>
      <c r="D18" s="122"/>
      <c r="E18" s="122"/>
      <c r="F18" s="122"/>
      <c r="G18" s="122"/>
    </row>
    <row r="19" spans="1:7" ht="13" x14ac:dyDescent="0.3">
      <c r="A19" s="133" t="s">
        <v>79</v>
      </c>
      <c r="B19" s="134" t="s">
        <v>591</v>
      </c>
      <c r="C19" s="134"/>
      <c r="D19" s="194" t="s">
        <v>593</v>
      </c>
      <c r="E19" s="134" t="s">
        <v>600</v>
      </c>
      <c r="F19" s="134" t="s">
        <v>808</v>
      </c>
      <c r="G19" s="135" t="s">
        <v>596</v>
      </c>
    </row>
    <row r="20" spans="1:7" ht="13" x14ac:dyDescent="0.3">
      <c r="A20" s="136" t="s">
        <v>814</v>
      </c>
      <c r="B20" s="122" t="s">
        <v>172</v>
      </c>
      <c r="C20" s="146"/>
      <c r="D20" s="190">
        <v>1</v>
      </c>
      <c r="E20" s="136">
        <f>VLOOKUP(B20,'Rend. Equipos'!$B$7:$E$222,2,FALSE)</f>
        <v>0</v>
      </c>
      <c r="F20" s="147">
        <v>2.5000000000000001E-2</v>
      </c>
      <c r="G20" s="137">
        <f>+E20*D20*F20</f>
        <v>0</v>
      </c>
    </row>
    <row r="21" spans="1:7" ht="13" x14ac:dyDescent="0.3">
      <c r="A21" s="138" t="s">
        <v>815</v>
      </c>
      <c r="B21" s="122" t="s">
        <v>816</v>
      </c>
      <c r="C21" s="149"/>
      <c r="D21" s="191">
        <v>1</v>
      </c>
      <c r="E21" s="138" t="e">
        <f>VLOOKUP(B21,'Rend. Equipos'!$B$7:$E$222,2,FALSE)</f>
        <v>#N/A</v>
      </c>
      <c r="F21" s="150">
        <v>2.5000000000000001E-2</v>
      </c>
      <c r="G21" s="137" t="e">
        <f>+E21*D21*F21</f>
        <v>#N/A</v>
      </c>
    </row>
    <row r="22" spans="1:7" ht="13" x14ac:dyDescent="0.3">
      <c r="A22" s="139"/>
      <c r="B22" s="139"/>
      <c r="C22" s="139"/>
      <c r="D22" s="139"/>
      <c r="E22" s="140"/>
      <c r="F22" s="141" t="s">
        <v>602</v>
      </c>
      <c r="G22" s="142" t="e">
        <f>SUM(G20:G21)</f>
        <v>#N/A</v>
      </c>
    </row>
    <row r="23" spans="1:7" ht="13" x14ac:dyDescent="0.3">
      <c r="A23" s="122"/>
      <c r="B23" s="122"/>
      <c r="C23" s="122"/>
      <c r="D23" s="122"/>
      <c r="E23" s="143"/>
      <c r="F23" s="144" t="s">
        <v>11</v>
      </c>
      <c r="G23" s="156" t="e">
        <f>+G22/F9</f>
        <v>#N/A</v>
      </c>
    </row>
    <row r="24" spans="1:7" ht="13" x14ac:dyDescent="0.3">
      <c r="A24" s="128" t="s">
        <v>603</v>
      </c>
      <c r="B24" s="122"/>
      <c r="C24" s="122"/>
      <c r="D24" s="122"/>
      <c r="E24" s="122"/>
      <c r="F24" s="122"/>
      <c r="G24" s="122"/>
    </row>
    <row r="25" spans="1:7" ht="13" x14ac:dyDescent="0.3">
      <c r="A25" s="133" t="s">
        <v>79</v>
      </c>
      <c r="B25" s="134" t="s">
        <v>591</v>
      </c>
      <c r="C25" s="134"/>
      <c r="D25" s="134" t="s">
        <v>593</v>
      </c>
      <c r="E25" s="134" t="s">
        <v>604</v>
      </c>
      <c r="F25" s="134"/>
      <c r="G25" s="135" t="s">
        <v>596</v>
      </c>
    </row>
    <row r="26" spans="1:7" ht="13" x14ac:dyDescent="0.3">
      <c r="A26" s="136" t="s">
        <v>255</v>
      </c>
      <c r="B26" s="122" t="s">
        <v>233</v>
      </c>
      <c r="C26" s="146"/>
      <c r="D26" s="190">
        <v>3</v>
      </c>
      <c r="E26" s="122">
        <f>VLOOKUP(B26,'Mano de Obra'!$B$8:$C$100,2,FALSE)</f>
        <v>60860.580776571966</v>
      </c>
      <c r="F26" s="146"/>
      <c r="G26" s="148">
        <f>+E26*D26</f>
        <v>182581.7423297159</v>
      </c>
    </row>
    <row r="27" spans="1:7" ht="13" x14ac:dyDescent="0.3">
      <c r="A27" s="138" t="s">
        <v>242</v>
      </c>
      <c r="B27" s="122" t="s">
        <v>258</v>
      </c>
      <c r="C27" s="149"/>
      <c r="D27" s="191">
        <v>2</v>
      </c>
      <c r="E27" s="122">
        <f>VLOOKUP(B27,'Mano de Obra'!$B$8:$C$100,2,FALSE)</f>
        <v>85927.097156571981</v>
      </c>
      <c r="F27" s="149"/>
      <c r="G27" s="137">
        <f>+E27*D27</f>
        <v>171854.19431314396</v>
      </c>
    </row>
    <row r="28" spans="1:7" ht="13" x14ac:dyDescent="0.3">
      <c r="A28" s="139"/>
      <c r="B28" s="139"/>
      <c r="C28" s="139"/>
      <c r="D28" s="192"/>
      <c r="E28" s="151"/>
      <c r="F28" s="152" t="s">
        <v>606</v>
      </c>
      <c r="G28" s="153">
        <f>SUM(G26:G27)</f>
        <v>354435.93664285983</v>
      </c>
    </row>
    <row r="29" spans="1:7" ht="13" x14ac:dyDescent="0.3">
      <c r="A29" s="122"/>
      <c r="B29" s="122"/>
      <c r="C29" s="122"/>
      <c r="D29" s="122"/>
      <c r="E29" s="122"/>
      <c r="F29" s="123" t="s">
        <v>607</v>
      </c>
      <c r="G29" s="130">
        <v>1</v>
      </c>
    </row>
    <row r="30" spans="1:7" ht="13" x14ac:dyDescent="0.3">
      <c r="A30" s="122"/>
      <c r="B30" s="122"/>
      <c r="C30" s="122"/>
      <c r="D30" s="122"/>
      <c r="E30" s="122"/>
      <c r="F30" s="123" t="s">
        <v>608</v>
      </c>
      <c r="G30" s="130">
        <f>+G29*G28</f>
        <v>354435.93664285983</v>
      </c>
    </row>
    <row r="31" spans="1:7" ht="13" x14ac:dyDescent="0.3">
      <c r="A31" s="122"/>
      <c r="B31" s="122"/>
      <c r="C31" s="122"/>
      <c r="D31" s="122"/>
      <c r="E31" s="122"/>
      <c r="F31" s="123" t="s">
        <v>10</v>
      </c>
      <c r="G31" s="130">
        <f>+G30/F9</f>
        <v>2362.9062442857321</v>
      </c>
    </row>
    <row r="32" spans="1:7" ht="13" x14ac:dyDescent="0.3">
      <c r="A32" s="122"/>
      <c r="B32" s="122"/>
      <c r="C32" s="122"/>
      <c r="D32" s="122"/>
      <c r="E32" s="122"/>
      <c r="F32" s="123" t="s">
        <v>609</v>
      </c>
      <c r="G32" s="130" t="e">
        <f>+G31+G23+G17</f>
        <v>#N/A</v>
      </c>
    </row>
    <row r="33" spans="1:7" ht="13" x14ac:dyDescent="0.3">
      <c r="A33" s="122"/>
      <c r="B33" s="122"/>
      <c r="C33" s="122"/>
      <c r="D33" s="122"/>
      <c r="E33" s="123" t="s">
        <v>610</v>
      </c>
      <c r="F33" s="198">
        <f>+RESUMEN!$I$2</f>
        <v>0</v>
      </c>
      <c r="G33" s="130">
        <f>IF(F33=0,0,F33*G32)</f>
        <v>0</v>
      </c>
    </row>
    <row r="34" spans="1:7" ht="13" x14ac:dyDescent="0.3">
      <c r="A34" s="122"/>
      <c r="B34" s="122"/>
      <c r="C34" s="122"/>
      <c r="D34" s="122"/>
      <c r="E34" s="123" t="s">
        <v>611</v>
      </c>
      <c r="F34" s="198">
        <f>+RESUMEN!$I$3</f>
        <v>0</v>
      </c>
      <c r="G34" s="130">
        <f>IF(F34=0,0,F34*G32)</f>
        <v>0</v>
      </c>
    </row>
    <row r="35" spans="1:7" ht="13" x14ac:dyDescent="0.3">
      <c r="A35" s="875"/>
      <c r="B35" s="870"/>
      <c r="C35" s="122"/>
      <c r="D35" s="122"/>
      <c r="E35" s="151"/>
      <c r="F35" s="152" t="s">
        <v>612</v>
      </c>
      <c r="G35" s="154" t="e">
        <f>SUM(G32:G34)</f>
        <v>#N/A</v>
      </c>
    </row>
  </sheetData>
  <mergeCells count="5">
    <mergeCell ref="A1:G1"/>
    <mergeCell ref="B5:G5"/>
    <mergeCell ref="B7:G7"/>
    <mergeCell ref="J8:O8"/>
    <mergeCell ref="A35:B35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0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5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817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804</v>
      </c>
      <c r="D9" s="122"/>
      <c r="E9" s="132">
        <v>969.06</v>
      </c>
      <c r="F9" s="185">
        <v>400</v>
      </c>
      <c r="G9" s="122" t="s">
        <v>805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 t="s">
        <v>806</v>
      </c>
      <c r="B12" s="138" t="s">
        <v>807</v>
      </c>
      <c r="C12" s="136" t="s">
        <v>522</v>
      </c>
      <c r="D12" s="186">
        <v>6.7000000000000004E-2</v>
      </c>
      <c r="E12" s="136">
        <f>VLOOKUP(B12,Materiales!$B$8:$D$118,3,FALSE)</f>
        <v>2302.02</v>
      </c>
      <c r="F12" s="136">
        <v>15</v>
      </c>
      <c r="G12" s="148">
        <f>+E12*D12*1+F12</f>
        <v>169.23534000000001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 t="s">
        <v>520</v>
      </c>
      <c r="B13" s="138" t="s">
        <v>521</v>
      </c>
      <c r="C13" s="138" t="s">
        <v>522</v>
      </c>
      <c r="D13" s="187">
        <v>1</v>
      </c>
      <c r="E13" s="138">
        <f>VLOOKUP(B13,Materiales!$B$8:$D$118,3,FALSE)</f>
        <v>1269.26</v>
      </c>
      <c r="F13" s="138">
        <v>7</v>
      </c>
      <c r="G13" s="137">
        <f>+E13*D13*1+F13</f>
        <v>1276.26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38"/>
      <c r="B14" s="138"/>
      <c r="C14" s="138"/>
      <c r="D14" s="187"/>
      <c r="E14" s="138"/>
      <c r="F14" s="138"/>
      <c r="G14" s="137"/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38"/>
      <c r="B15" s="138"/>
      <c r="C15" s="138"/>
      <c r="D15" s="155"/>
      <c r="E15" s="138"/>
      <c r="F15" s="138"/>
      <c r="G15" s="137"/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9"/>
      <c r="B16" s="139"/>
      <c r="C16" s="139"/>
      <c r="D16" s="139"/>
      <c r="E16" s="140"/>
      <c r="F16" s="141" t="s">
        <v>598</v>
      </c>
      <c r="G16" s="142">
        <f>SUM(G12:G15)</f>
        <v>1445.4953399999999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22"/>
      <c r="B17" s="122"/>
      <c r="C17" s="122"/>
      <c r="D17" s="122"/>
      <c r="E17" s="143"/>
      <c r="F17" s="144" t="s">
        <v>9</v>
      </c>
      <c r="G17" s="145">
        <f>+G16</f>
        <v>1445.4953399999999</v>
      </c>
    </row>
    <row r="18" spans="1:7" ht="13" x14ac:dyDescent="0.3">
      <c r="A18" s="128" t="s">
        <v>599</v>
      </c>
      <c r="B18" s="122"/>
      <c r="C18" s="122"/>
      <c r="D18" s="122"/>
      <c r="E18" s="122"/>
      <c r="F18" s="122"/>
      <c r="G18" s="122"/>
    </row>
    <row r="19" spans="1:7" ht="13" x14ac:dyDescent="0.3">
      <c r="A19" s="133" t="s">
        <v>79</v>
      </c>
      <c r="B19" s="134" t="s">
        <v>591</v>
      </c>
      <c r="C19" s="134"/>
      <c r="D19" s="194" t="s">
        <v>593</v>
      </c>
      <c r="E19" s="134" t="s">
        <v>600</v>
      </c>
      <c r="F19" s="134" t="s">
        <v>808</v>
      </c>
      <c r="G19" s="135" t="s">
        <v>596</v>
      </c>
    </row>
    <row r="20" spans="1:7" ht="13" x14ac:dyDescent="0.3">
      <c r="A20" s="136" t="s">
        <v>150</v>
      </c>
      <c r="B20" s="122" t="s">
        <v>809</v>
      </c>
      <c r="C20" s="146"/>
      <c r="D20" s="190">
        <v>1</v>
      </c>
      <c r="E20" s="136" t="e">
        <f>VLOOKUP(B20,'Rend. Equipos'!$B$7:$E$222,2,FALSE)</f>
        <v>#N/A</v>
      </c>
      <c r="F20" s="147">
        <v>0.02</v>
      </c>
      <c r="G20" s="137" t="e">
        <f>+E20*D20*F20</f>
        <v>#N/A</v>
      </c>
    </row>
    <row r="21" spans="1:7" ht="13" x14ac:dyDescent="0.3">
      <c r="A21" s="139"/>
      <c r="B21" s="139"/>
      <c r="C21" s="139"/>
      <c r="D21" s="192"/>
      <c r="E21" s="140"/>
      <c r="F21" s="141" t="s">
        <v>602</v>
      </c>
      <c r="G21" s="142" t="e">
        <f>SUM(G20:G20)</f>
        <v>#N/A</v>
      </c>
    </row>
    <row r="22" spans="1:7" ht="13" x14ac:dyDescent="0.3">
      <c r="A22" s="122"/>
      <c r="B22" s="122"/>
      <c r="C22" s="122"/>
      <c r="D22" s="122"/>
      <c r="E22" s="143"/>
      <c r="F22" s="144" t="s">
        <v>11</v>
      </c>
      <c r="G22" s="156" t="e">
        <f>+G21/F9</f>
        <v>#N/A</v>
      </c>
    </row>
    <row r="23" spans="1:7" ht="13" x14ac:dyDescent="0.3">
      <c r="A23" s="128" t="s">
        <v>603</v>
      </c>
      <c r="B23" s="122"/>
      <c r="C23" s="122"/>
      <c r="D23" s="122"/>
      <c r="E23" s="122"/>
      <c r="F23" s="122"/>
      <c r="G23" s="122"/>
    </row>
    <row r="24" spans="1:7" ht="13" x14ac:dyDescent="0.3">
      <c r="A24" s="133" t="s">
        <v>79</v>
      </c>
      <c r="B24" s="134" t="s">
        <v>591</v>
      </c>
      <c r="C24" s="134"/>
      <c r="D24" s="134" t="s">
        <v>593</v>
      </c>
      <c r="E24" s="134" t="s">
        <v>604</v>
      </c>
      <c r="F24" s="134"/>
      <c r="G24" s="135" t="s">
        <v>596</v>
      </c>
    </row>
    <row r="25" spans="1:7" ht="13" x14ac:dyDescent="0.3">
      <c r="A25" s="136" t="s">
        <v>255</v>
      </c>
      <c r="B25" s="122" t="s">
        <v>233</v>
      </c>
      <c r="C25" s="146"/>
      <c r="D25" s="147">
        <v>2</v>
      </c>
      <c r="E25" s="122">
        <f>VLOOKUP(B25,'Mano de Obra'!$B$8:$C$100,2,FALSE)</f>
        <v>60860.580776571966</v>
      </c>
      <c r="F25" s="146"/>
      <c r="G25" s="148">
        <f>+E25*D25</f>
        <v>121721.16155314393</v>
      </c>
    </row>
    <row r="26" spans="1:7" ht="13" x14ac:dyDescent="0.3">
      <c r="A26" s="138" t="s">
        <v>228</v>
      </c>
      <c r="B26" s="122" t="s">
        <v>246</v>
      </c>
      <c r="C26" s="149"/>
      <c r="D26" s="191">
        <v>1</v>
      </c>
      <c r="E26" s="122">
        <f>VLOOKUP(B26,'Mano de Obra'!$B$8:$C$100,2,FALSE)</f>
        <v>65493.071636571978</v>
      </c>
      <c r="F26" s="149"/>
      <c r="G26" s="137">
        <f>+E26*D26</f>
        <v>65493.071636571978</v>
      </c>
    </row>
    <row r="27" spans="1:7" ht="13" x14ac:dyDescent="0.3">
      <c r="A27" s="138" t="s">
        <v>242</v>
      </c>
      <c r="B27" s="122" t="s">
        <v>258</v>
      </c>
      <c r="C27" s="149"/>
      <c r="D27" s="191">
        <v>2</v>
      </c>
      <c r="E27" s="122">
        <f>VLOOKUP(B27,'Mano de Obra'!$B$8:$C$100,2,FALSE)</f>
        <v>85927.097156571981</v>
      </c>
      <c r="F27" s="149"/>
      <c r="G27" s="137">
        <f>+E27*D27</f>
        <v>171854.19431314396</v>
      </c>
    </row>
    <row r="28" spans="1:7" ht="13" x14ac:dyDescent="0.3">
      <c r="A28" s="139"/>
      <c r="B28" s="139"/>
      <c r="C28" s="139"/>
      <c r="D28" s="192"/>
      <c r="E28" s="151"/>
      <c r="F28" s="152" t="s">
        <v>606</v>
      </c>
      <c r="G28" s="153">
        <f>SUM(G25:G27)</f>
        <v>359068.42750285985</v>
      </c>
    </row>
    <row r="29" spans="1:7" ht="13" x14ac:dyDescent="0.3">
      <c r="A29" s="122"/>
      <c r="B29" s="122"/>
      <c r="C29" s="122"/>
      <c r="D29" s="122"/>
      <c r="E29" s="122"/>
      <c r="F29" s="123" t="s">
        <v>607</v>
      </c>
      <c r="G29" s="130">
        <v>1</v>
      </c>
    </row>
    <row r="30" spans="1:7" ht="13" x14ac:dyDescent="0.3">
      <c r="A30" s="122"/>
      <c r="B30" s="122"/>
      <c r="C30" s="122"/>
      <c r="D30" s="122"/>
      <c r="E30" s="122"/>
      <c r="F30" s="123" t="s">
        <v>608</v>
      </c>
      <c r="G30" s="130">
        <f>+G29*G28</f>
        <v>359068.42750285985</v>
      </c>
    </row>
    <row r="31" spans="1:7" ht="13" x14ac:dyDescent="0.3">
      <c r="A31" s="122"/>
      <c r="B31" s="122"/>
      <c r="C31" s="122"/>
      <c r="D31" s="122"/>
      <c r="E31" s="122"/>
      <c r="F31" s="123" t="s">
        <v>10</v>
      </c>
      <c r="G31" s="130">
        <f>+G30/F9</f>
        <v>897.67106875714967</v>
      </c>
    </row>
    <row r="32" spans="1:7" ht="13" x14ac:dyDescent="0.3">
      <c r="A32" s="122"/>
      <c r="B32" s="122"/>
      <c r="C32" s="122"/>
      <c r="D32" s="122"/>
      <c r="E32" s="122"/>
      <c r="F32" s="123" t="s">
        <v>609</v>
      </c>
      <c r="G32" s="130" t="e">
        <f>+G31+G22+G17</f>
        <v>#N/A</v>
      </c>
    </row>
    <row r="33" spans="1:7" ht="13" x14ac:dyDescent="0.3">
      <c r="A33" s="122"/>
      <c r="B33" s="122"/>
      <c r="C33" s="122"/>
      <c r="D33" s="122"/>
      <c r="E33" s="123" t="s">
        <v>610</v>
      </c>
      <c r="F33" s="198">
        <f>+RESUMEN!$I$2</f>
        <v>0</v>
      </c>
      <c r="G33" s="130">
        <f>IF(F33=0,0,F33*G32)</f>
        <v>0</v>
      </c>
    </row>
    <row r="34" spans="1:7" ht="13" x14ac:dyDescent="0.3">
      <c r="A34" s="122"/>
      <c r="B34" s="122"/>
      <c r="C34" s="122"/>
      <c r="D34" s="122"/>
      <c r="E34" s="123" t="s">
        <v>611</v>
      </c>
      <c r="F34" s="198">
        <f>+RESUMEN!$I$3</f>
        <v>0</v>
      </c>
      <c r="G34" s="130">
        <f>IF(F34=0,0,F34*G32)</f>
        <v>0</v>
      </c>
    </row>
    <row r="35" spans="1:7" ht="13" x14ac:dyDescent="0.3">
      <c r="A35" s="875"/>
      <c r="B35" s="870"/>
      <c r="C35" s="122"/>
      <c r="D35" s="122"/>
      <c r="E35" s="151"/>
      <c r="F35" s="152" t="s">
        <v>612</v>
      </c>
      <c r="G35" s="154" t="e">
        <f>SUM(G32:G34)</f>
        <v>#N/A</v>
      </c>
    </row>
  </sheetData>
  <mergeCells count="5">
    <mergeCell ref="A1:G1"/>
    <mergeCell ref="B5:G5"/>
    <mergeCell ref="B7:G7"/>
    <mergeCell ref="J8:O8"/>
    <mergeCell ref="A35:B35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35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86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818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804</v>
      </c>
      <c r="D9" s="122"/>
      <c r="E9" s="132">
        <v>2559.17</v>
      </c>
      <c r="F9" s="185">
        <v>400</v>
      </c>
      <c r="G9" s="122" t="s">
        <v>805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 t="s">
        <v>806</v>
      </c>
      <c r="B12" s="138" t="s">
        <v>807</v>
      </c>
      <c r="C12" s="136" t="s">
        <v>522</v>
      </c>
      <c r="D12" s="186">
        <v>6.7000000000000004E-2</v>
      </c>
      <c r="E12" s="136">
        <f>VLOOKUP(B12,Materiales!$B$8:$D$118,3,FALSE)</f>
        <v>2302.02</v>
      </c>
      <c r="F12" s="136">
        <v>15</v>
      </c>
      <c r="G12" s="148">
        <f>+E12*D12*1+F12</f>
        <v>169.23534000000001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 t="s">
        <v>520</v>
      </c>
      <c r="B13" s="138" t="s">
        <v>521</v>
      </c>
      <c r="C13" s="138" t="s">
        <v>522</v>
      </c>
      <c r="D13" s="187">
        <v>1</v>
      </c>
      <c r="E13" s="138">
        <f>VLOOKUP(B13,Materiales!$B$8:$D$118,3,FALSE)</f>
        <v>1269.26</v>
      </c>
      <c r="F13" s="138">
        <v>7</v>
      </c>
      <c r="G13" s="137">
        <f>+E13*D13*1+F13</f>
        <v>1276.26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38"/>
      <c r="B14" s="138"/>
      <c r="C14" s="138"/>
      <c r="D14" s="187"/>
      <c r="E14" s="138"/>
      <c r="F14" s="138"/>
      <c r="G14" s="137"/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38"/>
      <c r="B15" s="138"/>
      <c r="C15" s="138"/>
      <c r="D15" s="155"/>
      <c r="E15" s="138"/>
      <c r="F15" s="138"/>
      <c r="G15" s="137"/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9"/>
      <c r="B16" s="139"/>
      <c r="C16" s="139"/>
      <c r="D16" s="139"/>
      <c r="E16" s="140"/>
      <c r="F16" s="141" t="s">
        <v>598</v>
      </c>
      <c r="G16" s="142">
        <f>SUM(G12:G15)</f>
        <v>1445.4953399999999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22"/>
      <c r="B17" s="122"/>
      <c r="C17" s="122"/>
      <c r="D17" s="122"/>
      <c r="E17" s="143"/>
      <c r="F17" s="144" t="s">
        <v>9</v>
      </c>
      <c r="G17" s="130">
        <f>+G16</f>
        <v>1445.4953399999999</v>
      </c>
    </row>
    <row r="18" spans="1:7" ht="13" x14ac:dyDescent="0.3">
      <c r="A18" s="128" t="s">
        <v>599</v>
      </c>
      <c r="B18" s="122"/>
      <c r="C18" s="122"/>
      <c r="D18" s="122"/>
      <c r="E18" s="122"/>
      <c r="F18" s="122"/>
      <c r="G18" s="122"/>
    </row>
    <row r="19" spans="1:7" ht="13" x14ac:dyDescent="0.3">
      <c r="A19" s="133" t="s">
        <v>79</v>
      </c>
      <c r="B19" s="134" t="s">
        <v>591</v>
      </c>
      <c r="C19" s="134"/>
      <c r="D19" s="194" t="s">
        <v>593</v>
      </c>
      <c r="E19" s="134" t="s">
        <v>600</v>
      </c>
      <c r="F19" s="134" t="s">
        <v>808</v>
      </c>
      <c r="G19" s="135" t="s">
        <v>596</v>
      </c>
    </row>
    <row r="20" spans="1:7" ht="13" x14ac:dyDescent="0.3">
      <c r="A20" s="136" t="s">
        <v>150</v>
      </c>
      <c r="B20" s="122" t="s">
        <v>809</v>
      </c>
      <c r="C20" s="146"/>
      <c r="D20" s="190">
        <v>1</v>
      </c>
      <c r="E20" s="136" t="e">
        <f>VLOOKUP(B20,'Rend. Equipos'!$B$7:$E$222,2,FALSE)</f>
        <v>#N/A</v>
      </c>
      <c r="F20" s="147">
        <v>0.02</v>
      </c>
      <c r="G20" s="137" t="e">
        <f>+E20*D20*F20</f>
        <v>#N/A</v>
      </c>
    </row>
    <row r="21" spans="1:7" ht="13" x14ac:dyDescent="0.3">
      <c r="A21" s="139"/>
      <c r="B21" s="139"/>
      <c r="C21" s="139"/>
      <c r="D21" s="192"/>
      <c r="E21" s="140"/>
      <c r="F21" s="141" t="s">
        <v>602</v>
      </c>
      <c r="G21" s="142" t="e">
        <f>SUM(G20:G20)</f>
        <v>#N/A</v>
      </c>
    </row>
    <row r="22" spans="1:7" ht="13" x14ac:dyDescent="0.3">
      <c r="A22" s="122"/>
      <c r="B22" s="122"/>
      <c r="C22" s="122"/>
      <c r="D22" s="122"/>
      <c r="E22" s="143"/>
      <c r="F22" s="144" t="s">
        <v>11</v>
      </c>
      <c r="G22" s="156" t="e">
        <f>+G21/F9</f>
        <v>#N/A</v>
      </c>
    </row>
    <row r="23" spans="1:7" ht="13" x14ac:dyDescent="0.3">
      <c r="A23" s="128" t="s">
        <v>603</v>
      </c>
      <c r="B23" s="122"/>
      <c r="C23" s="122"/>
      <c r="D23" s="122"/>
      <c r="E23" s="122"/>
      <c r="F23" s="122"/>
      <c r="G23" s="122"/>
    </row>
    <row r="24" spans="1:7" ht="13" x14ac:dyDescent="0.3">
      <c r="A24" s="133" t="s">
        <v>79</v>
      </c>
      <c r="B24" s="134" t="s">
        <v>591</v>
      </c>
      <c r="C24" s="134"/>
      <c r="D24" s="134" t="s">
        <v>593</v>
      </c>
      <c r="E24" s="134" t="s">
        <v>604</v>
      </c>
      <c r="F24" s="134"/>
      <c r="G24" s="135" t="s">
        <v>596</v>
      </c>
    </row>
    <row r="25" spans="1:7" ht="13" x14ac:dyDescent="0.3">
      <c r="A25" s="136" t="s">
        <v>255</v>
      </c>
      <c r="B25" s="122" t="s">
        <v>233</v>
      </c>
      <c r="C25" s="146"/>
      <c r="D25" s="147">
        <v>2</v>
      </c>
      <c r="E25" s="122">
        <f>VLOOKUP(B25,'Mano de Obra'!$B$8:$C$100,2,FALSE)</f>
        <v>60860.580776571966</v>
      </c>
      <c r="F25" s="146"/>
      <c r="G25" s="148">
        <f>+E25*D25</f>
        <v>121721.16155314393</v>
      </c>
    </row>
    <row r="26" spans="1:7" ht="13" x14ac:dyDescent="0.3">
      <c r="A26" s="138" t="s">
        <v>228</v>
      </c>
      <c r="B26" s="122" t="s">
        <v>246</v>
      </c>
      <c r="C26" s="149"/>
      <c r="D26" s="191">
        <v>1</v>
      </c>
      <c r="E26" s="122">
        <f>VLOOKUP(B26,'Mano de Obra'!$B$8:$C$100,2,FALSE)</f>
        <v>65493.071636571978</v>
      </c>
      <c r="F26" s="149"/>
      <c r="G26" s="137">
        <f>+E26*D26</f>
        <v>65493.071636571978</v>
      </c>
    </row>
    <row r="27" spans="1:7" ht="13" x14ac:dyDescent="0.3">
      <c r="A27" s="138" t="s">
        <v>242</v>
      </c>
      <c r="B27" s="122" t="s">
        <v>258</v>
      </c>
      <c r="C27" s="149"/>
      <c r="D27" s="191">
        <v>2</v>
      </c>
      <c r="E27" s="122">
        <f>VLOOKUP(B27,'Mano de Obra'!$B$8:$C$100,2,FALSE)</f>
        <v>85927.097156571981</v>
      </c>
      <c r="F27" s="149"/>
      <c r="G27" s="137">
        <f>+E27*D27</f>
        <v>171854.19431314396</v>
      </c>
    </row>
    <row r="28" spans="1:7" ht="13" x14ac:dyDescent="0.3">
      <c r="A28" s="139"/>
      <c r="B28" s="139"/>
      <c r="C28" s="139"/>
      <c r="D28" s="192"/>
      <c r="E28" s="151"/>
      <c r="F28" s="152" t="s">
        <v>606</v>
      </c>
      <c r="G28" s="153">
        <f>SUM(G25:G27)</f>
        <v>359068.42750285985</v>
      </c>
    </row>
    <row r="29" spans="1:7" ht="13" x14ac:dyDescent="0.3">
      <c r="A29" s="122"/>
      <c r="B29" s="122"/>
      <c r="C29" s="122"/>
      <c r="D29" s="122"/>
      <c r="E29" s="122"/>
      <c r="F29" s="123" t="s">
        <v>607</v>
      </c>
      <c r="G29" s="130">
        <v>1</v>
      </c>
    </row>
    <row r="30" spans="1:7" ht="13" x14ac:dyDescent="0.3">
      <c r="A30" s="122"/>
      <c r="B30" s="122"/>
      <c r="C30" s="122"/>
      <c r="D30" s="122"/>
      <c r="E30" s="122"/>
      <c r="F30" s="123" t="s">
        <v>608</v>
      </c>
      <c r="G30" s="130">
        <f>+G29*G28</f>
        <v>359068.42750285985</v>
      </c>
    </row>
    <row r="31" spans="1:7" ht="13" x14ac:dyDescent="0.3">
      <c r="A31" s="122"/>
      <c r="B31" s="122"/>
      <c r="C31" s="122"/>
      <c r="D31" s="122"/>
      <c r="E31" s="122"/>
      <c r="F31" s="123" t="s">
        <v>10</v>
      </c>
      <c r="G31" s="130">
        <f>+G30/F9</f>
        <v>897.67106875714967</v>
      </c>
    </row>
    <row r="32" spans="1:7" ht="13" x14ac:dyDescent="0.3">
      <c r="A32" s="122"/>
      <c r="B32" s="122"/>
      <c r="C32" s="122"/>
      <c r="D32" s="122"/>
      <c r="E32" s="122"/>
      <c r="F32" s="123" t="s">
        <v>609</v>
      </c>
      <c r="G32" s="130" t="e">
        <f>+G31+G22+G17</f>
        <v>#N/A</v>
      </c>
    </row>
    <row r="33" spans="1:7" ht="13" x14ac:dyDescent="0.3">
      <c r="A33" s="122"/>
      <c r="B33" s="122"/>
      <c r="C33" s="122"/>
      <c r="D33" s="122"/>
      <c r="E33" s="123" t="s">
        <v>610</v>
      </c>
      <c r="F33" s="198">
        <f>+RESUMEN!$I$2</f>
        <v>0</v>
      </c>
      <c r="G33" s="130">
        <f>IF(F33=0,0,F33*G32)</f>
        <v>0</v>
      </c>
    </row>
    <row r="34" spans="1:7" ht="13" x14ac:dyDescent="0.3">
      <c r="A34" s="122"/>
      <c r="B34" s="122"/>
      <c r="C34" s="122"/>
      <c r="D34" s="122"/>
      <c r="E34" s="123" t="s">
        <v>611</v>
      </c>
      <c r="F34" s="198">
        <f>+RESUMEN!$I$3</f>
        <v>0</v>
      </c>
      <c r="G34" s="130">
        <f>IF(F34=0,0,F34*G32)</f>
        <v>0</v>
      </c>
    </row>
    <row r="35" spans="1:7" ht="13" x14ac:dyDescent="0.3">
      <c r="A35" s="875"/>
      <c r="B35" s="870"/>
      <c r="C35" s="122"/>
      <c r="D35" s="122"/>
      <c r="E35" s="151"/>
      <c r="F35" s="152" t="s">
        <v>612</v>
      </c>
      <c r="G35" s="154" t="e">
        <f>SUM(G32:G34)</f>
        <v>#N/A</v>
      </c>
    </row>
  </sheetData>
  <mergeCells count="5">
    <mergeCell ref="A1:G1"/>
    <mergeCell ref="B5:G5"/>
    <mergeCell ref="B7:G7"/>
    <mergeCell ref="J8:O8"/>
    <mergeCell ref="A35:B3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38"/>
  <sheetViews>
    <sheetView workbookViewId="0">
      <selection sqref="A1:G1"/>
    </sheetView>
  </sheetViews>
  <sheetFormatPr defaultColWidth="11.453125" defaultRowHeight="12.5" x14ac:dyDescent="0.25"/>
  <cols>
    <col min="1" max="1" width="9.3632812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87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819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45</v>
      </c>
      <c r="D9" s="122"/>
      <c r="E9" s="132">
        <v>120.91</v>
      </c>
      <c r="F9" s="185">
        <v>24</v>
      </c>
      <c r="G9" s="122" t="s">
        <v>615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 t="s">
        <v>505</v>
      </c>
      <c r="B12" s="138" t="s">
        <v>506</v>
      </c>
      <c r="C12" s="136" t="s">
        <v>507</v>
      </c>
      <c r="D12" s="186">
        <v>0.125</v>
      </c>
      <c r="E12" s="136">
        <f>VLOOKUP(B12,Materiales!$B$8:$D$118,3,FALSE)</f>
        <v>2130.1681250000001</v>
      </c>
      <c r="F12" s="136">
        <v>5</v>
      </c>
      <c r="G12" s="148">
        <f>+E12*D12*1+F12</f>
        <v>271.27101562500002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 t="s">
        <v>806</v>
      </c>
      <c r="B13" s="138" t="s">
        <v>820</v>
      </c>
      <c r="C13" s="138" t="s">
        <v>522</v>
      </c>
      <c r="D13" s="187">
        <v>1.2500000000000001E-2</v>
      </c>
      <c r="E13" s="138">
        <f>VLOOKUP(B13,Materiales!$B$8:$D$118,3,FALSE)</f>
        <v>2474.3471074380168</v>
      </c>
      <c r="F13" s="138">
        <v>15</v>
      </c>
      <c r="G13" s="137">
        <f>+E13*D13*1+F13</f>
        <v>45.929338842975213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83" t="s">
        <v>821</v>
      </c>
      <c r="B14" s="183" t="s">
        <v>822</v>
      </c>
      <c r="C14" s="183" t="s">
        <v>59</v>
      </c>
      <c r="D14" s="187">
        <v>2.3E-3</v>
      </c>
      <c r="E14" s="138" t="e">
        <f>VLOOKUP(B14,Materiales!$B$8:$D$118,3,FALSE)</f>
        <v>#N/A</v>
      </c>
      <c r="F14" s="138">
        <v>2</v>
      </c>
      <c r="G14" s="137" t="e">
        <f>+E14*D14*1+F14</f>
        <v>#N/A</v>
      </c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83" t="s">
        <v>823</v>
      </c>
      <c r="B15" s="183" t="s">
        <v>824</v>
      </c>
      <c r="C15" s="183" t="s">
        <v>59</v>
      </c>
      <c r="D15" s="155">
        <v>0.02</v>
      </c>
      <c r="E15" s="138" t="e">
        <f>VLOOKUP(B15,Materiales!$B$8:$D$118,3,FALSE)</f>
        <v>#N/A</v>
      </c>
      <c r="F15" s="138">
        <v>2</v>
      </c>
      <c r="G15" s="137" t="e">
        <f>+E15*D15*1+F15</f>
        <v>#N/A</v>
      </c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9"/>
      <c r="B16" s="139"/>
      <c r="C16" s="139"/>
      <c r="D16" s="139"/>
      <c r="E16" s="140"/>
      <c r="F16" s="141" t="s">
        <v>598</v>
      </c>
      <c r="G16" s="142" t="e">
        <f>SUM(G12:G15)</f>
        <v>#N/A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22"/>
      <c r="B17" s="122"/>
      <c r="C17" s="122"/>
      <c r="D17" s="122"/>
      <c r="E17" s="143"/>
      <c r="F17" s="144" t="s">
        <v>9</v>
      </c>
      <c r="G17" s="145" t="e">
        <f>+G16</f>
        <v>#N/A</v>
      </c>
    </row>
    <row r="18" spans="1:7" ht="13" x14ac:dyDescent="0.3">
      <c r="A18" s="128" t="s">
        <v>599</v>
      </c>
      <c r="B18" s="122"/>
      <c r="C18" s="122"/>
      <c r="D18" s="122"/>
      <c r="E18" s="122"/>
      <c r="F18" s="122"/>
      <c r="G18" s="122"/>
    </row>
    <row r="19" spans="1:7" ht="13" x14ac:dyDescent="0.3">
      <c r="A19" s="133" t="s">
        <v>79</v>
      </c>
      <c r="B19" s="134" t="s">
        <v>591</v>
      </c>
      <c r="C19" s="134"/>
      <c r="D19" s="194" t="s">
        <v>593</v>
      </c>
      <c r="E19" s="134" t="s">
        <v>600</v>
      </c>
      <c r="F19" s="134" t="s">
        <v>808</v>
      </c>
      <c r="G19" s="135" t="s">
        <v>596</v>
      </c>
    </row>
    <row r="20" spans="1:7" ht="13" x14ac:dyDescent="0.3">
      <c r="A20" s="136" t="s">
        <v>150</v>
      </c>
      <c r="B20" s="122" t="s">
        <v>825</v>
      </c>
      <c r="C20" s="146"/>
      <c r="D20" s="190">
        <v>1</v>
      </c>
      <c r="E20" s="136" t="e">
        <f>VLOOKUP(B20,'Rend. Equipos'!$B$7:$E$222,2,FALSE)</f>
        <v>#N/A</v>
      </c>
      <c r="F20" s="147">
        <v>0.02</v>
      </c>
      <c r="G20" s="137" t="e">
        <f>+E20*D20*F20</f>
        <v>#N/A</v>
      </c>
    </row>
    <row r="21" spans="1:7" ht="13" x14ac:dyDescent="0.3">
      <c r="A21" s="139"/>
      <c r="B21" s="139"/>
      <c r="C21" s="139"/>
      <c r="D21" s="192"/>
      <c r="E21" s="140"/>
      <c r="F21" s="141" t="s">
        <v>602</v>
      </c>
      <c r="G21" s="142" t="e">
        <f>SUM(G20:G20)</f>
        <v>#N/A</v>
      </c>
    </row>
    <row r="22" spans="1:7" ht="13" x14ac:dyDescent="0.3">
      <c r="A22" s="122"/>
      <c r="B22" s="122"/>
      <c r="C22" s="122"/>
      <c r="D22" s="122"/>
      <c r="E22" s="143"/>
      <c r="F22" s="144" t="s">
        <v>11</v>
      </c>
      <c r="G22" s="156" t="e">
        <f>+G21/F9</f>
        <v>#N/A</v>
      </c>
    </row>
    <row r="23" spans="1:7" ht="13" x14ac:dyDescent="0.3">
      <c r="A23" s="128" t="s">
        <v>603</v>
      </c>
      <c r="B23" s="122"/>
      <c r="C23" s="122"/>
      <c r="D23" s="122"/>
      <c r="E23" s="122"/>
      <c r="F23" s="122"/>
      <c r="G23" s="122"/>
    </row>
    <row r="24" spans="1:7" ht="13" x14ac:dyDescent="0.3">
      <c r="A24" s="133" t="s">
        <v>79</v>
      </c>
      <c r="B24" s="134" t="s">
        <v>591</v>
      </c>
      <c r="C24" s="134"/>
      <c r="D24" s="134" t="s">
        <v>593</v>
      </c>
      <c r="E24" s="134" t="s">
        <v>604</v>
      </c>
      <c r="F24" s="134"/>
      <c r="G24" s="135" t="s">
        <v>596</v>
      </c>
    </row>
    <row r="25" spans="1:7" ht="13" x14ac:dyDescent="0.3">
      <c r="A25" s="136" t="s">
        <v>259</v>
      </c>
      <c r="B25" s="122" t="s">
        <v>260</v>
      </c>
      <c r="C25" s="146"/>
      <c r="D25" s="147">
        <v>1</v>
      </c>
      <c r="E25" s="122">
        <f>VLOOKUP(B25,'Mano de Obra'!$B$8:$C$100,2,FALSE)</f>
        <v>85927.097156571981</v>
      </c>
      <c r="F25" s="146"/>
      <c r="G25" s="148">
        <f>+E25*D25</f>
        <v>85927.097156571981</v>
      </c>
    </row>
    <row r="26" spans="1:7" ht="13" x14ac:dyDescent="0.3">
      <c r="A26" s="138" t="s">
        <v>248</v>
      </c>
      <c r="B26" s="122" t="s">
        <v>249</v>
      </c>
      <c r="C26" s="149"/>
      <c r="D26" s="191">
        <v>1</v>
      </c>
      <c r="E26" s="122">
        <f>VLOOKUP(B26,'Mano de Obra'!$B$8:$C$100,2,FALSE)</f>
        <v>65493.071636571978</v>
      </c>
      <c r="F26" s="149"/>
      <c r="G26" s="137">
        <f>+E26*D26</f>
        <v>65493.071636571978</v>
      </c>
    </row>
    <row r="27" spans="1:7" ht="13" x14ac:dyDescent="0.3">
      <c r="A27" s="139"/>
      <c r="B27" s="139"/>
      <c r="C27" s="139"/>
      <c r="D27" s="192"/>
      <c r="E27" s="151"/>
      <c r="F27" s="152" t="s">
        <v>606</v>
      </c>
      <c r="G27" s="153">
        <f>SUM(G25:G26)</f>
        <v>151420.16879314397</v>
      </c>
    </row>
    <row r="28" spans="1:7" ht="13" x14ac:dyDescent="0.3">
      <c r="A28" s="122"/>
      <c r="B28" s="122"/>
      <c r="C28" s="122"/>
      <c r="D28" s="193"/>
      <c r="E28" s="122"/>
      <c r="F28" s="123" t="s">
        <v>607</v>
      </c>
      <c r="G28" s="130">
        <v>1</v>
      </c>
    </row>
    <row r="29" spans="1:7" ht="13" x14ac:dyDescent="0.3">
      <c r="A29" s="122"/>
      <c r="B29" s="122"/>
      <c r="C29" s="122"/>
      <c r="D29" s="122"/>
      <c r="E29" s="122"/>
      <c r="F29" s="123" t="s">
        <v>608</v>
      </c>
      <c r="G29" s="130">
        <f>+G28*G27</f>
        <v>151420.16879314397</v>
      </c>
    </row>
    <row r="30" spans="1:7" ht="13" x14ac:dyDescent="0.3">
      <c r="A30" s="122"/>
      <c r="B30" s="122"/>
      <c r="C30" s="122"/>
      <c r="D30" s="122"/>
      <c r="E30" s="122"/>
      <c r="F30" s="123" t="s">
        <v>10</v>
      </c>
      <c r="G30" s="130">
        <f>+G29/F9</f>
        <v>6309.1736997143316</v>
      </c>
    </row>
    <row r="31" spans="1:7" ht="13" x14ac:dyDescent="0.3">
      <c r="A31" s="122"/>
      <c r="B31" s="122"/>
      <c r="C31" s="122"/>
      <c r="D31" s="122"/>
      <c r="E31" s="122"/>
      <c r="F31" s="123" t="s">
        <v>609</v>
      </c>
      <c r="G31" s="130" t="e">
        <f>+G30+G22+G17</f>
        <v>#N/A</v>
      </c>
    </row>
    <row r="32" spans="1:7" ht="13" x14ac:dyDescent="0.3">
      <c r="A32" s="122"/>
      <c r="B32" s="122"/>
      <c r="C32" s="122"/>
      <c r="D32" s="122"/>
      <c r="E32" s="123" t="s">
        <v>610</v>
      </c>
      <c r="F32" s="198">
        <f>+RESUMEN!$I$2</f>
        <v>0</v>
      </c>
      <c r="G32" s="130">
        <f>IF(F32=0,0,F32*G31)</f>
        <v>0</v>
      </c>
    </row>
    <row r="33" spans="1:7" ht="13" x14ac:dyDescent="0.3">
      <c r="A33" s="122"/>
      <c r="B33" s="122"/>
      <c r="C33" s="122"/>
      <c r="D33" s="122"/>
      <c r="E33" s="123" t="s">
        <v>611</v>
      </c>
      <c r="F33" s="198">
        <f>+RESUMEN!$I$3</f>
        <v>0</v>
      </c>
      <c r="G33" s="130">
        <f>IF(F33=0,0,F33*G31)</f>
        <v>0</v>
      </c>
    </row>
    <row r="34" spans="1:7" ht="13" x14ac:dyDescent="0.3">
      <c r="A34" s="122"/>
      <c r="B34" s="122"/>
      <c r="C34" s="122"/>
      <c r="D34" s="122"/>
      <c r="E34" s="151"/>
      <c r="F34" s="152" t="s">
        <v>612</v>
      </c>
      <c r="G34" s="154" t="e">
        <f>SUM(G31:G33)</f>
        <v>#N/A</v>
      </c>
    </row>
    <row r="35" spans="1:7" ht="13" x14ac:dyDescent="0.3">
      <c r="A35" s="122"/>
      <c r="B35" s="122"/>
      <c r="C35" s="122"/>
      <c r="D35" s="122"/>
      <c r="E35" s="122"/>
      <c r="F35" s="122"/>
      <c r="G35" s="122"/>
    </row>
    <row r="36" spans="1:7" ht="13" x14ac:dyDescent="0.3">
      <c r="A36" s="122"/>
      <c r="B36" s="122"/>
      <c r="C36" s="122"/>
      <c r="D36" s="122"/>
      <c r="E36" s="122"/>
      <c r="F36" s="122"/>
      <c r="G36" s="122"/>
    </row>
    <row r="37" spans="1:7" ht="13" x14ac:dyDescent="0.3">
      <c r="A37" s="875"/>
      <c r="B37" s="870"/>
      <c r="C37" s="122"/>
      <c r="D37" s="122"/>
      <c r="E37" s="1"/>
      <c r="F37" s="1"/>
      <c r="G37" s="1"/>
    </row>
    <row r="38" spans="1:7" ht="13" x14ac:dyDescent="0.3">
      <c r="A38" s="875"/>
      <c r="B38" s="870"/>
      <c r="C38" s="122"/>
      <c r="D38" s="122"/>
      <c r="E38" s="1"/>
      <c r="F38" s="1"/>
      <c r="G38" s="1"/>
    </row>
  </sheetData>
  <mergeCells count="6">
    <mergeCell ref="A38:B38"/>
    <mergeCell ref="A1:G1"/>
    <mergeCell ref="B5:G5"/>
    <mergeCell ref="B7:G7"/>
    <mergeCell ref="J8:O8"/>
    <mergeCell ref="A37:B37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37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88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826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45</v>
      </c>
      <c r="D9" s="122"/>
      <c r="E9" s="132">
        <v>122.62</v>
      </c>
      <c r="F9" s="185">
        <v>28</v>
      </c>
      <c r="G9" s="122" t="s">
        <v>615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 t="s">
        <v>515</v>
      </c>
      <c r="B12" s="10" t="s">
        <v>516</v>
      </c>
      <c r="C12" s="136" t="s">
        <v>59</v>
      </c>
      <c r="D12" s="186">
        <v>0.01</v>
      </c>
      <c r="E12" s="136">
        <f>VLOOKUP(B12,Materiales!$B$8:$D$118,3,FALSE)</f>
        <v>1213.73</v>
      </c>
      <c r="F12" s="136">
        <v>2</v>
      </c>
      <c r="G12" s="148">
        <f t="shared" ref="G12:G17" si="0">+E12*D12*1+F12</f>
        <v>14.1373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 t="s">
        <v>517</v>
      </c>
      <c r="B13" s="10" t="s">
        <v>518</v>
      </c>
      <c r="C13" s="138" t="s">
        <v>59</v>
      </c>
      <c r="D13" s="187">
        <v>1.2E-2</v>
      </c>
      <c r="E13" s="138">
        <f>VLOOKUP(B13,Materiales!$B$8:$D$118,3,FALSE)</f>
        <v>4442.2518</v>
      </c>
      <c r="F13" s="138">
        <v>2</v>
      </c>
      <c r="G13" s="137">
        <f t="shared" si="0"/>
        <v>55.307021599999999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83" t="s">
        <v>508</v>
      </c>
      <c r="B14" s="10" t="s">
        <v>509</v>
      </c>
      <c r="C14" s="183" t="s">
        <v>514</v>
      </c>
      <c r="D14" s="189">
        <v>0.33</v>
      </c>
      <c r="E14" s="183">
        <f>VLOOKUP(B14,Materiales!$B$8:$D$118,3,FALSE)</f>
        <v>26322.68</v>
      </c>
      <c r="F14" s="138">
        <v>5</v>
      </c>
      <c r="G14" s="137">
        <f t="shared" si="0"/>
        <v>8691.4844000000012</v>
      </c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83" t="s">
        <v>821</v>
      </c>
      <c r="B15" s="183" t="s">
        <v>822</v>
      </c>
      <c r="C15" s="183" t="s">
        <v>59</v>
      </c>
      <c r="D15" s="184">
        <v>1.25E-3</v>
      </c>
      <c r="E15" s="183" t="e">
        <f>VLOOKUP(B15,Materiales!$B$8:$D$118,3,FALSE)</f>
        <v>#N/A</v>
      </c>
      <c r="F15" s="138">
        <v>0</v>
      </c>
      <c r="G15" s="137" t="e">
        <f t="shared" si="0"/>
        <v>#N/A</v>
      </c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8" t="s">
        <v>505</v>
      </c>
      <c r="B16" s="138" t="s">
        <v>506</v>
      </c>
      <c r="C16" s="138" t="s">
        <v>507</v>
      </c>
      <c r="D16" s="155">
        <v>0.125</v>
      </c>
      <c r="E16" s="138">
        <f>VLOOKUP(B16,Materiales!$B$8:$D$118,3,FALSE)</f>
        <v>2130.1681250000001</v>
      </c>
      <c r="F16" s="138">
        <v>5</v>
      </c>
      <c r="G16" s="137">
        <f t="shared" si="0"/>
        <v>271.27101562500002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38" t="s">
        <v>806</v>
      </c>
      <c r="B17" s="138" t="s">
        <v>807</v>
      </c>
      <c r="C17" s="138" t="s">
        <v>522</v>
      </c>
      <c r="D17" s="155">
        <v>1.2500000000000001E-2</v>
      </c>
      <c r="E17" s="138">
        <f>VLOOKUP(B17,Materiales!$B$8:$D$118,3,FALSE)</f>
        <v>2302.02</v>
      </c>
      <c r="F17" s="138">
        <v>15</v>
      </c>
      <c r="G17" s="137">
        <f t="shared" si="0"/>
        <v>43.77525</v>
      </c>
    </row>
    <row r="18" spans="1:7" ht="13" x14ac:dyDescent="0.3">
      <c r="A18" s="139"/>
      <c r="B18" s="139"/>
      <c r="C18" s="139"/>
      <c r="D18" s="139"/>
      <c r="E18" s="140"/>
      <c r="F18" s="141" t="s">
        <v>598</v>
      </c>
      <c r="G18" s="142" t="e">
        <f>SUM(G12:G17)</f>
        <v>#N/A</v>
      </c>
    </row>
    <row r="19" spans="1:7" ht="13" x14ac:dyDescent="0.3">
      <c r="A19" s="122"/>
      <c r="B19" s="122"/>
      <c r="C19" s="122"/>
      <c r="D19" s="193"/>
      <c r="E19" s="143"/>
      <c r="F19" s="144" t="s">
        <v>9</v>
      </c>
      <c r="G19" s="145" t="e">
        <f>+G18</f>
        <v>#N/A</v>
      </c>
    </row>
    <row r="20" spans="1:7" ht="13" x14ac:dyDescent="0.3">
      <c r="A20" s="128" t="s">
        <v>599</v>
      </c>
      <c r="B20" s="122"/>
      <c r="C20" s="122"/>
      <c r="D20" s="193"/>
      <c r="E20" s="122"/>
      <c r="F20" s="122"/>
      <c r="G20" s="122"/>
    </row>
    <row r="21" spans="1:7" ht="13" x14ac:dyDescent="0.3">
      <c r="A21" s="133" t="s">
        <v>79</v>
      </c>
      <c r="B21" s="134" t="s">
        <v>591</v>
      </c>
      <c r="C21" s="134"/>
      <c r="D21" s="194" t="s">
        <v>593</v>
      </c>
      <c r="E21" s="134" t="s">
        <v>600</v>
      </c>
      <c r="F21" s="134" t="s">
        <v>808</v>
      </c>
      <c r="G21" s="135" t="s">
        <v>596</v>
      </c>
    </row>
    <row r="22" spans="1:7" ht="13" x14ac:dyDescent="0.3">
      <c r="A22" s="136" t="s">
        <v>150</v>
      </c>
      <c r="B22" s="122" t="s">
        <v>825</v>
      </c>
      <c r="C22" s="146"/>
      <c r="D22" s="147">
        <v>1</v>
      </c>
      <c r="E22" s="136" t="e">
        <f>VLOOKUP(B22,'Rend. Equipos'!$B$7:$E$222,2,FALSE)</f>
        <v>#N/A</v>
      </c>
      <c r="F22" s="147">
        <v>0.02</v>
      </c>
      <c r="G22" s="137" t="e">
        <f>+E22*D22*F22</f>
        <v>#N/A</v>
      </c>
    </row>
    <row r="23" spans="1:7" ht="13" x14ac:dyDescent="0.3">
      <c r="A23" s="139"/>
      <c r="B23" s="139"/>
      <c r="C23" s="139"/>
      <c r="D23" s="139"/>
      <c r="E23" s="140"/>
      <c r="F23" s="141" t="s">
        <v>602</v>
      </c>
      <c r="G23" s="142" t="e">
        <f>SUM(G22:G22)</f>
        <v>#N/A</v>
      </c>
    </row>
    <row r="24" spans="1:7" ht="13" x14ac:dyDescent="0.3">
      <c r="A24" s="122"/>
      <c r="B24" s="122"/>
      <c r="C24" s="122"/>
      <c r="D24" s="122"/>
      <c r="E24" s="143"/>
      <c r="F24" s="144" t="s">
        <v>11</v>
      </c>
      <c r="G24" s="156" t="e">
        <f>+G23/F9</f>
        <v>#N/A</v>
      </c>
    </row>
    <row r="25" spans="1:7" ht="13" x14ac:dyDescent="0.3">
      <c r="A25" s="128" t="s">
        <v>603</v>
      </c>
      <c r="B25" s="122"/>
      <c r="C25" s="122"/>
      <c r="D25" s="122"/>
      <c r="E25" s="122"/>
      <c r="F25" s="122"/>
      <c r="G25" s="122"/>
    </row>
    <row r="26" spans="1:7" ht="13" x14ac:dyDescent="0.3">
      <c r="A26" s="133" t="s">
        <v>79</v>
      </c>
      <c r="B26" s="134" t="s">
        <v>591</v>
      </c>
      <c r="C26" s="134"/>
      <c r="D26" s="194" t="s">
        <v>593</v>
      </c>
      <c r="E26" s="134" t="s">
        <v>604</v>
      </c>
      <c r="F26" s="134"/>
      <c r="G26" s="135" t="s">
        <v>596</v>
      </c>
    </row>
    <row r="27" spans="1:7" ht="13" x14ac:dyDescent="0.3">
      <c r="A27" s="136" t="s">
        <v>235</v>
      </c>
      <c r="B27" s="122" t="s">
        <v>236</v>
      </c>
      <c r="C27" s="146"/>
      <c r="D27" s="190">
        <v>1</v>
      </c>
      <c r="E27" s="122">
        <f>VLOOKUP(B27,'Mano de Obra'!$B$8:$C$100,2,FALSE)</f>
        <v>60860.580776571966</v>
      </c>
      <c r="F27" s="146"/>
      <c r="G27" s="148">
        <f>+E27*D27</f>
        <v>60860.580776571966</v>
      </c>
    </row>
    <row r="28" spans="1:7" ht="13" x14ac:dyDescent="0.3">
      <c r="A28" s="138" t="s">
        <v>259</v>
      </c>
      <c r="B28" s="122" t="s">
        <v>260</v>
      </c>
      <c r="C28" s="149"/>
      <c r="D28" s="191">
        <v>1</v>
      </c>
      <c r="E28" s="122">
        <f>VLOOKUP(B28,'Mano de Obra'!$B$8:$C$100,2,FALSE)</f>
        <v>85927.097156571981</v>
      </c>
      <c r="F28" s="149"/>
      <c r="G28" s="137">
        <f>+E28*D28</f>
        <v>85927.097156571981</v>
      </c>
    </row>
    <row r="29" spans="1:7" ht="13" x14ac:dyDescent="0.3">
      <c r="A29" s="138" t="s">
        <v>248</v>
      </c>
      <c r="B29" s="122" t="s">
        <v>249</v>
      </c>
      <c r="C29" s="149"/>
      <c r="D29" s="150">
        <v>1</v>
      </c>
      <c r="E29" s="122">
        <f>VLOOKUP(B29,'Mano de Obra'!$B$8:$C$100,2,FALSE)</f>
        <v>65493.071636571978</v>
      </c>
      <c r="F29" s="149"/>
      <c r="G29" s="137">
        <f>+E29*D29</f>
        <v>65493.071636571978</v>
      </c>
    </row>
    <row r="30" spans="1:7" ht="13" x14ac:dyDescent="0.3">
      <c r="A30" s="139"/>
      <c r="B30" s="139"/>
      <c r="C30" s="139"/>
      <c r="D30" s="139"/>
      <c r="E30" s="151"/>
      <c r="F30" s="152" t="s">
        <v>606</v>
      </c>
      <c r="G30" s="153">
        <f>SUM(G27:G29)</f>
        <v>212280.74956971593</v>
      </c>
    </row>
    <row r="31" spans="1:7" ht="13" x14ac:dyDescent="0.3">
      <c r="A31" s="122"/>
      <c r="B31" s="122"/>
      <c r="C31" s="122"/>
      <c r="D31" s="122"/>
      <c r="E31" s="122"/>
      <c r="F31" s="123" t="s">
        <v>607</v>
      </c>
      <c r="G31" s="130">
        <v>1</v>
      </c>
    </row>
    <row r="32" spans="1:7" ht="13" x14ac:dyDescent="0.3">
      <c r="A32" s="122"/>
      <c r="B32" s="122"/>
      <c r="C32" s="122"/>
      <c r="D32" s="122"/>
      <c r="E32" s="122"/>
      <c r="F32" s="123" t="s">
        <v>608</v>
      </c>
      <c r="G32" s="130">
        <f>+G31*G30</f>
        <v>212280.74956971593</v>
      </c>
    </row>
    <row r="33" spans="1:7" ht="13" x14ac:dyDescent="0.3">
      <c r="A33" s="122"/>
      <c r="B33" s="122"/>
      <c r="C33" s="122"/>
      <c r="D33" s="122"/>
      <c r="E33" s="122"/>
      <c r="F33" s="123" t="s">
        <v>10</v>
      </c>
      <c r="G33" s="130">
        <f>+G32/F9</f>
        <v>7581.4553417755687</v>
      </c>
    </row>
    <row r="34" spans="1:7" ht="13" x14ac:dyDescent="0.3">
      <c r="A34" s="122"/>
      <c r="B34" s="122"/>
      <c r="C34" s="122"/>
      <c r="D34" s="122"/>
      <c r="E34" s="122"/>
      <c r="F34" s="123" t="s">
        <v>609</v>
      </c>
      <c r="G34" s="130" t="e">
        <f>+G33+G24+G19</f>
        <v>#N/A</v>
      </c>
    </row>
    <row r="35" spans="1:7" ht="13" x14ac:dyDescent="0.3">
      <c r="A35" s="122"/>
      <c r="B35" s="122"/>
      <c r="C35" s="122"/>
      <c r="D35" s="122"/>
      <c r="E35" s="123" t="s">
        <v>610</v>
      </c>
      <c r="F35" s="198">
        <f>+RESUMEN!$I$2</f>
        <v>0</v>
      </c>
      <c r="G35" s="130">
        <f>IF(F35=0,0,F35*G34)</f>
        <v>0</v>
      </c>
    </row>
    <row r="36" spans="1:7" ht="13" x14ac:dyDescent="0.3">
      <c r="A36" s="122"/>
      <c r="B36" s="122"/>
      <c r="C36" s="122"/>
      <c r="D36" s="122"/>
      <c r="E36" s="123" t="s">
        <v>611</v>
      </c>
      <c r="F36" s="198">
        <f>+RESUMEN!$I$3</f>
        <v>0</v>
      </c>
      <c r="G36" s="130">
        <f>IF(F36=0,0,F36*G34)</f>
        <v>0</v>
      </c>
    </row>
    <row r="37" spans="1:7" ht="13" x14ac:dyDescent="0.3">
      <c r="A37" s="122"/>
      <c r="B37" s="122"/>
      <c r="C37" s="122"/>
      <c r="D37" s="122"/>
      <c r="E37" s="151"/>
      <c r="F37" s="152" t="s">
        <v>612</v>
      </c>
      <c r="G37" s="154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37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89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827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45</v>
      </c>
      <c r="D9" s="122"/>
      <c r="E9" s="132">
        <v>73.2</v>
      </c>
      <c r="F9" s="185">
        <v>25</v>
      </c>
      <c r="G9" s="122" t="s">
        <v>615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 t="s">
        <v>515</v>
      </c>
      <c r="B12" s="10" t="s">
        <v>516</v>
      </c>
      <c r="C12" s="136" t="s">
        <v>59</v>
      </c>
      <c r="D12" s="186">
        <v>0.01</v>
      </c>
      <c r="E12" s="136">
        <f>VLOOKUP(B12,Materiales!$B$8:$D$118,3,FALSE)</f>
        <v>1213.73</v>
      </c>
      <c r="F12" s="136">
        <v>2</v>
      </c>
      <c r="G12" s="148">
        <f t="shared" ref="G12:G17" si="0">+E12*D12*1+F12</f>
        <v>14.1373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 t="s">
        <v>517</v>
      </c>
      <c r="B13" s="10" t="s">
        <v>518</v>
      </c>
      <c r="C13" s="138" t="s">
        <v>59</v>
      </c>
      <c r="D13" s="187">
        <v>1.2E-2</v>
      </c>
      <c r="E13" s="138">
        <f>VLOOKUP(B13,Materiales!$B$8:$D$118,3,FALSE)</f>
        <v>4442.2518</v>
      </c>
      <c r="F13" s="138">
        <v>2</v>
      </c>
      <c r="G13" s="137">
        <f t="shared" si="0"/>
        <v>55.307021599999999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83" t="s">
        <v>508</v>
      </c>
      <c r="B14" s="10" t="s">
        <v>509</v>
      </c>
      <c r="C14" s="183" t="s">
        <v>514</v>
      </c>
      <c r="D14" s="189">
        <v>0.33</v>
      </c>
      <c r="E14" s="183">
        <f>VLOOKUP(B14,Materiales!$B$8:$D$118,3,FALSE)</f>
        <v>26322.68</v>
      </c>
      <c r="F14" s="138">
        <v>5</v>
      </c>
      <c r="G14" s="137">
        <f t="shared" si="0"/>
        <v>8691.4844000000012</v>
      </c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83" t="s">
        <v>821</v>
      </c>
      <c r="B15" s="183" t="s">
        <v>822</v>
      </c>
      <c r="C15" s="183" t="s">
        <v>59</v>
      </c>
      <c r="D15" s="184">
        <v>1.25E-3</v>
      </c>
      <c r="E15" s="183" t="e">
        <f>VLOOKUP(B15,Materiales!$B$8:$D$118,3,FALSE)</f>
        <v>#N/A</v>
      </c>
      <c r="F15" s="138">
        <v>0</v>
      </c>
      <c r="G15" s="137" t="e">
        <f t="shared" si="0"/>
        <v>#N/A</v>
      </c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8" t="s">
        <v>505</v>
      </c>
      <c r="B16" s="138" t="s">
        <v>506</v>
      </c>
      <c r="C16" s="138" t="s">
        <v>507</v>
      </c>
      <c r="D16" s="155">
        <v>0.125</v>
      </c>
      <c r="E16" s="138">
        <f>VLOOKUP(B16,Materiales!$B$8:$D$118,3,FALSE)</f>
        <v>2130.1681250000001</v>
      </c>
      <c r="F16" s="138">
        <v>5</v>
      </c>
      <c r="G16" s="137">
        <f t="shared" si="0"/>
        <v>271.27101562500002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38" t="s">
        <v>806</v>
      </c>
      <c r="B17" s="138" t="s">
        <v>807</v>
      </c>
      <c r="C17" s="138" t="s">
        <v>522</v>
      </c>
      <c r="D17" s="155">
        <v>1.2500000000000001E-2</v>
      </c>
      <c r="E17" s="138">
        <f>VLOOKUP(B17,Materiales!$B$8:$D$118,3,FALSE)</f>
        <v>2302.02</v>
      </c>
      <c r="F17" s="138">
        <v>15</v>
      </c>
      <c r="G17" s="137">
        <f t="shared" si="0"/>
        <v>43.77525</v>
      </c>
    </row>
    <row r="18" spans="1:7" ht="13" x14ac:dyDescent="0.3">
      <c r="A18" s="139"/>
      <c r="B18" s="139"/>
      <c r="C18" s="139"/>
      <c r="D18" s="139"/>
      <c r="E18" s="140"/>
      <c r="F18" s="141" t="s">
        <v>598</v>
      </c>
      <c r="G18" s="142" t="e">
        <f>SUM(G12:G17)</f>
        <v>#N/A</v>
      </c>
    </row>
    <row r="19" spans="1:7" ht="13" x14ac:dyDescent="0.3">
      <c r="A19" s="122"/>
      <c r="B19" s="122"/>
      <c r="C19" s="122"/>
      <c r="D19" s="193"/>
      <c r="E19" s="143"/>
      <c r="F19" s="144" t="s">
        <v>9</v>
      </c>
      <c r="G19" s="145" t="e">
        <f>+G18</f>
        <v>#N/A</v>
      </c>
    </row>
    <row r="20" spans="1:7" ht="13" x14ac:dyDescent="0.3">
      <c r="A20" s="128" t="s">
        <v>599</v>
      </c>
      <c r="B20" s="122"/>
      <c r="C20" s="122"/>
      <c r="D20" s="193"/>
      <c r="E20" s="122"/>
      <c r="F20" s="122"/>
      <c r="G20" s="122"/>
    </row>
    <row r="21" spans="1:7" ht="13" x14ac:dyDescent="0.3">
      <c r="A21" s="133" t="s">
        <v>79</v>
      </c>
      <c r="B21" s="134" t="s">
        <v>591</v>
      </c>
      <c r="C21" s="134"/>
      <c r="D21" s="194" t="s">
        <v>593</v>
      </c>
      <c r="E21" s="134" t="s">
        <v>600</v>
      </c>
      <c r="F21" s="134" t="s">
        <v>808</v>
      </c>
      <c r="G21" s="135" t="s">
        <v>596</v>
      </c>
    </row>
    <row r="22" spans="1:7" ht="13" x14ac:dyDescent="0.3">
      <c r="A22" s="136" t="s">
        <v>150</v>
      </c>
      <c r="B22" s="122" t="s">
        <v>825</v>
      </c>
      <c r="C22" s="146"/>
      <c r="D22" s="147">
        <v>1</v>
      </c>
      <c r="E22" s="136" t="e">
        <f>VLOOKUP(B22,'Rend. Equipos'!$B$7:$E$222,2,FALSE)</f>
        <v>#N/A</v>
      </c>
      <c r="F22" s="147">
        <v>0.02</v>
      </c>
      <c r="G22" s="137" t="e">
        <f>+E22*D22*F22</f>
        <v>#N/A</v>
      </c>
    </row>
    <row r="23" spans="1:7" ht="13" x14ac:dyDescent="0.3">
      <c r="A23" s="139"/>
      <c r="B23" s="139"/>
      <c r="C23" s="139"/>
      <c r="D23" s="139"/>
      <c r="E23" s="140"/>
      <c r="F23" s="141" t="s">
        <v>602</v>
      </c>
      <c r="G23" s="142" t="e">
        <f>SUM(G22:G22)</f>
        <v>#N/A</v>
      </c>
    </row>
    <row r="24" spans="1:7" ht="13" x14ac:dyDescent="0.3">
      <c r="A24" s="122"/>
      <c r="B24" s="122"/>
      <c r="C24" s="122"/>
      <c r="D24" s="122"/>
      <c r="E24" s="143"/>
      <c r="F24" s="144" t="s">
        <v>11</v>
      </c>
      <c r="G24" s="156" t="e">
        <f>+G23/F9</f>
        <v>#N/A</v>
      </c>
    </row>
    <row r="25" spans="1:7" ht="13" x14ac:dyDescent="0.3">
      <c r="A25" s="128" t="s">
        <v>603</v>
      </c>
      <c r="B25" s="122"/>
      <c r="C25" s="122"/>
      <c r="D25" s="122"/>
      <c r="E25" s="122"/>
      <c r="F25" s="122"/>
      <c r="G25" s="122"/>
    </row>
    <row r="26" spans="1:7" ht="13" x14ac:dyDescent="0.3">
      <c r="A26" s="133" t="s">
        <v>79</v>
      </c>
      <c r="B26" s="134" t="s">
        <v>591</v>
      </c>
      <c r="C26" s="134"/>
      <c r="D26" s="194" t="s">
        <v>593</v>
      </c>
      <c r="E26" s="134" t="s">
        <v>604</v>
      </c>
      <c r="F26" s="134"/>
      <c r="G26" s="135" t="s">
        <v>596</v>
      </c>
    </row>
    <row r="27" spans="1:7" ht="13" x14ac:dyDescent="0.3">
      <c r="A27" s="136" t="s">
        <v>235</v>
      </c>
      <c r="B27" s="122" t="s">
        <v>236</v>
      </c>
      <c r="C27" s="146"/>
      <c r="D27" s="190">
        <v>1</v>
      </c>
      <c r="E27" s="122">
        <f>VLOOKUP(B27,'Mano de Obra'!$B$8:$C$100,2,FALSE)</f>
        <v>60860.580776571966</v>
      </c>
      <c r="F27" s="146"/>
      <c r="G27" s="148">
        <f>+E27*D27</f>
        <v>60860.580776571966</v>
      </c>
    </row>
    <row r="28" spans="1:7" ht="13" x14ac:dyDescent="0.3">
      <c r="A28" s="138" t="s">
        <v>259</v>
      </c>
      <c r="B28" s="122" t="s">
        <v>260</v>
      </c>
      <c r="C28" s="149"/>
      <c r="D28" s="191">
        <v>1</v>
      </c>
      <c r="E28" s="122">
        <f>VLOOKUP(B28,'Mano de Obra'!$B$8:$C$100,2,FALSE)</f>
        <v>85927.097156571981</v>
      </c>
      <c r="F28" s="149"/>
      <c r="G28" s="137">
        <f>+E28*D28</f>
        <v>85927.097156571981</v>
      </c>
    </row>
    <row r="29" spans="1:7" ht="13" x14ac:dyDescent="0.3">
      <c r="A29" s="138" t="s">
        <v>248</v>
      </c>
      <c r="B29" s="122" t="s">
        <v>249</v>
      </c>
      <c r="C29" s="149"/>
      <c r="D29" s="150">
        <v>1</v>
      </c>
      <c r="E29" s="122">
        <f>VLOOKUP(B29,'Mano de Obra'!$B$8:$C$100,2,FALSE)</f>
        <v>65493.071636571978</v>
      </c>
      <c r="F29" s="149"/>
      <c r="G29" s="137">
        <f>+E29*D29</f>
        <v>65493.071636571978</v>
      </c>
    </row>
    <row r="30" spans="1:7" ht="13" x14ac:dyDescent="0.3">
      <c r="A30" s="139"/>
      <c r="B30" s="139"/>
      <c r="C30" s="139"/>
      <c r="D30" s="139"/>
      <c r="E30" s="151"/>
      <c r="F30" s="152" t="s">
        <v>606</v>
      </c>
      <c r="G30" s="153">
        <f>SUM(G27:G29)</f>
        <v>212280.74956971593</v>
      </c>
    </row>
    <row r="31" spans="1:7" ht="13" x14ac:dyDescent="0.3">
      <c r="A31" s="122"/>
      <c r="B31" s="122"/>
      <c r="C31" s="122"/>
      <c r="D31" s="122"/>
      <c r="E31" s="122"/>
      <c r="F31" s="123" t="s">
        <v>607</v>
      </c>
      <c r="G31" s="130">
        <v>1</v>
      </c>
    </row>
    <row r="32" spans="1:7" ht="13" x14ac:dyDescent="0.3">
      <c r="A32" s="122"/>
      <c r="B32" s="122"/>
      <c r="C32" s="122"/>
      <c r="D32" s="122"/>
      <c r="E32" s="122"/>
      <c r="F32" s="123" t="s">
        <v>608</v>
      </c>
      <c r="G32" s="130">
        <f>+G31*G30</f>
        <v>212280.74956971593</v>
      </c>
    </row>
    <row r="33" spans="1:7" ht="13" x14ac:dyDescent="0.3">
      <c r="A33" s="122"/>
      <c r="B33" s="122"/>
      <c r="C33" s="122"/>
      <c r="D33" s="122"/>
      <c r="E33" s="122"/>
      <c r="F33" s="123" t="s">
        <v>10</v>
      </c>
      <c r="G33" s="130">
        <f>+G32/F9</f>
        <v>8491.2299827886382</v>
      </c>
    </row>
    <row r="34" spans="1:7" ht="13" x14ac:dyDescent="0.3">
      <c r="A34" s="122"/>
      <c r="B34" s="122"/>
      <c r="C34" s="122"/>
      <c r="D34" s="122"/>
      <c r="E34" s="122"/>
      <c r="F34" s="123" t="s">
        <v>609</v>
      </c>
      <c r="G34" s="130" t="e">
        <f>+G33+G24+G19</f>
        <v>#N/A</v>
      </c>
    </row>
    <row r="35" spans="1:7" ht="13" x14ac:dyDescent="0.3">
      <c r="A35" s="122"/>
      <c r="B35" s="122"/>
      <c r="C35" s="122"/>
      <c r="D35" s="122"/>
      <c r="E35" s="123" t="s">
        <v>610</v>
      </c>
      <c r="F35" s="198">
        <f>+RESUMEN!$I$2</f>
        <v>0</v>
      </c>
      <c r="G35" s="130">
        <f>IF(F35=0,0,F35*G34)</f>
        <v>0</v>
      </c>
    </row>
    <row r="36" spans="1:7" ht="13" x14ac:dyDescent="0.3">
      <c r="A36" s="122"/>
      <c r="B36" s="122"/>
      <c r="C36" s="122"/>
      <c r="D36" s="122"/>
      <c r="E36" s="123" t="s">
        <v>611</v>
      </c>
      <c r="F36" s="198">
        <f>+RESUMEN!$I$3</f>
        <v>0</v>
      </c>
      <c r="G36" s="130">
        <f>IF(F36=0,0,F36*G34)</f>
        <v>0</v>
      </c>
    </row>
    <row r="37" spans="1:7" ht="13" x14ac:dyDescent="0.3">
      <c r="A37" s="122"/>
      <c r="B37" s="122"/>
      <c r="C37" s="122"/>
      <c r="D37" s="122"/>
      <c r="E37" s="151"/>
      <c r="F37" s="152" t="s">
        <v>612</v>
      </c>
      <c r="G37" s="154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37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90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828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45</v>
      </c>
      <c r="D9" s="122"/>
      <c r="E9" s="132">
        <v>807.12</v>
      </c>
      <c r="F9" s="185">
        <v>28</v>
      </c>
      <c r="G9" s="122" t="s">
        <v>615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 t="s">
        <v>515</v>
      </c>
      <c r="B12" s="10" t="s">
        <v>516</v>
      </c>
      <c r="C12" s="136" t="s">
        <v>59</v>
      </c>
      <c r="D12" s="186">
        <v>0.01</v>
      </c>
      <c r="E12" s="136">
        <f>VLOOKUP(B12,Materiales!$B$8:$D$118,3,FALSE)</f>
        <v>1213.73</v>
      </c>
      <c r="F12" s="136">
        <v>2</v>
      </c>
      <c r="G12" s="148">
        <f t="shared" ref="G12:G17" si="0">+E12*D12*1+F12</f>
        <v>14.1373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 t="s">
        <v>512</v>
      </c>
      <c r="B13" s="138" t="s">
        <v>513</v>
      </c>
      <c r="C13" s="138" t="s">
        <v>514</v>
      </c>
      <c r="D13" s="187">
        <v>0.5</v>
      </c>
      <c r="E13" s="138">
        <f>VLOOKUP(B13,Materiales!$B$8:$D$118,3,FALSE)</f>
        <v>51752.74</v>
      </c>
      <c r="F13" s="138">
        <v>2</v>
      </c>
      <c r="G13" s="137">
        <f t="shared" si="0"/>
        <v>25878.37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38" t="s">
        <v>517</v>
      </c>
      <c r="B14" s="10" t="s">
        <v>518</v>
      </c>
      <c r="C14" s="138" t="s">
        <v>59</v>
      </c>
      <c r="D14" s="187">
        <v>1.2E-2</v>
      </c>
      <c r="E14" s="138">
        <f>VLOOKUP(B14,Materiales!$B$8:$D$118,3,FALSE)</f>
        <v>4442.2518</v>
      </c>
      <c r="F14" s="138">
        <v>5</v>
      </c>
      <c r="G14" s="137">
        <f t="shared" si="0"/>
        <v>58.307021599999999</v>
      </c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83" t="s">
        <v>821</v>
      </c>
      <c r="B15" s="183" t="s">
        <v>822</v>
      </c>
      <c r="C15" s="183" t="s">
        <v>59</v>
      </c>
      <c r="D15" s="184">
        <v>1.25E-3</v>
      </c>
      <c r="E15" s="183" t="e">
        <f>VLOOKUP(B15,Materiales!$B$8:$D$118,3,FALSE)</f>
        <v>#N/A</v>
      </c>
      <c r="F15" s="138">
        <v>0</v>
      </c>
      <c r="G15" s="137" t="e">
        <f t="shared" si="0"/>
        <v>#N/A</v>
      </c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8" t="s">
        <v>505</v>
      </c>
      <c r="B16" s="138" t="s">
        <v>506</v>
      </c>
      <c r="C16" s="138" t="s">
        <v>507</v>
      </c>
      <c r="D16" s="155">
        <v>0.125</v>
      </c>
      <c r="E16" s="138">
        <f>VLOOKUP(B16,Materiales!$B$8:$D$118,3,FALSE)</f>
        <v>2130.1681250000001</v>
      </c>
      <c r="F16" s="138">
        <v>5</v>
      </c>
      <c r="G16" s="137">
        <f t="shared" si="0"/>
        <v>271.27101562500002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38" t="s">
        <v>806</v>
      </c>
      <c r="B17" s="138" t="s">
        <v>807</v>
      </c>
      <c r="C17" s="138" t="s">
        <v>522</v>
      </c>
      <c r="D17" s="155">
        <v>1.2500000000000001E-2</v>
      </c>
      <c r="E17" s="138">
        <f>VLOOKUP(B17,Materiales!$B$8:$D$118,3,FALSE)</f>
        <v>2302.02</v>
      </c>
      <c r="F17" s="138">
        <v>15</v>
      </c>
      <c r="G17" s="137">
        <f t="shared" si="0"/>
        <v>43.77525</v>
      </c>
    </row>
    <row r="18" spans="1:7" ht="13" x14ac:dyDescent="0.3">
      <c r="A18" s="139"/>
      <c r="B18" s="139"/>
      <c r="C18" s="139"/>
      <c r="D18" s="139"/>
      <c r="E18" s="140"/>
      <c r="F18" s="141" t="s">
        <v>598</v>
      </c>
      <c r="G18" s="142" t="e">
        <f>SUM(G12:G17)</f>
        <v>#N/A</v>
      </c>
    </row>
    <row r="19" spans="1:7" ht="13" x14ac:dyDescent="0.3">
      <c r="A19" s="122"/>
      <c r="B19" s="122"/>
      <c r="C19" s="122"/>
      <c r="D19" s="193"/>
      <c r="E19" s="143"/>
      <c r="F19" s="144" t="s">
        <v>9</v>
      </c>
      <c r="G19" s="145" t="e">
        <f>+G18</f>
        <v>#N/A</v>
      </c>
    </row>
    <row r="20" spans="1:7" ht="13" x14ac:dyDescent="0.3">
      <c r="A20" s="128" t="s">
        <v>599</v>
      </c>
      <c r="B20" s="122"/>
      <c r="C20" s="122"/>
      <c r="D20" s="193"/>
      <c r="E20" s="122"/>
      <c r="F20" s="122"/>
      <c r="G20" s="122"/>
    </row>
    <row r="21" spans="1:7" ht="13" x14ac:dyDescent="0.3">
      <c r="A21" s="133" t="s">
        <v>79</v>
      </c>
      <c r="B21" s="134" t="s">
        <v>591</v>
      </c>
      <c r="C21" s="134"/>
      <c r="D21" s="194" t="s">
        <v>593</v>
      </c>
      <c r="E21" s="134" t="s">
        <v>600</v>
      </c>
      <c r="F21" s="134" t="s">
        <v>808</v>
      </c>
      <c r="G21" s="135" t="s">
        <v>596</v>
      </c>
    </row>
    <row r="22" spans="1:7" ht="13" x14ac:dyDescent="0.3">
      <c r="A22" s="136" t="s">
        <v>150</v>
      </c>
      <c r="B22" s="122" t="s">
        <v>825</v>
      </c>
      <c r="C22" s="146"/>
      <c r="D22" s="147">
        <v>1</v>
      </c>
      <c r="E22" s="136" t="e">
        <f>VLOOKUP(B22,'Rend. Equipos'!$B$7:$E$222,2,FALSE)</f>
        <v>#N/A</v>
      </c>
      <c r="F22" s="147">
        <v>0.02</v>
      </c>
      <c r="G22" s="137" t="e">
        <f>+E22*D22*F22</f>
        <v>#N/A</v>
      </c>
    </row>
    <row r="23" spans="1:7" ht="13" x14ac:dyDescent="0.3">
      <c r="A23" s="139"/>
      <c r="B23" s="139"/>
      <c r="C23" s="139"/>
      <c r="D23" s="139"/>
      <c r="E23" s="140"/>
      <c r="F23" s="141" t="s">
        <v>602</v>
      </c>
      <c r="G23" s="142" t="e">
        <f>SUM(G22:G22)</f>
        <v>#N/A</v>
      </c>
    </row>
    <row r="24" spans="1:7" ht="13" x14ac:dyDescent="0.3">
      <c r="A24" s="122"/>
      <c r="B24" s="122"/>
      <c r="C24" s="122"/>
      <c r="D24" s="122"/>
      <c r="E24" s="143"/>
      <c r="F24" s="144" t="s">
        <v>11</v>
      </c>
      <c r="G24" s="156" t="e">
        <f>+G23/F9</f>
        <v>#N/A</v>
      </c>
    </row>
    <row r="25" spans="1:7" ht="13" x14ac:dyDescent="0.3">
      <c r="A25" s="128" t="s">
        <v>603</v>
      </c>
      <c r="B25" s="122"/>
      <c r="C25" s="122"/>
      <c r="D25" s="122"/>
      <c r="E25" s="122"/>
      <c r="F25" s="122"/>
      <c r="G25" s="122"/>
    </row>
    <row r="26" spans="1:7" ht="13" x14ac:dyDescent="0.3">
      <c r="A26" s="133" t="s">
        <v>79</v>
      </c>
      <c r="B26" s="134" t="s">
        <v>591</v>
      </c>
      <c r="C26" s="134"/>
      <c r="D26" s="194" t="s">
        <v>593</v>
      </c>
      <c r="E26" s="134" t="s">
        <v>604</v>
      </c>
      <c r="F26" s="134"/>
      <c r="G26" s="135" t="s">
        <v>596</v>
      </c>
    </row>
    <row r="27" spans="1:7" ht="13" x14ac:dyDescent="0.3">
      <c r="A27" s="136" t="s">
        <v>235</v>
      </c>
      <c r="B27" s="122" t="s">
        <v>236</v>
      </c>
      <c r="C27" s="146"/>
      <c r="D27" s="190">
        <v>1</v>
      </c>
      <c r="E27" s="122">
        <f>VLOOKUP(B27,'Mano de Obra'!$B$8:$C$100,2,FALSE)</f>
        <v>60860.580776571966</v>
      </c>
      <c r="F27" s="146"/>
      <c r="G27" s="148">
        <f>+E27*D27</f>
        <v>60860.580776571966</v>
      </c>
    </row>
    <row r="28" spans="1:7" ht="13" x14ac:dyDescent="0.3">
      <c r="A28" s="138" t="s">
        <v>259</v>
      </c>
      <c r="B28" s="122" t="s">
        <v>260</v>
      </c>
      <c r="C28" s="149"/>
      <c r="D28" s="191">
        <v>1</v>
      </c>
      <c r="E28" s="122">
        <f>VLOOKUP(B28,'Mano de Obra'!$B$8:$C$100,2,FALSE)</f>
        <v>85927.097156571981</v>
      </c>
      <c r="F28" s="149"/>
      <c r="G28" s="137">
        <f>+E28*D28</f>
        <v>85927.097156571981</v>
      </c>
    </row>
    <row r="29" spans="1:7" ht="13" x14ac:dyDescent="0.3">
      <c r="A29" s="138" t="s">
        <v>248</v>
      </c>
      <c r="B29" s="122" t="s">
        <v>249</v>
      </c>
      <c r="C29" s="149"/>
      <c r="D29" s="150">
        <v>1</v>
      </c>
      <c r="E29" s="122">
        <f>VLOOKUP(B29,'Mano de Obra'!$B$8:$C$100,2,FALSE)</f>
        <v>65493.071636571978</v>
      </c>
      <c r="F29" s="149"/>
      <c r="G29" s="137">
        <f>+E29*D29</f>
        <v>65493.071636571978</v>
      </c>
    </row>
    <row r="30" spans="1:7" ht="13" x14ac:dyDescent="0.3">
      <c r="A30" s="139"/>
      <c r="B30" s="139"/>
      <c r="C30" s="139"/>
      <c r="D30" s="139"/>
      <c r="E30" s="151"/>
      <c r="F30" s="152" t="s">
        <v>606</v>
      </c>
      <c r="G30" s="153">
        <f>SUM(G27:G29)</f>
        <v>212280.74956971593</v>
      </c>
    </row>
    <row r="31" spans="1:7" ht="13" x14ac:dyDescent="0.3">
      <c r="A31" s="122"/>
      <c r="B31" s="122"/>
      <c r="C31" s="122"/>
      <c r="D31" s="122"/>
      <c r="E31" s="122"/>
      <c r="F31" s="123" t="s">
        <v>607</v>
      </c>
      <c r="G31" s="130">
        <v>1</v>
      </c>
    </row>
    <row r="32" spans="1:7" ht="13" x14ac:dyDescent="0.3">
      <c r="A32" s="122"/>
      <c r="B32" s="122"/>
      <c r="C32" s="122"/>
      <c r="D32" s="122"/>
      <c r="E32" s="122"/>
      <c r="F32" s="123" t="s">
        <v>608</v>
      </c>
      <c r="G32" s="130">
        <f>+G31*G30</f>
        <v>212280.74956971593</v>
      </c>
    </row>
    <row r="33" spans="1:7" ht="13" x14ac:dyDescent="0.3">
      <c r="A33" s="122"/>
      <c r="B33" s="122"/>
      <c r="C33" s="122"/>
      <c r="D33" s="122"/>
      <c r="E33" s="122"/>
      <c r="F33" s="123" t="s">
        <v>10</v>
      </c>
      <c r="G33" s="130">
        <f>+G32/F9</f>
        <v>7581.4553417755687</v>
      </c>
    </row>
    <row r="34" spans="1:7" ht="13" x14ac:dyDescent="0.3">
      <c r="A34" s="122"/>
      <c r="B34" s="122"/>
      <c r="C34" s="122"/>
      <c r="D34" s="122"/>
      <c r="E34" s="122"/>
      <c r="F34" s="123" t="s">
        <v>609</v>
      </c>
      <c r="G34" s="130" t="e">
        <f>+G33+G24+G19</f>
        <v>#N/A</v>
      </c>
    </row>
    <row r="35" spans="1:7" ht="13" x14ac:dyDescent="0.3">
      <c r="A35" s="122"/>
      <c r="B35" s="122"/>
      <c r="C35" s="122"/>
      <c r="D35" s="122"/>
      <c r="E35" s="123" t="s">
        <v>610</v>
      </c>
      <c r="F35" s="198">
        <f>+RESUMEN!$I$2</f>
        <v>0</v>
      </c>
      <c r="G35" s="130">
        <f>IF(F35=0,0,F35*G34)</f>
        <v>0</v>
      </c>
    </row>
    <row r="36" spans="1:7" ht="13" x14ac:dyDescent="0.3">
      <c r="A36" s="122"/>
      <c r="B36" s="122"/>
      <c r="C36" s="122"/>
      <c r="D36" s="122"/>
      <c r="E36" s="123" t="s">
        <v>611</v>
      </c>
      <c r="F36" s="198">
        <f>+RESUMEN!$I$3</f>
        <v>0</v>
      </c>
      <c r="G36" s="130">
        <f>IF(F36=0,0,F36*G34)</f>
        <v>0</v>
      </c>
    </row>
    <row r="37" spans="1:7" ht="13" x14ac:dyDescent="0.3">
      <c r="A37" s="122"/>
      <c r="B37" s="122"/>
      <c r="C37" s="122"/>
      <c r="D37" s="122"/>
      <c r="E37" s="151"/>
      <c r="F37" s="152" t="s">
        <v>612</v>
      </c>
      <c r="G37" s="154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37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91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829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45</v>
      </c>
      <c r="D9" s="122"/>
      <c r="E9" s="132">
        <v>389.8</v>
      </c>
      <c r="F9" s="185">
        <v>26</v>
      </c>
      <c r="G9" s="122" t="s">
        <v>615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 t="s">
        <v>515</v>
      </c>
      <c r="B12" s="10" t="s">
        <v>516</v>
      </c>
      <c r="C12" s="136" t="s">
        <v>59</v>
      </c>
      <c r="D12" s="186">
        <v>0.01</v>
      </c>
      <c r="E12" s="136">
        <f>VLOOKUP(B12,Materiales!$B$8:$D$118,3,FALSE)</f>
        <v>1213.73</v>
      </c>
      <c r="F12" s="136">
        <v>2</v>
      </c>
      <c r="G12" s="148">
        <f t="shared" ref="G12:G17" si="0">+E12*D12*1+F12</f>
        <v>14.1373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 t="s">
        <v>517</v>
      </c>
      <c r="B13" s="10" t="s">
        <v>518</v>
      </c>
      <c r="C13" s="138" t="s">
        <v>59</v>
      </c>
      <c r="D13" s="187">
        <v>2.4E-2</v>
      </c>
      <c r="E13" s="138">
        <f>VLOOKUP(B13,Materiales!$B$8:$D$118,3,FALSE)</f>
        <v>4442.2518</v>
      </c>
      <c r="F13" s="138">
        <v>2</v>
      </c>
      <c r="G13" s="137">
        <f t="shared" si="0"/>
        <v>108.6140432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83" t="s">
        <v>508</v>
      </c>
      <c r="B14" s="10" t="s">
        <v>513</v>
      </c>
      <c r="C14" s="183" t="s">
        <v>514</v>
      </c>
      <c r="D14" s="189">
        <v>0.5</v>
      </c>
      <c r="E14" s="183">
        <f>VLOOKUP(B14,Materiales!$B$8:$D$118,3,FALSE)</f>
        <v>51752.74</v>
      </c>
      <c r="F14" s="138">
        <v>5</v>
      </c>
      <c r="G14" s="137">
        <f t="shared" si="0"/>
        <v>25881.37</v>
      </c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83" t="s">
        <v>821</v>
      </c>
      <c r="B15" s="183" t="s">
        <v>822</v>
      </c>
      <c r="C15" s="183" t="s">
        <v>59</v>
      </c>
      <c r="D15" s="184">
        <v>1.25E-3</v>
      </c>
      <c r="E15" s="183" t="e">
        <f>VLOOKUP(B15,Materiales!$B$8:$D$118,3,FALSE)</f>
        <v>#N/A</v>
      </c>
      <c r="F15" s="138">
        <v>0</v>
      </c>
      <c r="G15" s="137" t="e">
        <f t="shared" si="0"/>
        <v>#N/A</v>
      </c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8" t="s">
        <v>505</v>
      </c>
      <c r="B16" s="138" t="s">
        <v>506</v>
      </c>
      <c r="C16" s="138" t="s">
        <v>507</v>
      </c>
      <c r="D16" s="155">
        <v>0.125</v>
      </c>
      <c r="E16" s="138">
        <f>VLOOKUP(B16,Materiales!$B$8:$D$118,3,FALSE)</f>
        <v>2130.1681250000001</v>
      </c>
      <c r="F16" s="138">
        <v>5</v>
      </c>
      <c r="G16" s="137">
        <f t="shared" si="0"/>
        <v>271.27101562500002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38" t="s">
        <v>806</v>
      </c>
      <c r="B17" s="138" t="s">
        <v>807</v>
      </c>
      <c r="C17" s="138" t="s">
        <v>522</v>
      </c>
      <c r="D17" s="155">
        <v>1.2500000000000001E-2</v>
      </c>
      <c r="E17" s="138">
        <f>VLOOKUP(B17,Materiales!$B$8:$D$118,3,FALSE)</f>
        <v>2302.02</v>
      </c>
      <c r="F17" s="138">
        <v>15</v>
      </c>
      <c r="G17" s="137">
        <f t="shared" si="0"/>
        <v>43.77525</v>
      </c>
    </row>
    <row r="18" spans="1:7" ht="13" x14ac:dyDescent="0.3">
      <c r="A18" s="139"/>
      <c r="B18" s="139"/>
      <c r="C18" s="139"/>
      <c r="D18" s="139"/>
      <c r="E18" s="140"/>
      <c r="F18" s="141" t="s">
        <v>598</v>
      </c>
      <c r="G18" s="142" t="e">
        <f>SUM(G12:G17)</f>
        <v>#N/A</v>
      </c>
    </row>
    <row r="19" spans="1:7" ht="13" x14ac:dyDescent="0.3">
      <c r="A19" s="122"/>
      <c r="B19" s="122"/>
      <c r="C19" s="122"/>
      <c r="D19" s="193"/>
      <c r="E19" s="143"/>
      <c r="F19" s="144" t="s">
        <v>9</v>
      </c>
      <c r="G19" s="145" t="e">
        <f>+G18</f>
        <v>#N/A</v>
      </c>
    </row>
    <row r="20" spans="1:7" ht="13" x14ac:dyDescent="0.3">
      <c r="A20" s="128" t="s">
        <v>599</v>
      </c>
      <c r="B20" s="122"/>
      <c r="C20" s="122"/>
      <c r="D20" s="193"/>
      <c r="E20" s="122"/>
      <c r="F20" s="122"/>
      <c r="G20" s="122"/>
    </row>
    <row r="21" spans="1:7" ht="13" x14ac:dyDescent="0.3">
      <c r="A21" s="133" t="s">
        <v>79</v>
      </c>
      <c r="B21" s="134" t="s">
        <v>591</v>
      </c>
      <c r="C21" s="134"/>
      <c r="D21" s="194" t="s">
        <v>593</v>
      </c>
      <c r="E21" s="134" t="s">
        <v>600</v>
      </c>
      <c r="F21" s="134" t="s">
        <v>808</v>
      </c>
      <c r="G21" s="135" t="s">
        <v>596</v>
      </c>
    </row>
    <row r="22" spans="1:7" ht="13" x14ac:dyDescent="0.3">
      <c r="A22" s="136" t="s">
        <v>150</v>
      </c>
      <c r="B22" s="122" t="s">
        <v>825</v>
      </c>
      <c r="C22" s="146"/>
      <c r="D22" s="147">
        <v>1</v>
      </c>
      <c r="E22" s="136" t="e">
        <f>VLOOKUP(B22,'Rend. Equipos'!$B$7:$E$222,2,FALSE)</f>
        <v>#N/A</v>
      </c>
      <c r="F22" s="147">
        <v>0.02</v>
      </c>
      <c r="G22" s="137" t="e">
        <f>+E22*D22*F22</f>
        <v>#N/A</v>
      </c>
    </row>
    <row r="23" spans="1:7" ht="13" x14ac:dyDescent="0.3">
      <c r="A23" s="139"/>
      <c r="B23" s="139"/>
      <c r="C23" s="139"/>
      <c r="D23" s="139"/>
      <c r="E23" s="140"/>
      <c r="F23" s="141" t="s">
        <v>602</v>
      </c>
      <c r="G23" s="142" t="e">
        <f>SUM(G22:G22)</f>
        <v>#N/A</v>
      </c>
    </row>
    <row r="24" spans="1:7" ht="13" x14ac:dyDescent="0.3">
      <c r="A24" s="122"/>
      <c r="B24" s="122"/>
      <c r="C24" s="122"/>
      <c r="D24" s="122"/>
      <c r="E24" s="143"/>
      <c r="F24" s="144" t="s">
        <v>11</v>
      </c>
      <c r="G24" s="156" t="e">
        <f>+G23/F9</f>
        <v>#N/A</v>
      </c>
    </row>
    <row r="25" spans="1:7" ht="13" x14ac:dyDescent="0.3">
      <c r="A25" s="128" t="s">
        <v>603</v>
      </c>
      <c r="B25" s="122"/>
      <c r="C25" s="122"/>
      <c r="D25" s="122"/>
      <c r="E25" s="122"/>
      <c r="F25" s="122"/>
      <c r="G25" s="122"/>
    </row>
    <row r="26" spans="1:7" ht="13" x14ac:dyDescent="0.3">
      <c r="A26" s="133" t="s">
        <v>79</v>
      </c>
      <c r="B26" s="134" t="s">
        <v>591</v>
      </c>
      <c r="C26" s="134"/>
      <c r="D26" s="194" t="s">
        <v>593</v>
      </c>
      <c r="E26" s="134" t="s">
        <v>604</v>
      </c>
      <c r="F26" s="134"/>
      <c r="G26" s="135" t="s">
        <v>596</v>
      </c>
    </row>
    <row r="27" spans="1:7" ht="13" x14ac:dyDescent="0.3">
      <c r="A27" s="136" t="s">
        <v>235</v>
      </c>
      <c r="B27" s="122" t="s">
        <v>236</v>
      </c>
      <c r="C27" s="146"/>
      <c r="D27" s="190">
        <v>1</v>
      </c>
      <c r="E27" s="122">
        <f>VLOOKUP(B27,'Mano de Obra'!$B$8:$C$100,2,FALSE)</f>
        <v>60860.580776571966</v>
      </c>
      <c r="F27" s="146"/>
      <c r="G27" s="148">
        <f>+E27*D27</f>
        <v>60860.580776571966</v>
      </c>
    </row>
    <row r="28" spans="1:7" ht="13" x14ac:dyDescent="0.3">
      <c r="A28" s="138" t="s">
        <v>259</v>
      </c>
      <c r="B28" s="122" t="s">
        <v>260</v>
      </c>
      <c r="C28" s="149"/>
      <c r="D28" s="191">
        <v>1</v>
      </c>
      <c r="E28" s="122">
        <f>VLOOKUP(B28,'Mano de Obra'!$B$8:$C$100,2,FALSE)</f>
        <v>85927.097156571981</v>
      </c>
      <c r="F28" s="149"/>
      <c r="G28" s="137">
        <f>+E28*D28</f>
        <v>85927.097156571981</v>
      </c>
    </row>
    <row r="29" spans="1:7" ht="13" x14ac:dyDescent="0.3">
      <c r="A29" s="138" t="s">
        <v>248</v>
      </c>
      <c r="B29" s="122" t="s">
        <v>249</v>
      </c>
      <c r="C29" s="149"/>
      <c r="D29" s="150">
        <v>1</v>
      </c>
      <c r="E29" s="122">
        <f>VLOOKUP(B29,'Mano de Obra'!$B$8:$C$100,2,FALSE)</f>
        <v>65493.071636571978</v>
      </c>
      <c r="F29" s="149"/>
      <c r="G29" s="137">
        <f>+E29*D29</f>
        <v>65493.071636571978</v>
      </c>
    </row>
    <row r="30" spans="1:7" ht="13" x14ac:dyDescent="0.3">
      <c r="A30" s="139"/>
      <c r="B30" s="139"/>
      <c r="C30" s="139"/>
      <c r="D30" s="139"/>
      <c r="E30" s="151"/>
      <c r="F30" s="152" t="s">
        <v>606</v>
      </c>
      <c r="G30" s="153">
        <f>SUM(G27:G29)</f>
        <v>212280.74956971593</v>
      </c>
    </row>
    <row r="31" spans="1:7" ht="13" x14ac:dyDescent="0.3">
      <c r="A31" s="122"/>
      <c r="B31" s="122"/>
      <c r="C31" s="122"/>
      <c r="D31" s="122"/>
      <c r="E31" s="122"/>
      <c r="F31" s="123" t="s">
        <v>607</v>
      </c>
      <c r="G31" s="130">
        <v>1</v>
      </c>
    </row>
    <row r="32" spans="1:7" ht="13" x14ac:dyDescent="0.3">
      <c r="A32" s="122"/>
      <c r="B32" s="122"/>
      <c r="C32" s="122"/>
      <c r="D32" s="122"/>
      <c r="E32" s="122"/>
      <c r="F32" s="123" t="s">
        <v>608</v>
      </c>
      <c r="G32" s="130">
        <f>+G31*G30</f>
        <v>212280.74956971593</v>
      </c>
    </row>
    <row r="33" spans="1:7" ht="13" x14ac:dyDescent="0.3">
      <c r="A33" s="122"/>
      <c r="B33" s="122"/>
      <c r="C33" s="122"/>
      <c r="D33" s="122"/>
      <c r="E33" s="122"/>
      <c r="F33" s="123" t="s">
        <v>10</v>
      </c>
      <c r="G33" s="130">
        <f>+G32/F9</f>
        <v>8164.6442142198439</v>
      </c>
    </row>
    <row r="34" spans="1:7" ht="13" x14ac:dyDescent="0.3">
      <c r="A34" s="122"/>
      <c r="B34" s="122"/>
      <c r="C34" s="122"/>
      <c r="D34" s="122"/>
      <c r="E34" s="122"/>
      <c r="F34" s="123" t="s">
        <v>609</v>
      </c>
      <c r="G34" s="130" t="e">
        <f>+G33+G24+G19</f>
        <v>#N/A</v>
      </c>
    </row>
    <row r="35" spans="1:7" ht="13" x14ac:dyDescent="0.3">
      <c r="A35" s="122"/>
      <c r="B35" s="122"/>
      <c r="C35" s="122"/>
      <c r="D35" s="122"/>
      <c r="E35" s="123" t="s">
        <v>610</v>
      </c>
      <c r="F35" s="198">
        <f>+RESUMEN!$I$2</f>
        <v>0</v>
      </c>
      <c r="G35" s="130">
        <f>IF(F35=0,0,F35*G34)</f>
        <v>0</v>
      </c>
    </row>
    <row r="36" spans="1:7" ht="13" x14ac:dyDescent="0.3">
      <c r="A36" s="122"/>
      <c r="B36" s="122"/>
      <c r="C36" s="122"/>
      <c r="D36" s="122"/>
      <c r="E36" s="123" t="s">
        <v>611</v>
      </c>
      <c r="F36" s="198">
        <f>+RESUMEN!$I$3</f>
        <v>0</v>
      </c>
      <c r="G36" s="130">
        <f>IF(F36=0,0,F36*G34)</f>
        <v>0</v>
      </c>
    </row>
    <row r="37" spans="1:7" ht="13" x14ac:dyDescent="0.3">
      <c r="A37" s="122"/>
      <c r="B37" s="122"/>
      <c r="C37" s="122"/>
      <c r="D37" s="122"/>
      <c r="E37" s="151"/>
      <c r="F37" s="152" t="s">
        <v>612</v>
      </c>
      <c r="G37" s="154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37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8.453125" bestFit="1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101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830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59</v>
      </c>
      <c r="D9" s="122"/>
      <c r="E9" s="132">
        <v>1403.3</v>
      </c>
      <c r="F9" s="185">
        <v>1</v>
      </c>
      <c r="G9" s="122" t="s">
        <v>805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/>
      <c r="B12" s="138"/>
      <c r="C12" s="136"/>
      <c r="D12" s="186"/>
      <c r="E12" s="136" t="e">
        <f>VLOOKUP(B12,Materiales!$B$8:$D$118,3,FALSE)</f>
        <v>#N/A</v>
      </c>
      <c r="F12" s="136">
        <v>15</v>
      </c>
      <c r="G12" s="148" t="e">
        <f>+E12*D12*1+F12</f>
        <v>#N/A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/>
      <c r="B13" s="138"/>
      <c r="C13" s="138"/>
      <c r="D13" s="187"/>
      <c r="E13" s="138" t="e">
        <f>VLOOKUP(B13,Materiales!$B$8:$D$118,3,FALSE)</f>
        <v>#N/A</v>
      </c>
      <c r="F13" s="138">
        <v>7</v>
      </c>
      <c r="G13" s="137" t="e">
        <f>+E13*D13*1+F13</f>
        <v>#N/A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38"/>
      <c r="B14" s="138"/>
      <c r="C14" s="138"/>
      <c r="D14" s="187"/>
      <c r="E14" s="138"/>
      <c r="F14" s="138"/>
      <c r="G14" s="137"/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38"/>
      <c r="B15" s="138"/>
      <c r="C15" s="138"/>
      <c r="D15" s="155"/>
      <c r="E15" s="138"/>
      <c r="F15" s="138"/>
      <c r="G15" s="137"/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9"/>
      <c r="B16" s="139"/>
      <c r="C16" s="139"/>
      <c r="D16" s="139"/>
      <c r="E16" s="140"/>
      <c r="F16" s="141" t="s">
        <v>598</v>
      </c>
      <c r="G16" s="142" t="e">
        <f>SUM(G12:G15)</f>
        <v>#N/A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22"/>
      <c r="B17" s="122"/>
      <c r="C17" s="122"/>
      <c r="D17" s="122"/>
      <c r="E17" s="143"/>
      <c r="F17" s="144" t="s">
        <v>9</v>
      </c>
      <c r="G17" s="145" t="e">
        <f>+G16</f>
        <v>#N/A</v>
      </c>
    </row>
    <row r="18" spans="1:7" ht="13" x14ac:dyDescent="0.3">
      <c r="A18" s="128" t="s">
        <v>599</v>
      </c>
      <c r="B18" s="122"/>
      <c r="C18" s="122"/>
      <c r="D18" s="122"/>
      <c r="E18" s="122"/>
      <c r="F18" s="122"/>
      <c r="G18" s="122"/>
    </row>
    <row r="19" spans="1:7" ht="13" x14ac:dyDescent="0.3">
      <c r="A19" s="133" t="s">
        <v>79</v>
      </c>
      <c r="B19" s="134" t="s">
        <v>591</v>
      </c>
      <c r="C19" s="134"/>
      <c r="D19" s="194" t="s">
        <v>593</v>
      </c>
      <c r="E19" s="134" t="s">
        <v>600</v>
      </c>
      <c r="F19" s="134" t="s">
        <v>808</v>
      </c>
      <c r="G19" s="135" t="s">
        <v>596</v>
      </c>
    </row>
    <row r="20" spans="1:7" ht="13" x14ac:dyDescent="0.3">
      <c r="A20" s="174"/>
      <c r="B20" s="174"/>
      <c r="C20" s="174"/>
      <c r="D20" s="195"/>
      <c r="E20" s="175" t="e">
        <f>VLOOKUP(B20,'Rend. Equipos'!$B$7:$E$222,2,FALSE)</f>
        <v>#N/A</v>
      </c>
      <c r="F20" s="175">
        <v>-1.98</v>
      </c>
      <c r="G20" s="176"/>
    </row>
    <row r="21" spans="1:7" ht="13" x14ac:dyDescent="0.3">
      <c r="A21" s="177"/>
      <c r="B21" s="177"/>
      <c r="C21" s="177"/>
      <c r="D21" s="196"/>
      <c r="E21" s="178" t="e">
        <f>VLOOKUP(B21,'Rend. Equipos'!$B$7:$E$222,2,FALSE)</f>
        <v>#N/A</v>
      </c>
      <c r="F21" s="178">
        <v>-0.98</v>
      </c>
      <c r="G21" s="179"/>
    </row>
    <row r="22" spans="1:7" ht="13" x14ac:dyDescent="0.3">
      <c r="A22" s="180"/>
      <c r="B22" s="180"/>
      <c r="C22" s="180"/>
      <c r="D22" s="181"/>
      <c r="E22" s="180" t="e">
        <f>VLOOKUP(B22,'Rend. Equipos'!$B$7:$E$222,2,FALSE)</f>
        <v>#N/A</v>
      </c>
      <c r="F22" s="180">
        <v>0.02</v>
      </c>
      <c r="G22" s="182" t="e">
        <f>+E22*D22*F22</f>
        <v>#N/A</v>
      </c>
    </row>
    <row r="23" spans="1:7" ht="13" x14ac:dyDescent="0.3">
      <c r="A23" s="139"/>
      <c r="B23" s="139"/>
      <c r="C23" s="139"/>
      <c r="D23" s="139"/>
      <c r="E23" s="140"/>
      <c r="F23" s="141" t="s">
        <v>602</v>
      </c>
      <c r="G23" s="142" t="e">
        <f>SUM(G20:G22)</f>
        <v>#N/A</v>
      </c>
    </row>
    <row r="24" spans="1:7" ht="13" x14ac:dyDescent="0.3">
      <c r="A24" s="122"/>
      <c r="B24" s="122"/>
      <c r="C24" s="122"/>
      <c r="D24" s="122"/>
      <c r="E24" s="143"/>
      <c r="F24" s="144" t="s">
        <v>11</v>
      </c>
      <c r="G24" s="156" t="e">
        <f>+G23/F9</f>
        <v>#N/A</v>
      </c>
    </row>
    <row r="25" spans="1:7" ht="13" x14ac:dyDescent="0.3">
      <c r="A25" s="128" t="s">
        <v>603</v>
      </c>
      <c r="B25" s="122"/>
      <c r="C25" s="122"/>
      <c r="D25" s="122"/>
      <c r="E25" s="122"/>
      <c r="F25" s="122"/>
      <c r="G25" s="122"/>
    </row>
    <row r="26" spans="1:7" ht="13" x14ac:dyDescent="0.3">
      <c r="A26" s="133" t="s">
        <v>79</v>
      </c>
      <c r="B26" s="134" t="s">
        <v>591</v>
      </c>
      <c r="C26" s="134"/>
      <c r="D26" s="194" t="s">
        <v>593</v>
      </c>
      <c r="E26" s="134" t="s">
        <v>604</v>
      </c>
      <c r="F26" s="134"/>
      <c r="G26" s="135" t="s">
        <v>596</v>
      </c>
    </row>
    <row r="27" spans="1:7" ht="13" x14ac:dyDescent="0.3">
      <c r="A27" s="136" t="s">
        <v>255</v>
      </c>
      <c r="B27" s="122" t="s">
        <v>260</v>
      </c>
      <c r="C27" s="146"/>
      <c r="D27" s="190">
        <v>1</v>
      </c>
      <c r="E27" s="122">
        <f>VLOOKUP(B27,'Mano de Obra'!$B$8:$C$100,2,FALSE)</f>
        <v>85927.097156571981</v>
      </c>
      <c r="F27" s="146"/>
      <c r="G27" s="148">
        <f>+E27*D27</f>
        <v>85927.097156571981</v>
      </c>
    </row>
    <row r="28" spans="1:7" ht="13" x14ac:dyDescent="0.3">
      <c r="A28" s="138" t="s">
        <v>228</v>
      </c>
      <c r="B28" s="122" t="s">
        <v>236</v>
      </c>
      <c r="C28" s="149"/>
      <c r="D28" s="191">
        <v>1</v>
      </c>
      <c r="E28" s="122">
        <f>VLOOKUP(B28,'Mano de Obra'!$B$8:$C$100,2,FALSE)</f>
        <v>60860.580776571966</v>
      </c>
      <c r="F28" s="149"/>
      <c r="G28" s="137">
        <f>+E28*D28</f>
        <v>60860.580776571966</v>
      </c>
    </row>
    <row r="29" spans="1:7" ht="13" x14ac:dyDescent="0.3">
      <c r="A29" s="138" t="s">
        <v>242</v>
      </c>
      <c r="B29" s="122"/>
      <c r="C29" s="149"/>
      <c r="D29" s="150">
        <v>0</v>
      </c>
      <c r="E29" s="122">
        <f>VLOOKUP(B29,'Mano de Obra'!$B$8:$C$100,2,FALSE)</f>
        <v>0</v>
      </c>
      <c r="F29" s="149"/>
      <c r="G29" s="137">
        <f>+E29*D29</f>
        <v>0</v>
      </c>
    </row>
    <row r="30" spans="1:7" ht="13" x14ac:dyDescent="0.3">
      <c r="A30" s="139"/>
      <c r="B30" s="139"/>
      <c r="C30" s="139"/>
      <c r="D30" s="139"/>
      <c r="E30" s="151"/>
      <c r="F30" s="152" t="s">
        <v>606</v>
      </c>
      <c r="G30" s="153">
        <f>SUM(G27:G29)</f>
        <v>146787.67793314395</v>
      </c>
    </row>
    <row r="31" spans="1:7" ht="13" x14ac:dyDescent="0.3">
      <c r="A31" s="122"/>
      <c r="B31" s="122"/>
      <c r="C31" s="122"/>
      <c r="D31" s="122"/>
      <c r="E31" s="122"/>
      <c r="F31" s="123" t="s">
        <v>607</v>
      </c>
      <c r="G31" s="130">
        <v>1</v>
      </c>
    </row>
    <row r="32" spans="1:7" ht="13" x14ac:dyDescent="0.3">
      <c r="A32" s="122"/>
      <c r="B32" s="122"/>
      <c r="C32" s="122"/>
      <c r="D32" s="122"/>
      <c r="E32" s="122"/>
      <c r="F32" s="123" t="s">
        <v>608</v>
      </c>
      <c r="G32" s="130">
        <f>+G31*G30</f>
        <v>146787.67793314395</v>
      </c>
    </row>
    <row r="33" spans="4:7" ht="13" x14ac:dyDescent="0.3">
      <c r="D33" s="122"/>
      <c r="E33" s="122"/>
      <c r="F33" s="123" t="s">
        <v>10</v>
      </c>
      <c r="G33" s="130">
        <f>+G32/F9</f>
        <v>146787.67793314395</v>
      </c>
    </row>
    <row r="34" spans="4:7" ht="13" x14ac:dyDescent="0.3">
      <c r="D34" s="122"/>
      <c r="E34" s="122"/>
      <c r="F34" s="123" t="s">
        <v>609</v>
      </c>
      <c r="G34" s="130" t="e">
        <f>+G33+G24+G17</f>
        <v>#N/A</v>
      </c>
    </row>
    <row r="35" spans="4:7" ht="13" x14ac:dyDescent="0.3">
      <c r="D35" s="122"/>
      <c r="E35" s="123" t="s">
        <v>610</v>
      </c>
      <c r="F35" s="198">
        <f>+RESUMEN!$I$2</f>
        <v>0</v>
      </c>
      <c r="G35" s="130">
        <f>IF(F35=0,0,F35*G34)</f>
        <v>0</v>
      </c>
    </row>
    <row r="36" spans="4:7" ht="13" x14ac:dyDescent="0.3">
      <c r="D36" s="122"/>
      <c r="E36" s="123" t="s">
        <v>611</v>
      </c>
      <c r="F36" s="198">
        <f>+RESUMEN!$I$3</f>
        <v>0</v>
      </c>
      <c r="G36" s="130">
        <f>IF(F36=0,0,F36*G34)</f>
        <v>0</v>
      </c>
    </row>
    <row r="37" spans="4:7" ht="13" x14ac:dyDescent="0.3">
      <c r="D37" s="122"/>
      <c r="E37" s="151"/>
      <c r="F37" s="152" t="s">
        <v>612</v>
      </c>
      <c r="G37" s="154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37"/>
  <sheetViews>
    <sheetView workbookViewId="0">
      <selection sqref="A1:G1"/>
    </sheetView>
  </sheetViews>
  <sheetFormatPr defaultColWidth="11.453125" defaultRowHeight="12.5" x14ac:dyDescent="0.25"/>
  <cols>
    <col min="1" max="1" width="7.54296875" customWidth="1"/>
    <col min="2" max="2" width="38.453125" bestFit="1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106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831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59</v>
      </c>
      <c r="D9" s="122"/>
      <c r="E9" s="132">
        <v>1403.3</v>
      </c>
      <c r="F9" s="185">
        <f>1.9*2</f>
        <v>3.8</v>
      </c>
      <c r="G9" s="122" t="s">
        <v>589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/>
      <c r="B12" s="138"/>
      <c r="C12" s="136"/>
      <c r="D12" s="186"/>
      <c r="E12" s="136" t="e">
        <f>VLOOKUP(B12,Materiales!$B$8:$D$118,3,FALSE)</f>
        <v>#N/A</v>
      </c>
      <c r="F12" s="136">
        <v>15</v>
      </c>
      <c r="G12" s="148" t="e">
        <f>+E12*D12*1+F12</f>
        <v>#N/A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/>
      <c r="B13" s="138"/>
      <c r="C13" s="138"/>
      <c r="D13" s="187"/>
      <c r="E13" s="138" t="e">
        <f>VLOOKUP(B13,Materiales!$B$8:$D$118,3,FALSE)</f>
        <v>#N/A</v>
      </c>
      <c r="F13" s="138">
        <v>7</v>
      </c>
      <c r="G13" s="137" t="e">
        <f>+E13*D13*1+F13</f>
        <v>#N/A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38"/>
      <c r="B14" s="138"/>
      <c r="C14" s="138"/>
      <c r="D14" s="187"/>
      <c r="E14" s="138"/>
      <c r="F14" s="138"/>
      <c r="G14" s="137"/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38"/>
      <c r="B15" s="138"/>
      <c r="C15" s="138"/>
      <c r="D15" s="155"/>
      <c r="E15" s="138"/>
      <c r="F15" s="138"/>
      <c r="G15" s="137"/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9"/>
      <c r="B16" s="139"/>
      <c r="C16" s="139"/>
      <c r="D16" s="139"/>
      <c r="E16" s="140"/>
      <c r="F16" s="141" t="s">
        <v>598</v>
      </c>
      <c r="G16" s="142" t="e">
        <f>SUM(G12:G15)</f>
        <v>#N/A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22"/>
      <c r="B17" s="122"/>
      <c r="C17" s="122"/>
      <c r="D17" s="122"/>
      <c r="E17" s="143"/>
      <c r="F17" s="144" t="s">
        <v>9</v>
      </c>
      <c r="G17" s="145" t="e">
        <f>+G16</f>
        <v>#N/A</v>
      </c>
    </row>
    <row r="18" spans="1:7" ht="13" x14ac:dyDescent="0.3">
      <c r="A18" s="128" t="s">
        <v>599</v>
      </c>
      <c r="B18" s="122"/>
      <c r="C18" s="122"/>
      <c r="D18" s="122"/>
      <c r="E18" s="122"/>
      <c r="F18" s="122"/>
      <c r="G18" s="122"/>
    </row>
    <row r="19" spans="1:7" ht="13" x14ac:dyDescent="0.3">
      <c r="A19" s="133" t="s">
        <v>79</v>
      </c>
      <c r="B19" s="134" t="s">
        <v>591</v>
      </c>
      <c r="C19" s="134"/>
      <c r="D19" s="194" t="s">
        <v>593</v>
      </c>
      <c r="E19" s="134" t="s">
        <v>600</v>
      </c>
      <c r="F19" s="134" t="s">
        <v>808</v>
      </c>
      <c r="G19" s="135" t="s">
        <v>596</v>
      </c>
    </row>
    <row r="20" spans="1:7" ht="13" x14ac:dyDescent="0.3">
      <c r="A20" s="174"/>
      <c r="B20" s="174"/>
      <c r="C20" s="174"/>
      <c r="D20" s="195"/>
      <c r="E20" s="175" t="e">
        <f>VLOOKUP(B20,'Rend. Equipos'!$B$7:$E$222,2,FALSE)</f>
        <v>#N/A</v>
      </c>
      <c r="F20" s="175">
        <v>-1.98</v>
      </c>
      <c r="G20" s="176"/>
    </row>
    <row r="21" spans="1:7" ht="13" x14ac:dyDescent="0.3">
      <c r="A21" s="177"/>
      <c r="B21" s="177"/>
      <c r="C21" s="177"/>
      <c r="D21" s="196"/>
      <c r="E21" s="178" t="e">
        <f>VLOOKUP(B21,'Rend. Equipos'!$B$7:$E$222,2,FALSE)</f>
        <v>#N/A</v>
      </c>
      <c r="F21" s="178">
        <v>-0.98</v>
      </c>
      <c r="G21" s="179"/>
    </row>
    <row r="22" spans="1:7" ht="13" x14ac:dyDescent="0.3">
      <c r="A22" s="180"/>
      <c r="B22" s="180"/>
      <c r="C22" s="180"/>
      <c r="D22" s="181"/>
      <c r="E22" s="180" t="e">
        <f>VLOOKUP(B22,'Rend. Equipos'!$B$7:$E$222,2,FALSE)</f>
        <v>#N/A</v>
      </c>
      <c r="F22" s="180">
        <v>0.02</v>
      </c>
      <c r="G22" s="182" t="e">
        <f>+E22*D22*F22</f>
        <v>#N/A</v>
      </c>
    </row>
    <row r="23" spans="1:7" ht="13" x14ac:dyDescent="0.3">
      <c r="A23" s="139"/>
      <c r="B23" s="139"/>
      <c r="C23" s="139"/>
      <c r="D23" s="139"/>
      <c r="E23" s="140"/>
      <c r="F23" s="141" t="s">
        <v>602</v>
      </c>
      <c r="G23" s="142" t="e">
        <f>SUM(G20:G22)</f>
        <v>#N/A</v>
      </c>
    </row>
    <row r="24" spans="1:7" ht="13" x14ac:dyDescent="0.3">
      <c r="A24" s="122"/>
      <c r="B24" s="122"/>
      <c r="C24" s="122"/>
      <c r="D24" s="122"/>
      <c r="E24" s="143"/>
      <c r="F24" s="144" t="s">
        <v>11</v>
      </c>
      <c r="G24" s="156" t="e">
        <f>+G23/F9</f>
        <v>#N/A</v>
      </c>
    </row>
    <row r="25" spans="1:7" ht="13" x14ac:dyDescent="0.3">
      <c r="A25" s="128" t="s">
        <v>603</v>
      </c>
      <c r="B25" s="122"/>
      <c r="C25" s="122"/>
      <c r="D25" s="122"/>
      <c r="E25" s="122"/>
      <c r="F25" s="122"/>
      <c r="G25" s="122"/>
    </row>
    <row r="26" spans="1:7" ht="13" x14ac:dyDescent="0.3">
      <c r="A26" s="133" t="s">
        <v>79</v>
      </c>
      <c r="B26" s="134" t="s">
        <v>591</v>
      </c>
      <c r="C26" s="134"/>
      <c r="D26" s="194" t="s">
        <v>593</v>
      </c>
      <c r="E26" s="134" t="s">
        <v>604</v>
      </c>
      <c r="F26" s="134"/>
      <c r="G26" s="135" t="s">
        <v>596</v>
      </c>
    </row>
    <row r="27" spans="1:7" ht="13" x14ac:dyDescent="0.3">
      <c r="A27" s="136" t="s">
        <v>255</v>
      </c>
      <c r="B27" s="122" t="s">
        <v>260</v>
      </c>
      <c r="C27" s="146"/>
      <c r="D27" s="190">
        <v>1</v>
      </c>
      <c r="E27" s="122">
        <f>VLOOKUP(B27,'Mano de Obra'!$B$8:$C$100,2,FALSE)</f>
        <v>85927.097156571981</v>
      </c>
      <c r="F27" s="146"/>
      <c r="G27" s="148">
        <f>+E27*D27</f>
        <v>85927.097156571981</v>
      </c>
    </row>
    <row r="28" spans="1:7" ht="13" x14ac:dyDescent="0.3">
      <c r="A28" s="138" t="s">
        <v>228</v>
      </c>
      <c r="B28" s="122" t="s">
        <v>236</v>
      </c>
      <c r="C28" s="149"/>
      <c r="D28" s="191">
        <v>1</v>
      </c>
      <c r="E28" s="122">
        <f>VLOOKUP(B28,'Mano de Obra'!$B$8:$C$100,2,FALSE)</f>
        <v>60860.580776571966</v>
      </c>
      <c r="F28" s="149"/>
      <c r="G28" s="137">
        <f>+E28*D28</f>
        <v>60860.580776571966</v>
      </c>
    </row>
    <row r="29" spans="1:7" ht="13" x14ac:dyDescent="0.3">
      <c r="A29" s="138" t="s">
        <v>242</v>
      </c>
      <c r="B29" s="122"/>
      <c r="C29" s="149"/>
      <c r="D29" s="150">
        <v>0</v>
      </c>
      <c r="E29" s="122">
        <f>VLOOKUP(B29,'Mano de Obra'!$B$8:$C$100,2,FALSE)</f>
        <v>0</v>
      </c>
      <c r="F29" s="149"/>
      <c r="G29" s="137">
        <f>+E29*D29</f>
        <v>0</v>
      </c>
    </row>
    <row r="30" spans="1:7" ht="13" x14ac:dyDescent="0.3">
      <c r="A30" s="139"/>
      <c r="B30" s="139"/>
      <c r="C30" s="139"/>
      <c r="D30" s="139"/>
      <c r="E30" s="151"/>
      <c r="F30" s="152" t="s">
        <v>606</v>
      </c>
      <c r="G30" s="153">
        <f>SUM(G27:G29)</f>
        <v>146787.67793314395</v>
      </c>
    </row>
    <row r="31" spans="1:7" ht="13" x14ac:dyDescent="0.3">
      <c r="A31" s="122"/>
      <c r="B31" s="122"/>
      <c r="C31" s="122"/>
      <c r="D31" s="122"/>
      <c r="E31" s="122"/>
      <c r="F31" s="123" t="s">
        <v>607</v>
      </c>
      <c r="G31" s="130">
        <v>1</v>
      </c>
    </row>
    <row r="32" spans="1:7" ht="13" x14ac:dyDescent="0.3">
      <c r="A32" s="122"/>
      <c r="B32" s="122"/>
      <c r="C32" s="122"/>
      <c r="D32" s="122"/>
      <c r="E32" s="122"/>
      <c r="F32" s="123" t="s">
        <v>608</v>
      </c>
      <c r="G32" s="130">
        <f>+G31*G30</f>
        <v>146787.67793314395</v>
      </c>
    </row>
    <row r="33" spans="4:7" ht="13" x14ac:dyDescent="0.3">
      <c r="D33" s="122"/>
      <c r="E33" s="122"/>
      <c r="F33" s="123" t="s">
        <v>10</v>
      </c>
      <c r="G33" s="130">
        <f>+G32/F9</f>
        <v>38628.336298195776</v>
      </c>
    </row>
    <row r="34" spans="4:7" ht="13" x14ac:dyDescent="0.3">
      <c r="D34" s="122"/>
      <c r="E34" s="122"/>
      <c r="F34" s="123" t="s">
        <v>609</v>
      </c>
      <c r="G34" s="130" t="e">
        <f>+G33+G24+G17</f>
        <v>#N/A</v>
      </c>
    </row>
    <row r="35" spans="4:7" ht="13" x14ac:dyDescent="0.3">
      <c r="D35" s="122"/>
      <c r="E35" s="123" t="s">
        <v>610</v>
      </c>
      <c r="F35" s="198">
        <f>+RESUMEN!$I$2</f>
        <v>0</v>
      </c>
      <c r="G35" s="130">
        <f>IF(F35=0,0,F35*G34)</f>
        <v>0</v>
      </c>
    </row>
    <row r="36" spans="4:7" ht="13" x14ac:dyDescent="0.3">
      <c r="D36" s="122"/>
      <c r="E36" s="123" t="s">
        <v>611</v>
      </c>
      <c r="F36" s="198">
        <f>+RESUMEN!$I$3</f>
        <v>0</v>
      </c>
      <c r="G36" s="130">
        <f>IF(F36=0,0,F36*G34)</f>
        <v>0</v>
      </c>
    </row>
    <row r="37" spans="4:7" ht="13" x14ac:dyDescent="0.3">
      <c r="D37" s="122"/>
      <c r="E37" s="151"/>
      <c r="F37" s="152" t="s">
        <v>612</v>
      </c>
      <c r="G37" s="154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FF00"/>
  </sheetPr>
  <dimension ref="A1:O37"/>
  <sheetViews>
    <sheetView workbookViewId="0">
      <selection activeCell="B12" sqref="B12"/>
    </sheetView>
  </sheetViews>
  <sheetFormatPr defaultColWidth="11.453125" defaultRowHeight="12.5" x14ac:dyDescent="0.25"/>
  <cols>
    <col min="1" max="1" width="7.54296875" customWidth="1"/>
    <col min="2" max="2" width="38.453125" bestFit="1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  <c r="N1" s="1"/>
      <c r="O1" s="1"/>
    </row>
    <row r="2" spans="1:15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  <c r="K2" s="1"/>
      <c r="L2" s="1"/>
      <c r="M2" s="1"/>
      <c r="N2" s="1"/>
      <c r="O2" s="1"/>
    </row>
    <row r="3" spans="1:15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  <c r="N3" s="1"/>
      <c r="O3" s="1"/>
    </row>
    <row r="4" spans="1:15" ht="13" x14ac:dyDescent="0.3">
      <c r="A4" s="122"/>
      <c r="B4" s="122"/>
      <c r="C4" s="122"/>
      <c r="D4" s="122"/>
      <c r="E4" s="122"/>
      <c r="F4" s="123" t="s">
        <v>580</v>
      </c>
      <c r="G4" s="126">
        <v>110</v>
      </c>
      <c r="H4" s="162"/>
      <c r="I4" s="1"/>
      <c r="J4" s="1"/>
      <c r="K4" s="1"/>
      <c r="L4" s="1"/>
      <c r="M4" s="1"/>
      <c r="N4" s="1"/>
      <c r="O4" s="1"/>
    </row>
    <row r="5" spans="1:15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  <c r="K5" s="1"/>
      <c r="L5" s="1"/>
      <c r="M5" s="1"/>
      <c r="N5" s="1"/>
      <c r="O5" s="1"/>
    </row>
    <row r="6" spans="1:15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  <c r="K6" s="1"/>
      <c r="L6" s="1"/>
      <c r="M6" s="1"/>
      <c r="N6" s="1"/>
      <c r="O6" s="1"/>
    </row>
    <row r="7" spans="1:15" ht="15.5" x14ac:dyDescent="0.25">
      <c r="A7" s="197" t="s">
        <v>584</v>
      </c>
      <c r="B7" s="873" t="s">
        <v>832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  <c r="N7" s="1"/>
      <c r="O7" s="1"/>
    </row>
    <row r="8" spans="1:15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907"/>
      <c r="K8" s="907"/>
      <c r="L8" s="907"/>
      <c r="M8" s="907"/>
      <c r="N8" s="907"/>
      <c r="O8" s="907"/>
    </row>
    <row r="9" spans="1:15" ht="13" x14ac:dyDescent="0.3">
      <c r="A9" s="122"/>
      <c r="B9" s="122"/>
      <c r="C9" s="132" t="s">
        <v>59</v>
      </c>
      <c r="D9" s="122"/>
      <c r="E9" s="132">
        <v>1403.3</v>
      </c>
      <c r="F9" s="185">
        <v>36</v>
      </c>
      <c r="G9" s="122" t="s">
        <v>589</v>
      </c>
      <c r="H9" s="162"/>
      <c r="I9" s="1"/>
      <c r="J9" s="1"/>
      <c r="K9" s="1"/>
      <c r="L9" s="1"/>
      <c r="M9" s="1"/>
      <c r="N9" s="1"/>
      <c r="O9" s="1"/>
    </row>
    <row r="10" spans="1:15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  <c r="N10" s="1"/>
      <c r="O10" s="1"/>
    </row>
    <row r="11" spans="1:15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/>
      <c r="K11" s="3"/>
      <c r="L11" s="3"/>
      <c r="M11" s="3"/>
      <c r="N11" s="3"/>
      <c r="O11" s="1"/>
    </row>
    <row r="12" spans="1:15" ht="13" x14ac:dyDescent="0.3">
      <c r="A12" s="136"/>
      <c r="B12" s="138"/>
      <c r="C12" s="136"/>
      <c r="D12" s="186"/>
      <c r="E12" s="136" t="e">
        <f>VLOOKUP(B12,Materiales!$B$8:$D$118,3,FALSE)</f>
        <v>#N/A</v>
      </c>
      <c r="F12" s="136">
        <v>15</v>
      </c>
      <c r="G12" s="148" t="e">
        <f>+E12*D12*1+F12</f>
        <v>#N/A</v>
      </c>
      <c r="H12" s="162"/>
      <c r="I12" s="1"/>
      <c r="J12" s="1"/>
      <c r="K12" s="1"/>
      <c r="L12" s="1"/>
      <c r="M12" s="1"/>
      <c r="N12" s="1"/>
      <c r="O12" s="1"/>
    </row>
    <row r="13" spans="1:15" ht="13" x14ac:dyDescent="0.3">
      <c r="A13" s="138"/>
      <c r="B13" s="138"/>
      <c r="C13" s="138"/>
      <c r="D13" s="187"/>
      <c r="E13" s="138" t="e">
        <f>VLOOKUP(B13,Materiales!$B$8:$D$118,3,FALSE)</f>
        <v>#N/A</v>
      </c>
      <c r="F13" s="138">
        <v>7</v>
      </c>
      <c r="G13" s="137" t="e">
        <f>+E13*D13*1+F13</f>
        <v>#N/A</v>
      </c>
      <c r="H13" s="162"/>
      <c r="I13" s="1"/>
      <c r="J13" s="1"/>
      <c r="K13" s="1"/>
      <c r="L13" s="1"/>
      <c r="M13" s="1"/>
      <c r="N13" s="1"/>
      <c r="O13" s="1"/>
    </row>
    <row r="14" spans="1:15" ht="13" x14ac:dyDescent="0.3">
      <c r="A14" s="138"/>
      <c r="B14" s="138"/>
      <c r="C14" s="138"/>
      <c r="D14" s="187"/>
      <c r="E14" s="138"/>
      <c r="F14" s="138"/>
      <c r="G14" s="137"/>
      <c r="H14" s="162"/>
      <c r="I14" s="1"/>
      <c r="J14" s="1"/>
      <c r="K14" s="1"/>
      <c r="L14" s="1"/>
      <c r="M14" s="1"/>
      <c r="N14" s="1"/>
      <c r="O14" s="1"/>
    </row>
    <row r="15" spans="1:15" ht="13" x14ac:dyDescent="0.3">
      <c r="A15" s="138"/>
      <c r="B15" s="138"/>
      <c r="C15" s="138"/>
      <c r="D15" s="155"/>
      <c r="E15" s="138"/>
      <c r="F15" s="138"/>
      <c r="G15" s="137"/>
      <c r="H15" s="162"/>
      <c r="I15" s="1"/>
      <c r="J15" s="1"/>
      <c r="K15" s="1"/>
      <c r="L15" s="1"/>
      <c r="M15" s="1"/>
      <c r="N15" s="1"/>
      <c r="O15" s="1"/>
    </row>
    <row r="16" spans="1:15" ht="13" x14ac:dyDescent="0.3">
      <c r="A16" s="139"/>
      <c r="B16" s="139"/>
      <c r="C16" s="139"/>
      <c r="D16" s="139"/>
      <c r="E16" s="140"/>
      <c r="F16" s="141" t="s">
        <v>598</v>
      </c>
      <c r="G16" s="142" t="e">
        <f>SUM(G12:G15)</f>
        <v>#N/A</v>
      </c>
      <c r="H16" s="162"/>
      <c r="I16" s="1"/>
      <c r="J16" s="1"/>
      <c r="K16" s="1"/>
      <c r="L16" s="1"/>
      <c r="M16" s="1"/>
      <c r="N16" s="1"/>
      <c r="O16" s="1"/>
    </row>
    <row r="17" spans="1:7" ht="13" x14ac:dyDescent="0.3">
      <c r="A17" s="122"/>
      <c r="B17" s="122"/>
      <c r="C17" s="122"/>
      <c r="D17" s="122"/>
      <c r="E17" s="143"/>
      <c r="F17" s="144" t="s">
        <v>9</v>
      </c>
      <c r="G17" s="145" t="e">
        <f>+G16</f>
        <v>#N/A</v>
      </c>
    </row>
    <row r="18" spans="1:7" ht="13" x14ac:dyDescent="0.3">
      <c r="A18" s="128" t="s">
        <v>599</v>
      </c>
      <c r="B18" s="122"/>
      <c r="C18" s="122"/>
      <c r="D18" s="122"/>
      <c r="E18" s="122"/>
      <c r="F18" s="122"/>
      <c r="G18" s="122"/>
    </row>
    <row r="19" spans="1:7" ht="13" x14ac:dyDescent="0.3">
      <c r="A19" s="133" t="s">
        <v>79</v>
      </c>
      <c r="B19" s="134" t="s">
        <v>591</v>
      </c>
      <c r="C19" s="134"/>
      <c r="D19" s="194" t="s">
        <v>593</v>
      </c>
      <c r="E19" s="134" t="s">
        <v>600</v>
      </c>
      <c r="F19" s="134" t="s">
        <v>808</v>
      </c>
      <c r="G19" s="135" t="s">
        <v>596</v>
      </c>
    </row>
    <row r="20" spans="1:7" ht="13" x14ac:dyDescent="0.3">
      <c r="A20" s="174"/>
      <c r="B20" s="174"/>
      <c r="C20" s="174"/>
      <c r="D20" s="195"/>
      <c r="E20" s="175" t="e">
        <f>VLOOKUP(B20,'Rend. Equipos'!$B$7:$E$222,2,FALSE)</f>
        <v>#N/A</v>
      </c>
      <c r="F20" s="175">
        <v>-1.98</v>
      </c>
      <c r="G20" s="176"/>
    </row>
    <row r="21" spans="1:7" ht="13" x14ac:dyDescent="0.3">
      <c r="A21" s="177"/>
      <c r="B21" s="177"/>
      <c r="C21" s="177"/>
      <c r="D21" s="196"/>
      <c r="E21" s="178" t="e">
        <f>VLOOKUP(B21,'Rend. Equipos'!$B$7:$E$222,2,FALSE)</f>
        <v>#N/A</v>
      </c>
      <c r="F21" s="178">
        <v>-0.98</v>
      </c>
      <c r="G21" s="179"/>
    </row>
    <row r="22" spans="1:7" ht="13" x14ac:dyDescent="0.3">
      <c r="A22" s="180"/>
      <c r="B22" s="180"/>
      <c r="C22" s="180"/>
      <c r="D22" s="181"/>
      <c r="E22" s="180" t="e">
        <f>VLOOKUP(B22,'Rend. Equipos'!$B$7:$E$222,2,FALSE)</f>
        <v>#N/A</v>
      </c>
      <c r="F22" s="180">
        <v>0.02</v>
      </c>
      <c r="G22" s="182" t="e">
        <f>+E22*D22*F22</f>
        <v>#N/A</v>
      </c>
    </row>
    <row r="23" spans="1:7" ht="13" x14ac:dyDescent="0.3">
      <c r="A23" s="139"/>
      <c r="B23" s="139"/>
      <c r="C23" s="139"/>
      <c r="D23" s="139"/>
      <c r="E23" s="140"/>
      <c r="F23" s="141" t="s">
        <v>602</v>
      </c>
      <c r="G23" s="142" t="e">
        <f>SUM(G20:G22)</f>
        <v>#N/A</v>
      </c>
    </row>
    <row r="24" spans="1:7" ht="13" x14ac:dyDescent="0.3">
      <c r="A24" s="122"/>
      <c r="B24" s="122"/>
      <c r="C24" s="122"/>
      <c r="D24" s="122"/>
      <c r="E24" s="143"/>
      <c r="F24" s="144" t="s">
        <v>11</v>
      </c>
      <c r="G24" s="156" t="e">
        <f>+G23/F9</f>
        <v>#N/A</v>
      </c>
    </row>
    <row r="25" spans="1:7" ht="13" x14ac:dyDescent="0.3">
      <c r="A25" s="128" t="s">
        <v>603</v>
      </c>
      <c r="B25" s="122"/>
      <c r="C25" s="122"/>
      <c r="D25" s="122"/>
      <c r="E25" s="122"/>
      <c r="F25" s="122"/>
      <c r="G25" s="122"/>
    </row>
    <row r="26" spans="1:7" ht="13" x14ac:dyDescent="0.3">
      <c r="A26" s="133" t="s">
        <v>79</v>
      </c>
      <c r="B26" s="134" t="s">
        <v>591</v>
      </c>
      <c r="C26" s="134"/>
      <c r="D26" s="194" t="s">
        <v>593</v>
      </c>
      <c r="E26" s="134" t="s">
        <v>604</v>
      </c>
      <c r="F26" s="134"/>
      <c r="G26" s="135" t="s">
        <v>596</v>
      </c>
    </row>
    <row r="27" spans="1:7" ht="13" x14ac:dyDescent="0.3">
      <c r="A27" s="136" t="s">
        <v>255</v>
      </c>
      <c r="B27" s="122" t="s">
        <v>256</v>
      </c>
      <c r="C27" s="146"/>
      <c r="D27" s="190">
        <v>1</v>
      </c>
      <c r="E27" s="122">
        <f>VLOOKUP(B27,'Mano de Obra'!$B$8:$C$100,2,FALSE)</f>
        <v>85927.097156571981</v>
      </c>
      <c r="F27" s="146"/>
      <c r="G27" s="148">
        <f>+E27*D27</f>
        <v>85927.097156571981</v>
      </c>
    </row>
    <row r="28" spans="1:7" ht="13" x14ac:dyDescent="0.3">
      <c r="A28" s="138" t="s">
        <v>228</v>
      </c>
      <c r="B28" s="122" t="s">
        <v>243</v>
      </c>
      <c r="C28" s="149"/>
      <c r="D28" s="191">
        <v>2</v>
      </c>
      <c r="E28" s="122">
        <f>VLOOKUP(B28,'Mano de Obra'!$B$8:$C$100,2,FALSE)</f>
        <v>65493.071636571978</v>
      </c>
      <c r="F28" s="149"/>
      <c r="G28" s="137">
        <f>+E28*D28</f>
        <v>130986.14327314396</v>
      </c>
    </row>
    <row r="29" spans="1:7" ht="13" x14ac:dyDescent="0.3">
      <c r="A29" s="138" t="s">
        <v>242</v>
      </c>
      <c r="B29" s="122" t="s">
        <v>230</v>
      </c>
      <c r="C29" s="149"/>
      <c r="D29" s="150">
        <v>5</v>
      </c>
      <c r="E29" s="122">
        <f>VLOOKUP(B29,'Mano de Obra'!$B$8:$C$100,2,FALSE)</f>
        <v>60860.580776571966</v>
      </c>
      <c r="F29" s="149"/>
      <c r="G29" s="137">
        <f>+E29*D29</f>
        <v>304302.90388285986</v>
      </c>
    </row>
    <row r="30" spans="1:7" ht="13" x14ac:dyDescent="0.3">
      <c r="A30" s="139"/>
      <c r="B30" s="139"/>
      <c r="C30" s="139"/>
      <c r="D30" s="139"/>
      <c r="E30" s="151"/>
      <c r="F30" s="152" t="s">
        <v>606</v>
      </c>
      <c r="G30" s="153">
        <f>SUM(G27:G29)</f>
        <v>521216.14431257581</v>
      </c>
    </row>
    <row r="31" spans="1:7" ht="13" x14ac:dyDescent="0.3">
      <c r="A31" s="122"/>
      <c r="B31" s="122"/>
      <c r="C31" s="122"/>
      <c r="D31" s="122"/>
      <c r="E31" s="122"/>
      <c r="F31" s="123" t="s">
        <v>607</v>
      </c>
      <c r="G31" s="130">
        <v>1</v>
      </c>
    </row>
    <row r="32" spans="1:7" ht="13" x14ac:dyDescent="0.3">
      <c r="A32" s="122"/>
      <c r="B32" s="122"/>
      <c r="C32" s="122"/>
      <c r="D32" s="122"/>
      <c r="E32" s="122"/>
      <c r="F32" s="123" t="s">
        <v>608</v>
      </c>
      <c r="G32" s="130">
        <f>+G31*G30</f>
        <v>521216.14431257581</v>
      </c>
    </row>
    <row r="33" spans="4:7" ht="13" x14ac:dyDescent="0.3">
      <c r="D33" s="122"/>
      <c r="E33" s="122"/>
      <c r="F33" s="123" t="s">
        <v>10</v>
      </c>
      <c r="G33" s="130">
        <f>+G32/F9</f>
        <v>14478.226230904884</v>
      </c>
    </row>
    <row r="34" spans="4:7" ht="13" x14ac:dyDescent="0.3">
      <c r="D34" s="122"/>
      <c r="E34" s="122"/>
      <c r="F34" s="123" t="s">
        <v>609</v>
      </c>
      <c r="G34" s="130" t="e">
        <f>+G33+G24+G17</f>
        <v>#N/A</v>
      </c>
    </row>
    <row r="35" spans="4:7" ht="13" x14ac:dyDescent="0.3">
      <c r="D35" s="122"/>
      <c r="E35" s="123" t="s">
        <v>610</v>
      </c>
      <c r="F35" s="198">
        <f>+RESUMEN!$I$2</f>
        <v>0</v>
      </c>
      <c r="G35" s="130">
        <f>IF(F35=0,0,F35*G34)</f>
        <v>0</v>
      </c>
    </row>
    <row r="36" spans="4:7" ht="13" x14ac:dyDescent="0.3">
      <c r="D36" s="122"/>
      <c r="E36" s="123" t="s">
        <v>611</v>
      </c>
      <c r="F36" s="198">
        <f>+RESUMEN!$I$3</f>
        <v>0</v>
      </c>
      <c r="G36" s="130">
        <f>IF(F36=0,0,F36*G34)</f>
        <v>0</v>
      </c>
    </row>
    <row r="37" spans="4:7" ht="13" x14ac:dyDescent="0.3">
      <c r="D37" s="122"/>
      <c r="E37" s="151"/>
      <c r="F37" s="152" t="s">
        <v>612</v>
      </c>
      <c r="G37" s="154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9"/>
  </sheetPr>
  <dimension ref="A1:M39"/>
  <sheetViews>
    <sheetView workbookViewId="0">
      <selection sqref="A1:G1"/>
    </sheetView>
  </sheetViews>
  <sheetFormatPr defaultColWidth="11.453125" defaultRowHeight="12.5" x14ac:dyDescent="0.25"/>
  <cols>
    <col min="1" max="1" width="10.36328125" customWidth="1"/>
    <col min="2" max="2" width="35.6328125" customWidth="1"/>
    <col min="3" max="3" width="7.08984375" bestFit="1" customWidth="1"/>
    <col min="4" max="4" width="8.6328125" style="427" customWidth="1"/>
    <col min="5" max="5" width="12.6328125" customWidth="1"/>
    <col min="6" max="6" width="9.453125" customWidth="1"/>
    <col min="7" max="7" width="9.08984375" customWidth="1"/>
    <col min="8" max="8" width="10.6328125" bestFit="1" customWidth="1"/>
  </cols>
  <sheetData>
    <row r="1" spans="1:13" ht="15.5" x14ac:dyDescent="0.25">
      <c r="A1" s="869"/>
      <c r="B1" s="869"/>
      <c r="C1" s="869"/>
      <c r="D1" s="869"/>
      <c r="E1" s="869"/>
      <c r="F1" s="869"/>
      <c r="G1" s="869"/>
      <c r="H1" s="162"/>
      <c r="I1" s="1"/>
      <c r="J1" s="1"/>
      <c r="K1" s="1"/>
      <c r="L1" s="1"/>
      <c r="M1" s="1"/>
    </row>
    <row r="2" spans="1:13" x14ac:dyDescent="0.25">
      <c r="A2" s="162"/>
      <c r="B2" s="162"/>
      <c r="C2" s="162"/>
      <c r="D2" s="501"/>
      <c r="E2" s="162"/>
      <c r="F2" s="163" t="s">
        <v>833</v>
      </c>
      <c r="G2" s="722" t="s">
        <v>613</v>
      </c>
      <c r="H2" s="162"/>
      <c r="I2" s="1"/>
      <c r="J2" s="1"/>
      <c r="K2" s="1"/>
      <c r="L2" s="1"/>
      <c r="M2" s="1"/>
    </row>
    <row r="3" spans="1:13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  <c r="I3" s="1"/>
      <c r="J3" s="1"/>
      <c r="K3" s="1"/>
      <c r="L3" s="1"/>
      <c r="M3" s="1"/>
    </row>
    <row r="4" spans="1:13" ht="13" x14ac:dyDescent="0.3">
      <c r="A4" s="122"/>
      <c r="B4" s="122"/>
      <c r="C4" s="122"/>
      <c r="D4" s="421"/>
      <c r="E4" s="122"/>
      <c r="F4" s="123" t="s">
        <v>580</v>
      </c>
      <c r="G4" s="126">
        <v>113</v>
      </c>
      <c r="H4" s="162"/>
      <c r="I4" s="1"/>
      <c r="J4" s="1"/>
      <c r="K4" s="1"/>
      <c r="L4" s="1"/>
      <c r="M4" s="1"/>
    </row>
    <row r="5" spans="1:13" ht="13" x14ac:dyDescent="0.25">
      <c r="A5" s="127" t="s">
        <v>581</v>
      </c>
      <c r="B5" s="729" t="s">
        <v>578</v>
      </c>
      <c r="C5" s="722"/>
      <c r="D5" s="722"/>
      <c r="E5" s="722"/>
      <c r="F5" s="722"/>
      <c r="G5" s="722"/>
      <c r="H5" s="162"/>
      <c r="I5" s="1"/>
      <c r="J5" s="1"/>
      <c r="K5" s="1"/>
      <c r="L5" s="1"/>
      <c r="M5" s="1"/>
    </row>
    <row r="6" spans="1:13" ht="13" x14ac:dyDescent="0.3">
      <c r="A6" s="128" t="s">
        <v>582</v>
      </c>
      <c r="B6" s="729" t="s">
        <v>578</v>
      </c>
      <c r="C6" s="122"/>
      <c r="D6" s="421"/>
      <c r="E6" s="122"/>
      <c r="F6" s="123" t="s">
        <v>583</v>
      </c>
      <c r="G6" s="730" t="s">
        <v>613</v>
      </c>
      <c r="H6" s="162"/>
      <c r="I6" s="1"/>
      <c r="J6" s="1"/>
      <c r="K6" s="1"/>
      <c r="L6" s="1"/>
      <c r="M6" s="1"/>
    </row>
    <row r="7" spans="1:13" ht="15.5" x14ac:dyDescent="0.25">
      <c r="A7" s="197" t="s">
        <v>584</v>
      </c>
      <c r="B7" s="873" t="s">
        <v>834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</row>
    <row r="8" spans="1:13" ht="13" x14ac:dyDescent="0.3">
      <c r="A8" s="128"/>
      <c r="B8" s="122"/>
      <c r="C8" s="240" t="s">
        <v>586</v>
      </c>
      <c r="D8" s="421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</row>
    <row r="9" spans="1:13" ht="13" x14ac:dyDescent="0.3">
      <c r="A9" s="122"/>
      <c r="B9" s="122"/>
      <c r="C9" s="158" t="s">
        <v>45</v>
      </c>
      <c r="D9" s="421"/>
      <c r="E9" s="132">
        <v>100</v>
      </c>
      <c r="F9" s="185">
        <v>80</v>
      </c>
      <c r="G9" s="122" t="s">
        <v>615</v>
      </c>
      <c r="H9" s="162"/>
      <c r="I9" s="1"/>
      <c r="J9" s="1"/>
      <c r="K9" s="1"/>
      <c r="L9" s="1"/>
      <c r="M9" s="1"/>
    </row>
    <row r="10" spans="1:13" ht="13" x14ac:dyDescent="0.3">
      <c r="A10" s="128" t="s">
        <v>590</v>
      </c>
      <c r="B10" s="122"/>
      <c r="C10" s="158"/>
      <c r="D10" s="421"/>
      <c r="E10" s="122"/>
      <c r="F10" s="122"/>
      <c r="G10" s="122"/>
      <c r="H10" s="162"/>
      <c r="I10" s="1"/>
      <c r="J10" s="1"/>
      <c r="K10" s="1"/>
      <c r="L10" s="1"/>
      <c r="M10" s="1"/>
    </row>
    <row r="11" spans="1:13" ht="13" x14ac:dyDescent="0.3">
      <c r="A11" s="133" t="s">
        <v>79</v>
      </c>
      <c r="B11" s="134" t="s">
        <v>591</v>
      </c>
      <c r="C11" s="261" t="s">
        <v>592</v>
      </c>
      <c r="D11" s="503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3"/>
      <c r="J11" s="3">
        <v>1</v>
      </c>
      <c r="K11" s="3">
        <v>2</v>
      </c>
      <c r="L11" s="3"/>
      <c r="M11" s="3"/>
    </row>
    <row r="12" spans="1:13" ht="13" x14ac:dyDescent="0.3">
      <c r="A12" s="264" t="s">
        <v>791</v>
      </c>
      <c r="B12" s="175" t="s">
        <v>474</v>
      </c>
      <c r="C12" s="264" t="s">
        <v>17</v>
      </c>
      <c r="D12" s="433">
        <v>2.7777777777777776E-2</v>
      </c>
      <c r="E12" s="175">
        <f>VLOOKUP(B12,Materiales!$B$8:$D$118,3,FALSE)</f>
        <v>32845.78</v>
      </c>
      <c r="F12" s="175">
        <v>10</v>
      </c>
      <c r="G12" s="176">
        <f>+D12*E12*((F12+100)/100)</f>
        <v>1003.6210555555556</v>
      </c>
      <c r="H12" s="176">
        <f>+D12*$E$9</f>
        <v>2.7777777777777777</v>
      </c>
      <c r="I12" s="3"/>
      <c r="J12" s="3">
        <v>18</v>
      </c>
      <c r="K12" s="3">
        <f>J12*K11/J11</f>
        <v>36</v>
      </c>
      <c r="L12" s="3">
        <v>1</v>
      </c>
      <c r="M12" s="3">
        <f>+L12/K12</f>
        <v>2.7777777777777776E-2</v>
      </c>
    </row>
    <row r="13" spans="1:13" ht="13" x14ac:dyDescent="0.3">
      <c r="A13" s="320"/>
      <c r="B13" s="178" t="s">
        <v>501</v>
      </c>
      <c r="C13" s="320" t="s">
        <v>17</v>
      </c>
      <c r="D13" s="457">
        <v>0.01</v>
      </c>
      <c r="E13" s="178">
        <f>VLOOKUP(B13,Materiales!$B$8:$D$118,3,FALSE)</f>
        <v>6678.36</v>
      </c>
      <c r="F13" s="178">
        <v>5</v>
      </c>
      <c r="G13" s="179">
        <f t="shared" ref="G13:G16" si="0">+D13*E13*((F13+100)/100)</f>
        <v>70.122779999999992</v>
      </c>
      <c r="H13" s="179">
        <f>+D13*$E$9</f>
        <v>1</v>
      </c>
      <c r="I13" s="3"/>
      <c r="J13" s="3"/>
      <c r="K13" s="3"/>
      <c r="L13" s="3"/>
      <c r="M13" s="3"/>
    </row>
    <row r="14" spans="1:13" ht="13" x14ac:dyDescent="0.3">
      <c r="A14" s="320"/>
      <c r="B14" s="178" t="s">
        <v>502</v>
      </c>
      <c r="C14" s="320" t="s">
        <v>17</v>
      </c>
      <c r="D14" s="457">
        <v>0.02</v>
      </c>
      <c r="E14" s="178">
        <f>VLOOKUP(B14,Materiales!$B$8:$D$118,3,FALSE)</f>
        <v>5282.24</v>
      </c>
      <c r="F14" s="178">
        <v>5</v>
      </c>
      <c r="G14" s="179">
        <f t="shared" si="0"/>
        <v>110.92704000000001</v>
      </c>
      <c r="H14" s="179">
        <f>+D14*$E$9</f>
        <v>2</v>
      </c>
      <c r="I14" s="3"/>
      <c r="J14" s="3"/>
      <c r="K14" s="3"/>
      <c r="L14" s="3"/>
      <c r="M14" s="3"/>
    </row>
    <row r="15" spans="1:13" ht="13" x14ac:dyDescent="0.3">
      <c r="A15" s="320"/>
      <c r="B15" s="178" t="s">
        <v>490</v>
      </c>
      <c r="C15" s="320" t="s">
        <v>538</v>
      </c>
      <c r="D15" s="457">
        <v>2E-3</v>
      </c>
      <c r="E15" s="178">
        <f>VLOOKUP(B15,Materiales!$B$8:$D$118,3,FALSE)</f>
        <v>26907.33</v>
      </c>
      <c r="F15" s="178">
        <v>5</v>
      </c>
      <c r="G15" s="179">
        <f t="shared" si="0"/>
        <v>56.505393000000005</v>
      </c>
      <c r="H15" s="179">
        <f>+D15*$E$9</f>
        <v>0.2</v>
      </c>
      <c r="I15" s="3"/>
      <c r="J15" s="3"/>
      <c r="K15" s="3"/>
      <c r="L15" s="3"/>
      <c r="M15" s="3"/>
    </row>
    <row r="16" spans="1:13" ht="13" x14ac:dyDescent="0.3">
      <c r="A16" s="265"/>
      <c r="B16" s="180" t="s">
        <v>497</v>
      </c>
      <c r="C16" s="265" t="s">
        <v>17</v>
      </c>
      <c r="D16" s="434">
        <v>0.02</v>
      </c>
      <c r="E16" s="180">
        <f>VLOOKUP(B16,Materiales!$B$8:$D$118,3,FALSE)</f>
        <v>735.06</v>
      </c>
      <c r="F16" s="180">
        <v>5</v>
      </c>
      <c r="G16" s="182">
        <f t="shared" si="0"/>
        <v>15.436260000000001</v>
      </c>
      <c r="H16" s="182">
        <f>+D16*$E$9</f>
        <v>2</v>
      </c>
      <c r="I16" s="1"/>
      <c r="J16" s="1"/>
      <c r="K16" s="1"/>
      <c r="L16" s="1"/>
      <c r="M16" s="1"/>
    </row>
    <row r="17" spans="1:8" ht="13" x14ac:dyDescent="0.3">
      <c r="A17" s="122"/>
      <c r="B17" s="122"/>
      <c r="C17" s="158"/>
      <c r="D17" s="504"/>
      <c r="E17" s="360"/>
      <c r="F17" s="123" t="s">
        <v>598</v>
      </c>
      <c r="G17" s="349">
        <f>SUM(G12:G16)</f>
        <v>1256.6125285555554</v>
      </c>
      <c r="H17" s="162"/>
    </row>
    <row r="18" spans="1:8" ht="13" x14ac:dyDescent="0.3">
      <c r="A18" s="122"/>
      <c r="B18" s="122"/>
      <c r="C18" s="158"/>
      <c r="D18" s="421"/>
      <c r="E18" s="143"/>
      <c r="F18" s="144" t="s">
        <v>9</v>
      </c>
      <c r="G18" s="156">
        <f>+G17</f>
        <v>1256.6125285555554</v>
      </c>
      <c r="H18" s="162"/>
    </row>
    <row r="19" spans="1:8" ht="13" x14ac:dyDescent="0.3">
      <c r="A19" s="128" t="s">
        <v>599</v>
      </c>
      <c r="B19" s="122"/>
      <c r="C19" s="158"/>
      <c r="D19" s="421"/>
      <c r="E19" s="122"/>
      <c r="F19" s="122"/>
      <c r="G19" s="122"/>
      <c r="H19" s="162"/>
    </row>
    <row r="20" spans="1:8" ht="13" x14ac:dyDescent="0.3">
      <c r="A20" s="133" t="s">
        <v>79</v>
      </c>
      <c r="B20" s="134" t="s">
        <v>591</v>
      </c>
      <c r="C20" s="261" t="s">
        <v>592</v>
      </c>
      <c r="D20" s="503" t="s">
        <v>593</v>
      </c>
      <c r="E20" s="134" t="s">
        <v>600</v>
      </c>
      <c r="F20" s="134" t="s">
        <v>87</v>
      </c>
      <c r="G20" s="135" t="s">
        <v>596</v>
      </c>
      <c r="H20" s="167"/>
    </row>
    <row r="21" spans="1:8" ht="26" x14ac:dyDescent="0.3">
      <c r="A21" s="598" t="s">
        <v>167</v>
      </c>
      <c r="B21" s="728" t="s">
        <v>168</v>
      </c>
      <c r="C21" s="598" t="s">
        <v>352</v>
      </c>
      <c r="D21" s="514">
        <v>1</v>
      </c>
      <c r="E21" s="598">
        <f>VLOOKUP(B21,'Rend. Equipos'!$B$7:$E$222,4,FALSE)</f>
        <v>579244.09475606401</v>
      </c>
      <c r="F21" s="731">
        <f>VLOOKUP(B21,'Rend. Equipos'!$B$6:$L$166,MATCH($F$20,'Rend. Equipos'!$B$6:$L$6,0),0)</f>
        <v>1.3888888888888889E-3</v>
      </c>
      <c r="G21" s="598">
        <f>+E21*D21*F21</f>
        <v>804.50568716120006</v>
      </c>
      <c r="H21" s="162"/>
    </row>
    <row r="22" spans="1:8" ht="13" x14ac:dyDescent="0.3">
      <c r="A22" s="139"/>
      <c r="B22" s="139"/>
      <c r="C22" s="262"/>
      <c r="D22" s="426"/>
      <c r="E22" s="140"/>
      <c r="F22" s="141" t="s">
        <v>602</v>
      </c>
      <c r="G22" s="142">
        <f>SUM(G21)</f>
        <v>804.50568716120006</v>
      </c>
      <c r="H22" s="162"/>
    </row>
    <row r="23" spans="1:8" ht="13" x14ac:dyDescent="0.3">
      <c r="A23" s="122"/>
      <c r="B23" s="122"/>
      <c r="C23" s="158"/>
      <c r="D23" s="421"/>
      <c r="E23" s="143"/>
      <c r="F23" s="144" t="s">
        <v>11</v>
      </c>
      <c r="G23" s="156">
        <f>SUM(G22)/F9</f>
        <v>10.056321089515</v>
      </c>
      <c r="H23" s="162"/>
    </row>
    <row r="24" spans="1:8" ht="13" x14ac:dyDescent="0.3">
      <c r="A24" s="128" t="s">
        <v>603</v>
      </c>
      <c r="B24" s="122"/>
      <c r="C24" s="158"/>
      <c r="D24" s="421"/>
      <c r="E24" s="122"/>
      <c r="F24" s="122"/>
      <c r="G24" s="122"/>
      <c r="H24" s="162"/>
    </row>
    <row r="25" spans="1:8" ht="13" x14ac:dyDescent="0.3">
      <c r="A25" s="133" t="s">
        <v>79</v>
      </c>
      <c r="B25" s="134" t="s">
        <v>591</v>
      </c>
      <c r="C25" s="261" t="s">
        <v>592</v>
      </c>
      <c r="D25" s="503" t="s">
        <v>593</v>
      </c>
      <c r="E25" s="134" t="s">
        <v>604</v>
      </c>
      <c r="F25" s="134"/>
      <c r="G25" s="135" t="s">
        <v>596</v>
      </c>
      <c r="H25" s="167"/>
    </row>
    <row r="26" spans="1:8" ht="13" x14ac:dyDescent="0.3">
      <c r="A26" s="279" t="s">
        <v>228</v>
      </c>
      <c r="B26" s="122" t="s">
        <v>230</v>
      </c>
      <c r="C26" s="711" t="s">
        <v>605</v>
      </c>
      <c r="D26" s="706">
        <v>1</v>
      </c>
      <c r="E26" s="122">
        <f>VLOOKUP(B26,'Mano de Obra'!$B$8:$C$100,2,FALSE)</f>
        <v>60860.580776571966</v>
      </c>
      <c r="F26" s="146"/>
      <c r="G26" s="148">
        <f>+E26*D26</f>
        <v>60860.580776571966</v>
      </c>
      <c r="H26" s="162"/>
    </row>
    <row r="27" spans="1:8" ht="13" x14ac:dyDescent="0.3">
      <c r="A27" s="280" t="s">
        <v>253</v>
      </c>
      <c r="B27" s="122" t="s">
        <v>254</v>
      </c>
      <c r="C27" s="712" t="s">
        <v>605</v>
      </c>
      <c r="D27" s="707">
        <v>1</v>
      </c>
      <c r="E27" s="122">
        <f>VLOOKUP(B27,'Mano de Obra'!$B$8:$C$100,2,FALSE)</f>
        <v>85927.097156571981</v>
      </c>
      <c r="F27" s="149"/>
      <c r="G27" s="137">
        <f>+E27*D27</f>
        <v>85927.097156571981</v>
      </c>
      <c r="H27" s="162"/>
    </row>
    <row r="28" spans="1:8" ht="13" x14ac:dyDescent="0.3">
      <c r="A28" s="139"/>
      <c r="B28" s="139"/>
      <c r="C28" s="139"/>
      <c r="D28" s="426"/>
      <c r="E28" s="140"/>
      <c r="F28" s="141" t="s">
        <v>606</v>
      </c>
      <c r="G28" s="391">
        <f>SUM(G26:G27)</f>
        <v>146787.67793314395</v>
      </c>
      <c r="H28" s="162"/>
    </row>
    <row r="29" spans="1:8" ht="13" x14ac:dyDescent="0.3">
      <c r="A29" s="122"/>
      <c r="B29" s="122"/>
      <c r="C29" s="122"/>
      <c r="D29" s="421"/>
      <c r="E29" s="360"/>
      <c r="F29" s="123" t="s">
        <v>607</v>
      </c>
      <c r="G29" s="349">
        <v>1</v>
      </c>
      <c r="H29" s="162"/>
    </row>
    <row r="30" spans="1:8" ht="13" x14ac:dyDescent="0.3">
      <c r="A30" s="122"/>
      <c r="B30" s="122"/>
      <c r="C30" s="122"/>
      <c r="D30" s="421"/>
      <c r="E30" s="360"/>
      <c r="F30" s="123" t="s">
        <v>608</v>
      </c>
      <c r="G30" s="390">
        <f>+G29*G28</f>
        <v>146787.67793314395</v>
      </c>
      <c r="H30" s="162"/>
    </row>
    <row r="31" spans="1:8" ht="13" x14ac:dyDescent="0.3">
      <c r="A31" s="122"/>
      <c r="B31" s="122"/>
      <c r="C31" s="122"/>
      <c r="D31" s="421"/>
      <c r="E31" s="143"/>
      <c r="F31" s="144" t="s">
        <v>10</v>
      </c>
      <c r="G31" s="156">
        <f>+G30/F9</f>
        <v>1834.8459741642994</v>
      </c>
      <c r="H31" s="162"/>
    </row>
    <row r="33" spans="1:7" ht="13" x14ac:dyDescent="0.3">
      <c r="A33" s="122"/>
      <c r="B33" s="122"/>
      <c r="C33" s="122"/>
      <c r="D33" s="421"/>
      <c r="E33" s="122"/>
      <c r="F33" s="123" t="s">
        <v>609</v>
      </c>
      <c r="G33" s="123">
        <f>+G31+G23+G18</f>
        <v>3101.5148238093698</v>
      </c>
    </row>
    <row r="34" spans="1:7" ht="13" x14ac:dyDescent="0.3">
      <c r="A34" s="122"/>
      <c r="B34" s="122"/>
      <c r="C34" s="122"/>
      <c r="D34" s="421"/>
      <c r="E34" s="123" t="s">
        <v>610</v>
      </c>
      <c r="F34" s="198">
        <f>+RESUMEN!$I$2</f>
        <v>0</v>
      </c>
      <c r="G34" s="130">
        <f>IF(F34=0,0,F34*G33)</f>
        <v>0</v>
      </c>
    </row>
    <row r="35" spans="1:7" ht="13" x14ac:dyDescent="0.3">
      <c r="A35" s="122"/>
      <c r="B35" s="122"/>
      <c r="C35" s="122"/>
      <c r="D35" s="421"/>
      <c r="E35" s="123" t="s">
        <v>611</v>
      </c>
      <c r="F35" s="198">
        <f>+RESUMEN!$I$3</f>
        <v>0</v>
      </c>
      <c r="G35" s="130">
        <f>IF(F35=0,0,F35*G33)</f>
        <v>0</v>
      </c>
    </row>
    <row r="36" spans="1:7" ht="13" x14ac:dyDescent="0.3">
      <c r="A36" s="122"/>
      <c r="B36" s="122"/>
      <c r="C36" s="122"/>
      <c r="D36" s="421"/>
      <c r="E36" s="151"/>
      <c r="F36" s="152" t="s">
        <v>612</v>
      </c>
      <c r="G36" s="389">
        <f>SUM(G33:G35)</f>
        <v>3101.5148238093698</v>
      </c>
    </row>
    <row r="37" spans="1:7" ht="13" x14ac:dyDescent="0.3">
      <c r="A37" s="122"/>
      <c r="B37" s="122"/>
      <c r="C37" s="122"/>
      <c r="D37" s="421"/>
      <c r="E37" s="122"/>
      <c r="F37" s="122"/>
      <c r="G37" s="122"/>
    </row>
    <row r="38" spans="1:7" ht="13" x14ac:dyDescent="0.3">
      <c r="A38" s="875"/>
      <c r="B38" s="870"/>
      <c r="C38" s="122"/>
      <c r="D38" s="421"/>
      <c r="E38" s="122"/>
      <c r="F38" s="122"/>
      <c r="G38" s="122"/>
    </row>
    <row r="39" spans="1:7" ht="13" x14ac:dyDescent="0.3">
      <c r="A39" s="875"/>
      <c r="B39" s="870"/>
      <c r="C39" s="122"/>
      <c r="D39" s="421"/>
      <c r="E39" s="122"/>
      <c r="F39" s="122"/>
      <c r="G39" s="122"/>
    </row>
  </sheetData>
  <mergeCells count="4">
    <mergeCell ref="A1:G1"/>
    <mergeCell ref="B7:G7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9"/>
  </sheetPr>
  <dimension ref="A1:M42"/>
  <sheetViews>
    <sheetView workbookViewId="0">
      <selection activeCell="F9" sqref="F9"/>
    </sheetView>
  </sheetViews>
  <sheetFormatPr defaultColWidth="11.453125" defaultRowHeight="12.5" x14ac:dyDescent="0.25"/>
  <cols>
    <col min="1" max="1" width="17.08984375" bestFit="1" customWidth="1"/>
    <col min="2" max="2" width="50" bestFit="1" customWidth="1"/>
    <col min="3" max="3" width="7.08984375" style="202" bestFit="1" customWidth="1"/>
    <col min="4" max="4" width="7.90625" style="347" bestFit="1" customWidth="1"/>
    <col min="5" max="5" width="15.36328125" bestFit="1" customWidth="1"/>
    <col min="6" max="6" width="9.453125" customWidth="1"/>
    <col min="7" max="7" width="12" bestFit="1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</row>
    <row r="2" spans="1:13" ht="13" x14ac:dyDescent="0.3">
      <c r="A2" s="162"/>
      <c r="B2" s="162"/>
      <c r="C2" s="260"/>
      <c r="D2" s="340"/>
      <c r="E2" s="162"/>
      <c r="F2" s="131" t="s">
        <v>78</v>
      </c>
      <c r="G2" s="732" t="s">
        <v>613</v>
      </c>
      <c r="H2" s="162"/>
      <c r="I2" s="1"/>
      <c r="J2" s="1"/>
      <c r="K2" s="1"/>
      <c r="L2" s="1"/>
      <c r="M2" s="1"/>
    </row>
    <row r="3" spans="1:13" ht="15.5" x14ac:dyDescent="0.35">
      <c r="A3" s="165" t="s">
        <v>579</v>
      </c>
      <c r="B3" s="166"/>
      <c r="C3" s="383"/>
      <c r="D3" s="341"/>
      <c r="E3" s="166"/>
      <c r="F3" s="166"/>
      <c r="G3" s="166"/>
      <c r="H3" s="162"/>
      <c r="I3" s="1"/>
      <c r="J3" s="1"/>
      <c r="K3" s="1"/>
      <c r="L3" s="1"/>
      <c r="M3" s="1"/>
    </row>
    <row r="4" spans="1:13" ht="13" x14ac:dyDescent="0.3">
      <c r="A4" s="122"/>
      <c r="B4" s="122"/>
      <c r="C4" s="158"/>
      <c r="D4" s="342"/>
      <c r="E4" s="122"/>
      <c r="F4" s="123" t="s">
        <v>580</v>
      </c>
      <c r="G4" s="126">
        <v>114</v>
      </c>
      <c r="H4" s="162"/>
      <c r="I4" s="1"/>
      <c r="J4" s="1"/>
      <c r="K4" s="1"/>
      <c r="L4" s="1"/>
      <c r="M4" s="1"/>
    </row>
    <row r="5" spans="1:13" ht="13" x14ac:dyDescent="0.25">
      <c r="A5" s="127" t="s">
        <v>581</v>
      </c>
      <c r="B5" s="562" t="s">
        <v>613</v>
      </c>
      <c r="C5" s="563"/>
      <c r="D5" s="563"/>
      <c r="E5" s="563"/>
      <c r="F5" s="563"/>
      <c r="G5" s="563"/>
      <c r="H5" s="162"/>
      <c r="I5" s="1"/>
      <c r="J5" s="1"/>
      <c r="K5" s="1"/>
      <c r="L5" s="1"/>
      <c r="M5" s="1"/>
    </row>
    <row r="6" spans="1:13" ht="13" x14ac:dyDescent="0.3">
      <c r="A6" s="128" t="s">
        <v>582</v>
      </c>
      <c r="B6" s="446" t="s">
        <v>613</v>
      </c>
      <c r="C6" s="158"/>
      <c r="D6" s="342"/>
      <c r="E6" s="122"/>
      <c r="F6" s="123" t="s">
        <v>583</v>
      </c>
      <c r="G6" s="446" t="s">
        <v>613</v>
      </c>
      <c r="H6" s="162"/>
      <c r="I6" s="1"/>
      <c r="J6" s="1"/>
      <c r="K6" s="1"/>
      <c r="L6" s="1"/>
      <c r="M6" s="1"/>
    </row>
    <row r="7" spans="1:13" ht="15.5" x14ac:dyDescent="0.25">
      <c r="A7" s="197" t="s">
        <v>584</v>
      </c>
      <c r="B7" s="873" t="s">
        <v>835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</row>
    <row r="8" spans="1:13" ht="13" x14ac:dyDescent="0.3">
      <c r="A8" s="128"/>
      <c r="B8" s="122"/>
      <c r="C8" s="240" t="s">
        <v>586</v>
      </c>
      <c r="D8" s="342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</row>
    <row r="9" spans="1:13" ht="13" x14ac:dyDescent="0.3">
      <c r="A9" s="122"/>
      <c r="B9" s="122"/>
      <c r="C9" s="158" t="s">
        <v>47</v>
      </c>
      <c r="D9" s="342"/>
      <c r="E9" s="564">
        <v>100</v>
      </c>
      <c r="F9" s="33">
        <v>60</v>
      </c>
      <c r="G9" s="158" t="s">
        <v>668</v>
      </c>
      <c r="H9" s="162"/>
      <c r="I9" s="1"/>
      <c r="J9" s="1"/>
      <c r="K9" s="1"/>
      <c r="L9" s="1"/>
      <c r="M9" s="1"/>
    </row>
    <row r="10" spans="1:13" ht="13" x14ac:dyDescent="0.3">
      <c r="A10" s="128" t="s">
        <v>590</v>
      </c>
      <c r="B10" s="122"/>
      <c r="C10" s="158"/>
      <c r="D10" s="342"/>
      <c r="E10" s="122"/>
      <c r="F10" s="122"/>
      <c r="G10" s="122"/>
      <c r="H10" s="162"/>
      <c r="I10" s="1"/>
      <c r="J10" s="1"/>
      <c r="K10" s="1"/>
      <c r="L10" s="1"/>
      <c r="M10" s="1"/>
    </row>
    <row r="11" spans="1:13" ht="13" x14ac:dyDescent="0.3">
      <c r="A11" s="133" t="s">
        <v>79</v>
      </c>
      <c r="B11" s="134" t="s">
        <v>591</v>
      </c>
      <c r="C11" s="261" t="s">
        <v>592</v>
      </c>
      <c r="D11" s="345" t="s">
        <v>593</v>
      </c>
      <c r="E11" s="134" t="s">
        <v>594</v>
      </c>
      <c r="F11" s="134" t="s">
        <v>595</v>
      </c>
      <c r="G11" s="135" t="s">
        <v>596</v>
      </c>
      <c r="H11" s="167"/>
      <c r="I11" s="3"/>
      <c r="J11" s="3">
        <v>1</v>
      </c>
      <c r="K11" s="3">
        <v>2</v>
      </c>
      <c r="L11" s="3"/>
      <c r="M11" s="3"/>
    </row>
    <row r="12" spans="1:13" ht="13" x14ac:dyDescent="0.3">
      <c r="A12" s="264" t="s">
        <v>791</v>
      </c>
      <c r="B12" s="175" t="s">
        <v>474</v>
      </c>
      <c r="C12" s="264" t="s">
        <v>538</v>
      </c>
      <c r="D12" s="733">
        <v>1.4999999999999999E-2</v>
      </c>
      <c r="E12" s="175">
        <f>VLOOKUP(B12,Materiales!$B$8:$D$212,3,FALSE)</f>
        <v>32845.78</v>
      </c>
      <c r="F12" s="175">
        <v>10</v>
      </c>
      <c r="G12" s="176">
        <f>+D12*E12*((F12+100)/100)</f>
        <v>541.95537000000002</v>
      </c>
      <c r="H12" s="176">
        <f>+D12*$E$9</f>
        <v>1.5</v>
      </c>
      <c r="I12" s="3"/>
      <c r="J12" s="3">
        <v>18</v>
      </c>
      <c r="K12" s="3">
        <f>J12*K11/J11</f>
        <v>36</v>
      </c>
      <c r="L12" s="3">
        <v>1</v>
      </c>
      <c r="M12" s="3">
        <f>+L12/K12</f>
        <v>2.7777777777777776E-2</v>
      </c>
    </row>
    <row r="13" spans="1:13" ht="13" x14ac:dyDescent="0.3">
      <c r="A13" s="320" t="s">
        <v>791</v>
      </c>
      <c r="B13" s="178" t="s">
        <v>479</v>
      </c>
      <c r="C13" s="320" t="s">
        <v>17</v>
      </c>
      <c r="D13" s="734">
        <v>0.05</v>
      </c>
      <c r="E13" s="178">
        <f>VLOOKUP(B13,Materiales!$B$8:$D$212,3,FALSE)</f>
        <v>70192.210000000006</v>
      </c>
      <c r="F13" s="178">
        <v>10</v>
      </c>
      <c r="G13" s="179">
        <f t="shared" ref="G13:G19" si="0">+D13*E13*((F13+100)/100)</f>
        <v>3860.571550000001</v>
      </c>
      <c r="H13" s="179">
        <f t="shared" ref="H13:H19" si="1">+D13*$E$9</f>
        <v>5</v>
      </c>
      <c r="I13" s="1"/>
      <c r="J13" s="1"/>
      <c r="K13" s="1"/>
      <c r="L13" s="1"/>
      <c r="M13" s="1"/>
    </row>
    <row r="14" spans="1:13" ht="13" x14ac:dyDescent="0.3">
      <c r="A14" s="320"/>
      <c r="B14" s="178" t="s">
        <v>501</v>
      </c>
      <c r="C14" s="320" t="s">
        <v>17</v>
      </c>
      <c r="D14" s="734">
        <v>5.0000000000000001E-3</v>
      </c>
      <c r="E14" s="178">
        <f>VLOOKUP(B14,Materiales!$B$8:$D$212,3,FALSE)</f>
        <v>6678.36</v>
      </c>
      <c r="F14" s="178">
        <v>5</v>
      </c>
      <c r="G14" s="179">
        <f t="shared" si="0"/>
        <v>35.061389999999996</v>
      </c>
      <c r="H14" s="179">
        <f t="shared" si="1"/>
        <v>0.5</v>
      </c>
      <c r="I14" s="1"/>
      <c r="J14" s="1"/>
      <c r="K14" s="1"/>
      <c r="L14" s="1"/>
      <c r="M14" s="1"/>
    </row>
    <row r="15" spans="1:13" ht="13" x14ac:dyDescent="0.3">
      <c r="A15" s="320"/>
      <c r="B15" s="178" t="s">
        <v>502</v>
      </c>
      <c r="C15" s="320" t="s">
        <v>17</v>
      </c>
      <c r="D15" s="734">
        <v>0.01</v>
      </c>
      <c r="E15" s="178">
        <f>VLOOKUP(B15,Materiales!$B$8:$D$212,3,FALSE)</f>
        <v>5282.24</v>
      </c>
      <c r="F15" s="178">
        <v>5</v>
      </c>
      <c r="G15" s="179">
        <f t="shared" si="0"/>
        <v>55.463520000000003</v>
      </c>
      <c r="H15" s="179">
        <f t="shared" si="1"/>
        <v>1</v>
      </c>
      <c r="I15" s="1"/>
      <c r="J15" s="1"/>
      <c r="K15" s="1"/>
      <c r="L15" s="1"/>
      <c r="M15" s="1"/>
    </row>
    <row r="16" spans="1:13" ht="13" x14ac:dyDescent="0.3">
      <c r="A16" s="320"/>
      <c r="B16" s="178" t="s">
        <v>490</v>
      </c>
      <c r="C16" s="320" t="s">
        <v>538</v>
      </c>
      <c r="D16" s="734">
        <v>5.0000000000000001E-3</v>
      </c>
      <c r="E16" s="178">
        <f>VLOOKUP(B16,Materiales!$B$8:$D$212,3,FALSE)</f>
        <v>26907.33</v>
      </c>
      <c r="F16" s="178">
        <v>5</v>
      </c>
      <c r="G16" s="179">
        <f t="shared" si="0"/>
        <v>141.26348250000001</v>
      </c>
      <c r="H16" s="179">
        <f t="shared" si="1"/>
        <v>0.5</v>
      </c>
      <c r="I16" s="1"/>
      <c r="J16" s="1"/>
      <c r="K16" s="1"/>
      <c r="L16" s="1"/>
      <c r="M16" s="1"/>
    </row>
    <row r="17" spans="1:8" ht="13" x14ac:dyDescent="0.3">
      <c r="A17" s="320"/>
      <c r="B17" s="178" t="s">
        <v>497</v>
      </c>
      <c r="C17" s="320" t="s">
        <v>17</v>
      </c>
      <c r="D17" s="734">
        <v>0.01</v>
      </c>
      <c r="E17" s="178">
        <f>VLOOKUP(B17,Materiales!$B$8:$D$212,3,FALSE)</f>
        <v>735.06</v>
      </c>
      <c r="F17" s="178">
        <v>5</v>
      </c>
      <c r="G17" s="179">
        <f t="shared" si="0"/>
        <v>7.7181300000000004</v>
      </c>
      <c r="H17" s="179">
        <f t="shared" si="1"/>
        <v>1</v>
      </c>
    </row>
    <row r="18" spans="1:8" ht="13" x14ac:dyDescent="0.3">
      <c r="A18" s="320"/>
      <c r="B18" s="178" t="s">
        <v>792</v>
      </c>
      <c r="C18" s="320" t="s">
        <v>17</v>
      </c>
      <c r="D18" s="734">
        <v>0.03</v>
      </c>
      <c r="E18" s="178">
        <f>VLOOKUP(B18,Materiales!$B$8:$D$212,3,FALSE)</f>
        <v>4842</v>
      </c>
      <c r="F18" s="178">
        <v>5</v>
      </c>
      <c r="G18" s="179">
        <f t="shared" si="0"/>
        <v>152.523</v>
      </c>
      <c r="H18" s="179">
        <f t="shared" si="1"/>
        <v>3</v>
      </c>
    </row>
    <row r="19" spans="1:8" ht="13" x14ac:dyDescent="0.3">
      <c r="A19" s="265"/>
      <c r="B19" s="180" t="s">
        <v>575</v>
      </c>
      <c r="C19" s="265" t="s">
        <v>17</v>
      </c>
      <c r="D19" s="735">
        <v>0.01</v>
      </c>
      <c r="E19" s="180">
        <f>VLOOKUP(B19,Materiales!$B$8:$D$212,3,FALSE)</f>
        <v>12396.694214876034</v>
      </c>
      <c r="F19" s="180">
        <v>5</v>
      </c>
      <c r="G19" s="182">
        <f t="shared" si="0"/>
        <v>130.16528925619835</v>
      </c>
      <c r="H19" s="182">
        <f t="shared" si="1"/>
        <v>1</v>
      </c>
    </row>
    <row r="20" spans="1:8" ht="13" x14ac:dyDescent="0.3">
      <c r="A20" s="139"/>
      <c r="B20" s="139"/>
      <c r="C20" s="262"/>
      <c r="D20" s="346"/>
      <c r="E20" s="140"/>
      <c r="F20" s="141" t="s">
        <v>598</v>
      </c>
      <c r="G20" s="391">
        <f>SUM(G12:G13)</f>
        <v>4402.5269200000012</v>
      </c>
      <c r="H20" s="162"/>
    </row>
    <row r="21" spans="1:8" ht="13" x14ac:dyDescent="0.3">
      <c r="A21" s="122"/>
      <c r="B21" s="122"/>
      <c r="C21" s="158"/>
      <c r="D21" s="342"/>
      <c r="E21" s="143"/>
      <c r="F21" s="144" t="s">
        <v>9</v>
      </c>
      <c r="G21" s="156">
        <f>+G20</f>
        <v>4402.5269200000012</v>
      </c>
      <c r="H21" s="162"/>
    </row>
    <row r="22" spans="1:8" ht="13" x14ac:dyDescent="0.3">
      <c r="A22" s="128" t="s">
        <v>599</v>
      </c>
      <c r="B22" s="122"/>
      <c r="C22" s="158"/>
      <c r="D22" s="342"/>
      <c r="E22" s="122"/>
      <c r="F22" s="122"/>
      <c r="G22" s="122"/>
      <c r="H22" s="162"/>
    </row>
    <row r="23" spans="1:8" ht="13" x14ac:dyDescent="0.3">
      <c r="A23" s="133" t="s">
        <v>79</v>
      </c>
      <c r="B23" s="134" t="s">
        <v>591</v>
      </c>
      <c r="C23" s="261" t="s">
        <v>592</v>
      </c>
      <c r="D23" s="345" t="s">
        <v>593</v>
      </c>
      <c r="E23" s="134" t="s">
        <v>600</v>
      </c>
      <c r="F23" s="417" t="s">
        <v>87</v>
      </c>
      <c r="G23" s="135" t="s">
        <v>596</v>
      </c>
      <c r="H23" s="167"/>
    </row>
    <row r="24" spans="1:8" ht="13" x14ac:dyDescent="0.3">
      <c r="A24" s="598" t="s">
        <v>167</v>
      </c>
      <c r="B24" s="512" t="s">
        <v>168</v>
      </c>
      <c r="C24" s="598" t="s">
        <v>352</v>
      </c>
      <c r="D24" s="736">
        <v>1</v>
      </c>
      <c r="E24" s="512">
        <f>VLOOKUP(B24,'Rend. Equipos'!$B$7:$E$222,4,FALSE)</f>
        <v>579244.09475606401</v>
      </c>
      <c r="F24" s="737">
        <f>VLOOKUP(B24,'Rend. Equipos'!$B$6:$L$166,MATCH($F$23,'Rend. Equipos'!$B$6:$L$6,0),0)</f>
        <v>1.3888888888888889E-3</v>
      </c>
      <c r="G24" s="600">
        <f>+E24*D24*F24</f>
        <v>804.50568716120006</v>
      </c>
      <c r="H24" s="162"/>
    </row>
    <row r="25" spans="1:8" ht="13" x14ac:dyDescent="0.3">
      <c r="A25" s="139"/>
      <c r="B25" s="139"/>
      <c r="C25" s="262"/>
      <c r="D25" s="346"/>
      <c r="E25" s="140"/>
      <c r="F25" s="141" t="s">
        <v>602</v>
      </c>
      <c r="G25" s="391">
        <f>SUM(G24)</f>
        <v>804.50568716120006</v>
      </c>
      <c r="H25" s="162"/>
    </row>
    <row r="26" spans="1:8" ht="13" x14ac:dyDescent="0.3">
      <c r="A26" s="122"/>
      <c r="B26" s="122"/>
      <c r="C26" s="158"/>
      <c r="D26" s="342"/>
      <c r="E26" s="143"/>
      <c r="F26" s="144" t="s">
        <v>11</v>
      </c>
      <c r="G26" s="156">
        <f>SUM(G25)/F9</f>
        <v>13.408428119353335</v>
      </c>
      <c r="H26" s="162"/>
    </row>
    <row r="27" spans="1:8" ht="13" x14ac:dyDescent="0.3">
      <c r="A27" s="128" t="s">
        <v>603</v>
      </c>
      <c r="B27" s="122"/>
      <c r="C27" s="158"/>
      <c r="D27" s="342"/>
      <c r="E27" s="122"/>
      <c r="F27" s="122"/>
      <c r="G27" s="122"/>
      <c r="H27" s="162"/>
    </row>
    <row r="28" spans="1:8" ht="13" x14ac:dyDescent="0.3">
      <c r="A28" s="133" t="s">
        <v>79</v>
      </c>
      <c r="B28" s="134" t="s">
        <v>591</v>
      </c>
      <c r="C28" s="261" t="s">
        <v>592</v>
      </c>
      <c r="D28" s="345" t="s">
        <v>593</v>
      </c>
      <c r="E28" s="134" t="s">
        <v>604</v>
      </c>
      <c r="F28" s="134"/>
      <c r="G28" s="135" t="s">
        <v>596</v>
      </c>
      <c r="H28" s="167"/>
    </row>
    <row r="29" spans="1:8" ht="13" x14ac:dyDescent="0.3">
      <c r="A29" s="264" t="s">
        <v>228</v>
      </c>
      <c r="B29" s="175" t="s">
        <v>230</v>
      </c>
      <c r="C29" s="264" t="s">
        <v>605</v>
      </c>
      <c r="D29" s="372">
        <v>1</v>
      </c>
      <c r="E29" s="175">
        <f>VLOOKUP(B29,'Mano de Obra'!$B$8:$C$100,2,FALSE)</f>
        <v>60860.580776571966</v>
      </c>
      <c r="F29" s="175"/>
      <c r="G29" s="176">
        <f>+E29*D29</f>
        <v>60860.580776571966</v>
      </c>
      <c r="H29" s="162"/>
    </row>
    <row r="30" spans="1:8" ht="13" x14ac:dyDescent="0.3">
      <c r="A30" s="265" t="s">
        <v>255</v>
      </c>
      <c r="B30" s="180" t="s">
        <v>256</v>
      </c>
      <c r="C30" s="265" t="s">
        <v>605</v>
      </c>
      <c r="D30" s="373">
        <v>1</v>
      </c>
      <c r="E30" s="180">
        <f>VLOOKUP(B30,'Mano de Obra'!$B$8:$C$100,2,FALSE)</f>
        <v>85927.097156571981</v>
      </c>
      <c r="F30" s="180"/>
      <c r="G30" s="182">
        <f>+E30*D30</f>
        <v>85927.097156571981</v>
      </c>
      <c r="H30" s="162"/>
    </row>
    <row r="31" spans="1:8" ht="13" x14ac:dyDescent="0.3">
      <c r="A31" s="139"/>
      <c r="B31" s="139"/>
      <c r="C31" s="262"/>
      <c r="D31" s="346"/>
      <c r="E31" s="140"/>
      <c r="F31" s="141" t="s">
        <v>606</v>
      </c>
      <c r="G31" s="391">
        <f>SUM(G29:G30)</f>
        <v>146787.67793314395</v>
      </c>
      <c r="H31" s="162"/>
    </row>
    <row r="32" spans="1:8" ht="13" x14ac:dyDescent="0.3">
      <c r="A32" s="122"/>
      <c r="B32" s="122"/>
      <c r="C32" s="158"/>
      <c r="D32" s="342"/>
      <c r="E32" s="360"/>
      <c r="F32" s="123" t="s">
        <v>607</v>
      </c>
      <c r="G32" s="349">
        <v>1</v>
      </c>
      <c r="H32" s="162"/>
    </row>
    <row r="33" spans="1:8" ht="13" x14ac:dyDescent="0.3">
      <c r="A33" s="122"/>
      <c r="B33" s="122"/>
      <c r="C33" s="158"/>
      <c r="D33" s="342"/>
      <c r="E33" s="360"/>
      <c r="F33" s="123" t="s">
        <v>608</v>
      </c>
      <c r="G33" s="390">
        <f>+G32*G31</f>
        <v>146787.67793314395</v>
      </c>
      <c r="H33" s="162"/>
    </row>
    <row r="34" spans="1:8" ht="13" x14ac:dyDescent="0.3">
      <c r="A34" s="122"/>
      <c r="B34" s="122"/>
      <c r="C34" s="158"/>
      <c r="D34" s="342"/>
      <c r="E34" s="143"/>
      <c r="F34" s="144" t="s">
        <v>10</v>
      </c>
      <c r="G34" s="156">
        <f>+G33/F9</f>
        <v>2446.4612988857325</v>
      </c>
      <c r="H34" s="162"/>
    </row>
    <row r="35" spans="1:8" ht="13" x14ac:dyDescent="0.3">
      <c r="A35" s="122"/>
      <c r="B35" s="122"/>
      <c r="C35" s="158"/>
      <c r="D35" s="342"/>
      <c r="H35" s="162"/>
    </row>
    <row r="36" spans="1:8" ht="13" x14ac:dyDescent="0.3">
      <c r="A36" s="122"/>
      <c r="B36" s="122"/>
      <c r="C36" s="158"/>
      <c r="D36" s="342"/>
      <c r="E36" s="122"/>
      <c r="F36" s="123" t="s">
        <v>609</v>
      </c>
      <c r="G36" s="123">
        <f>+G34+G26+G21</f>
        <v>6862.3966470050873</v>
      </c>
      <c r="H36" s="162"/>
    </row>
    <row r="37" spans="1:8" ht="13" x14ac:dyDescent="0.3">
      <c r="A37" s="122"/>
      <c r="B37" s="122"/>
      <c r="C37" s="158"/>
      <c r="D37" s="342"/>
      <c r="E37" s="123" t="s">
        <v>610</v>
      </c>
      <c r="F37" s="198">
        <f>+RESUMEN!$I$2</f>
        <v>0</v>
      </c>
      <c r="G37" s="130">
        <f>IF(F37=0,0,F37*G36)</f>
        <v>0</v>
      </c>
      <c r="H37" s="162"/>
    </row>
    <row r="38" spans="1:8" ht="13" x14ac:dyDescent="0.3">
      <c r="A38" s="122"/>
      <c r="B38" s="122"/>
      <c r="C38" s="158"/>
      <c r="D38" s="342"/>
      <c r="E38" s="123" t="s">
        <v>611</v>
      </c>
      <c r="F38" s="198">
        <f>+RESUMEN!$I$3</f>
        <v>0</v>
      </c>
      <c r="G38" s="130">
        <f>IF(F38=0,0,F38*G36)</f>
        <v>0</v>
      </c>
      <c r="H38" s="162"/>
    </row>
    <row r="39" spans="1:8" ht="13" x14ac:dyDescent="0.3">
      <c r="A39" s="122"/>
      <c r="B39" s="122"/>
      <c r="C39" s="158"/>
      <c r="D39" s="342"/>
      <c r="E39" s="151"/>
      <c r="F39" s="152" t="s">
        <v>612</v>
      </c>
      <c r="G39" s="389">
        <f>SUM(G36:G38)</f>
        <v>6862.3966470050873</v>
      </c>
      <c r="H39" s="162"/>
    </row>
    <row r="40" spans="1:8" ht="13" x14ac:dyDescent="0.3">
      <c r="A40" s="122"/>
      <c r="B40" s="122"/>
      <c r="C40" s="158"/>
      <c r="D40" s="342"/>
      <c r="E40" s="122"/>
      <c r="F40" s="122"/>
      <c r="G40" s="122"/>
      <c r="H40" s="162"/>
    </row>
    <row r="41" spans="1:8" ht="13" x14ac:dyDescent="0.3">
      <c r="A41" s="875"/>
      <c r="B41" s="870"/>
      <c r="C41" s="158"/>
      <c r="D41" s="342"/>
      <c r="E41" s="122"/>
      <c r="F41" s="122"/>
      <c r="G41" s="122"/>
      <c r="H41" s="162"/>
    </row>
    <row r="42" spans="1:8" ht="13" x14ac:dyDescent="0.3">
      <c r="A42" s="875"/>
      <c r="B42" s="870"/>
      <c r="C42" s="158"/>
      <c r="D42" s="342"/>
      <c r="E42" s="122"/>
      <c r="F42" s="122"/>
      <c r="G42" s="122"/>
      <c r="H42" s="162"/>
    </row>
  </sheetData>
  <mergeCells count="4">
    <mergeCell ref="A1:G1"/>
    <mergeCell ref="B7:G7"/>
    <mergeCell ref="A41:B41"/>
    <mergeCell ref="A42:B42"/>
  </mergeCells>
  <pageMargins left="0.7" right="0.7" top="0.75" bottom="0.75" header="0.3" footer="0.3"/>
  <pageSetup paperSize="9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FFF00"/>
  </sheetPr>
  <dimension ref="A1:G39"/>
  <sheetViews>
    <sheetView workbookViewId="0">
      <selection activeCell="I22" sqref="I22"/>
    </sheetView>
  </sheetViews>
  <sheetFormatPr defaultColWidth="11.453125" defaultRowHeight="12.5" x14ac:dyDescent="0.25"/>
  <cols>
    <col min="1" max="1" width="7.632812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7" ht="15.5" x14ac:dyDescent="0.25">
      <c r="A1" s="869"/>
      <c r="B1" s="870"/>
      <c r="C1" s="870"/>
      <c r="D1" s="870"/>
      <c r="E1" s="870"/>
      <c r="F1" s="870"/>
      <c r="G1" s="870"/>
    </row>
    <row r="2" spans="1:7" ht="13" x14ac:dyDescent="0.25">
      <c r="A2" s="162"/>
      <c r="B2" s="162"/>
      <c r="C2" s="162"/>
      <c r="D2" s="162"/>
      <c r="E2" s="162"/>
      <c r="F2" s="240" t="s">
        <v>78</v>
      </c>
      <c r="G2" s="446" t="s">
        <v>613</v>
      </c>
    </row>
    <row r="3" spans="1:7" ht="15.5" x14ac:dyDescent="0.35">
      <c r="A3" s="165" t="s">
        <v>579</v>
      </c>
      <c r="B3" s="166"/>
      <c r="C3" s="166"/>
      <c r="D3" s="166"/>
      <c r="E3" s="166"/>
      <c r="F3" s="166"/>
      <c r="G3" s="166"/>
    </row>
    <row r="4" spans="1:7" ht="13" x14ac:dyDescent="0.3">
      <c r="A4" s="122"/>
      <c r="B4" s="122"/>
      <c r="C4" s="122"/>
      <c r="D4" s="122"/>
      <c r="E4" s="122"/>
      <c r="F4" s="123" t="s">
        <v>580</v>
      </c>
      <c r="G4" s="126">
        <v>115</v>
      </c>
    </row>
    <row r="5" spans="1:7" ht="13" x14ac:dyDescent="0.25">
      <c r="A5" s="127" t="s">
        <v>581</v>
      </c>
      <c r="B5" s="892" t="s">
        <v>613</v>
      </c>
      <c r="C5" s="893"/>
      <c r="D5" s="893"/>
      <c r="E5" s="893"/>
      <c r="F5" s="893"/>
      <c r="G5" s="893"/>
    </row>
    <row r="6" spans="1:7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446" t="s">
        <v>613</v>
      </c>
    </row>
    <row r="7" spans="1:7" ht="15.5" x14ac:dyDescent="0.25">
      <c r="A7" s="197" t="s">
        <v>584</v>
      </c>
      <c r="B7" s="873" t="s">
        <v>836</v>
      </c>
      <c r="C7" s="874"/>
      <c r="D7" s="874"/>
      <c r="E7" s="874"/>
      <c r="F7" s="874"/>
      <c r="G7" s="874"/>
    </row>
    <row r="8" spans="1:7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</row>
    <row r="9" spans="1:7" ht="13" x14ac:dyDescent="0.3">
      <c r="A9" s="122"/>
      <c r="B9" s="122"/>
      <c r="C9" s="132" t="s">
        <v>45</v>
      </c>
      <c r="D9" s="122"/>
      <c r="E9" s="132"/>
      <c r="F9" s="185">
        <v>15</v>
      </c>
      <c r="G9" s="122" t="s">
        <v>615</v>
      </c>
    </row>
    <row r="10" spans="1:7" ht="13" x14ac:dyDescent="0.3">
      <c r="A10" s="128" t="s">
        <v>590</v>
      </c>
      <c r="B10" s="122"/>
      <c r="C10" s="122"/>
      <c r="D10" s="122"/>
      <c r="E10" s="122"/>
      <c r="F10" s="122"/>
      <c r="G10" s="122"/>
    </row>
    <row r="11" spans="1:7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</row>
    <row r="12" spans="1:7" ht="13" x14ac:dyDescent="0.3">
      <c r="A12" s="136" t="s">
        <v>362</v>
      </c>
      <c r="B12" s="136" t="s">
        <v>363</v>
      </c>
      <c r="C12" s="136" t="s">
        <v>59</v>
      </c>
      <c r="D12" s="186">
        <v>0.02</v>
      </c>
      <c r="E12" s="136">
        <f>VLOOKUP(B12,Materiales!$B$8:$D$118,3,FALSE)</f>
        <v>32399.77</v>
      </c>
      <c r="F12" s="136">
        <v>3</v>
      </c>
      <c r="G12" s="148">
        <f>+E12*D12*1+F12</f>
        <v>650.99540000000002</v>
      </c>
    </row>
    <row r="13" spans="1:7" ht="13" x14ac:dyDescent="0.3">
      <c r="A13" s="138" t="s">
        <v>372</v>
      </c>
      <c r="B13" s="138" t="s">
        <v>373</v>
      </c>
      <c r="C13" s="138" t="s">
        <v>374</v>
      </c>
      <c r="D13" s="187">
        <v>0.06</v>
      </c>
      <c r="E13" s="138">
        <f>VLOOKUP(B13,Materiales!$B$8:$D$118,3,FALSE)</f>
        <v>3837.96</v>
      </c>
      <c r="F13" s="138">
        <v>5</v>
      </c>
      <c r="G13" s="137">
        <f>+E13*D13*1+F13</f>
        <v>235.27760000000001</v>
      </c>
    </row>
    <row r="14" spans="1:7" ht="13" x14ac:dyDescent="0.3">
      <c r="A14" s="138" t="s">
        <v>368</v>
      </c>
      <c r="B14" s="138" t="s">
        <v>369</v>
      </c>
      <c r="C14" s="138" t="s">
        <v>370</v>
      </c>
      <c r="D14" s="187">
        <v>0.26</v>
      </c>
      <c r="E14" s="138">
        <f>VLOOKUP(B14,Materiales!$B$8:$D$118,3,FALSE)</f>
        <v>7809.48</v>
      </c>
      <c r="F14" s="138">
        <v>3</v>
      </c>
      <c r="G14" s="137">
        <f>+E14*D14*1+F14</f>
        <v>2033.4648</v>
      </c>
    </row>
    <row r="15" spans="1:7" ht="13" x14ac:dyDescent="0.3">
      <c r="A15" s="139"/>
      <c r="B15" s="139"/>
      <c r="C15" s="139"/>
      <c r="D15" s="139"/>
      <c r="E15" s="140"/>
      <c r="F15" s="141" t="s">
        <v>598</v>
      </c>
      <c r="G15" s="142">
        <f>SUM(G12:G14)</f>
        <v>2919.7377999999999</v>
      </c>
    </row>
    <row r="16" spans="1:7" ht="13" x14ac:dyDescent="0.3">
      <c r="A16" s="122"/>
      <c r="B16" s="122"/>
      <c r="C16" s="122"/>
      <c r="D16" s="122"/>
      <c r="E16" s="143"/>
      <c r="F16" s="144" t="s">
        <v>9</v>
      </c>
      <c r="G16" s="170">
        <f>+G15</f>
        <v>2919.7377999999999</v>
      </c>
    </row>
    <row r="17" spans="1:7" ht="13" x14ac:dyDescent="0.3">
      <c r="A17" s="128" t="s">
        <v>599</v>
      </c>
      <c r="B17" s="122"/>
      <c r="C17" s="122"/>
      <c r="D17" s="122"/>
      <c r="E17" s="122"/>
      <c r="F17" s="122"/>
      <c r="G17" s="122"/>
    </row>
    <row r="18" spans="1:7" ht="13" x14ac:dyDescent="0.3">
      <c r="A18" s="133" t="s">
        <v>79</v>
      </c>
      <c r="B18" s="134" t="s">
        <v>591</v>
      </c>
      <c r="C18" s="134"/>
      <c r="D18" s="134" t="s">
        <v>593</v>
      </c>
      <c r="E18" s="134" t="s">
        <v>600</v>
      </c>
      <c r="F18" s="134" t="s">
        <v>808</v>
      </c>
      <c r="G18" s="135" t="s">
        <v>596</v>
      </c>
    </row>
    <row r="19" spans="1:7" ht="13" x14ac:dyDescent="0.3">
      <c r="A19" s="136" t="s">
        <v>88</v>
      </c>
      <c r="B19" s="122" t="s">
        <v>89</v>
      </c>
      <c r="C19" s="146"/>
      <c r="D19" s="190">
        <v>1</v>
      </c>
      <c r="E19" s="136">
        <f>VLOOKUP(B19,'Rend. Equipos'!$B$7:$E$222,2,FALSE)</f>
        <v>0</v>
      </c>
      <c r="F19" s="147">
        <v>0.04</v>
      </c>
      <c r="G19" s="148">
        <f>+E19*D19*F19</f>
        <v>0</v>
      </c>
    </row>
    <row r="20" spans="1:7" ht="13" x14ac:dyDescent="0.3">
      <c r="A20" s="138" t="s">
        <v>93</v>
      </c>
      <c r="B20" s="122" t="s">
        <v>94</v>
      </c>
      <c r="C20" s="149"/>
      <c r="D20" s="191">
        <v>1</v>
      </c>
      <c r="E20" s="138">
        <f>VLOOKUP(B20,'Rend. Equipos'!$B$7:$E$222,2,FALSE)</f>
        <v>0</v>
      </c>
      <c r="F20" s="150">
        <v>0.02</v>
      </c>
      <c r="G20" s="137">
        <f>+E20*D20*F20</f>
        <v>0</v>
      </c>
    </row>
    <row r="21" spans="1:7" ht="13" x14ac:dyDescent="0.3">
      <c r="A21" s="139"/>
      <c r="B21" s="139"/>
      <c r="C21" s="139"/>
      <c r="D21" s="192"/>
      <c r="E21" s="140"/>
      <c r="F21" s="141" t="s">
        <v>602</v>
      </c>
      <c r="G21" s="142">
        <f>SUM(G19:G20)</f>
        <v>0</v>
      </c>
    </row>
    <row r="22" spans="1:7" ht="13" x14ac:dyDescent="0.3">
      <c r="A22" s="122"/>
      <c r="B22" s="122"/>
      <c r="C22" s="122"/>
      <c r="D22" s="122"/>
      <c r="E22" s="143"/>
      <c r="F22" s="144" t="s">
        <v>11</v>
      </c>
      <c r="G22" s="156">
        <f>+G21/F9</f>
        <v>0</v>
      </c>
    </row>
    <row r="23" spans="1:7" ht="13" x14ac:dyDescent="0.3">
      <c r="A23" s="128" t="s">
        <v>603</v>
      </c>
      <c r="B23" s="122"/>
      <c r="C23" s="122"/>
      <c r="D23" s="122"/>
      <c r="E23" s="122"/>
      <c r="F23" s="122"/>
      <c r="G23" s="122"/>
    </row>
    <row r="24" spans="1:7" ht="13" x14ac:dyDescent="0.3">
      <c r="A24" s="133" t="s">
        <v>79</v>
      </c>
      <c r="B24" s="134" t="s">
        <v>591</v>
      </c>
      <c r="C24" s="134"/>
      <c r="D24" s="134" t="s">
        <v>593</v>
      </c>
      <c r="E24" s="134" t="s">
        <v>604</v>
      </c>
      <c r="F24" s="134"/>
      <c r="G24" s="135" t="s">
        <v>596</v>
      </c>
    </row>
    <row r="25" spans="1:7" ht="13" x14ac:dyDescent="0.3">
      <c r="A25" s="136" t="s">
        <v>255</v>
      </c>
      <c r="B25" s="122" t="s">
        <v>256</v>
      </c>
      <c r="C25" s="146"/>
      <c r="D25" s="147">
        <v>1</v>
      </c>
      <c r="E25" s="122">
        <f>VLOOKUP(B25,'Mano de Obra'!$B$8:$C$100,2,FALSE)</f>
        <v>85927.097156571981</v>
      </c>
      <c r="F25" s="146"/>
      <c r="G25" s="137">
        <f>+E25*D25</f>
        <v>85927.097156571981</v>
      </c>
    </row>
    <row r="26" spans="1:7" ht="13" x14ac:dyDescent="0.3">
      <c r="A26" s="138" t="s">
        <v>228</v>
      </c>
      <c r="B26" s="122" t="s">
        <v>230</v>
      </c>
      <c r="C26" s="149"/>
      <c r="D26" s="191">
        <v>1</v>
      </c>
      <c r="E26" s="122">
        <f>VLOOKUP(B26,'Mano de Obra'!$B$8:$C$100,2,FALSE)</f>
        <v>60860.580776571966</v>
      </c>
      <c r="F26" s="149"/>
      <c r="G26" s="137">
        <f>+E26*D26</f>
        <v>60860.580776571966</v>
      </c>
    </row>
    <row r="27" spans="1:7" ht="13" x14ac:dyDescent="0.3">
      <c r="A27" s="138" t="s">
        <v>242</v>
      </c>
      <c r="B27" s="122" t="s">
        <v>243</v>
      </c>
      <c r="C27" s="149"/>
      <c r="D27" s="191">
        <v>0</v>
      </c>
      <c r="E27" s="122">
        <f>VLOOKUP(B27,'Mano de Obra'!$B$8:$C$100,2,FALSE)</f>
        <v>65493.071636571978</v>
      </c>
      <c r="F27" s="149"/>
      <c r="G27" s="137">
        <f>+E27*D27</f>
        <v>0</v>
      </c>
    </row>
    <row r="28" spans="1:7" ht="13" x14ac:dyDescent="0.3">
      <c r="A28" s="139"/>
      <c r="B28" s="139"/>
      <c r="C28" s="139"/>
      <c r="D28" s="192"/>
      <c r="E28" s="151"/>
      <c r="F28" s="152" t="s">
        <v>606</v>
      </c>
      <c r="G28" s="153">
        <f>SUM(G25:G27)</f>
        <v>146787.67793314395</v>
      </c>
    </row>
    <row r="29" spans="1:7" ht="13" x14ac:dyDescent="0.3">
      <c r="A29" s="122"/>
      <c r="B29" s="122"/>
      <c r="C29" s="122"/>
      <c r="D29" s="122"/>
      <c r="E29" s="122"/>
      <c r="F29" s="123" t="s">
        <v>607</v>
      </c>
      <c r="G29" s="130">
        <v>1</v>
      </c>
    </row>
    <row r="30" spans="1:7" ht="13" x14ac:dyDescent="0.3">
      <c r="A30" s="122"/>
      <c r="B30" s="122"/>
      <c r="C30" s="122"/>
      <c r="D30" s="122"/>
      <c r="E30" s="122"/>
      <c r="F30" s="123" t="s">
        <v>608</v>
      </c>
      <c r="G30" s="130">
        <f>+G29*G28</f>
        <v>146787.67793314395</v>
      </c>
    </row>
    <row r="31" spans="1:7" ht="13" x14ac:dyDescent="0.3">
      <c r="A31" s="122"/>
      <c r="B31" s="122"/>
      <c r="C31" s="122"/>
      <c r="D31" s="122"/>
      <c r="E31" s="122"/>
      <c r="F31" s="123" t="s">
        <v>10</v>
      </c>
      <c r="G31" s="157">
        <f>+G30/F9</f>
        <v>9785.84519554293</v>
      </c>
    </row>
    <row r="32" spans="1:7" ht="13" x14ac:dyDescent="0.3">
      <c r="A32" s="122"/>
      <c r="B32" s="122"/>
      <c r="C32" s="122"/>
      <c r="D32" s="122"/>
      <c r="E32" s="122"/>
      <c r="F32" s="123" t="s">
        <v>609</v>
      </c>
      <c r="G32" s="130">
        <f>+G31+G22+G16</f>
        <v>12705.582995542929</v>
      </c>
    </row>
    <row r="33" spans="1:7" ht="13" x14ac:dyDescent="0.3">
      <c r="A33" s="122"/>
      <c r="B33" s="122"/>
      <c r="C33" s="122"/>
      <c r="D33" s="122"/>
      <c r="E33" s="123" t="s">
        <v>610</v>
      </c>
      <c r="F33" s="198">
        <f>+RESUMEN!$I$2</f>
        <v>0</v>
      </c>
      <c r="G33" s="130">
        <f>IF(F33=0,0,F33*G32)</f>
        <v>0</v>
      </c>
    </row>
    <row r="34" spans="1:7" ht="13" x14ac:dyDescent="0.3">
      <c r="A34" s="122"/>
      <c r="B34" s="122"/>
      <c r="C34" s="122"/>
      <c r="D34" s="122"/>
      <c r="E34" s="123" t="s">
        <v>611</v>
      </c>
      <c r="F34" s="198">
        <f>+RESUMEN!$I$3</f>
        <v>0</v>
      </c>
      <c r="G34" s="130">
        <f>IF(F34=0,0,F34*G32)</f>
        <v>0</v>
      </c>
    </row>
    <row r="35" spans="1:7" ht="13" x14ac:dyDescent="0.3">
      <c r="A35" s="122"/>
      <c r="B35" s="122"/>
      <c r="C35" s="122"/>
      <c r="D35" s="122"/>
      <c r="E35" s="151"/>
      <c r="F35" s="152" t="s">
        <v>612</v>
      </c>
      <c r="G35" s="154">
        <f>SUM(G32:G34)</f>
        <v>12705.582995542929</v>
      </c>
    </row>
    <row r="36" spans="1:7" ht="13" x14ac:dyDescent="0.3">
      <c r="A36" s="122"/>
      <c r="B36" s="122"/>
      <c r="C36" s="122"/>
      <c r="D36" s="122"/>
      <c r="E36" s="1"/>
      <c r="F36" s="1"/>
      <c r="G36" s="1"/>
    </row>
    <row r="37" spans="1:7" ht="13" x14ac:dyDescent="0.3">
      <c r="A37" s="122"/>
      <c r="B37" s="122"/>
      <c r="C37" s="122"/>
      <c r="D37" s="122"/>
      <c r="E37" s="1"/>
      <c r="F37" s="1"/>
      <c r="G37" s="1"/>
    </row>
    <row r="38" spans="1:7" ht="13" x14ac:dyDescent="0.3">
      <c r="A38" s="875"/>
      <c r="B38" s="870"/>
      <c r="C38" s="122"/>
      <c r="D38" s="122"/>
      <c r="E38" s="1"/>
      <c r="F38" s="1"/>
      <c r="G38" s="1"/>
    </row>
    <row r="39" spans="1:7" ht="13" x14ac:dyDescent="0.3">
      <c r="A39" s="875"/>
      <c r="B39" s="870"/>
      <c r="C39" s="122"/>
      <c r="D39" s="122"/>
      <c r="E39" s="1"/>
      <c r="F39" s="1"/>
      <c r="G39" s="1"/>
    </row>
  </sheetData>
  <mergeCells count="5">
    <mergeCell ref="A1:G1"/>
    <mergeCell ref="B5:G5"/>
    <mergeCell ref="B7:G7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9"/>
  </sheetPr>
  <dimension ref="A1:K39"/>
  <sheetViews>
    <sheetView topLeftCell="A18" workbookViewId="0">
      <selection activeCell="G39" sqref="G39"/>
    </sheetView>
  </sheetViews>
  <sheetFormatPr defaultColWidth="11.453125" defaultRowHeight="12.5" x14ac:dyDescent="0.25"/>
  <cols>
    <col min="1" max="1" width="12.08984375" customWidth="1"/>
    <col min="2" max="2" width="34.6328125" bestFit="1" customWidth="1"/>
    <col min="3" max="3" width="7.08984375" bestFit="1" customWidth="1"/>
    <col min="4" max="4" width="9" style="427" bestFit="1" customWidth="1"/>
    <col min="5" max="5" width="15.36328125" bestFit="1" customWidth="1"/>
    <col min="6" max="6" width="9.453125" customWidth="1"/>
    <col min="7" max="7" width="10.453125" bestFit="1" customWidth="1"/>
    <col min="8" max="8" width="11.90625" bestFit="1" customWidth="1"/>
  </cols>
  <sheetData>
    <row r="1" spans="1:11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</row>
    <row r="2" spans="1:11" ht="13" x14ac:dyDescent="0.25">
      <c r="A2" s="162"/>
      <c r="B2" s="162"/>
      <c r="C2" s="162"/>
      <c r="D2" s="501"/>
      <c r="E2" s="162"/>
      <c r="F2" s="240" t="s">
        <v>78</v>
      </c>
      <c r="G2" s="722" t="s">
        <v>578</v>
      </c>
      <c r="H2" s="162"/>
      <c r="I2" s="1"/>
      <c r="J2" s="1"/>
      <c r="K2" s="1"/>
    </row>
    <row r="3" spans="1:11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  <c r="I3" s="1"/>
      <c r="J3" s="1"/>
      <c r="K3" s="1"/>
    </row>
    <row r="4" spans="1:11" ht="13" x14ac:dyDescent="0.3">
      <c r="A4" s="122"/>
      <c r="B4" s="122"/>
      <c r="C4" s="122"/>
      <c r="D4" s="421"/>
      <c r="E4" s="122"/>
      <c r="F4" s="123" t="s">
        <v>580</v>
      </c>
      <c r="G4" s="126">
        <v>116</v>
      </c>
      <c r="H4" s="162"/>
      <c r="I4" s="1"/>
      <c r="J4" s="1"/>
      <c r="K4" s="1"/>
    </row>
    <row r="5" spans="1:11" ht="13" x14ac:dyDescent="0.25">
      <c r="A5" s="127" t="s">
        <v>581</v>
      </c>
      <c r="B5" s="562" t="s">
        <v>578</v>
      </c>
      <c r="C5" s="563"/>
      <c r="D5" s="563"/>
      <c r="E5" s="563"/>
      <c r="F5" s="563"/>
      <c r="G5" s="563"/>
      <c r="H5" s="162"/>
      <c r="I5" s="1"/>
      <c r="J5" s="1"/>
      <c r="K5" s="1"/>
    </row>
    <row r="6" spans="1:11" ht="13" x14ac:dyDescent="0.3">
      <c r="A6" s="128" t="s">
        <v>582</v>
      </c>
      <c r="B6" s="500" t="s">
        <v>578</v>
      </c>
      <c r="C6" s="122"/>
      <c r="D6" s="421"/>
      <c r="E6" s="122"/>
      <c r="F6" s="123" t="s">
        <v>583</v>
      </c>
      <c r="G6" s="157" t="s">
        <v>578</v>
      </c>
      <c r="H6" s="162"/>
      <c r="I6" s="1"/>
      <c r="J6" s="1"/>
      <c r="K6" s="1"/>
    </row>
    <row r="7" spans="1:11" ht="15.5" x14ac:dyDescent="0.25">
      <c r="A7" s="197" t="s">
        <v>584</v>
      </c>
      <c r="B7" s="873" t="s">
        <v>837</v>
      </c>
      <c r="C7" s="874"/>
      <c r="D7" s="874"/>
      <c r="E7" s="874"/>
      <c r="F7" s="874"/>
      <c r="G7" s="874"/>
      <c r="H7" s="162"/>
      <c r="I7" s="162"/>
      <c r="J7" s="1"/>
      <c r="K7" s="1"/>
    </row>
    <row r="8" spans="1:11" ht="13" x14ac:dyDescent="0.3">
      <c r="A8" s="128"/>
      <c r="B8" s="122"/>
      <c r="C8" s="131" t="s">
        <v>586</v>
      </c>
      <c r="D8" s="421"/>
      <c r="E8" s="131" t="s">
        <v>587</v>
      </c>
      <c r="F8" s="128" t="s">
        <v>588</v>
      </c>
      <c r="G8" s="122"/>
      <c r="H8" s="162"/>
      <c r="I8" s="1"/>
      <c r="J8" s="1"/>
      <c r="K8" s="1"/>
    </row>
    <row r="9" spans="1:11" ht="13" x14ac:dyDescent="0.3">
      <c r="A9" s="122"/>
      <c r="B9" s="122"/>
      <c r="C9" s="132" t="s">
        <v>45</v>
      </c>
      <c r="D9" s="421"/>
      <c r="E9" s="132">
        <v>100</v>
      </c>
      <c r="F9" s="185">
        <v>12</v>
      </c>
      <c r="G9" s="122" t="s">
        <v>615</v>
      </c>
      <c r="H9" s="162"/>
      <c r="I9" s="1"/>
      <c r="J9" s="1"/>
      <c r="K9" s="1"/>
    </row>
    <row r="10" spans="1:11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  <c r="I10" s="1"/>
      <c r="J10" s="1"/>
      <c r="K10" s="1"/>
    </row>
    <row r="11" spans="1:11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4" t="s">
        <v>596</v>
      </c>
      <c r="H11" s="78" t="s">
        <v>597</v>
      </c>
      <c r="I11" s="3"/>
      <c r="J11" s="3"/>
      <c r="K11" s="3"/>
    </row>
    <row r="12" spans="1:11" ht="13" x14ac:dyDescent="0.3">
      <c r="A12" s="175"/>
      <c r="B12" s="175" t="s">
        <v>448</v>
      </c>
      <c r="C12" s="298" t="s">
        <v>17</v>
      </c>
      <c r="D12" s="433">
        <v>0.495</v>
      </c>
      <c r="E12" s="175">
        <f>VLOOKUP(B12,Materiales!$B$8:$D$118,3,FALSE)</f>
        <v>2470.5619834710747</v>
      </c>
      <c r="F12" s="175">
        <v>10</v>
      </c>
      <c r="G12" s="246">
        <f t="shared" ref="G12:G18" si="0">+D12*E12*((F12+100)/100)</f>
        <v>1345.2210000000002</v>
      </c>
      <c r="H12" s="246">
        <f>+D12*$E$9</f>
        <v>49.5</v>
      </c>
      <c r="I12" s="332">
        <f>1.5/3.05</f>
        <v>0.49180327868852464</v>
      </c>
      <c r="J12" s="1"/>
      <c r="K12" s="1"/>
    </row>
    <row r="13" spans="1:11" ht="13" x14ac:dyDescent="0.3">
      <c r="A13" s="178"/>
      <c r="B13" s="178" t="s">
        <v>449</v>
      </c>
      <c r="C13" s="428" t="s">
        <v>17</v>
      </c>
      <c r="D13" s="457">
        <v>0.45</v>
      </c>
      <c r="E13" s="178">
        <f>VLOOKUP(B13,Materiales!$B$8:$D$118,3,FALSE)</f>
        <v>3894.6611570247933</v>
      </c>
      <c r="F13" s="178">
        <v>10</v>
      </c>
      <c r="G13" s="179">
        <f t="shared" si="0"/>
        <v>1927.8572727272729</v>
      </c>
      <c r="H13" s="247">
        <f t="shared" ref="H13:H18" si="1">+D13*$E$9</f>
        <v>45</v>
      </c>
      <c r="I13" s="332">
        <f>1.6/3.66</f>
        <v>0.43715846994535518</v>
      </c>
      <c r="J13" s="1"/>
      <c r="K13" s="1"/>
    </row>
    <row r="14" spans="1:11" ht="13" x14ac:dyDescent="0.3">
      <c r="A14" s="178"/>
      <c r="B14" s="178" t="s">
        <v>450</v>
      </c>
      <c r="C14" s="428" t="s">
        <v>17</v>
      </c>
      <c r="D14" s="457">
        <v>2.62</v>
      </c>
      <c r="E14" s="178">
        <f>VLOOKUP(B14,Materiales!$B$8:$D$118,3,FALSE)</f>
        <v>1262.1735537190084</v>
      </c>
      <c r="F14" s="178">
        <v>10</v>
      </c>
      <c r="G14" s="179">
        <f t="shared" si="0"/>
        <v>3637.5841818181825</v>
      </c>
      <c r="H14" s="247">
        <f t="shared" si="1"/>
        <v>262</v>
      </c>
      <c r="I14" s="1">
        <f>1.6/1.22</f>
        <v>1.3114754098360657</v>
      </c>
      <c r="J14" s="1"/>
      <c r="K14" s="1"/>
    </row>
    <row r="15" spans="1:11" ht="13" x14ac:dyDescent="0.3">
      <c r="A15" s="178"/>
      <c r="B15" s="178" t="s">
        <v>451</v>
      </c>
      <c r="C15" s="428" t="s">
        <v>17</v>
      </c>
      <c r="D15" s="457">
        <v>0</v>
      </c>
      <c r="E15" s="178">
        <f>VLOOKUP(B15,Materiales!$B$8:$D$118,3,FALSE)</f>
        <v>647.24793388429748</v>
      </c>
      <c r="F15" s="178">
        <v>10</v>
      </c>
      <c r="G15" s="179">
        <f t="shared" si="0"/>
        <v>0</v>
      </c>
      <c r="H15" s="247">
        <f t="shared" si="1"/>
        <v>0</v>
      </c>
      <c r="I15" s="1"/>
      <c r="J15" s="1"/>
      <c r="K15" s="1"/>
    </row>
    <row r="16" spans="1:11" ht="13" x14ac:dyDescent="0.3">
      <c r="A16" s="178"/>
      <c r="B16" s="178" t="s">
        <v>436</v>
      </c>
      <c r="C16" s="428" t="s">
        <v>17</v>
      </c>
      <c r="D16" s="457">
        <v>6</v>
      </c>
      <c r="E16" s="178">
        <f>VLOOKUP(B16,Materiales!$B$8:$D$118,3,FALSE)</f>
        <v>65.919008264462803</v>
      </c>
      <c r="F16" s="178">
        <v>10</v>
      </c>
      <c r="G16" s="179">
        <f t="shared" si="0"/>
        <v>435.06545454545454</v>
      </c>
      <c r="H16" s="247">
        <f t="shared" si="1"/>
        <v>600</v>
      </c>
      <c r="I16" s="1"/>
      <c r="J16" s="1"/>
      <c r="K16" s="1"/>
    </row>
    <row r="17" spans="1:11" ht="13" x14ac:dyDescent="0.3">
      <c r="A17" s="178"/>
      <c r="B17" s="178" t="s">
        <v>456</v>
      </c>
      <c r="C17" s="428" t="s">
        <v>17</v>
      </c>
      <c r="D17" s="457">
        <v>0.06</v>
      </c>
      <c r="E17" s="178">
        <f>VLOOKUP(B17,Materiales!$B$8:$D$118,3,FALSE)</f>
        <v>2474.3471074380168</v>
      </c>
      <c r="F17" s="178">
        <v>10</v>
      </c>
      <c r="G17" s="179">
        <f t="shared" si="0"/>
        <v>163.30690909090913</v>
      </c>
      <c r="H17" s="247">
        <f t="shared" si="1"/>
        <v>6</v>
      </c>
      <c r="I17" s="1"/>
      <c r="J17" s="1"/>
      <c r="K17" s="1"/>
    </row>
    <row r="18" spans="1:11" ht="13" x14ac:dyDescent="0.3">
      <c r="A18" s="180"/>
      <c r="B18" s="180" t="s">
        <v>457</v>
      </c>
      <c r="C18" s="299" t="s">
        <v>17</v>
      </c>
      <c r="D18" s="434">
        <f>1/0.72</f>
        <v>1.3888888888888888</v>
      </c>
      <c r="E18" s="180">
        <f>VLOOKUP(B18,Materiales!$B$8:$D$118,3,FALSE)</f>
        <v>4751.7078772422483</v>
      </c>
      <c r="F18" s="180">
        <v>10</v>
      </c>
      <c r="G18" s="182">
        <f t="shared" si="0"/>
        <v>7259.5537013423236</v>
      </c>
      <c r="H18" s="248">
        <f t="shared" si="1"/>
        <v>138.88888888888889</v>
      </c>
      <c r="I18" s="162">
        <v>0.6</v>
      </c>
      <c r="J18" s="1">
        <v>1.2</v>
      </c>
      <c r="K18" s="1">
        <f>+I18*J18</f>
        <v>0.72</v>
      </c>
    </row>
    <row r="19" spans="1:11" ht="13" x14ac:dyDescent="0.3">
      <c r="A19" s="122"/>
      <c r="B19" s="122"/>
      <c r="C19" s="122"/>
      <c r="D19" s="504"/>
      <c r="E19" s="360"/>
      <c r="F19" s="123" t="s">
        <v>598</v>
      </c>
      <c r="G19" s="390">
        <f>SUM(G12:G18)</f>
        <v>14768.588519524143</v>
      </c>
      <c r="H19" s="162"/>
      <c r="I19" s="1"/>
      <c r="J19" s="1"/>
      <c r="K19" s="1"/>
    </row>
    <row r="20" spans="1:11" ht="13" x14ac:dyDescent="0.3">
      <c r="A20" s="122"/>
      <c r="B20" s="122"/>
      <c r="C20" s="122"/>
      <c r="D20" s="421"/>
      <c r="E20" s="143"/>
      <c r="F20" s="144" t="s">
        <v>9</v>
      </c>
      <c r="G20" s="156">
        <f>+G19</f>
        <v>14768.588519524143</v>
      </c>
      <c r="H20" s="162"/>
      <c r="I20" s="1"/>
      <c r="J20" s="1"/>
      <c r="K20" s="1"/>
    </row>
    <row r="21" spans="1:11" ht="13" x14ac:dyDescent="0.3">
      <c r="A21" s="128" t="s">
        <v>599</v>
      </c>
      <c r="B21" s="122"/>
      <c r="C21" s="122"/>
      <c r="D21" s="421"/>
      <c r="E21" s="122"/>
      <c r="F21" s="122"/>
      <c r="G21" s="122"/>
      <c r="H21" s="162"/>
      <c r="I21" s="1"/>
      <c r="J21" s="1"/>
      <c r="K21" s="1"/>
    </row>
    <row r="22" spans="1:11" ht="13" x14ac:dyDescent="0.3">
      <c r="A22" s="435" t="s">
        <v>79</v>
      </c>
      <c r="B22" s="134" t="s">
        <v>591</v>
      </c>
      <c r="C22" s="134" t="s">
        <v>592</v>
      </c>
      <c r="D22" s="503" t="s">
        <v>593</v>
      </c>
      <c r="E22" s="134" t="s">
        <v>600</v>
      </c>
      <c r="F22" s="134" t="s">
        <v>87</v>
      </c>
      <c r="G22" s="135" t="s">
        <v>596</v>
      </c>
      <c r="H22" s="167"/>
      <c r="I22" s="3"/>
      <c r="J22" s="3"/>
      <c r="K22" s="3"/>
    </row>
    <row r="23" spans="1:11" ht="26" x14ac:dyDescent="0.25">
      <c r="A23" s="264" t="s">
        <v>181</v>
      </c>
      <c r="B23" s="660" t="s">
        <v>182</v>
      </c>
      <c r="C23" s="264" t="s">
        <v>17</v>
      </c>
      <c r="D23" s="423">
        <v>1</v>
      </c>
      <c r="E23" s="429">
        <f>VLOOKUP(B23,'Rend. Equipos'!$B$7:$E$222,4,FALSE)</f>
        <v>201885.25333580485</v>
      </c>
      <c r="F23" s="423">
        <f>VLOOKUP(B23,'Rend. Equipos'!$B$6:$L$166,MATCH($F$22,'Rend. Equipos'!$B$6:$L$6,0),0)</f>
        <v>6.9444444444444436E-4</v>
      </c>
      <c r="G23" s="465">
        <f>+E23*D23*F23</f>
        <v>140.19809259430892</v>
      </c>
      <c r="H23" s="162"/>
      <c r="I23" s="1"/>
      <c r="J23" s="1"/>
      <c r="K23" s="1"/>
    </row>
    <row r="24" spans="1:11" ht="13" x14ac:dyDescent="0.25">
      <c r="A24" s="265" t="s">
        <v>135</v>
      </c>
      <c r="B24" s="420" t="s">
        <v>177</v>
      </c>
      <c r="C24" s="265" t="s">
        <v>352</v>
      </c>
      <c r="D24" s="425">
        <v>1</v>
      </c>
      <c r="E24" s="432">
        <f>VLOOKUP(B24,'Rend. Equipos'!$B$7:$E$222,4,FALSE)</f>
        <v>1702971.4669775651</v>
      </c>
      <c r="F24" s="425">
        <f>VLOOKUP(B24,'Rend. Equipos'!$B$6:$L$166,MATCH($F$22,'Rend. Equipos'!$B$6:$L$6,0),0)</f>
        <v>1.3888888888888889E-3</v>
      </c>
      <c r="G24" s="469">
        <f>+E24*D24*F24</f>
        <v>2365.2381485799515</v>
      </c>
      <c r="H24" s="162"/>
      <c r="I24" s="1"/>
      <c r="J24" s="1"/>
      <c r="K24" s="1"/>
    </row>
    <row r="25" spans="1:11" ht="13" x14ac:dyDescent="0.3">
      <c r="A25" s="139"/>
      <c r="B25" s="139"/>
      <c r="C25" s="139"/>
      <c r="D25" s="426"/>
      <c r="E25" s="140"/>
      <c r="F25" s="141" t="s">
        <v>602</v>
      </c>
      <c r="G25" s="391">
        <f>SUM(G23:G24)</f>
        <v>2505.4362411742604</v>
      </c>
      <c r="H25" s="162"/>
      <c r="I25" s="1"/>
      <c r="J25" s="1"/>
      <c r="K25" s="1"/>
    </row>
    <row r="26" spans="1:11" ht="13" x14ac:dyDescent="0.3">
      <c r="A26" s="122"/>
      <c r="B26" s="122"/>
      <c r="C26" s="122"/>
      <c r="D26" s="421"/>
      <c r="E26" s="143"/>
      <c r="F26" s="144" t="s">
        <v>11</v>
      </c>
      <c r="G26" s="156">
        <f>+G25/F9</f>
        <v>208.78635343118836</v>
      </c>
      <c r="H26" s="162"/>
      <c r="I26" s="1"/>
      <c r="J26" s="1"/>
      <c r="K26" s="1"/>
    </row>
    <row r="27" spans="1:11" ht="13" x14ac:dyDescent="0.3">
      <c r="A27" s="128" t="s">
        <v>603</v>
      </c>
      <c r="B27" s="122"/>
      <c r="C27" s="122"/>
      <c r="D27" s="421"/>
      <c r="E27" s="122"/>
      <c r="F27" s="122"/>
      <c r="G27" s="122"/>
      <c r="H27" s="162"/>
      <c r="I27" s="1"/>
      <c r="J27" s="1"/>
      <c r="K27" s="1"/>
    </row>
    <row r="28" spans="1:11" ht="13" x14ac:dyDescent="0.3">
      <c r="A28" s="435" t="s">
        <v>79</v>
      </c>
      <c r="B28" s="134" t="s">
        <v>591</v>
      </c>
      <c r="C28" s="134" t="s">
        <v>592</v>
      </c>
      <c r="D28" s="503" t="s">
        <v>593</v>
      </c>
      <c r="E28" s="134" t="s">
        <v>604</v>
      </c>
      <c r="F28" s="134"/>
      <c r="G28" s="135" t="s">
        <v>596</v>
      </c>
      <c r="H28" s="167"/>
      <c r="I28" s="3"/>
      <c r="J28" s="3"/>
      <c r="K28" s="3"/>
    </row>
    <row r="29" spans="1:11" ht="13" x14ac:dyDescent="0.3">
      <c r="A29" s="264" t="s">
        <v>265</v>
      </c>
      <c r="B29" s="175" t="s">
        <v>266</v>
      </c>
      <c r="C29" s="175"/>
      <c r="D29" s="433">
        <v>1</v>
      </c>
      <c r="E29" s="175">
        <f>VLOOKUP(B29,'Mano de Obra'!$B$8:$C$100,2,FALSE)</f>
        <v>85927.097156571981</v>
      </c>
      <c r="F29" s="175"/>
      <c r="G29" s="176">
        <f>+E29*D29</f>
        <v>85927.097156571981</v>
      </c>
      <c r="H29" s="162"/>
      <c r="I29" s="1"/>
      <c r="J29" s="1"/>
      <c r="K29" s="1"/>
    </row>
    <row r="30" spans="1:11" ht="13" x14ac:dyDescent="0.3">
      <c r="A30" s="265" t="s">
        <v>251</v>
      </c>
      <c r="B30" s="180" t="s">
        <v>252</v>
      </c>
      <c r="C30" s="180"/>
      <c r="D30" s="434">
        <v>1</v>
      </c>
      <c r="E30" s="180">
        <f>VLOOKUP(B30,'Mano de Obra'!$B$8:$C$100,2,FALSE)</f>
        <v>65493.071636571978</v>
      </c>
      <c r="F30" s="180"/>
      <c r="G30" s="182">
        <f>+E30*D30</f>
        <v>65493.071636571978</v>
      </c>
      <c r="H30" s="162"/>
      <c r="I30" s="1"/>
      <c r="J30" s="1"/>
      <c r="K30" s="1"/>
    </row>
    <row r="31" spans="1:11" ht="13" x14ac:dyDescent="0.3">
      <c r="A31" s="139"/>
      <c r="B31" s="139"/>
      <c r="C31" s="139"/>
      <c r="D31" s="426"/>
      <c r="E31" s="140"/>
      <c r="F31" s="141" t="s">
        <v>606</v>
      </c>
      <c r="G31" s="391">
        <f>SUM(G29:G30)</f>
        <v>151420.16879314397</v>
      </c>
      <c r="H31" s="162"/>
      <c r="I31" s="1"/>
      <c r="J31" s="1"/>
      <c r="K31" s="1"/>
    </row>
    <row r="32" spans="1:11" ht="13" x14ac:dyDescent="0.3">
      <c r="A32" s="122"/>
      <c r="B32" s="122"/>
      <c r="C32" s="122"/>
      <c r="D32" s="421"/>
      <c r="E32" s="360"/>
      <c r="F32" s="123" t="s">
        <v>607</v>
      </c>
      <c r="G32" s="349">
        <v>1</v>
      </c>
      <c r="H32" s="162"/>
      <c r="I32" s="1"/>
      <c r="J32" s="1"/>
      <c r="K32" s="1"/>
    </row>
    <row r="33" spans="1:11" ht="13" x14ac:dyDescent="0.3">
      <c r="A33" s="122"/>
      <c r="B33" s="122"/>
      <c r="C33" s="122"/>
      <c r="D33" s="421"/>
      <c r="E33" s="360"/>
      <c r="F33" s="123" t="s">
        <v>608</v>
      </c>
      <c r="G33" s="390">
        <f>+G32*G31</f>
        <v>151420.16879314397</v>
      </c>
      <c r="H33" s="162"/>
      <c r="I33" s="1"/>
      <c r="J33" s="1"/>
      <c r="K33" s="1"/>
    </row>
    <row r="34" spans="1:11" ht="13" x14ac:dyDescent="0.3">
      <c r="A34" s="122"/>
      <c r="B34" s="122"/>
      <c r="C34" s="122"/>
      <c r="D34" s="421"/>
      <c r="E34" s="143"/>
      <c r="F34" s="144" t="s">
        <v>10</v>
      </c>
      <c r="G34" s="156">
        <f>+G33/F9</f>
        <v>12618.347399428663</v>
      </c>
      <c r="H34" s="162"/>
      <c r="I34" s="1"/>
      <c r="J34" s="1"/>
      <c r="K34" s="1"/>
    </row>
    <row r="35" spans="1:11" ht="13" x14ac:dyDescent="0.3">
      <c r="A35" s="122"/>
      <c r="B35" s="122"/>
      <c r="C35" s="122"/>
      <c r="D35" s="421"/>
      <c r="H35" s="162"/>
      <c r="I35" s="1"/>
      <c r="J35" s="1"/>
      <c r="K35" s="1"/>
    </row>
    <row r="36" spans="1:11" ht="13" x14ac:dyDescent="0.3">
      <c r="A36" s="122"/>
      <c r="B36" s="122"/>
      <c r="C36" s="122"/>
      <c r="D36" s="421"/>
      <c r="E36" s="122"/>
      <c r="F36" s="123" t="s">
        <v>609</v>
      </c>
      <c r="G36" s="123">
        <f>+G34+G26+G20</f>
        <v>27595.722272383995</v>
      </c>
      <c r="H36" s="162"/>
      <c r="I36" s="1"/>
      <c r="J36" s="1"/>
      <c r="K36" s="1"/>
    </row>
    <row r="37" spans="1:11" ht="13" x14ac:dyDescent="0.3">
      <c r="A37" s="122"/>
      <c r="B37" s="122"/>
      <c r="C37" s="122"/>
      <c r="D37" s="421"/>
      <c r="E37" s="123" t="s">
        <v>610</v>
      </c>
      <c r="F37" s="198">
        <f>+RESUMEN!$I$2</f>
        <v>0</v>
      </c>
      <c r="G37" s="130">
        <f>IF(F37=0,0,F37*G36)</f>
        <v>0</v>
      </c>
      <c r="H37" s="168"/>
      <c r="I37" s="1"/>
      <c r="J37" s="1"/>
      <c r="K37" s="1"/>
    </row>
    <row r="38" spans="1:11" ht="13" x14ac:dyDescent="0.3">
      <c r="A38" s="122"/>
      <c r="B38" s="122"/>
      <c r="C38" s="122"/>
      <c r="D38" s="421"/>
      <c r="E38" s="123" t="s">
        <v>611</v>
      </c>
      <c r="F38" s="198">
        <f>+RESUMEN!$I$3</f>
        <v>0</v>
      </c>
      <c r="G38" s="130">
        <f>IF(F38=0,0,F38*G36)</f>
        <v>0</v>
      </c>
      <c r="H38" s="162"/>
      <c r="I38" s="1"/>
      <c r="J38" s="1"/>
      <c r="K38" s="1"/>
    </row>
    <row r="39" spans="1:11" ht="13" x14ac:dyDescent="0.3">
      <c r="A39" s="122"/>
      <c r="B39" s="122"/>
      <c r="C39" s="122"/>
      <c r="D39" s="421"/>
      <c r="E39" s="151"/>
      <c r="F39" s="152" t="s">
        <v>612</v>
      </c>
      <c r="G39" s="389">
        <f>SUM(G36:G38)</f>
        <v>27595.722272383995</v>
      </c>
      <c r="H39" s="162"/>
      <c r="I39" s="1"/>
      <c r="J39" s="1"/>
      <c r="K39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9"/>
  </sheetPr>
  <dimension ref="A1:J36"/>
  <sheetViews>
    <sheetView topLeftCell="A7" workbookViewId="0">
      <selection activeCell="F18" sqref="F18"/>
    </sheetView>
  </sheetViews>
  <sheetFormatPr defaultColWidth="11.453125" defaultRowHeight="12.5" x14ac:dyDescent="0.25"/>
  <cols>
    <col min="2" max="2" width="37.6328125" bestFit="1" customWidth="1"/>
    <col min="3" max="3" width="7.08984375" bestFit="1" customWidth="1"/>
    <col min="4" max="4" width="9" style="427" bestFit="1" customWidth="1"/>
    <col min="5" max="5" width="15.36328125" bestFit="1" customWidth="1"/>
    <col min="6" max="6" width="10.08984375" customWidth="1"/>
    <col min="7" max="7" width="10.54296875" bestFit="1" customWidth="1"/>
  </cols>
  <sheetData>
    <row r="1" spans="1:10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</row>
    <row r="2" spans="1:10" ht="13" x14ac:dyDescent="0.3">
      <c r="A2" s="162"/>
      <c r="B2" s="162"/>
      <c r="C2" s="162"/>
      <c r="D2" s="501"/>
      <c r="E2" s="162"/>
      <c r="F2" s="240" t="s">
        <v>78</v>
      </c>
      <c r="G2" s="664" t="s">
        <v>578</v>
      </c>
      <c r="H2" s="162"/>
      <c r="I2" s="1"/>
      <c r="J2" s="1"/>
    </row>
    <row r="3" spans="1:10" ht="15.5" x14ac:dyDescent="0.35">
      <c r="A3" s="165" t="s">
        <v>579</v>
      </c>
      <c r="B3" s="166"/>
      <c r="C3" s="166"/>
      <c r="D3" s="502"/>
      <c r="E3" s="166"/>
      <c r="F3" s="166"/>
      <c r="G3" s="166"/>
      <c r="H3" s="162"/>
      <c r="I3" s="1"/>
      <c r="J3" s="1"/>
    </row>
    <row r="4" spans="1:10" ht="13" x14ac:dyDescent="0.3">
      <c r="A4" s="122"/>
      <c r="B4" s="122"/>
      <c r="C4" s="122"/>
      <c r="D4" s="421"/>
      <c r="E4" s="122"/>
      <c r="F4" s="123" t="s">
        <v>580</v>
      </c>
      <c r="G4" s="126">
        <v>117</v>
      </c>
      <c r="H4" s="162"/>
      <c r="I4" s="1"/>
      <c r="J4" s="1"/>
    </row>
    <row r="5" spans="1:10" ht="13" x14ac:dyDescent="0.25">
      <c r="A5" s="127" t="s">
        <v>581</v>
      </c>
      <c r="B5" s="562" t="s">
        <v>578</v>
      </c>
      <c r="C5" s="563"/>
      <c r="D5" s="584"/>
      <c r="E5" s="563"/>
      <c r="F5" s="563"/>
      <c r="G5" s="563"/>
      <c r="H5" s="162"/>
      <c r="I5" s="1"/>
      <c r="J5" s="1"/>
    </row>
    <row r="6" spans="1:10" ht="13" x14ac:dyDescent="0.3">
      <c r="A6" s="128" t="s">
        <v>582</v>
      </c>
      <c r="B6" s="500" t="s">
        <v>578</v>
      </c>
      <c r="C6" s="122"/>
      <c r="D6" s="421"/>
      <c r="E6" s="122"/>
      <c r="F6" s="123" t="s">
        <v>583</v>
      </c>
      <c r="G6" s="738" t="s">
        <v>578</v>
      </c>
      <c r="H6" s="162"/>
      <c r="I6" s="1"/>
      <c r="J6" s="1"/>
    </row>
    <row r="7" spans="1:10" ht="15.5" x14ac:dyDescent="0.25">
      <c r="A7" s="197" t="s">
        <v>584</v>
      </c>
      <c r="B7" s="873" t="s">
        <v>838</v>
      </c>
      <c r="C7" s="874"/>
      <c r="D7" s="874"/>
      <c r="E7" s="874"/>
      <c r="F7" s="874"/>
      <c r="G7" s="874"/>
      <c r="H7" s="162"/>
      <c r="I7" s="162"/>
      <c r="J7" s="1"/>
    </row>
    <row r="8" spans="1:10" ht="13" x14ac:dyDescent="0.3">
      <c r="A8" s="128"/>
      <c r="B8" s="122"/>
      <c r="C8" s="131" t="s">
        <v>586</v>
      </c>
      <c r="D8" s="421"/>
      <c r="E8" s="131" t="s">
        <v>587</v>
      </c>
      <c r="F8" s="240" t="s">
        <v>588</v>
      </c>
      <c r="G8" s="122"/>
      <c r="H8" s="162"/>
      <c r="I8" s="1"/>
      <c r="J8" s="1"/>
    </row>
    <row r="9" spans="1:10" ht="13" x14ac:dyDescent="0.3">
      <c r="A9" s="122"/>
      <c r="B9" s="122"/>
      <c r="C9" s="132" t="s">
        <v>52</v>
      </c>
      <c r="D9" s="421"/>
      <c r="E9" s="132">
        <v>100</v>
      </c>
      <c r="F9" s="185">
        <v>15</v>
      </c>
      <c r="G9" s="158" t="s">
        <v>668</v>
      </c>
      <c r="H9" s="162"/>
      <c r="I9" s="1"/>
      <c r="J9" s="1"/>
    </row>
    <row r="10" spans="1:10" ht="13" x14ac:dyDescent="0.3">
      <c r="A10" s="128" t="s">
        <v>590</v>
      </c>
      <c r="B10" s="122"/>
      <c r="C10" s="122"/>
      <c r="D10" s="421"/>
      <c r="E10" s="122"/>
      <c r="F10" s="122"/>
      <c r="G10" s="122"/>
      <c r="H10" s="162"/>
      <c r="I10" s="1"/>
      <c r="J10" s="1"/>
    </row>
    <row r="11" spans="1:10" ht="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5" t="s">
        <v>596</v>
      </c>
      <c r="H11" s="399" t="s">
        <v>597</v>
      </c>
      <c r="I11" s="3"/>
      <c r="J11" s="3"/>
    </row>
    <row r="12" spans="1:10" ht="13" x14ac:dyDescent="0.3">
      <c r="A12" s="175"/>
      <c r="B12" s="507" t="s">
        <v>445</v>
      </c>
      <c r="C12" s="298" t="s">
        <v>17</v>
      </c>
      <c r="D12" s="433">
        <v>0.39</v>
      </c>
      <c r="E12" s="175">
        <f>VLOOKUP(B12,Materiales!$B$8:$D$118,3,FALSE)</f>
        <v>2351.29</v>
      </c>
      <c r="F12" s="175">
        <v>10</v>
      </c>
      <c r="G12" s="246">
        <f>+D12*E12*((F12+100)/100)</f>
        <v>1008.7034100000001</v>
      </c>
      <c r="H12" s="116">
        <f>+D12*$E$9</f>
        <v>39</v>
      </c>
      <c r="I12" s="1"/>
      <c r="J12" s="284">
        <f>1/2.6</f>
        <v>0.38461538461538458</v>
      </c>
    </row>
    <row r="13" spans="1:10" ht="13" x14ac:dyDescent="0.3">
      <c r="A13" s="180"/>
      <c r="B13" s="275" t="s">
        <v>434</v>
      </c>
      <c r="C13" s="299" t="s">
        <v>17</v>
      </c>
      <c r="D13" s="434">
        <v>3</v>
      </c>
      <c r="E13" s="180">
        <f>VLOOKUP(B13,Materiales!$B$8:$D$118,3,FALSE)</f>
        <v>17.196317722681361</v>
      </c>
      <c r="F13" s="180">
        <v>5</v>
      </c>
      <c r="G13" s="248">
        <f>+D13*E13*((F13+100)/100)</f>
        <v>54.168400826446295</v>
      </c>
      <c r="H13" s="80">
        <f>+D13*$E$9</f>
        <v>300</v>
      </c>
      <c r="I13" s="1"/>
      <c r="J13" s="1"/>
    </row>
    <row r="14" spans="1:10" ht="13" x14ac:dyDescent="0.3">
      <c r="A14" s="139"/>
      <c r="B14" s="139"/>
      <c r="C14" s="139"/>
      <c r="D14" s="426"/>
      <c r="E14" s="140"/>
      <c r="F14" s="141" t="s">
        <v>598</v>
      </c>
      <c r="G14" s="391">
        <f>SUM(G12:G13)</f>
        <v>1062.8718108264463</v>
      </c>
      <c r="H14" s="162"/>
      <c r="I14" s="1"/>
      <c r="J14" s="1"/>
    </row>
    <row r="15" spans="1:10" ht="13" x14ac:dyDescent="0.3">
      <c r="A15" s="122"/>
      <c r="B15" s="122"/>
      <c r="C15" s="122"/>
      <c r="D15" s="421"/>
      <c r="E15" s="143"/>
      <c r="F15" s="144" t="s">
        <v>9</v>
      </c>
      <c r="G15" s="156">
        <f>+G14</f>
        <v>1062.8718108264463</v>
      </c>
      <c r="H15" s="162"/>
      <c r="I15" s="1"/>
      <c r="J15" s="1"/>
    </row>
    <row r="16" spans="1:10" ht="13" x14ac:dyDescent="0.3">
      <c r="A16" s="128" t="s">
        <v>599</v>
      </c>
      <c r="B16" s="122"/>
      <c r="C16" s="122"/>
      <c r="D16" s="421"/>
      <c r="E16" s="122"/>
      <c r="F16" s="122"/>
      <c r="G16" s="122"/>
      <c r="H16" s="162"/>
      <c r="I16" s="1"/>
      <c r="J16" s="1"/>
    </row>
    <row r="17" spans="1:8" ht="13" x14ac:dyDescent="0.3">
      <c r="A17" s="133" t="s">
        <v>79</v>
      </c>
      <c r="B17" s="134" t="s">
        <v>591</v>
      </c>
      <c r="C17" s="134" t="s">
        <v>592</v>
      </c>
      <c r="D17" s="503" t="s">
        <v>593</v>
      </c>
      <c r="E17" s="134" t="s">
        <v>600</v>
      </c>
      <c r="F17" s="134" t="s">
        <v>87</v>
      </c>
      <c r="G17" s="135" t="s">
        <v>596</v>
      </c>
      <c r="H17" s="167"/>
    </row>
    <row r="18" spans="1:8" ht="26" x14ac:dyDescent="0.25">
      <c r="A18" s="264" t="s">
        <v>181</v>
      </c>
      <c r="B18" s="660" t="s">
        <v>182</v>
      </c>
      <c r="C18" s="264" t="s">
        <v>17</v>
      </c>
      <c r="D18" s="423">
        <v>1</v>
      </c>
      <c r="E18" s="246">
        <f>VLOOKUP(B18,'Rend. Equipos'!$B$7:$E$222,4,FALSE)</f>
        <v>201885.25333580485</v>
      </c>
      <c r="F18" s="423">
        <f>VLOOKUP(B18,'Rend. Equipos'!$B$6:$L$166,MATCH($F$17,'Rend. Equipos'!$B$6:$L$6,0),0)</f>
        <v>6.9444444444444436E-4</v>
      </c>
      <c r="G18" s="246">
        <f>+E18*D18*F18</f>
        <v>140.19809259430892</v>
      </c>
      <c r="H18" s="162"/>
    </row>
    <row r="19" spans="1:8" ht="13" x14ac:dyDescent="0.3">
      <c r="A19" s="265" t="s">
        <v>135</v>
      </c>
      <c r="B19" s="180" t="s">
        <v>177</v>
      </c>
      <c r="C19" s="265" t="s">
        <v>352</v>
      </c>
      <c r="D19" s="425">
        <v>1</v>
      </c>
      <c r="E19" s="248">
        <f>VLOOKUP(B19,'Rend. Equipos'!$B$7:$E$222,4,FALSE)</f>
        <v>1702971.4669775651</v>
      </c>
      <c r="F19" s="425">
        <f>VLOOKUP(B19,'Rend. Equipos'!$B$6:$L$166,MATCH($F$17,'Rend. Equipos'!$B$6:$L$6,0),0)</f>
        <v>1.3888888888888889E-3</v>
      </c>
      <c r="G19" s="248">
        <f>+E19*D19*F19</f>
        <v>2365.2381485799515</v>
      </c>
      <c r="H19" s="162"/>
    </row>
    <row r="20" spans="1:8" ht="13" x14ac:dyDescent="0.3">
      <c r="A20" s="139"/>
      <c r="B20" s="139"/>
      <c r="C20" s="139"/>
      <c r="D20" s="426"/>
      <c r="E20" s="140"/>
      <c r="F20" s="141" t="s">
        <v>602</v>
      </c>
      <c r="G20" s="391">
        <f>SUM(G18:G19)</f>
        <v>2505.4362411742604</v>
      </c>
      <c r="H20" s="162"/>
    </row>
    <row r="21" spans="1:8" ht="13" x14ac:dyDescent="0.3">
      <c r="A21" s="122"/>
      <c r="B21" s="122"/>
      <c r="C21" s="122"/>
      <c r="D21" s="421"/>
      <c r="E21" s="143"/>
      <c r="F21" s="144" t="s">
        <v>11</v>
      </c>
      <c r="G21" s="156">
        <f>+G20/F9</f>
        <v>167.0290827449507</v>
      </c>
      <c r="H21" s="162"/>
    </row>
    <row r="22" spans="1:8" ht="13" x14ac:dyDescent="0.3">
      <c r="A22" s="128" t="s">
        <v>603</v>
      </c>
      <c r="B22" s="122"/>
      <c r="C22" s="122"/>
      <c r="D22" s="421"/>
      <c r="E22" s="122"/>
      <c r="F22" s="122"/>
      <c r="G22" s="122"/>
      <c r="H22" s="162"/>
    </row>
    <row r="23" spans="1:8" ht="13" x14ac:dyDescent="0.3">
      <c r="A23" s="133" t="s">
        <v>79</v>
      </c>
      <c r="B23" s="134" t="s">
        <v>591</v>
      </c>
      <c r="C23" s="134" t="s">
        <v>592</v>
      </c>
      <c r="D23" s="503" t="s">
        <v>593</v>
      </c>
      <c r="E23" s="134" t="s">
        <v>604</v>
      </c>
      <c r="F23" s="134"/>
      <c r="G23" s="135" t="s">
        <v>596</v>
      </c>
      <c r="H23" s="167"/>
    </row>
    <row r="24" spans="1:8" ht="13" x14ac:dyDescent="0.3">
      <c r="A24" s="175" t="s">
        <v>265</v>
      </c>
      <c r="B24" s="175" t="s">
        <v>266</v>
      </c>
      <c r="C24" s="264" t="s">
        <v>605</v>
      </c>
      <c r="D24" s="433">
        <v>1</v>
      </c>
      <c r="E24" s="175">
        <f>VLOOKUP(B24,'Mano de Obra'!$B$8:$C$100,2,FALSE)</f>
        <v>85927.097156571981</v>
      </c>
      <c r="F24" s="175"/>
      <c r="G24" s="176">
        <f>+E24*D24</f>
        <v>85927.097156571981</v>
      </c>
      <c r="H24" s="162"/>
    </row>
    <row r="25" spans="1:8" ht="13" x14ac:dyDescent="0.3">
      <c r="A25" s="139"/>
      <c r="B25" s="139"/>
      <c r="C25" s="139"/>
      <c r="D25" s="426"/>
      <c r="E25" s="140"/>
      <c r="F25" s="141" t="s">
        <v>606</v>
      </c>
      <c r="G25" s="391">
        <f>SUM(G24:G24)</f>
        <v>85927.097156571981</v>
      </c>
      <c r="H25" s="162"/>
    </row>
    <row r="26" spans="1:8" ht="13" x14ac:dyDescent="0.3">
      <c r="A26" s="122"/>
      <c r="B26" s="122"/>
      <c r="C26" s="122"/>
      <c r="D26" s="421"/>
      <c r="E26" s="360"/>
      <c r="F26" s="123" t="s">
        <v>607</v>
      </c>
      <c r="G26" s="349">
        <v>1</v>
      </c>
      <c r="H26" s="162"/>
    </row>
    <row r="27" spans="1:8" ht="13" x14ac:dyDescent="0.3">
      <c r="A27" s="122"/>
      <c r="B27" s="122"/>
      <c r="C27" s="122"/>
      <c r="D27" s="421"/>
      <c r="E27" s="360"/>
      <c r="F27" s="123" t="s">
        <v>608</v>
      </c>
      <c r="G27" s="390">
        <f>+G26*G25</f>
        <v>85927.097156571981</v>
      </c>
      <c r="H27" s="162"/>
    </row>
    <row r="28" spans="1:8" ht="13" x14ac:dyDescent="0.3">
      <c r="A28" s="122"/>
      <c r="B28" s="122"/>
      <c r="C28" s="122"/>
      <c r="D28" s="421"/>
      <c r="E28" s="143"/>
      <c r="F28" s="144" t="s">
        <v>10</v>
      </c>
      <c r="G28" s="156">
        <f>+G27/F9</f>
        <v>5728.4731437714654</v>
      </c>
      <c r="H28" s="162"/>
    </row>
    <row r="29" spans="1:8" ht="13" x14ac:dyDescent="0.3">
      <c r="A29" s="122"/>
      <c r="B29" s="122"/>
      <c r="C29" s="122"/>
      <c r="D29" s="421"/>
      <c r="H29" s="162"/>
    </row>
    <row r="30" spans="1:8" ht="13" x14ac:dyDescent="0.3">
      <c r="A30" s="122"/>
      <c r="B30" s="122"/>
      <c r="C30" s="122"/>
      <c r="D30" s="421"/>
      <c r="E30" s="122"/>
      <c r="F30" s="123" t="s">
        <v>609</v>
      </c>
      <c r="G30" s="123">
        <f>+G28+G21+G15</f>
        <v>6958.3740373428627</v>
      </c>
      <c r="H30" s="162"/>
    </row>
    <row r="31" spans="1:8" ht="13" x14ac:dyDescent="0.3">
      <c r="A31" s="122"/>
      <c r="B31" s="122"/>
      <c r="C31" s="122"/>
      <c r="D31" s="421"/>
      <c r="E31" s="123" t="s">
        <v>610</v>
      </c>
      <c r="F31" s="198">
        <f>+RESUMEN!$I$2</f>
        <v>0</v>
      </c>
      <c r="G31" s="130">
        <f>IF(F31=0,0,F31*G30)</f>
        <v>0</v>
      </c>
      <c r="H31" s="168"/>
    </row>
    <row r="32" spans="1:8" ht="13" x14ac:dyDescent="0.3">
      <c r="A32" s="122"/>
      <c r="B32" s="122"/>
      <c r="C32" s="122"/>
      <c r="D32" s="421"/>
      <c r="E32" s="123" t="s">
        <v>611</v>
      </c>
      <c r="F32" s="198">
        <f>+RESUMEN!$I$3</f>
        <v>0</v>
      </c>
      <c r="G32" s="130">
        <f>IF(F32=0,0,F32*G30)</f>
        <v>0</v>
      </c>
      <c r="H32" s="162"/>
    </row>
    <row r="33" spans="1:7" ht="13" x14ac:dyDescent="0.3">
      <c r="A33" s="122"/>
      <c r="B33" s="122"/>
      <c r="C33" s="122"/>
      <c r="D33" s="421"/>
      <c r="E33" s="151"/>
      <c r="F33" s="152" t="s">
        <v>612</v>
      </c>
      <c r="G33" s="389">
        <f>SUM(G30:G32)</f>
        <v>6958.3740373428627</v>
      </c>
    </row>
    <row r="34" spans="1:7" ht="13" x14ac:dyDescent="0.3">
      <c r="A34" s="122"/>
      <c r="B34" s="122"/>
      <c r="C34" s="122"/>
      <c r="D34" s="421"/>
      <c r="E34" s="74"/>
      <c r="F34" s="74"/>
      <c r="G34" s="74"/>
    </row>
    <row r="35" spans="1:7" ht="13" x14ac:dyDescent="0.3">
      <c r="A35" s="875"/>
      <c r="B35" s="870"/>
      <c r="C35" s="122"/>
      <c r="D35" s="421"/>
      <c r="E35" s="74"/>
      <c r="F35" s="74"/>
      <c r="G35" s="74"/>
    </row>
    <row r="36" spans="1:7" ht="13" x14ac:dyDescent="0.3">
      <c r="A36" s="875"/>
      <c r="B36" s="870"/>
      <c r="C36" s="122"/>
      <c r="D36" s="421"/>
      <c r="E36" s="74"/>
      <c r="F36" s="74"/>
      <c r="G36" s="74"/>
    </row>
  </sheetData>
  <mergeCells count="4">
    <mergeCell ref="A1:G1"/>
    <mergeCell ref="B7:G7"/>
    <mergeCell ref="A35:B35"/>
    <mergeCell ref="A36:B36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5B16-4D08-4AA0-9CBC-EBE799568D06}">
  <sheetPr>
    <tabColor theme="9"/>
  </sheetPr>
  <dimension ref="A1:M39"/>
  <sheetViews>
    <sheetView workbookViewId="0">
      <selection activeCell="L14" sqref="L14:L16"/>
    </sheetView>
  </sheetViews>
  <sheetFormatPr defaultColWidth="11.54296875" defaultRowHeight="13" x14ac:dyDescent="0.3"/>
  <cols>
    <col min="1" max="1" width="9.90625" style="74" customWidth="1"/>
    <col min="2" max="2" width="40.453125" style="74" bestFit="1" customWidth="1"/>
    <col min="3" max="3" width="7.08984375" style="74" bestFit="1" customWidth="1"/>
    <col min="4" max="4" width="9" style="421" bestFit="1" customWidth="1"/>
    <col min="5" max="5" width="15.36328125" style="74" bestFit="1" customWidth="1"/>
    <col min="6" max="6" width="9.453125" style="74" customWidth="1"/>
    <col min="7" max="7" width="12" style="74" bestFit="1" customWidth="1"/>
    <col min="8" max="16384" width="11.54296875" style="74"/>
  </cols>
  <sheetData>
    <row r="1" spans="1:13" x14ac:dyDescent="0.3">
      <c r="A1" s="891"/>
      <c r="B1" s="870"/>
      <c r="C1" s="870"/>
      <c r="D1" s="870"/>
      <c r="E1" s="870"/>
      <c r="F1" s="870"/>
      <c r="G1" s="870"/>
      <c r="H1" s="122"/>
      <c r="I1" s="122"/>
      <c r="J1" s="122"/>
      <c r="K1" s="122"/>
      <c r="L1" s="122"/>
      <c r="M1" s="122"/>
    </row>
    <row r="2" spans="1:13" x14ac:dyDescent="0.3">
      <c r="A2" s="122"/>
      <c r="B2" s="122"/>
      <c r="C2" s="122"/>
      <c r="E2" s="122"/>
      <c r="F2" s="240" t="s">
        <v>78</v>
      </c>
      <c r="G2" s="446" t="s">
        <v>613</v>
      </c>
      <c r="H2" s="122"/>
      <c r="I2" s="122"/>
      <c r="J2" s="122"/>
      <c r="K2" s="122"/>
      <c r="L2" s="122"/>
      <c r="M2" s="122"/>
    </row>
    <row r="3" spans="1:13" x14ac:dyDescent="0.3">
      <c r="A3" s="124" t="s">
        <v>579</v>
      </c>
      <c r="B3" s="125"/>
      <c r="C3" s="125"/>
      <c r="D3" s="422"/>
      <c r="E3" s="125"/>
      <c r="F3" s="125"/>
      <c r="G3" s="125"/>
      <c r="H3" s="122"/>
      <c r="I3" s="122"/>
      <c r="J3" s="122"/>
      <c r="K3" s="122"/>
      <c r="L3" s="122"/>
      <c r="M3" s="122"/>
    </row>
    <row r="4" spans="1:13" x14ac:dyDescent="0.3">
      <c r="A4" s="122"/>
      <c r="B4" s="122"/>
      <c r="C4" s="122"/>
      <c r="E4" s="122"/>
      <c r="F4" s="123" t="s">
        <v>580</v>
      </c>
      <c r="G4" s="126">
        <v>118</v>
      </c>
      <c r="H4" s="122"/>
      <c r="I4" s="122"/>
      <c r="J4" s="122"/>
      <c r="K4" s="122"/>
      <c r="L4" s="122"/>
      <c r="M4" s="122"/>
    </row>
    <row r="5" spans="1:13" x14ac:dyDescent="0.3">
      <c r="A5" s="127" t="s">
        <v>581</v>
      </c>
      <c r="B5" s="892" t="s">
        <v>613</v>
      </c>
      <c r="C5" s="893"/>
      <c r="D5" s="893"/>
      <c r="E5" s="893"/>
      <c r="F5" s="893"/>
      <c r="G5" s="893"/>
      <c r="H5" s="122"/>
      <c r="I5" s="122"/>
      <c r="J5" s="122"/>
      <c r="K5" s="122"/>
      <c r="L5" s="122"/>
      <c r="M5" s="122"/>
    </row>
    <row r="6" spans="1:13" x14ac:dyDescent="0.3">
      <c r="A6" s="128" t="s">
        <v>582</v>
      </c>
      <c r="B6" s="446" t="s">
        <v>613</v>
      </c>
      <c r="C6" s="122"/>
      <c r="E6" s="122"/>
      <c r="F6" s="123" t="s">
        <v>583</v>
      </c>
      <c r="G6" s="446" t="s">
        <v>613</v>
      </c>
      <c r="H6" s="122"/>
      <c r="I6" s="122"/>
      <c r="J6" s="122"/>
      <c r="K6" s="122"/>
      <c r="L6" s="122"/>
      <c r="M6" s="122"/>
    </row>
    <row r="7" spans="1:13" x14ac:dyDescent="0.3">
      <c r="A7" s="197" t="s">
        <v>584</v>
      </c>
      <c r="B7" s="908" t="s">
        <v>401</v>
      </c>
      <c r="C7" s="908"/>
      <c r="D7" s="908"/>
      <c r="E7" s="908"/>
      <c r="F7" s="908"/>
      <c r="G7" s="908"/>
      <c r="H7" s="122"/>
      <c r="I7" s="122"/>
      <c r="J7" s="122"/>
      <c r="K7" s="122"/>
      <c r="L7" s="122"/>
      <c r="M7" s="122"/>
    </row>
    <row r="8" spans="1:13" x14ac:dyDescent="0.3">
      <c r="A8" s="128"/>
      <c r="B8" s="122"/>
      <c r="C8" s="131" t="s">
        <v>586</v>
      </c>
      <c r="E8" s="131" t="s">
        <v>587</v>
      </c>
      <c r="F8" s="128" t="s">
        <v>588</v>
      </c>
      <c r="G8" s="122"/>
      <c r="H8" s="122"/>
      <c r="I8" s="122"/>
      <c r="J8" s="122"/>
      <c r="K8" s="122"/>
      <c r="L8" s="122"/>
      <c r="M8" s="122"/>
    </row>
    <row r="9" spans="1:13" x14ac:dyDescent="0.3">
      <c r="A9" s="122"/>
      <c r="B9" s="122" t="s">
        <v>619</v>
      </c>
      <c r="C9" s="132" t="s">
        <v>45</v>
      </c>
      <c r="E9" s="564">
        <v>100</v>
      </c>
      <c r="F9" s="33">
        <v>11.5</v>
      </c>
      <c r="G9" s="158" t="s">
        <v>615</v>
      </c>
      <c r="H9" s="122"/>
      <c r="I9" s="122"/>
      <c r="J9" s="122"/>
      <c r="K9" s="122"/>
      <c r="L9" s="122"/>
      <c r="M9" s="122"/>
    </row>
    <row r="10" spans="1:13" x14ac:dyDescent="0.3">
      <c r="A10" s="128" t="s">
        <v>590</v>
      </c>
      <c r="B10" s="122"/>
      <c r="C10" s="122"/>
      <c r="E10" s="122"/>
      <c r="F10" s="122"/>
      <c r="G10" s="122"/>
      <c r="H10" s="122"/>
      <c r="I10" s="122"/>
      <c r="J10" s="122"/>
      <c r="K10" s="122"/>
      <c r="L10" s="122"/>
      <c r="M10" s="122"/>
    </row>
    <row r="11" spans="1:13" x14ac:dyDescent="0.3">
      <c r="A11" s="133" t="s">
        <v>79</v>
      </c>
      <c r="B11" s="134" t="s">
        <v>591</v>
      </c>
      <c r="C11" s="134" t="s">
        <v>592</v>
      </c>
      <c r="D11" s="503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131"/>
      <c r="J11" s="3" t="s">
        <v>620</v>
      </c>
      <c r="K11" s="3"/>
      <c r="L11" s="3"/>
      <c r="M11" s="131"/>
    </row>
    <row r="12" spans="1:13" x14ac:dyDescent="0.3">
      <c r="A12" s="175"/>
      <c r="B12" s="175" t="s">
        <v>401</v>
      </c>
      <c r="C12" s="264" t="s">
        <v>839</v>
      </c>
      <c r="D12" s="433">
        <v>12.5</v>
      </c>
      <c r="E12" s="175">
        <f>VLOOKUP(B12,Materiales!$B$8:$D$118,3,FALSE)</f>
        <v>682.52</v>
      </c>
      <c r="F12" s="175">
        <v>5</v>
      </c>
      <c r="G12" s="246">
        <f>+D12*E12*((F12+100)/100)</f>
        <v>8958.0750000000007</v>
      </c>
      <c r="H12" s="176">
        <f>+D12*$E$9</f>
        <v>1250</v>
      </c>
      <c r="I12" s="122"/>
      <c r="J12" s="277">
        <v>15.5</v>
      </c>
      <c r="K12" s="1"/>
      <c r="L12" s="1"/>
      <c r="M12" s="122"/>
    </row>
    <row r="13" spans="1:13" x14ac:dyDescent="0.3">
      <c r="A13" s="320" t="s">
        <v>377</v>
      </c>
      <c r="B13" s="178" t="s">
        <v>378</v>
      </c>
      <c r="C13" s="320" t="s">
        <v>17</v>
      </c>
      <c r="D13" s="457">
        <v>0.17</v>
      </c>
      <c r="E13" s="178">
        <f>VLOOKUP(B13,Materiales!$B$8:$D$118,3,FALSE)</f>
        <v>3424.53</v>
      </c>
      <c r="F13" s="178">
        <v>10</v>
      </c>
      <c r="G13" s="247">
        <f t="shared" ref="G13:G17" si="0">+D13*E13*((F13+100)/100)</f>
        <v>640.38711000000012</v>
      </c>
      <c r="H13" s="179">
        <f t="shared" ref="H13:H17" si="1">+D13*$E$9</f>
        <v>17</v>
      </c>
      <c r="I13" s="122"/>
      <c r="J13" s="277"/>
      <c r="K13" s="1"/>
      <c r="L13" s="1"/>
      <c r="M13" s="122"/>
    </row>
    <row r="14" spans="1:13" x14ac:dyDescent="0.3">
      <c r="A14" s="320" t="s">
        <v>362</v>
      </c>
      <c r="B14" s="178" t="s">
        <v>363</v>
      </c>
      <c r="C14" s="320" t="s">
        <v>59</v>
      </c>
      <c r="D14" s="457">
        <v>1.2E-2</v>
      </c>
      <c r="E14" s="178">
        <f>VLOOKUP(B14,Materiales!$B$8:$D$118,3,FALSE)</f>
        <v>32399.77</v>
      </c>
      <c r="F14" s="178">
        <v>10</v>
      </c>
      <c r="G14" s="247">
        <f t="shared" si="0"/>
        <v>427.676964</v>
      </c>
      <c r="H14" s="179">
        <f t="shared" si="1"/>
        <v>1.2</v>
      </c>
      <c r="I14" s="122"/>
      <c r="J14" s="277">
        <v>1.2E-2</v>
      </c>
      <c r="K14" s="1">
        <v>1</v>
      </c>
      <c r="L14" s="277">
        <f>+J14/K14</f>
        <v>1.2E-2</v>
      </c>
      <c r="M14" s="122"/>
    </row>
    <row r="15" spans="1:13" x14ac:dyDescent="0.3">
      <c r="A15" s="320" t="s">
        <v>372</v>
      </c>
      <c r="B15" s="178" t="s">
        <v>373</v>
      </c>
      <c r="C15" s="320" t="s">
        <v>374</v>
      </c>
      <c r="D15" s="457">
        <v>0.1</v>
      </c>
      <c r="E15" s="178">
        <f>VLOOKUP(B15,Materiales!$B$8:$D$118,3,FALSE)</f>
        <v>3837.96</v>
      </c>
      <c r="F15" s="178">
        <v>10</v>
      </c>
      <c r="G15" s="247">
        <f t="shared" si="0"/>
        <v>422.17560000000009</v>
      </c>
      <c r="H15" s="179">
        <f t="shared" si="1"/>
        <v>10</v>
      </c>
      <c r="I15" s="122"/>
      <c r="J15" s="277">
        <v>2.5</v>
      </c>
      <c r="K15" s="1">
        <v>25</v>
      </c>
      <c r="L15" s="277">
        <f>+J15/K15</f>
        <v>0.1</v>
      </c>
      <c r="M15" s="122"/>
    </row>
    <row r="16" spans="1:13" x14ac:dyDescent="0.3">
      <c r="A16" s="320" t="s">
        <v>368</v>
      </c>
      <c r="B16" s="178" t="s">
        <v>369</v>
      </c>
      <c r="C16" s="320" t="s">
        <v>370</v>
      </c>
      <c r="D16" s="457">
        <v>5.2000000000000005E-2</v>
      </c>
      <c r="E16" s="178">
        <f>VLOOKUP(B16,Materiales!$B$8:$D$118,3,FALSE)</f>
        <v>7809.48</v>
      </c>
      <c r="F16" s="178">
        <v>10</v>
      </c>
      <c r="G16" s="247">
        <f t="shared" si="0"/>
        <v>446.70225600000003</v>
      </c>
      <c r="H16" s="179">
        <f t="shared" si="1"/>
        <v>5.2</v>
      </c>
      <c r="I16" s="122"/>
      <c r="J16" s="277">
        <v>2.6</v>
      </c>
      <c r="K16" s="1">
        <v>50</v>
      </c>
      <c r="L16" s="277">
        <f>+J16/K16</f>
        <v>5.2000000000000005E-2</v>
      </c>
      <c r="M16" s="122"/>
    </row>
    <row r="17" spans="1:13" x14ac:dyDescent="0.3">
      <c r="A17" s="180"/>
      <c r="B17" s="420" t="s">
        <v>617</v>
      </c>
      <c r="C17" s="299" t="s">
        <v>352</v>
      </c>
      <c r="D17" s="434">
        <v>0.01</v>
      </c>
      <c r="E17" s="248">
        <f>+SUM(G12:G16)</f>
        <v>10895.016930000002</v>
      </c>
      <c r="F17" s="180">
        <v>3</v>
      </c>
      <c r="G17" s="248">
        <f t="shared" si="0"/>
        <v>112.21867437900002</v>
      </c>
      <c r="H17" s="182">
        <f t="shared" si="1"/>
        <v>1</v>
      </c>
      <c r="I17" s="122"/>
      <c r="J17" s="122"/>
      <c r="K17" s="122"/>
      <c r="L17" s="122"/>
      <c r="M17" s="122"/>
    </row>
    <row r="18" spans="1:13" x14ac:dyDescent="0.3">
      <c r="A18" s="122"/>
      <c r="B18" s="122"/>
      <c r="C18" s="122"/>
      <c r="D18" s="504"/>
      <c r="E18" s="360"/>
      <c r="F18" s="123" t="s">
        <v>598</v>
      </c>
      <c r="G18" s="390">
        <f>SUM(G12:G17)</f>
        <v>11007.235604379002</v>
      </c>
      <c r="H18" s="122"/>
      <c r="I18" s="122"/>
      <c r="J18" s="122"/>
      <c r="K18" s="122"/>
      <c r="L18" s="122"/>
      <c r="M18" s="122"/>
    </row>
    <row r="19" spans="1:13" x14ac:dyDescent="0.3">
      <c r="A19" s="122"/>
      <c r="B19" s="122"/>
      <c r="C19" s="122"/>
      <c r="E19" s="143"/>
      <c r="F19" s="144" t="s">
        <v>9</v>
      </c>
      <c r="G19" s="156">
        <f>+G18</f>
        <v>11007.235604379002</v>
      </c>
      <c r="H19" s="122"/>
      <c r="I19" s="122"/>
      <c r="J19" s="122"/>
      <c r="K19" s="122"/>
      <c r="L19" s="122"/>
      <c r="M19" s="122"/>
    </row>
    <row r="20" spans="1:13" x14ac:dyDescent="0.3">
      <c r="A20" s="128" t="s">
        <v>599</v>
      </c>
      <c r="B20" s="122"/>
      <c r="C20" s="122"/>
      <c r="E20" s="122"/>
      <c r="F20" s="122"/>
      <c r="G20" s="122"/>
      <c r="H20" s="122"/>
      <c r="I20" s="122"/>
      <c r="J20" s="122"/>
      <c r="K20" s="122"/>
      <c r="L20" s="122"/>
      <c r="M20" s="122"/>
    </row>
    <row r="21" spans="1:13" x14ac:dyDescent="0.3">
      <c r="A21" s="435" t="s">
        <v>79</v>
      </c>
      <c r="B21" s="134" t="s">
        <v>591</v>
      </c>
      <c r="C21" s="134" t="s">
        <v>592</v>
      </c>
      <c r="D21" s="503" t="s">
        <v>593</v>
      </c>
      <c r="E21" s="134" t="s">
        <v>600</v>
      </c>
      <c r="F21" s="417" t="s">
        <v>87</v>
      </c>
      <c r="G21" s="135" t="s">
        <v>596</v>
      </c>
      <c r="H21" s="131"/>
      <c r="I21" s="131"/>
      <c r="J21" s="131"/>
      <c r="K21" s="131"/>
      <c r="L21" s="131"/>
      <c r="M21" s="131"/>
    </row>
    <row r="22" spans="1:13" x14ac:dyDescent="0.3">
      <c r="A22" s="264" t="s">
        <v>93</v>
      </c>
      <c r="B22" s="175" t="s">
        <v>94</v>
      </c>
      <c r="C22" s="264" t="s">
        <v>352</v>
      </c>
      <c r="D22" s="433">
        <v>1</v>
      </c>
      <c r="E22" s="175">
        <f>VLOOKUP(B22,'Rend. Equipos'!$B$7:$E$222,4,FALSE)</f>
        <v>2470106.6047045495</v>
      </c>
      <c r="F22" s="433">
        <f>VLOOKUP(B22,'Rend. Equipos'!$B$6:$L$166,MATCH($F$21,'Rend. Equipos'!$B$6:$L$6,0),0)</f>
        <v>9.2592592592592596E-4</v>
      </c>
      <c r="G22" s="176">
        <f>+E22*D22*F22</f>
        <v>2287.1357450968053</v>
      </c>
      <c r="H22" s="122"/>
      <c r="I22" s="122"/>
      <c r="J22" s="122"/>
      <c r="K22" s="122"/>
      <c r="L22" s="122"/>
      <c r="M22" s="122"/>
    </row>
    <row r="23" spans="1:13" x14ac:dyDescent="0.3">
      <c r="A23" s="320" t="s">
        <v>88</v>
      </c>
      <c r="B23" s="178" t="s">
        <v>89</v>
      </c>
      <c r="C23" s="320" t="s">
        <v>352</v>
      </c>
      <c r="D23" s="457">
        <v>0.5</v>
      </c>
      <c r="E23" s="178">
        <f>VLOOKUP(B23,'Rend. Equipos'!$B$7:$E$222,4,FALSE)</f>
        <v>1028123.0837653707</v>
      </c>
      <c r="F23" s="457">
        <f>VLOOKUP(B23,'Rend. Equipos'!$B$6:$L$166,MATCH($F$21,'Rend. Equipos'!$B$6:$L$6,0),0)</f>
        <v>5.5555555555555556E-4</v>
      </c>
      <c r="G23" s="179">
        <f t="shared" ref="G23:G24" si="2">+E23*D23*F23</f>
        <v>285.58974549038072</v>
      </c>
      <c r="H23" s="122"/>
      <c r="I23" s="122"/>
      <c r="J23" s="122"/>
      <c r="K23" s="122"/>
      <c r="L23" s="122"/>
      <c r="M23" s="122"/>
    </row>
    <row r="24" spans="1:13" x14ac:dyDescent="0.3">
      <c r="A24" s="265" t="s">
        <v>163</v>
      </c>
      <c r="B24" s="180" t="s">
        <v>164</v>
      </c>
      <c r="C24" s="265" t="s">
        <v>17</v>
      </c>
      <c r="D24" s="434">
        <v>1</v>
      </c>
      <c r="E24" s="180">
        <f>VLOOKUP(B24,'Rend. Equipos'!$B$7:$E$222,4,FALSE)</f>
        <v>689222.30122796178</v>
      </c>
      <c r="F24" s="434">
        <f>VLOOKUP(B24,'Rend. Equipos'!$B$6:$L$166,MATCH($F$21,'Rend. Equipos'!$B$6:$L$6,0),0)</f>
        <v>1.3888888888888889E-3</v>
      </c>
      <c r="G24" s="182">
        <f t="shared" si="2"/>
        <v>957.25319614994692</v>
      </c>
      <c r="H24" s="122"/>
      <c r="I24" s="122"/>
      <c r="J24" s="122"/>
      <c r="K24" s="122"/>
      <c r="L24" s="122"/>
      <c r="M24" s="122"/>
    </row>
    <row r="25" spans="1:13" x14ac:dyDescent="0.3">
      <c r="A25" s="139"/>
      <c r="B25" s="139"/>
      <c r="C25" s="139"/>
      <c r="D25" s="426"/>
      <c r="E25" s="140"/>
      <c r="F25" s="141" t="s">
        <v>602</v>
      </c>
      <c r="G25" s="391">
        <f>SUM(G22:G24)</f>
        <v>3529.9786867371331</v>
      </c>
      <c r="H25" s="122"/>
      <c r="I25" s="122"/>
      <c r="J25" s="122"/>
      <c r="K25" s="122"/>
      <c r="L25" s="122"/>
      <c r="M25" s="122"/>
    </row>
    <row r="26" spans="1:13" x14ac:dyDescent="0.3">
      <c r="A26" s="122"/>
      <c r="B26" s="122"/>
      <c r="C26" s="122"/>
      <c r="E26" s="143"/>
      <c r="F26" s="144" t="s">
        <v>11</v>
      </c>
      <c r="G26" s="156">
        <f>+G25/F9</f>
        <v>306.95466841192462</v>
      </c>
      <c r="H26" s="122"/>
      <c r="I26" s="122"/>
      <c r="J26" s="122"/>
      <c r="K26" s="122"/>
      <c r="L26" s="122"/>
      <c r="M26" s="122"/>
    </row>
    <row r="27" spans="1:13" x14ac:dyDescent="0.3">
      <c r="A27" s="128" t="s">
        <v>603</v>
      </c>
      <c r="B27" s="122"/>
      <c r="C27" s="122"/>
      <c r="E27" s="122"/>
      <c r="F27" s="122"/>
      <c r="G27" s="122"/>
      <c r="H27" s="122"/>
      <c r="I27" s="122"/>
      <c r="J27" s="122"/>
      <c r="K27" s="122"/>
      <c r="L27" s="122"/>
      <c r="M27" s="122"/>
    </row>
    <row r="28" spans="1:13" x14ac:dyDescent="0.3">
      <c r="A28" s="435" t="s">
        <v>79</v>
      </c>
      <c r="B28" s="134" t="s">
        <v>591</v>
      </c>
      <c r="C28" s="134" t="s">
        <v>592</v>
      </c>
      <c r="D28" s="503" t="s">
        <v>593</v>
      </c>
      <c r="E28" s="134" t="s">
        <v>604</v>
      </c>
      <c r="F28" s="134"/>
      <c r="G28" s="135" t="s">
        <v>596</v>
      </c>
      <c r="H28" s="131"/>
      <c r="I28" s="131" t="s">
        <v>616</v>
      </c>
      <c r="J28" s="131" t="s">
        <v>726</v>
      </c>
      <c r="K28" s="131"/>
      <c r="L28" s="131"/>
      <c r="M28" s="131"/>
    </row>
    <row r="29" spans="1:13" x14ac:dyDescent="0.3">
      <c r="A29" s="264" t="s">
        <v>255</v>
      </c>
      <c r="B29" s="175" t="s">
        <v>256</v>
      </c>
      <c r="C29" s="264" t="s">
        <v>605</v>
      </c>
      <c r="D29" s="433">
        <v>1</v>
      </c>
      <c r="E29" s="175">
        <f>VLOOKUP(B29,'Mano de Obra'!$B$8:$C$100,2,FALSE)</f>
        <v>85927.097156571981</v>
      </c>
      <c r="F29" s="175"/>
      <c r="G29" s="176">
        <f>+E29*D29</f>
        <v>85927.097156571981</v>
      </c>
      <c r="H29" s="122"/>
      <c r="I29" s="122">
        <v>0.6</v>
      </c>
      <c r="J29" s="122">
        <v>7</v>
      </c>
      <c r="K29" s="122">
        <f>+J29/I29</f>
        <v>11.666666666666668</v>
      </c>
      <c r="L29" s="122"/>
      <c r="M29" s="122">
        <f>+I30/I29</f>
        <v>0.75</v>
      </c>
    </row>
    <row r="30" spans="1:13" x14ac:dyDescent="0.3">
      <c r="A30" s="265" t="s">
        <v>242</v>
      </c>
      <c r="B30" s="180" t="s">
        <v>230</v>
      </c>
      <c r="C30" s="265" t="s">
        <v>605</v>
      </c>
      <c r="D30" s="434">
        <v>0.75</v>
      </c>
      <c r="E30" s="180">
        <f>VLOOKUP(B30,'Mano de Obra'!$B$8:$C$100,2,FALSE)</f>
        <v>60860.580776571966</v>
      </c>
      <c r="F30" s="180"/>
      <c r="G30" s="182">
        <f>+E30*D30</f>
        <v>45645.435582428974</v>
      </c>
      <c r="H30" s="122"/>
      <c r="I30" s="122">
        <v>0.45</v>
      </c>
      <c r="J30" s="122">
        <v>7</v>
      </c>
      <c r="K30" s="122"/>
      <c r="L30" s="122"/>
      <c r="M30" s="122"/>
    </row>
    <row r="31" spans="1:13" x14ac:dyDescent="0.3">
      <c r="A31" s="139"/>
      <c r="B31" s="139"/>
      <c r="C31" s="139"/>
      <c r="D31" s="426"/>
      <c r="E31" s="140"/>
      <c r="F31" s="141" t="s">
        <v>606</v>
      </c>
      <c r="G31" s="391">
        <f>SUM(G29:G30)</f>
        <v>131572.53273900095</v>
      </c>
      <c r="H31" s="122"/>
      <c r="I31" s="122"/>
      <c r="J31" s="122"/>
      <c r="K31" s="122"/>
      <c r="L31" s="122"/>
      <c r="M31" s="122"/>
    </row>
    <row r="32" spans="1:13" x14ac:dyDescent="0.3">
      <c r="A32" s="122"/>
      <c r="B32" s="122"/>
      <c r="C32" s="122"/>
      <c r="E32" s="360"/>
      <c r="F32" s="123" t="s">
        <v>607</v>
      </c>
      <c r="G32" s="349">
        <v>1</v>
      </c>
      <c r="H32" s="122"/>
      <c r="I32" s="122"/>
      <c r="J32" s="122"/>
      <c r="K32" s="122"/>
      <c r="L32" s="122"/>
      <c r="M32" s="122"/>
    </row>
    <row r="33" spans="1:13" x14ac:dyDescent="0.3">
      <c r="A33" s="122"/>
      <c r="B33" s="122"/>
      <c r="C33" s="122"/>
      <c r="E33" s="360"/>
      <c r="F33" s="123" t="s">
        <v>608</v>
      </c>
      <c r="G33" s="390">
        <f>+G32*G31</f>
        <v>131572.53273900095</v>
      </c>
      <c r="H33" s="122"/>
      <c r="I33" s="122"/>
      <c r="J33" s="122"/>
      <c r="K33" s="122"/>
      <c r="L33" s="122"/>
      <c r="M33" s="122"/>
    </row>
    <row r="34" spans="1:13" x14ac:dyDescent="0.3">
      <c r="A34" s="122"/>
      <c r="B34" s="122"/>
      <c r="C34" s="122"/>
      <c r="E34" s="143"/>
      <c r="F34" s="144" t="s">
        <v>10</v>
      </c>
      <c r="G34" s="156">
        <f>+G33/F9</f>
        <v>11441.089803391387</v>
      </c>
      <c r="H34" s="122"/>
      <c r="I34" s="122"/>
      <c r="J34" s="122"/>
      <c r="K34" s="122"/>
      <c r="L34" s="122"/>
      <c r="M34" s="122"/>
    </row>
    <row r="35" spans="1:13" x14ac:dyDescent="0.3">
      <c r="A35" s="122"/>
      <c r="B35" s="122"/>
      <c r="C35" s="122"/>
      <c r="H35" s="122"/>
      <c r="I35" s="122"/>
      <c r="J35" s="122"/>
      <c r="K35" s="122"/>
      <c r="L35" s="122"/>
      <c r="M35" s="122"/>
    </row>
    <row r="36" spans="1:13" x14ac:dyDescent="0.3">
      <c r="A36" s="122"/>
      <c r="B36" s="122"/>
      <c r="C36" s="122"/>
      <c r="E36" s="122"/>
      <c r="F36" s="123" t="s">
        <v>609</v>
      </c>
      <c r="G36" s="123">
        <f>+G34+G26+G19</f>
        <v>22755.280076182316</v>
      </c>
      <c r="H36" s="122"/>
      <c r="I36" s="122"/>
      <c r="J36" s="122"/>
      <c r="K36" s="122"/>
      <c r="L36" s="122"/>
      <c r="M36" s="122"/>
    </row>
    <row r="37" spans="1:13" x14ac:dyDescent="0.3">
      <c r="A37" s="122"/>
      <c r="B37" s="122"/>
      <c r="C37" s="122"/>
      <c r="E37" s="123" t="s">
        <v>610</v>
      </c>
      <c r="F37" s="198">
        <f>+RESUMEN!$I$2</f>
        <v>0</v>
      </c>
      <c r="G37" s="130">
        <f>IF(F37=0,0,F37*G36)</f>
        <v>0</v>
      </c>
      <c r="H37" s="282"/>
      <c r="I37" s="122"/>
      <c r="J37" s="122"/>
      <c r="K37" s="122"/>
      <c r="L37" s="122"/>
      <c r="M37" s="122"/>
    </row>
    <row r="38" spans="1:13" x14ac:dyDescent="0.3">
      <c r="A38" s="122"/>
      <c r="B38" s="122"/>
      <c r="C38" s="122"/>
      <c r="E38" s="123" t="s">
        <v>611</v>
      </c>
      <c r="F38" s="198">
        <f>+RESUMEN!$I$3</f>
        <v>0</v>
      </c>
      <c r="G38" s="130">
        <f>IF(F38=0,0,F38*G36)</f>
        <v>0</v>
      </c>
      <c r="H38" s="122"/>
      <c r="I38" s="122"/>
      <c r="J38" s="122"/>
      <c r="K38" s="122"/>
      <c r="L38" s="122"/>
      <c r="M38" s="122"/>
    </row>
    <row r="39" spans="1:13" x14ac:dyDescent="0.3">
      <c r="A39" s="122"/>
      <c r="B39" s="122"/>
      <c r="C39" s="122"/>
      <c r="E39" s="151"/>
      <c r="F39" s="152" t="s">
        <v>612</v>
      </c>
      <c r="G39" s="389">
        <f>SUM(G36:G38)</f>
        <v>22755.280076182316</v>
      </c>
      <c r="H39" s="122"/>
      <c r="I39" s="122"/>
      <c r="J39" s="122"/>
      <c r="K39" s="122"/>
      <c r="L39" s="122"/>
      <c r="M39" s="122"/>
    </row>
  </sheetData>
  <mergeCells count="3">
    <mergeCell ref="A1:G1"/>
    <mergeCell ref="B5:G5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9"/>
  </sheetPr>
  <dimension ref="A2:M39"/>
  <sheetViews>
    <sheetView topLeftCell="A6" workbookViewId="0">
      <selection activeCell="F22" sqref="F22"/>
    </sheetView>
  </sheetViews>
  <sheetFormatPr defaultColWidth="11.54296875" defaultRowHeight="13" x14ac:dyDescent="0.3"/>
  <cols>
    <col min="1" max="1" width="10.54296875" style="74" customWidth="1"/>
    <col min="2" max="2" width="40.453125" style="74" bestFit="1" customWidth="1"/>
    <col min="3" max="3" width="7.08984375" style="74" bestFit="1" customWidth="1"/>
    <col min="4" max="4" width="9" style="33" bestFit="1" customWidth="1"/>
    <col min="5" max="5" width="15.36328125" style="74" bestFit="1" customWidth="1"/>
    <col min="6" max="6" width="9.453125" style="74" customWidth="1"/>
    <col min="7" max="7" width="12" style="74" bestFit="1" customWidth="1"/>
    <col min="8" max="16384" width="11.54296875" style="74"/>
  </cols>
  <sheetData>
    <row r="2" spans="1:11" x14ac:dyDescent="0.3">
      <c r="A2" s="162"/>
      <c r="B2" s="162"/>
      <c r="C2" s="162"/>
      <c r="D2" s="250"/>
      <c r="E2" s="162"/>
      <c r="F2" s="240" t="s">
        <v>78</v>
      </c>
      <c r="G2" s="446" t="s">
        <v>613</v>
      </c>
      <c r="H2" s="162"/>
      <c r="I2" s="162"/>
      <c r="J2" s="162"/>
      <c r="K2" s="162"/>
    </row>
    <row r="3" spans="1:11" ht="15.5" x14ac:dyDescent="0.35">
      <c r="A3" s="165" t="s">
        <v>579</v>
      </c>
      <c r="B3" s="166"/>
      <c r="C3" s="166"/>
      <c r="D3" s="251"/>
      <c r="E3" s="166"/>
      <c r="F3" s="166"/>
      <c r="G3" s="166"/>
      <c r="H3" s="162"/>
      <c r="I3" s="162"/>
      <c r="J3" s="162"/>
      <c r="K3" s="162"/>
    </row>
    <row r="4" spans="1:11" x14ac:dyDescent="0.3">
      <c r="A4" s="122"/>
      <c r="B4" s="122"/>
      <c r="C4" s="122"/>
      <c r="E4" s="122"/>
      <c r="F4" s="123" t="s">
        <v>580</v>
      </c>
      <c r="G4" s="126">
        <v>119</v>
      </c>
      <c r="H4" s="162"/>
      <c r="I4" s="162"/>
      <c r="J4" s="162"/>
      <c r="K4" s="162"/>
    </row>
    <row r="5" spans="1:11" x14ac:dyDescent="0.3">
      <c r="A5" s="127" t="s">
        <v>581</v>
      </c>
      <c r="B5" s="446" t="s">
        <v>613</v>
      </c>
      <c r="C5" s="307"/>
      <c r="D5" s="307"/>
      <c r="E5" s="307"/>
      <c r="F5" s="307"/>
      <c r="G5" s="307"/>
      <c r="H5" s="162"/>
      <c r="I5" s="162"/>
      <c r="J5" s="162"/>
      <c r="K5" s="162"/>
    </row>
    <row r="6" spans="1:11" x14ac:dyDescent="0.3">
      <c r="A6" s="128" t="s">
        <v>582</v>
      </c>
      <c r="B6" s="446" t="s">
        <v>613</v>
      </c>
      <c r="C6" s="122"/>
      <c r="E6" s="122"/>
      <c r="F6" s="123" t="s">
        <v>583</v>
      </c>
      <c r="G6" s="446" t="s">
        <v>613</v>
      </c>
      <c r="H6" s="162"/>
      <c r="I6" s="162"/>
      <c r="J6" s="162"/>
      <c r="K6" s="162"/>
    </row>
    <row r="7" spans="1:11" ht="15.5" x14ac:dyDescent="0.3">
      <c r="A7" s="197" t="s">
        <v>584</v>
      </c>
      <c r="B7" s="305" t="s">
        <v>400</v>
      </c>
      <c r="C7" s="305"/>
      <c r="D7" s="305"/>
      <c r="E7" s="305"/>
      <c r="F7" s="305"/>
      <c r="G7" s="305"/>
      <c r="H7" s="162"/>
      <c r="I7" s="162"/>
      <c r="J7" s="162"/>
      <c r="K7" s="162"/>
    </row>
    <row r="8" spans="1:11" x14ac:dyDescent="0.3">
      <c r="A8" s="128"/>
      <c r="B8" s="122"/>
      <c r="C8" s="131" t="s">
        <v>586</v>
      </c>
      <c r="E8" s="131" t="s">
        <v>587</v>
      </c>
      <c r="F8" s="128" t="s">
        <v>588</v>
      </c>
      <c r="G8" s="122"/>
      <c r="H8" s="162"/>
      <c r="I8" s="162"/>
      <c r="J8" s="162"/>
      <c r="K8" s="162"/>
    </row>
    <row r="9" spans="1:11" x14ac:dyDescent="0.3">
      <c r="A9" s="122"/>
      <c r="B9" s="122" t="s">
        <v>840</v>
      </c>
      <c r="C9" s="132" t="s">
        <v>45</v>
      </c>
      <c r="E9" s="564">
        <v>100</v>
      </c>
      <c r="F9" s="33">
        <v>11.5</v>
      </c>
      <c r="G9" s="158" t="s">
        <v>615</v>
      </c>
      <c r="H9" s="162"/>
      <c r="I9" s="162"/>
      <c r="J9" s="162"/>
      <c r="K9" s="162">
        <v>10</v>
      </c>
    </row>
    <row r="10" spans="1:11" x14ac:dyDescent="0.3">
      <c r="A10" s="337" t="s">
        <v>590</v>
      </c>
      <c r="B10" s="122"/>
      <c r="C10" s="122"/>
      <c r="E10" s="122"/>
      <c r="F10" s="122"/>
      <c r="G10" s="122"/>
      <c r="H10" s="162"/>
      <c r="I10" s="162"/>
      <c r="J10" s="162"/>
      <c r="K10" s="162">
        <v>12</v>
      </c>
    </row>
    <row r="11" spans="1:11" x14ac:dyDescent="0.3">
      <c r="A11" s="133" t="s">
        <v>79</v>
      </c>
      <c r="B11" s="134" t="s">
        <v>591</v>
      </c>
      <c r="C11" s="134" t="s">
        <v>592</v>
      </c>
      <c r="D11" s="252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167"/>
      <c r="J11" s="167" t="s">
        <v>841</v>
      </c>
      <c r="K11" s="167" t="s">
        <v>842</v>
      </c>
    </row>
    <row r="12" spans="1:11" x14ac:dyDescent="0.3">
      <c r="A12" s="175"/>
      <c r="B12" s="175" t="s">
        <v>400</v>
      </c>
      <c r="C12" s="264" t="s">
        <v>839</v>
      </c>
      <c r="D12" s="739">
        <v>12.5</v>
      </c>
      <c r="E12" s="246">
        <f>VLOOKUP(B12,Materiales!$B$8:$D$118,3,FALSE)</f>
        <v>1016.6</v>
      </c>
      <c r="F12" s="246">
        <v>5</v>
      </c>
      <c r="G12" s="246">
        <f>+D12*E12*((F12+100)/100)</f>
        <v>13342.875</v>
      </c>
      <c r="H12" s="449">
        <f>+D12*$E$9</f>
        <v>1250</v>
      </c>
      <c r="I12" s="162"/>
      <c r="J12" s="162"/>
      <c r="K12" s="162"/>
    </row>
    <row r="13" spans="1:11" x14ac:dyDescent="0.3">
      <c r="A13" s="320" t="s">
        <v>377</v>
      </c>
      <c r="B13" s="178" t="s">
        <v>378</v>
      </c>
      <c r="C13" s="320" t="s">
        <v>17</v>
      </c>
      <c r="D13" s="740">
        <v>0.17</v>
      </c>
      <c r="E13" s="247">
        <f>VLOOKUP(B13,Materiales!$B$8:$D$118,3,FALSE)</f>
        <v>3424.53</v>
      </c>
      <c r="F13" s="247">
        <v>10</v>
      </c>
      <c r="G13" s="247">
        <f t="shared" ref="G13:G17" si="0">+D13*E13*((F13+100)/100)</f>
        <v>640.38711000000012</v>
      </c>
      <c r="H13" s="676">
        <f t="shared" ref="H13:H17" si="1">+D13*$E$9</f>
        <v>17</v>
      </c>
      <c r="I13" s="162"/>
      <c r="J13" s="162"/>
      <c r="K13" s="162"/>
    </row>
    <row r="14" spans="1:11" x14ac:dyDescent="0.3">
      <c r="A14" s="320" t="s">
        <v>362</v>
      </c>
      <c r="B14" s="178" t="s">
        <v>363</v>
      </c>
      <c r="C14" s="320" t="s">
        <v>59</v>
      </c>
      <c r="D14" s="740">
        <v>1.4400000000000001E-2</v>
      </c>
      <c r="E14" s="247">
        <f>VLOOKUP(B14,Materiales!$B$8:$D$118,3,FALSE)</f>
        <v>32399.77</v>
      </c>
      <c r="F14" s="247">
        <v>10</v>
      </c>
      <c r="G14" s="247">
        <f t="shared" si="0"/>
        <v>513.21235680000007</v>
      </c>
      <c r="H14" s="676">
        <f t="shared" si="1"/>
        <v>1.4400000000000002</v>
      </c>
      <c r="I14" s="162"/>
      <c r="J14" s="277">
        <v>1.2E-2</v>
      </c>
      <c r="K14" s="340">
        <f>+J14*$K$10/$K$9</f>
        <v>1.4400000000000001E-2</v>
      </c>
    </row>
    <row r="15" spans="1:11" x14ac:dyDescent="0.3">
      <c r="A15" s="320" t="s">
        <v>372</v>
      </c>
      <c r="B15" s="178" t="s">
        <v>373</v>
      </c>
      <c r="C15" s="320" t="s">
        <v>374</v>
      </c>
      <c r="D15" s="740">
        <v>0.12000000000000002</v>
      </c>
      <c r="E15" s="247">
        <f>VLOOKUP(B15,Materiales!$B$8:$D$118,3,FALSE)</f>
        <v>3837.96</v>
      </c>
      <c r="F15" s="247">
        <v>10</v>
      </c>
      <c r="G15" s="247">
        <f t="shared" si="0"/>
        <v>506.61072000000013</v>
      </c>
      <c r="H15" s="676">
        <f t="shared" si="1"/>
        <v>12.000000000000002</v>
      </c>
      <c r="I15" s="162"/>
      <c r="J15" s="277">
        <v>0.1</v>
      </c>
      <c r="K15" s="340">
        <f t="shared" ref="K15:K16" si="2">+J15*$K$10/$K$9</f>
        <v>0.12000000000000002</v>
      </c>
    </row>
    <row r="16" spans="1:11" x14ac:dyDescent="0.3">
      <c r="A16" s="320" t="s">
        <v>368</v>
      </c>
      <c r="B16" s="178" t="s">
        <v>369</v>
      </c>
      <c r="C16" s="320" t="s">
        <v>374</v>
      </c>
      <c r="D16" s="740">
        <v>6.2400000000000011E-2</v>
      </c>
      <c r="E16" s="247">
        <f>VLOOKUP(B16,Materiales!$B$8:$D$118,3,FALSE)</f>
        <v>7809.48</v>
      </c>
      <c r="F16" s="247">
        <v>10</v>
      </c>
      <c r="G16" s="247">
        <f t="shared" si="0"/>
        <v>536.04270720000011</v>
      </c>
      <c r="H16" s="676">
        <f t="shared" si="1"/>
        <v>6.2400000000000011</v>
      </c>
      <c r="I16" s="162"/>
      <c r="J16" s="277">
        <v>5.2000000000000005E-2</v>
      </c>
      <c r="K16" s="340">
        <f t="shared" si="2"/>
        <v>6.2400000000000011E-2</v>
      </c>
    </row>
    <row r="17" spans="1:13" x14ac:dyDescent="0.3">
      <c r="A17" s="180"/>
      <c r="B17" s="420" t="s">
        <v>617</v>
      </c>
      <c r="C17" s="299" t="s">
        <v>352</v>
      </c>
      <c r="D17" s="741">
        <v>0.01</v>
      </c>
      <c r="E17" s="247">
        <f>+SUM(G12:G16)</f>
        <v>15539.127894000001</v>
      </c>
      <c r="F17" s="248">
        <v>3</v>
      </c>
      <c r="G17" s="247">
        <f t="shared" si="0"/>
        <v>160.0530173082</v>
      </c>
      <c r="H17" s="450">
        <f t="shared" si="1"/>
        <v>1</v>
      </c>
      <c r="I17" s="162"/>
      <c r="J17" s="162"/>
      <c r="K17" s="340"/>
      <c r="L17" s="162"/>
      <c r="M17" s="162"/>
    </row>
    <row r="18" spans="1:13" x14ac:dyDescent="0.3">
      <c r="A18" s="139"/>
      <c r="B18" s="139"/>
      <c r="C18" s="139"/>
      <c r="D18" s="254"/>
      <c r="E18" s="140"/>
      <c r="F18" s="141" t="s">
        <v>598</v>
      </c>
      <c r="G18" s="391">
        <f>SUM(G12:G17)</f>
        <v>15699.180911308202</v>
      </c>
      <c r="H18" s="162"/>
      <c r="I18" s="162"/>
      <c r="J18" s="162"/>
      <c r="K18" s="162"/>
      <c r="L18" s="162"/>
      <c r="M18" s="162"/>
    </row>
    <row r="19" spans="1:13" x14ac:dyDescent="0.3">
      <c r="A19" s="122"/>
      <c r="B19" s="122"/>
      <c r="C19" s="122"/>
      <c r="E19" s="143"/>
      <c r="F19" s="144" t="s">
        <v>9</v>
      </c>
      <c r="G19" s="156">
        <f>+G18</f>
        <v>15699.180911308202</v>
      </c>
      <c r="H19" s="162"/>
      <c r="I19" s="162"/>
      <c r="J19" s="162"/>
      <c r="K19" s="162"/>
      <c r="L19" s="162"/>
      <c r="M19" s="162"/>
    </row>
    <row r="20" spans="1:13" x14ac:dyDescent="0.3">
      <c r="A20" s="337" t="s">
        <v>599</v>
      </c>
      <c r="B20" s="122"/>
      <c r="C20" s="122"/>
      <c r="E20" s="122"/>
      <c r="F20" s="122"/>
      <c r="G20" s="122"/>
      <c r="H20" s="162"/>
      <c r="I20" s="162"/>
      <c r="J20" s="162"/>
      <c r="K20" s="162"/>
      <c r="L20" s="162"/>
      <c r="M20" s="162"/>
    </row>
    <row r="21" spans="1:13" x14ac:dyDescent="0.3">
      <c r="A21" s="133" t="s">
        <v>79</v>
      </c>
      <c r="B21" s="134" t="s">
        <v>591</v>
      </c>
      <c r="C21" s="134" t="s">
        <v>592</v>
      </c>
      <c r="D21" s="252" t="s">
        <v>593</v>
      </c>
      <c r="E21" s="134" t="s">
        <v>600</v>
      </c>
      <c r="F21" s="417" t="s">
        <v>87</v>
      </c>
      <c r="G21" s="135" t="s">
        <v>596</v>
      </c>
      <c r="H21" s="167"/>
      <c r="L21" s="167"/>
      <c r="M21" s="167"/>
    </row>
    <row r="22" spans="1:13" x14ac:dyDescent="0.3">
      <c r="A22" s="264" t="s">
        <v>93</v>
      </c>
      <c r="B22" s="418" t="s">
        <v>94</v>
      </c>
      <c r="C22" s="264" t="s">
        <v>352</v>
      </c>
      <c r="D22" s="433">
        <v>1</v>
      </c>
      <c r="E22" s="246">
        <f>VLOOKUP(B22,'Rend. Equipos'!$B$7:$E$222,4,FALSE)</f>
        <v>2470106.6047045495</v>
      </c>
      <c r="F22" s="433">
        <f>VLOOKUP(B22,'Rend. Equipos'!$B$6:$L$166,MATCH($F$21,'Rend. Equipos'!$B$6:$L$6,0),0)</f>
        <v>9.2592592592592596E-4</v>
      </c>
      <c r="G22" s="246">
        <f>+E22*D22*F22</f>
        <v>2287.1357450968053</v>
      </c>
      <c r="H22" s="162"/>
      <c r="L22" s="162"/>
      <c r="M22" s="162"/>
    </row>
    <row r="23" spans="1:13" x14ac:dyDescent="0.3">
      <c r="A23" s="320" t="s">
        <v>88</v>
      </c>
      <c r="B23" s="419" t="s">
        <v>89</v>
      </c>
      <c r="C23" s="320" t="s">
        <v>352</v>
      </c>
      <c r="D23" s="457">
        <v>0.5</v>
      </c>
      <c r="E23" s="247">
        <f>VLOOKUP(B23,'Rend. Equipos'!$B$7:$E$222,4,FALSE)</f>
        <v>1028123.0837653707</v>
      </c>
      <c r="F23" s="457">
        <f>VLOOKUP(B23,'Rend. Equipos'!$B$6:$L$166,MATCH($F$21,'Rend. Equipos'!$B$6:$L$6,0),0)</f>
        <v>5.5555555555555556E-4</v>
      </c>
      <c r="G23" s="247">
        <f t="shared" ref="G23:G24" si="3">+E23*D23*F23</f>
        <v>285.58974549038072</v>
      </c>
      <c r="H23" s="162"/>
      <c r="L23" s="162"/>
      <c r="M23" s="162"/>
    </row>
    <row r="24" spans="1:13" x14ac:dyDescent="0.3">
      <c r="A24" s="299" t="s">
        <v>163</v>
      </c>
      <c r="B24" s="522" t="s">
        <v>164</v>
      </c>
      <c r="C24" s="265" t="s">
        <v>17</v>
      </c>
      <c r="D24" s="434">
        <v>1</v>
      </c>
      <c r="E24" s="248">
        <f>VLOOKUP(B24,'Rend. Equipos'!$B$7:$E$222,4,FALSE)</f>
        <v>689222.30122796178</v>
      </c>
      <c r="F24" s="434">
        <f>VLOOKUP(B24,'Rend. Equipos'!$B$6:$L$166,MATCH($F$21,'Rend. Equipos'!$B$6:$L$6,0),0)</f>
        <v>1.3888888888888889E-3</v>
      </c>
      <c r="G24" s="248">
        <f t="shared" si="3"/>
        <v>957.25319614994692</v>
      </c>
      <c r="H24" s="162"/>
      <c r="I24" s="162"/>
      <c r="J24" s="162"/>
      <c r="K24" s="162"/>
      <c r="L24" s="162"/>
      <c r="M24" s="162"/>
    </row>
    <row r="25" spans="1:13" x14ac:dyDescent="0.3">
      <c r="A25" s="139"/>
      <c r="B25" s="139"/>
      <c r="C25" s="139"/>
      <c r="D25" s="254"/>
      <c r="E25" s="140"/>
      <c r="F25" s="141" t="s">
        <v>602</v>
      </c>
      <c r="G25" s="391">
        <f>SUM(G22:G24)</f>
        <v>3529.9786867371331</v>
      </c>
      <c r="H25" s="162"/>
      <c r="I25" s="162"/>
      <c r="J25" s="162"/>
      <c r="K25" s="162"/>
      <c r="L25" s="162"/>
      <c r="M25" s="162"/>
    </row>
    <row r="26" spans="1:13" x14ac:dyDescent="0.3">
      <c r="A26" s="122"/>
      <c r="B26" s="122"/>
      <c r="C26" s="122"/>
      <c r="E26" s="143"/>
      <c r="F26" s="144" t="s">
        <v>11</v>
      </c>
      <c r="G26" s="156">
        <f>+G25/F9</f>
        <v>306.95466841192462</v>
      </c>
      <c r="H26" s="162"/>
      <c r="I26" s="162"/>
      <c r="J26" s="162"/>
      <c r="K26" s="162"/>
      <c r="L26" s="162"/>
      <c r="M26" s="162"/>
    </row>
    <row r="27" spans="1:13" x14ac:dyDescent="0.3">
      <c r="A27" s="337" t="s">
        <v>603</v>
      </c>
      <c r="B27" s="122"/>
      <c r="C27" s="122"/>
      <c r="E27" s="122"/>
      <c r="F27" s="122"/>
      <c r="G27" s="122"/>
      <c r="H27" s="162"/>
      <c r="I27" s="162"/>
      <c r="J27" s="162"/>
      <c r="K27" s="162"/>
      <c r="L27" s="162"/>
      <c r="M27" s="162"/>
    </row>
    <row r="28" spans="1:13" x14ac:dyDescent="0.3">
      <c r="A28" s="133" t="s">
        <v>79</v>
      </c>
      <c r="B28" s="134" t="s">
        <v>591</v>
      </c>
      <c r="C28" s="134" t="s">
        <v>592</v>
      </c>
      <c r="D28" s="252" t="s">
        <v>593</v>
      </c>
      <c r="E28" s="134" t="s">
        <v>604</v>
      </c>
      <c r="F28" s="134"/>
      <c r="G28" s="135" t="s">
        <v>596</v>
      </c>
      <c r="H28" s="167"/>
      <c r="I28" s="131" t="s">
        <v>616</v>
      </c>
      <c r="J28" s="131" t="s">
        <v>726</v>
      </c>
      <c r="K28" s="131"/>
      <c r="L28" s="167"/>
      <c r="M28" s="167"/>
    </row>
    <row r="29" spans="1:13" x14ac:dyDescent="0.3">
      <c r="A29" s="264" t="s">
        <v>255</v>
      </c>
      <c r="B29" s="175" t="s">
        <v>256</v>
      </c>
      <c r="C29" s="264" t="s">
        <v>605</v>
      </c>
      <c r="D29" s="433">
        <v>1</v>
      </c>
      <c r="E29" s="742">
        <f>VLOOKUP(B29,'Mano de Obra'!$B$8:$C$100,2,FALSE)</f>
        <v>85927.097156571981</v>
      </c>
      <c r="F29" s="279"/>
      <c r="G29" s="742">
        <f>+E29*D29</f>
        <v>85927.097156571981</v>
      </c>
      <c r="H29" s="162"/>
      <c r="I29" s="122">
        <v>0.6</v>
      </c>
      <c r="J29" s="122">
        <v>7</v>
      </c>
      <c r="K29" s="122">
        <f>+J29/I29</f>
        <v>11.666666666666668</v>
      </c>
      <c r="L29" s="162"/>
      <c r="M29" s="744">
        <f>+I30/I29</f>
        <v>0.75</v>
      </c>
    </row>
    <row r="30" spans="1:13" x14ac:dyDescent="0.3">
      <c r="A30" s="265" t="s">
        <v>242</v>
      </c>
      <c r="B30" s="180" t="s">
        <v>230</v>
      </c>
      <c r="C30" s="265" t="s">
        <v>605</v>
      </c>
      <c r="D30" s="434">
        <v>0.75</v>
      </c>
      <c r="E30" s="743">
        <f>VLOOKUP(B30,'Mano de Obra'!$B$8:$C$100,2,FALSE)</f>
        <v>60860.580776571966</v>
      </c>
      <c r="F30" s="281"/>
      <c r="G30" s="743">
        <f>+E30*D30</f>
        <v>45645.435582428974</v>
      </c>
      <c r="H30" s="162"/>
      <c r="I30" s="122">
        <v>0.45</v>
      </c>
      <c r="J30" s="122">
        <v>7</v>
      </c>
      <c r="K30" s="122">
        <f>+J30/I30</f>
        <v>15.555555555555555</v>
      </c>
      <c r="L30" s="162"/>
      <c r="M30" s="162"/>
    </row>
    <row r="31" spans="1:13" x14ac:dyDescent="0.3">
      <c r="A31" s="139"/>
      <c r="B31" s="139"/>
      <c r="C31" s="139"/>
      <c r="D31" s="254"/>
      <c r="E31" s="140"/>
      <c r="F31" s="141" t="s">
        <v>606</v>
      </c>
      <c r="G31" s="391">
        <f>SUM(G29:G30)</f>
        <v>131572.53273900095</v>
      </c>
      <c r="H31" s="162"/>
      <c r="I31" s="162"/>
      <c r="J31" s="162"/>
      <c r="K31" s="162"/>
      <c r="L31" s="162"/>
      <c r="M31" s="162"/>
    </row>
    <row r="32" spans="1:13" x14ac:dyDescent="0.3">
      <c r="A32" s="122"/>
      <c r="B32" s="122"/>
      <c r="C32" s="122"/>
      <c r="E32" s="360"/>
      <c r="F32" s="123" t="s">
        <v>607</v>
      </c>
      <c r="G32" s="349">
        <v>1</v>
      </c>
      <c r="H32" s="162"/>
      <c r="I32" s="162"/>
      <c r="J32" s="162"/>
      <c r="K32" s="162"/>
      <c r="L32" s="162"/>
      <c r="M32" s="162"/>
    </row>
    <row r="33" spans="1:11" x14ac:dyDescent="0.3">
      <c r="A33" s="122"/>
      <c r="B33" s="122"/>
      <c r="C33" s="122"/>
      <c r="E33" s="360"/>
      <c r="F33" s="123" t="s">
        <v>608</v>
      </c>
      <c r="G33" s="349">
        <f>+G32*G31</f>
        <v>131572.53273900095</v>
      </c>
      <c r="H33" s="162"/>
      <c r="I33" s="162"/>
      <c r="J33" s="162"/>
      <c r="K33" s="162"/>
    </row>
    <row r="34" spans="1:11" x14ac:dyDescent="0.3">
      <c r="A34" s="122"/>
      <c r="B34" s="122"/>
      <c r="C34" s="122"/>
      <c r="E34" s="143"/>
      <c r="F34" s="144" t="s">
        <v>10</v>
      </c>
      <c r="G34" s="156">
        <f>+G33/F9</f>
        <v>11441.089803391387</v>
      </c>
      <c r="H34" s="162"/>
      <c r="I34" s="162"/>
      <c r="J34" s="162"/>
      <c r="K34" s="162"/>
    </row>
    <row r="35" spans="1:11" x14ac:dyDescent="0.3">
      <c r="A35" s="122"/>
      <c r="B35" s="122"/>
      <c r="C35" s="122"/>
      <c r="H35" s="162"/>
      <c r="I35" s="162"/>
      <c r="J35" s="162"/>
      <c r="K35" s="162"/>
    </row>
    <row r="36" spans="1:11" x14ac:dyDescent="0.3">
      <c r="A36" s="122"/>
      <c r="B36" s="122"/>
      <c r="C36" s="122"/>
      <c r="E36" s="122"/>
      <c r="F36" s="123" t="s">
        <v>609</v>
      </c>
      <c r="G36" s="123">
        <f>+G34+G26+G19</f>
        <v>27447.225383111516</v>
      </c>
      <c r="H36" s="162"/>
      <c r="I36" s="162"/>
      <c r="J36" s="162"/>
      <c r="K36" s="162"/>
    </row>
    <row r="37" spans="1:11" x14ac:dyDescent="0.3">
      <c r="A37" s="122"/>
      <c r="B37" s="122"/>
      <c r="C37" s="122"/>
      <c r="E37" s="123" t="s">
        <v>610</v>
      </c>
      <c r="F37" s="198">
        <f>+RESUMEN!$I$2</f>
        <v>0</v>
      </c>
      <c r="G37" s="130">
        <f>IF(F37=0,0,F37*G36)</f>
        <v>0</v>
      </c>
      <c r="H37" s="168"/>
      <c r="I37" s="162"/>
      <c r="J37" s="162"/>
      <c r="K37" s="162"/>
    </row>
    <row r="38" spans="1:11" x14ac:dyDescent="0.3">
      <c r="A38" s="122"/>
      <c r="B38" s="122"/>
      <c r="C38" s="122"/>
      <c r="E38" s="123" t="s">
        <v>611</v>
      </c>
      <c r="F38" s="198">
        <f>+RESUMEN!$I$3</f>
        <v>0</v>
      </c>
      <c r="G38" s="130">
        <f>IF(F38=0,0,F38*G36)</f>
        <v>0</v>
      </c>
      <c r="H38" s="162"/>
      <c r="I38" s="162"/>
      <c r="J38" s="162"/>
      <c r="K38" s="162"/>
    </row>
    <row r="39" spans="1:11" x14ac:dyDescent="0.3">
      <c r="A39" s="122"/>
      <c r="B39" s="122"/>
      <c r="C39" s="122"/>
      <c r="E39" s="151"/>
      <c r="F39" s="152" t="s">
        <v>612</v>
      </c>
      <c r="G39" s="389">
        <f>SUM(G36:G38)</f>
        <v>27447.225383111516</v>
      </c>
      <c r="H39" s="162"/>
      <c r="I39" s="162"/>
      <c r="J39" s="162"/>
      <c r="K39" s="162"/>
    </row>
  </sheetData>
  <pageMargins left="0.7" right="0.7" top="0.75" bottom="0.75" header="0.3" footer="0.3"/>
  <pageSetup paperSize="9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E5F9-1C88-48B2-92BA-20565369654E}">
  <dimension ref="A2:I41"/>
  <sheetViews>
    <sheetView workbookViewId="0">
      <selection activeCell="D12" sqref="D12:D20"/>
    </sheetView>
  </sheetViews>
  <sheetFormatPr defaultColWidth="11.54296875" defaultRowHeight="13" x14ac:dyDescent="0.3"/>
  <cols>
    <col min="1" max="1" width="10.54296875" style="74" customWidth="1"/>
    <col min="2" max="2" width="35.08984375" style="74" bestFit="1" customWidth="1"/>
    <col min="3" max="3" width="7.08984375" style="74" bestFit="1" customWidth="1"/>
    <col min="4" max="4" width="9" style="33" bestFit="1" customWidth="1"/>
    <col min="5" max="5" width="15.36328125" style="74" bestFit="1" customWidth="1"/>
    <col min="6" max="6" width="9.453125" style="74" customWidth="1"/>
    <col min="7" max="7" width="10" style="74" bestFit="1" customWidth="1"/>
    <col min="8" max="8" width="10.6328125" style="74" bestFit="1" customWidth="1"/>
    <col min="9" max="16384" width="11.54296875" style="74"/>
  </cols>
  <sheetData>
    <row r="2" spans="1:9" x14ac:dyDescent="0.3">
      <c r="A2" s="162"/>
      <c r="B2" s="162"/>
      <c r="C2" s="162"/>
      <c r="D2" s="250"/>
      <c r="E2" s="162"/>
      <c r="F2" s="163" t="s">
        <v>78</v>
      </c>
      <c r="G2" s="164">
        <v>45264</v>
      </c>
      <c r="H2" s="162"/>
      <c r="I2" s="162"/>
    </row>
    <row r="3" spans="1:9" ht="15.5" x14ac:dyDescent="0.35">
      <c r="A3" s="165" t="s">
        <v>579</v>
      </c>
      <c r="B3" s="166"/>
      <c r="C3" s="166"/>
      <c r="D3" s="251"/>
      <c r="E3" s="166"/>
      <c r="F3" s="166"/>
      <c r="G3" s="166"/>
      <c r="H3" s="162"/>
      <c r="I3" s="162"/>
    </row>
    <row r="4" spans="1:9" x14ac:dyDescent="0.3">
      <c r="A4" s="122"/>
      <c r="B4" s="122"/>
      <c r="C4" s="122"/>
      <c r="E4" s="122"/>
      <c r="F4" s="123" t="s">
        <v>580</v>
      </c>
      <c r="G4" s="126">
        <v>120</v>
      </c>
      <c r="H4" s="162"/>
      <c r="I4" s="162"/>
    </row>
    <row r="5" spans="1:9" x14ac:dyDescent="0.3">
      <c r="A5" s="127" t="s">
        <v>581</v>
      </c>
      <c r="B5" s="306" t="s">
        <v>801</v>
      </c>
      <c r="C5" s="307"/>
      <c r="D5" s="307"/>
      <c r="E5" s="307"/>
      <c r="F5" s="307"/>
      <c r="G5" s="307"/>
      <c r="H5" s="162"/>
      <c r="I5" s="162"/>
    </row>
    <row r="6" spans="1:9" x14ac:dyDescent="0.3">
      <c r="A6" s="128" t="s">
        <v>582</v>
      </c>
      <c r="B6" s="129" t="s">
        <v>802</v>
      </c>
      <c r="C6" s="122"/>
      <c r="E6" s="122"/>
      <c r="F6" s="123" t="s">
        <v>583</v>
      </c>
      <c r="G6" s="130" t="s">
        <v>24</v>
      </c>
      <c r="H6" s="162"/>
      <c r="I6" s="162"/>
    </row>
    <row r="7" spans="1:9" ht="15.5" x14ac:dyDescent="0.3">
      <c r="A7" s="197" t="s">
        <v>584</v>
      </c>
      <c r="B7" s="305" t="s">
        <v>843</v>
      </c>
      <c r="C7" s="305"/>
      <c r="D7" s="305"/>
      <c r="E7" s="305"/>
      <c r="F7" s="305"/>
      <c r="G7" s="305"/>
      <c r="H7" s="162"/>
      <c r="I7" s="162"/>
    </row>
    <row r="8" spans="1:9" x14ac:dyDescent="0.3">
      <c r="A8" s="128"/>
      <c r="B8" s="122"/>
      <c r="C8" s="131" t="s">
        <v>586</v>
      </c>
      <c r="E8" s="131" t="s">
        <v>587</v>
      </c>
      <c r="F8" s="128" t="s">
        <v>588</v>
      </c>
      <c r="G8" s="122"/>
      <c r="H8" s="162"/>
      <c r="I8" s="162"/>
    </row>
    <row r="9" spans="1:9" x14ac:dyDescent="0.3">
      <c r="A9" s="122"/>
      <c r="B9" s="122"/>
      <c r="C9" s="132" t="s">
        <v>45</v>
      </c>
      <c r="E9" s="241">
        <v>100</v>
      </c>
      <c r="F9" s="242">
        <v>3.25</v>
      </c>
      <c r="G9" s="162" t="s">
        <v>615</v>
      </c>
      <c r="H9" s="162"/>
      <c r="I9" s="162"/>
    </row>
    <row r="10" spans="1:9" x14ac:dyDescent="0.3">
      <c r="A10" s="128" t="s">
        <v>590</v>
      </c>
      <c r="B10" s="122"/>
      <c r="C10" s="122"/>
      <c r="E10" s="122"/>
      <c r="F10" s="122"/>
      <c r="G10" s="122"/>
      <c r="H10" s="162"/>
      <c r="I10" s="162"/>
    </row>
    <row r="11" spans="1:9" x14ac:dyDescent="0.3">
      <c r="A11" s="133" t="s">
        <v>79</v>
      </c>
      <c r="B11" s="134" t="s">
        <v>591</v>
      </c>
      <c r="C11" s="134" t="s">
        <v>592</v>
      </c>
      <c r="D11" s="252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167">
        <v>15</v>
      </c>
    </row>
    <row r="12" spans="1:9" x14ac:dyDescent="0.3">
      <c r="A12" s="746"/>
      <c r="B12" s="175" t="s">
        <v>542</v>
      </c>
      <c r="C12" s="264" t="s">
        <v>52</v>
      </c>
      <c r="D12" s="739">
        <v>5</v>
      </c>
      <c r="E12" s="246">
        <f>VLOOKUP(B12,Materiales!$B$8:$D$200,3,FALSE)</f>
        <v>635.56000000000006</v>
      </c>
      <c r="F12" s="246">
        <v>10</v>
      </c>
      <c r="G12" s="246">
        <f>+D12*E12*((F12+100)/100)</f>
        <v>3495.5800000000004</v>
      </c>
      <c r="H12" s="449">
        <f>+D12*$E$9</f>
        <v>500</v>
      </c>
      <c r="I12" s="162">
        <f>D12*$I$11</f>
        <v>75</v>
      </c>
    </row>
    <row r="13" spans="1:9" x14ac:dyDescent="0.3">
      <c r="A13" s="747"/>
      <c r="B13" s="178" t="s">
        <v>545</v>
      </c>
      <c r="C13" s="320" t="s">
        <v>17</v>
      </c>
      <c r="D13" s="740">
        <v>3</v>
      </c>
      <c r="E13" s="247">
        <f>VLOOKUP(B13,Materiales!$B$8:$D$200,3,FALSE)</f>
        <v>282.29000000000002</v>
      </c>
      <c r="F13" s="247">
        <v>10</v>
      </c>
      <c r="G13" s="247">
        <f t="shared" ref="G13:G20" si="0">+D13*E13*((F13+100)/100)</f>
        <v>931.55700000000024</v>
      </c>
      <c r="H13" s="676">
        <f t="shared" ref="H13:H20" si="1">+D13*$E$9</f>
        <v>300</v>
      </c>
      <c r="I13" s="162">
        <f t="shared" ref="I13:I20" si="2">D13*$I$11</f>
        <v>45</v>
      </c>
    </row>
    <row r="14" spans="1:9" x14ac:dyDescent="0.3">
      <c r="A14" s="747"/>
      <c r="B14" s="178" t="s">
        <v>549</v>
      </c>
      <c r="C14" s="320" t="s">
        <v>17</v>
      </c>
      <c r="D14" s="740">
        <v>2</v>
      </c>
      <c r="E14" s="247">
        <f>VLOOKUP(B14,Materiales!$B$8:$D$200,3,FALSE)</f>
        <v>184.87</v>
      </c>
      <c r="F14" s="247">
        <v>10</v>
      </c>
      <c r="G14" s="247">
        <f t="shared" si="0"/>
        <v>406.71400000000006</v>
      </c>
      <c r="H14" s="676">
        <f t="shared" si="1"/>
        <v>200</v>
      </c>
      <c r="I14" s="162">
        <f t="shared" si="2"/>
        <v>30</v>
      </c>
    </row>
    <row r="15" spans="1:9" x14ac:dyDescent="0.3">
      <c r="A15" s="747"/>
      <c r="B15" s="178" t="s">
        <v>551</v>
      </c>
      <c r="C15" s="320" t="s">
        <v>52</v>
      </c>
      <c r="D15" s="740">
        <v>7.5</v>
      </c>
      <c r="E15" s="247">
        <f>VLOOKUP(B15,Materiales!$B$8:$D$200,3,FALSE)</f>
        <v>316.44450000000001</v>
      </c>
      <c r="F15" s="247">
        <v>10</v>
      </c>
      <c r="G15" s="247">
        <f t="shared" si="0"/>
        <v>2610.6671250000004</v>
      </c>
      <c r="H15" s="676">
        <f t="shared" si="1"/>
        <v>750</v>
      </c>
      <c r="I15" s="162">
        <f>D15*$I$11</f>
        <v>112.5</v>
      </c>
    </row>
    <row r="16" spans="1:9" x14ac:dyDescent="0.3">
      <c r="A16" s="747"/>
      <c r="B16" s="178" t="s">
        <v>552</v>
      </c>
      <c r="C16" s="320" t="s">
        <v>52</v>
      </c>
      <c r="D16" s="740">
        <v>5</v>
      </c>
      <c r="E16" s="247">
        <f>VLOOKUP(B16,Materiales!$B$8:$D$200,3,FALSE)</f>
        <v>509.31489999999997</v>
      </c>
      <c r="F16" s="247">
        <v>10</v>
      </c>
      <c r="G16" s="247">
        <f t="shared" si="0"/>
        <v>2801.2319499999999</v>
      </c>
      <c r="H16" s="676">
        <f t="shared" si="1"/>
        <v>500</v>
      </c>
      <c r="I16" s="162">
        <f t="shared" si="2"/>
        <v>75</v>
      </c>
    </row>
    <row r="17" spans="1:9" x14ac:dyDescent="0.3">
      <c r="A17" s="747"/>
      <c r="B17" s="419" t="s">
        <v>553</v>
      </c>
      <c r="C17" s="428" t="s">
        <v>52</v>
      </c>
      <c r="D17" s="740">
        <v>7.5</v>
      </c>
      <c r="E17" s="247">
        <f>VLOOKUP(B17,Materiales!$B$8:$D$200,3,FALSE)</f>
        <v>509.31489999999997</v>
      </c>
      <c r="F17" s="247">
        <v>10</v>
      </c>
      <c r="G17" s="247">
        <f t="shared" si="0"/>
        <v>4201.847925</v>
      </c>
      <c r="H17" s="676">
        <f t="shared" si="1"/>
        <v>750</v>
      </c>
      <c r="I17" s="162">
        <f t="shared" si="2"/>
        <v>112.5</v>
      </c>
    </row>
    <row r="18" spans="1:9" x14ac:dyDescent="0.3">
      <c r="A18" s="747"/>
      <c r="B18" s="178" t="s">
        <v>557</v>
      </c>
      <c r="C18" s="320" t="s">
        <v>17</v>
      </c>
      <c r="D18" s="740">
        <v>0.5</v>
      </c>
      <c r="E18" s="247">
        <f>VLOOKUP(B18,Materiales!$B$8:$D$200,3,FALSE)</f>
        <v>202.42</v>
      </c>
      <c r="F18" s="247">
        <v>5</v>
      </c>
      <c r="G18" s="247">
        <f t="shared" si="0"/>
        <v>106.2705</v>
      </c>
      <c r="H18" s="676">
        <f t="shared" si="1"/>
        <v>50</v>
      </c>
      <c r="I18" s="162">
        <f t="shared" si="2"/>
        <v>7.5</v>
      </c>
    </row>
    <row r="19" spans="1:9" x14ac:dyDescent="0.3">
      <c r="A19" s="747"/>
      <c r="B19" s="419" t="s">
        <v>555</v>
      </c>
      <c r="C19" s="428" t="s">
        <v>17</v>
      </c>
      <c r="D19" s="740">
        <v>1</v>
      </c>
      <c r="E19" s="247">
        <f>VLOOKUP(B19,Materiales!$B$8:$D$200,3,FALSE)</f>
        <v>202.42</v>
      </c>
      <c r="F19" s="247">
        <v>5</v>
      </c>
      <c r="G19" s="247">
        <f t="shared" si="0"/>
        <v>212.541</v>
      </c>
      <c r="H19" s="676">
        <f t="shared" si="1"/>
        <v>100</v>
      </c>
      <c r="I19" s="162">
        <f t="shared" si="2"/>
        <v>15</v>
      </c>
    </row>
    <row r="20" spans="1:9" x14ac:dyDescent="0.3">
      <c r="A20" s="749"/>
      <c r="B20" s="750" t="s">
        <v>632</v>
      </c>
      <c r="C20" s="751" t="s">
        <v>352</v>
      </c>
      <c r="D20" s="752">
        <v>0.21</v>
      </c>
      <c r="E20" s="753">
        <f>+SUM(G12:G19)</f>
        <v>14766.4095</v>
      </c>
      <c r="F20" s="754">
        <v>0</v>
      </c>
      <c r="G20" s="248">
        <f t="shared" si="0"/>
        <v>3100.945995</v>
      </c>
      <c r="H20" s="755">
        <f t="shared" si="1"/>
        <v>21</v>
      </c>
      <c r="I20" s="162">
        <f t="shared" si="2"/>
        <v>3.15</v>
      </c>
    </row>
    <row r="21" spans="1:9" x14ac:dyDescent="0.3">
      <c r="A21" s="122"/>
      <c r="B21" s="122"/>
      <c r="C21" s="122"/>
      <c r="D21" s="79"/>
      <c r="E21" s="360"/>
      <c r="F21" s="123" t="s">
        <v>598</v>
      </c>
      <c r="G21" s="349">
        <f>SUM(G12:G20)</f>
        <v>17867.355495</v>
      </c>
      <c r="H21" s="162"/>
      <c r="I21" s="162"/>
    </row>
    <row r="22" spans="1:9" x14ac:dyDescent="0.3">
      <c r="A22" s="122"/>
      <c r="B22" s="122"/>
      <c r="C22" s="122"/>
      <c r="E22" s="143"/>
      <c r="F22" s="144" t="s">
        <v>9</v>
      </c>
      <c r="G22" s="156">
        <f>+G21</f>
        <v>17867.355495</v>
      </c>
      <c r="H22" s="162"/>
      <c r="I22" s="162"/>
    </row>
    <row r="23" spans="1:9" x14ac:dyDescent="0.3">
      <c r="A23" s="128" t="s">
        <v>599</v>
      </c>
      <c r="B23" s="122"/>
      <c r="C23" s="122"/>
      <c r="E23" s="122"/>
      <c r="F23" s="122"/>
      <c r="G23" s="122"/>
      <c r="H23" s="162"/>
      <c r="I23" s="162"/>
    </row>
    <row r="24" spans="1:9" x14ac:dyDescent="0.3">
      <c r="A24" s="133" t="s">
        <v>79</v>
      </c>
      <c r="B24" s="134" t="s">
        <v>591</v>
      </c>
      <c r="C24" s="134"/>
      <c r="D24" s="252" t="s">
        <v>593</v>
      </c>
      <c r="E24" s="134" t="s">
        <v>600</v>
      </c>
      <c r="F24" s="134" t="s">
        <v>87</v>
      </c>
      <c r="G24" s="135" t="s">
        <v>596</v>
      </c>
      <c r="H24" s="167"/>
      <c r="I24" s="167"/>
    </row>
    <row r="25" spans="1:9" x14ac:dyDescent="0.3">
      <c r="A25" s="264" t="s">
        <v>125</v>
      </c>
      <c r="B25" s="418" t="s">
        <v>126</v>
      </c>
      <c r="C25" s="264" t="s">
        <v>352</v>
      </c>
      <c r="D25" s="246">
        <v>1</v>
      </c>
      <c r="E25" s="246">
        <f>VLOOKUP(B25,'Rend. Equipos'!$B$7:$E$222,4,FALSE)</f>
        <v>2734071.1873955494</v>
      </c>
      <c r="F25" s="423">
        <f>VLOOKUP(B25,'Rend. Equipos'!$B$6:$L$166,MATCH($F$24,'Rend. Equipos'!$B$6:$L$6,0),0)</f>
        <v>1.8518518518518519E-3</v>
      </c>
      <c r="G25" s="264">
        <f>+E25*D25*F25</f>
        <v>5063.0947914732396</v>
      </c>
      <c r="H25" s="162"/>
      <c r="I25" s="162"/>
    </row>
    <row r="26" spans="1:9" ht="26" x14ac:dyDescent="0.3">
      <c r="A26" s="320" t="s">
        <v>88</v>
      </c>
      <c r="B26" s="454" t="s">
        <v>89</v>
      </c>
      <c r="C26" s="320" t="s">
        <v>352</v>
      </c>
      <c r="D26" s="247">
        <v>0.5</v>
      </c>
      <c r="E26" s="247">
        <f>VLOOKUP(B26,'Rend. Equipos'!$B$7:$E$222,4,FALSE)</f>
        <v>1028123.0837653707</v>
      </c>
      <c r="F26" s="424">
        <f>VLOOKUP(B26,'Rend. Equipos'!$B$6:$L$166,MATCH($F$24,'Rend. Equipos'!$B$6:$L$6,0),0)</f>
        <v>5.5555555555555556E-4</v>
      </c>
      <c r="G26" s="320">
        <f t="shared" ref="G26:G27" si="3">+E26*D26*F26</f>
        <v>285.58974549038072</v>
      </c>
      <c r="H26" s="162"/>
      <c r="I26" s="162"/>
    </row>
    <row r="27" spans="1:9" ht="26" x14ac:dyDescent="0.3">
      <c r="A27" s="265" t="s">
        <v>181</v>
      </c>
      <c r="B27" s="748" t="s">
        <v>182</v>
      </c>
      <c r="C27" s="265" t="s">
        <v>352</v>
      </c>
      <c r="D27" s="248">
        <v>0.5</v>
      </c>
      <c r="E27" s="248">
        <f>VLOOKUP(B27,'Rend. Equipos'!$B$7:$E$222,4,FALSE)</f>
        <v>201885.25333580485</v>
      </c>
      <c r="F27" s="425">
        <f>VLOOKUP(B27,'Rend. Equipos'!$B$6:$L$166,MATCH($F$24,'Rend. Equipos'!$B$6:$L$6,0),0)</f>
        <v>6.9444444444444436E-4</v>
      </c>
      <c r="G27" s="265">
        <f t="shared" si="3"/>
        <v>70.099046297154459</v>
      </c>
      <c r="H27" s="162"/>
      <c r="I27" s="162"/>
    </row>
    <row r="28" spans="1:9" x14ac:dyDescent="0.3">
      <c r="A28" s="139"/>
      <c r="B28" s="139"/>
      <c r="C28" s="139"/>
      <c r="D28" s="254"/>
      <c r="E28" s="140"/>
      <c r="F28" s="141" t="s">
        <v>602</v>
      </c>
      <c r="G28" s="142">
        <f>SUM(G25:G27)</f>
        <v>5418.7835832607743</v>
      </c>
      <c r="H28" s="162"/>
      <c r="I28" s="162"/>
    </row>
    <row r="29" spans="1:9" x14ac:dyDescent="0.3">
      <c r="A29" s="122"/>
      <c r="B29" s="122"/>
      <c r="C29" s="122"/>
      <c r="E29" s="143"/>
      <c r="F29" s="144" t="s">
        <v>11</v>
      </c>
      <c r="G29" s="156">
        <f>+G28/F9</f>
        <v>1667.3180256186997</v>
      </c>
      <c r="H29" s="162"/>
      <c r="I29" s="162"/>
    </row>
    <row r="30" spans="1:9" x14ac:dyDescent="0.3">
      <c r="A30" s="128" t="s">
        <v>603</v>
      </c>
      <c r="B30" s="122"/>
      <c r="C30" s="122"/>
      <c r="E30" s="122"/>
      <c r="F30" s="122"/>
      <c r="G30" s="122"/>
      <c r="H30" s="162"/>
      <c r="I30" s="162"/>
    </row>
    <row r="31" spans="1:9" x14ac:dyDescent="0.3">
      <c r="A31" s="133" t="s">
        <v>79</v>
      </c>
      <c r="B31" s="134" t="s">
        <v>591</v>
      </c>
      <c r="C31" s="134" t="s">
        <v>592</v>
      </c>
      <c r="D31" s="252" t="s">
        <v>593</v>
      </c>
      <c r="E31" s="134" t="s">
        <v>604</v>
      </c>
      <c r="F31" s="134"/>
      <c r="G31" s="135" t="s">
        <v>596</v>
      </c>
      <c r="H31" s="167"/>
      <c r="I31" s="167"/>
    </row>
    <row r="32" spans="1:9" x14ac:dyDescent="0.3">
      <c r="A32" s="264" t="s">
        <v>261</v>
      </c>
      <c r="B32" s="418" t="s">
        <v>262</v>
      </c>
      <c r="C32" s="264" t="s">
        <v>605</v>
      </c>
      <c r="D32" s="246">
        <v>1</v>
      </c>
      <c r="E32" s="246">
        <f>VLOOKUP(B32,'Mano de Obra'!$B$8:$C$100,2,FALSE)</f>
        <v>85927.097156571981</v>
      </c>
      <c r="F32" s="423"/>
      <c r="G32" s="264">
        <f>+E32*D32</f>
        <v>85927.097156571981</v>
      </c>
      <c r="H32" s="162"/>
      <c r="I32" s="162"/>
    </row>
    <row r="33" spans="1:9" x14ac:dyDescent="0.3">
      <c r="A33" s="320" t="s">
        <v>238</v>
      </c>
      <c r="B33" s="454" t="s">
        <v>239</v>
      </c>
      <c r="C33" s="320" t="s">
        <v>605</v>
      </c>
      <c r="D33" s="247">
        <v>1</v>
      </c>
      <c r="E33" s="247">
        <f>VLOOKUP(B33,'Mano de Obra'!$B$8:$C$100,2,FALSE)</f>
        <v>60860.580776571966</v>
      </c>
      <c r="F33" s="424"/>
      <c r="G33" s="320">
        <f>+E33*D33</f>
        <v>60860.580776571966</v>
      </c>
      <c r="H33" s="162"/>
      <c r="I33" s="162"/>
    </row>
    <row r="34" spans="1:9" x14ac:dyDescent="0.3">
      <c r="A34" s="139"/>
      <c r="B34" s="139"/>
      <c r="C34" s="139"/>
      <c r="D34" s="254"/>
      <c r="E34" s="151"/>
      <c r="F34" s="152" t="s">
        <v>606</v>
      </c>
      <c r="G34" s="153">
        <f>SUM(G32:G33)</f>
        <v>146787.67793314395</v>
      </c>
      <c r="H34" s="162"/>
      <c r="I34" s="162"/>
    </row>
    <row r="35" spans="1:9" x14ac:dyDescent="0.3">
      <c r="A35" s="122"/>
      <c r="B35" s="122"/>
      <c r="C35" s="122"/>
      <c r="E35" s="122"/>
      <c r="F35" s="123" t="s">
        <v>607</v>
      </c>
      <c r="G35" s="130">
        <v>1</v>
      </c>
      <c r="H35" s="162"/>
      <c r="I35" s="162"/>
    </row>
    <row r="36" spans="1:9" x14ac:dyDescent="0.3">
      <c r="A36" s="122"/>
      <c r="B36" s="122"/>
      <c r="C36" s="122"/>
      <c r="E36" s="122"/>
      <c r="F36" s="123" t="s">
        <v>608</v>
      </c>
      <c r="G36" s="130">
        <f>+G35*G34</f>
        <v>146787.67793314395</v>
      </c>
      <c r="H36" s="162"/>
      <c r="I36" s="162"/>
    </row>
    <row r="37" spans="1:9" x14ac:dyDescent="0.3">
      <c r="A37" s="122"/>
      <c r="B37" s="122"/>
      <c r="C37" s="122"/>
      <c r="E37" s="122"/>
      <c r="F37" s="123" t="s">
        <v>10</v>
      </c>
      <c r="G37" s="169">
        <f>+G36/F9</f>
        <v>45165.439364044294</v>
      </c>
      <c r="H37" s="162"/>
      <c r="I37" s="162"/>
    </row>
    <row r="38" spans="1:9" x14ac:dyDescent="0.3">
      <c r="A38" s="122"/>
      <c r="B38" s="122"/>
      <c r="C38" s="122"/>
      <c r="E38" s="122"/>
      <c r="F38" s="123" t="s">
        <v>609</v>
      </c>
      <c r="G38" s="130">
        <f>+G37+G29+G22</f>
        <v>64700.112884662987</v>
      </c>
      <c r="H38" s="162"/>
      <c r="I38" s="162"/>
    </row>
    <row r="39" spans="1:9" x14ac:dyDescent="0.3">
      <c r="A39" s="122"/>
      <c r="B39" s="122"/>
      <c r="C39" s="122"/>
      <c r="E39" s="123" t="s">
        <v>610</v>
      </c>
      <c r="F39" s="198">
        <f>+RESUMEN!$I$2</f>
        <v>0</v>
      </c>
      <c r="G39" s="130">
        <f>IF(F39=0,0,F39*G38)</f>
        <v>0</v>
      </c>
      <c r="H39" s="162"/>
      <c r="I39" s="162"/>
    </row>
    <row r="40" spans="1:9" x14ac:dyDescent="0.3">
      <c r="A40" s="122"/>
      <c r="B40" s="122"/>
      <c r="C40" s="122"/>
      <c r="E40" s="123" t="s">
        <v>611</v>
      </c>
      <c r="F40" s="198">
        <f>+RESUMEN!$I$3</f>
        <v>0</v>
      </c>
      <c r="G40" s="130">
        <f>IF(F40=0,0,F40*G38)</f>
        <v>0</v>
      </c>
      <c r="H40" s="168"/>
      <c r="I40" s="162"/>
    </row>
    <row r="41" spans="1:9" x14ac:dyDescent="0.3">
      <c r="A41" s="122"/>
      <c r="B41" s="122"/>
      <c r="C41" s="122"/>
      <c r="E41" s="151"/>
      <c r="F41" s="152" t="s">
        <v>612</v>
      </c>
      <c r="G41" s="154">
        <f>SUM(G38:G40)</f>
        <v>64700.112884662987</v>
      </c>
      <c r="H41" s="162"/>
      <c r="I41" s="162"/>
    </row>
  </sheetData>
  <pageMargins left="0.7" right="0.7" top="0.75" bottom="0.75" header="0.3" footer="0.3"/>
  <pageSetup paperSize="9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2CED-E366-4690-8927-DAA3173A6E1D}">
  <dimension ref="A2:I39"/>
  <sheetViews>
    <sheetView topLeftCell="A3" workbookViewId="0">
      <selection activeCell="D16" sqref="D16"/>
    </sheetView>
  </sheetViews>
  <sheetFormatPr defaultColWidth="11.54296875" defaultRowHeight="13" x14ac:dyDescent="0.3"/>
  <cols>
    <col min="1" max="1" width="7.6328125" style="74" customWidth="1"/>
    <col min="2" max="2" width="29.54296875" style="74" customWidth="1"/>
    <col min="3" max="3" width="5.6328125" style="74" customWidth="1"/>
    <col min="4" max="4" width="9" style="33" bestFit="1" customWidth="1"/>
    <col min="5" max="5" width="15.36328125" style="74" bestFit="1" customWidth="1"/>
    <col min="6" max="6" width="9.453125" style="74" customWidth="1"/>
    <col min="7" max="7" width="9.6328125" style="74" customWidth="1"/>
    <col min="8" max="16384" width="11.54296875" style="74"/>
  </cols>
  <sheetData>
    <row r="2" spans="1:9" x14ac:dyDescent="0.3">
      <c r="A2" s="162"/>
      <c r="B2" s="162"/>
      <c r="C2" s="162"/>
      <c r="D2" s="250"/>
      <c r="E2" s="162"/>
      <c r="F2" s="163" t="s">
        <v>78</v>
      </c>
      <c r="G2" s="164">
        <v>45264</v>
      </c>
      <c r="H2" s="162"/>
      <c r="I2" s="162"/>
    </row>
    <row r="3" spans="1:9" ht="15.5" x14ac:dyDescent="0.35">
      <c r="A3" s="165" t="s">
        <v>579</v>
      </c>
      <c r="B3" s="166"/>
      <c r="C3" s="166"/>
      <c r="D3" s="251"/>
      <c r="E3" s="166"/>
      <c r="F3" s="166"/>
      <c r="G3" s="166"/>
      <c r="H3" s="162"/>
      <c r="I3" s="162"/>
    </row>
    <row r="4" spans="1:9" x14ac:dyDescent="0.3">
      <c r="A4" s="122"/>
      <c r="B4" s="122"/>
      <c r="C4" s="122"/>
      <c r="E4" s="122"/>
      <c r="F4" s="123" t="s">
        <v>580</v>
      </c>
      <c r="G4" s="126">
        <v>121</v>
      </c>
      <c r="H4" s="162"/>
      <c r="I4" s="162"/>
    </row>
    <row r="5" spans="1:9" x14ac:dyDescent="0.3">
      <c r="A5" s="127" t="s">
        <v>581</v>
      </c>
      <c r="B5" s="306" t="s">
        <v>801</v>
      </c>
      <c r="C5" s="307"/>
      <c r="D5" s="307"/>
      <c r="E5" s="307"/>
      <c r="F5" s="307"/>
      <c r="G5" s="307"/>
      <c r="H5" s="162"/>
      <c r="I5" s="162"/>
    </row>
    <row r="6" spans="1:9" x14ac:dyDescent="0.3">
      <c r="A6" s="128" t="s">
        <v>582</v>
      </c>
      <c r="B6" s="129" t="s">
        <v>802</v>
      </c>
      <c r="C6" s="122"/>
      <c r="E6" s="122"/>
      <c r="F6" s="123" t="s">
        <v>583</v>
      </c>
      <c r="G6" s="130" t="s">
        <v>24</v>
      </c>
      <c r="H6" s="162"/>
      <c r="I6" s="162"/>
    </row>
    <row r="7" spans="1:9" ht="15.5" x14ac:dyDescent="0.3">
      <c r="A7" s="197" t="s">
        <v>584</v>
      </c>
      <c r="B7" s="305" t="s">
        <v>844</v>
      </c>
      <c r="C7" s="305"/>
      <c r="D7" s="305"/>
      <c r="E7" s="305"/>
      <c r="F7" s="305"/>
      <c r="G7" s="305"/>
      <c r="H7" s="162"/>
      <c r="I7" s="162"/>
    </row>
    <row r="8" spans="1:9" x14ac:dyDescent="0.3">
      <c r="A8" s="128"/>
      <c r="B8" s="122"/>
      <c r="C8" s="131" t="s">
        <v>586</v>
      </c>
      <c r="E8" s="131" t="s">
        <v>587</v>
      </c>
      <c r="F8" s="128" t="s">
        <v>588</v>
      </c>
      <c r="G8" s="122"/>
      <c r="H8" s="162"/>
      <c r="I8" s="162"/>
    </row>
    <row r="9" spans="1:9" x14ac:dyDescent="0.3">
      <c r="A9" s="122"/>
      <c r="B9" s="122"/>
      <c r="C9" s="132" t="s">
        <v>45</v>
      </c>
      <c r="E9" s="241">
        <v>100</v>
      </c>
      <c r="F9" s="242">
        <v>3.25</v>
      </c>
      <c r="G9" s="162" t="s">
        <v>615</v>
      </c>
      <c r="H9" s="162"/>
      <c r="I9" s="162"/>
    </row>
    <row r="10" spans="1:9" x14ac:dyDescent="0.3">
      <c r="A10" s="128" t="s">
        <v>590</v>
      </c>
      <c r="B10" s="122"/>
      <c r="C10" s="122"/>
      <c r="E10" s="122"/>
      <c r="F10" s="122"/>
      <c r="G10" s="122"/>
      <c r="H10" s="162"/>
    </row>
    <row r="11" spans="1:9" x14ac:dyDescent="0.3">
      <c r="A11" s="133" t="s">
        <v>79</v>
      </c>
      <c r="B11" s="134" t="s">
        <v>591</v>
      </c>
      <c r="C11" s="134" t="s">
        <v>592</v>
      </c>
      <c r="D11" s="252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162">
        <v>15</v>
      </c>
    </row>
    <row r="12" spans="1:9" x14ac:dyDescent="0.3">
      <c r="A12" s="746"/>
      <c r="B12" s="308" t="s">
        <v>543</v>
      </c>
      <c r="C12" s="746" t="s">
        <v>52</v>
      </c>
      <c r="D12" s="810">
        <v>5</v>
      </c>
      <c r="E12" s="746">
        <f>VLOOKUP(B12,Materiales!$B$8:$D$199,3,FALSE)</f>
        <v>472.18</v>
      </c>
      <c r="F12" s="746">
        <v>5</v>
      </c>
      <c r="G12" s="246">
        <f>+D12*E12*((F12+100)/100)</f>
        <v>2478.9450000000002</v>
      </c>
      <c r="H12" s="449">
        <f>+D12*$E$9</f>
        <v>500</v>
      </c>
      <c r="I12" s="162">
        <f>D12*$I$11</f>
        <v>75</v>
      </c>
    </row>
    <row r="13" spans="1:9" x14ac:dyDescent="0.3">
      <c r="A13" s="747"/>
      <c r="B13" s="811" t="s">
        <v>544</v>
      </c>
      <c r="C13" s="747" t="s">
        <v>17</v>
      </c>
      <c r="D13" s="812">
        <v>4</v>
      </c>
      <c r="E13" s="747">
        <f>VLOOKUP(B13,Materiales!$B$8:$D$213,3,FALSE)</f>
        <v>225.83200000000002</v>
      </c>
      <c r="F13" s="747">
        <v>10</v>
      </c>
      <c r="G13" s="247">
        <f t="shared" ref="G13:G17" si="0">+D13*E13*((F13+100)/100)</f>
        <v>993.66080000000022</v>
      </c>
      <c r="H13" s="676">
        <f t="shared" ref="H13:H18" si="1">+D13*$E$9</f>
        <v>400</v>
      </c>
      <c r="I13" s="162">
        <f>D13*$I$11</f>
        <v>60</v>
      </c>
    </row>
    <row r="14" spans="1:9" x14ac:dyDescent="0.3">
      <c r="A14" s="747"/>
      <c r="B14" s="811" t="s">
        <v>547</v>
      </c>
      <c r="C14" s="747" t="s">
        <v>17</v>
      </c>
      <c r="D14" s="812">
        <v>1.2</v>
      </c>
      <c r="E14" s="747">
        <f>VLOOKUP(B14,Materiales!$B$8:$D$213,3,FALSE)</f>
        <v>110.922</v>
      </c>
      <c r="F14" s="747">
        <v>10</v>
      </c>
      <c r="G14" s="247">
        <f t="shared" si="0"/>
        <v>146.41703999999999</v>
      </c>
      <c r="H14" s="676">
        <f t="shared" si="1"/>
        <v>120</v>
      </c>
      <c r="I14" s="162">
        <f>D14*$I$11</f>
        <v>18</v>
      </c>
    </row>
    <row r="15" spans="1:9" x14ac:dyDescent="0.3">
      <c r="A15" s="747"/>
      <c r="B15" s="811" t="s">
        <v>552</v>
      </c>
      <c r="C15" s="747" t="s">
        <v>52</v>
      </c>
      <c r="D15" s="812">
        <v>5</v>
      </c>
      <c r="E15" s="747">
        <f>VLOOKUP(B15,Materiales!$B$8:$D$213,3,FALSE)</f>
        <v>509.31489999999997</v>
      </c>
      <c r="F15" s="747">
        <v>10</v>
      </c>
      <c r="G15" s="247">
        <f t="shared" si="0"/>
        <v>2801.2319499999999</v>
      </c>
      <c r="H15" s="676">
        <f t="shared" si="1"/>
        <v>500</v>
      </c>
      <c r="I15" s="162">
        <f>D15*$I$11</f>
        <v>75</v>
      </c>
    </row>
    <row r="16" spans="1:9" x14ac:dyDescent="0.3">
      <c r="A16" s="747"/>
      <c r="B16" s="811" t="s">
        <v>553</v>
      </c>
      <c r="C16" s="747" t="s">
        <v>52</v>
      </c>
      <c r="D16" s="812">
        <v>10</v>
      </c>
      <c r="E16" s="747">
        <f>VLOOKUP(B16,Materiales!$B$8:$D$213,3,FALSE)</f>
        <v>509.31489999999997</v>
      </c>
      <c r="F16" s="747">
        <v>10</v>
      </c>
      <c r="G16" s="247">
        <f t="shared" si="0"/>
        <v>5602.4638999999997</v>
      </c>
      <c r="H16" s="676">
        <f t="shared" si="1"/>
        <v>1000</v>
      </c>
      <c r="I16" s="162">
        <f t="shared" ref="I16:I18" si="2">D16*$I$11</f>
        <v>150</v>
      </c>
    </row>
    <row r="17" spans="1:9" x14ac:dyDescent="0.3">
      <c r="A17" s="747"/>
      <c r="B17" s="811" t="s">
        <v>557</v>
      </c>
      <c r="C17" s="747" t="s">
        <v>17</v>
      </c>
      <c r="D17" s="812">
        <v>1</v>
      </c>
      <c r="E17" s="747">
        <f>VLOOKUP(B17,Materiales!$B$8:$D$213,3,FALSE)</f>
        <v>202.42</v>
      </c>
      <c r="F17" s="747">
        <v>5</v>
      </c>
      <c r="G17" s="247">
        <f t="shared" si="0"/>
        <v>212.541</v>
      </c>
      <c r="H17" s="676">
        <f t="shared" si="1"/>
        <v>100</v>
      </c>
      <c r="I17" s="162">
        <f t="shared" si="2"/>
        <v>15</v>
      </c>
    </row>
    <row r="18" spans="1:9" x14ac:dyDescent="0.3">
      <c r="A18" s="809"/>
      <c r="B18" s="420" t="s">
        <v>632</v>
      </c>
      <c r="C18" s="809" t="s">
        <v>17</v>
      </c>
      <c r="D18" s="813">
        <v>0.21</v>
      </c>
      <c r="E18" s="809">
        <f>+SUM(G12:G17)</f>
        <v>12235.259689999999</v>
      </c>
      <c r="F18" s="809">
        <v>0</v>
      </c>
      <c r="G18" s="248">
        <f t="shared" ref="G18" si="3">+D18*E18*((F18+100)/100)</f>
        <v>2569.4045348999998</v>
      </c>
      <c r="H18" s="450">
        <f t="shared" si="1"/>
        <v>21</v>
      </c>
      <c r="I18" s="162">
        <f t="shared" si="2"/>
        <v>3.15</v>
      </c>
    </row>
    <row r="19" spans="1:9" x14ac:dyDescent="0.3">
      <c r="A19" s="122"/>
      <c r="B19" s="122"/>
      <c r="C19" s="122"/>
      <c r="D19" s="79"/>
      <c r="E19" s="360"/>
      <c r="F19" s="123" t="s">
        <v>598</v>
      </c>
      <c r="G19" s="349">
        <f>SUM(G12:G18)</f>
        <v>14804.6642249</v>
      </c>
      <c r="H19" s="162"/>
      <c r="I19" s="162"/>
    </row>
    <row r="20" spans="1:9" x14ac:dyDescent="0.3">
      <c r="A20" s="122"/>
      <c r="B20" s="122"/>
      <c r="C20" s="122"/>
      <c r="E20" s="143"/>
      <c r="F20" s="144" t="s">
        <v>9</v>
      </c>
      <c r="G20" s="156">
        <f>+G19</f>
        <v>14804.6642249</v>
      </c>
      <c r="H20" s="162"/>
      <c r="I20" s="162"/>
    </row>
    <row r="21" spans="1:9" x14ac:dyDescent="0.3">
      <c r="A21" s="128" t="s">
        <v>599</v>
      </c>
      <c r="B21" s="122"/>
      <c r="C21" s="122"/>
      <c r="E21" s="122"/>
      <c r="F21" s="122"/>
      <c r="G21" s="122"/>
      <c r="H21" s="162"/>
      <c r="I21" s="162"/>
    </row>
    <row r="22" spans="1:9" x14ac:dyDescent="0.3">
      <c r="A22" s="133" t="s">
        <v>79</v>
      </c>
      <c r="B22" s="134" t="s">
        <v>591</v>
      </c>
      <c r="C22" s="134"/>
      <c r="D22" s="252" t="s">
        <v>593</v>
      </c>
      <c r="E22" s="134" t="s">
        <v>600</v>
      </c>
      <c r="F22" s="134" t="s">
        <v>87</v>
      </c>
      <c r="G22" s="135" t="s">
        <v>596</v>
      </c>
      <c r="H22" s="167"/>
      <c r="I22" s="167"/>
    </row>
    <row r="23" spans="1:9" x14ac:dyDescent="0.3">
      <c r="A23" s="264" t="s">
        <v>125</v>
      </c>
      <c r="B23" s="418" t="s">
        <v>126</v>
      </c>
      <c r="C23" s="264" t="s">
        <v>352</v>
      </c>
      <c r="D23" s="246">
        <v>1</v>
      </c>
      <c r="E23" s="246">
        <f>VLOOKUP(B23,'Rend. Equipos'!$B$7:$E$222,4,FALSE)</f>
        <v>2734071.1873955494</v>
      </c>
      <c r="F23" s="423">
        <f>VLOOKUP(B23,'Rend. Equipos'!$B$6:$L$166,MATCH($F$22,'Rend. Equipos'!$B$6:$L$6,0),0)</f>
        <v>1.8518518518518519E-3</v>
      </c>
      <c r="G23" s="746">
        <f>+E23*D23*F23</f>
        <v>5063.0947914732396</v>
      </c>
      <c r="H23" s="162"/>
      <c r="I23" s="162"/>
    </row>
    <row r="24" spans="1:9" ht="26" x14ac:dyDescent="0.3">
      <c r="A24" s="320" t="s">
        <v>88</v>
      </c>
      <c r="B24" s="454" t="s">
        <v>89</v>
      </c>
      <c r="C24" s="320" t="s">
        <v>352</v>
      </c>
      <c r="D24" s="247">
        <v>0.5</v>
      </c>
      <c r="E24" s="247">
        <f>VLOOKUP(B24,'Rend. Equipos'!$B$7:$E$222,4,FALSE)</f>
        <v>1028123.0837653707</v>
      </c>
      <c r="F24" s="424">
        <f>VLOOKUP(B24,'Rend. Equipos'!$B$6:$L$166,MATCH($F$22,'Rend. Equipos'!$B$6:$L$6,0),0)</f>
        <v>5.5555555555555556E-4</v>
      </c>
      <c r="G24" s="747">
        <f t="shared" ref="G24:G25" si="4">+E24*D24*F24</f>
        <v>285.58974549038072</v>
      </c>
      <c r="H24" s="162"/>
      <c r="I24" s="162"/>
    </row>
    <row r="25" spans="1:9" ht="39" x14ac:dyDescent="0.3">
      <c r="A25" s="265" t="s">
        <v>181</v>
      </c>
      <c r="B25" s="748" t="s">
        <v>182</v>
      </c>
      <c r="C25" s="265" t="s">
        <v>352</v>
      </c>
      <c r="D25" s="248">
        <v>0.5</v>
      </c>
      <c r="E25" s="248">
        <f>VLOOKUP(B25,'Rend. Equipos'!$B$7:$E$222,4,FALSE)</f>
        <v>201885.25333580485</v>
      </c>
      <c r="F25" s="425">
        <f>VLOOKUP(B25,'Rend. Equipos'!$B$6:$L$166,MATCH($F$22,'Rend. Equipos'!$B$6:$L$6,0),0)</f>
        <v>6.9444444444444436E-4</v>
      </c>
      <c r="G25" s="809">
        <f t="shared" si="4"/>
        <v>70.099046297154459</v>
      </c>
      <c r="H25" s="162"/>
      <c r="I25" s="162"/>
    </row>
    <row r="26" spans="1:9" x14ac:dyDescent="0.3">
      <c r="A26" s="139"/>
      <c r="B26" s="139"/>
      <c r="C26" s="139"/>
      <c r="D26" s="254"/>
      <c r="E26" s="140"/>
      <c r="F26" s="141" t="s">
        <v>602</v>
      </c>
      <c r="G26" s="142">
        <f>SUM(G23:G25)</f>
        <v>5418.7835832607743</v>
      </c>
      <c r="H26" s="162"/>
      <c r="I26" s="162"/>
    </row>
    <row r="27" spans="1:9" x14ac:dyDescent="0.3">
      <c r="A27" s="122"/>
      <c r="B27" s="122"/>
      <c r="C27" s="122"/>
      <c r="E27" s="143"/>
      <c r="F27" s="144" t="s">
        <v>11</v>
      </c>
      <c r="G27" s="156">
        <f>+G26/F9</f>
        <v>1667.3180256186997</v>
      </c>
      <c r="H27" s="162"/>
      <c r="I27" s="162"/>
    </row>
    <row r="28" spans="1:9" x14ac:dyDescent="0.3">
      <c r="A28" s="128" t="s">
        <v>603</v>
      </c>
      <c r="B28" s="122"/>
      <c r="C28" s="122"/>
      <c r="E28" s="122"/>
      <c r="F28" s="122"/>
      <c r="G28" s="122"/>
      <c r="H28" s="162"/>
      <c r="I28" s="162"/>
    </row>
    <row r="29" spans="1:9" x14ac:dyDescent="0.3">
      <c r="A29" s="133" t="s">
        <v>79</v>
      </c>
      <c r="B29" s="134" t="s">
        <v>591</v>
      </c>
      <c r="C29" s="134"/>
      <c r="D29" s="252" t="s">
        <v>593</v>
      </c>
      <c r="E29" s="134" t="s">
        <v>604</v>
      </c>
      <c r="F29" s="134"/>
      <c r="G29" s="135" t="s">
        <v>596</v>
      </c>
      <c r="H29" s="167"/>
      <c r="I29" s="167"/>
    </row>
    <row r="30" spans="1:9" x14ac:dyDescent="0.3">
      <c r="A30" s="264" t="s">
        <v>261</v>
      </c>
      <c r="B30" s="418" t="s">
        <v>262</v>
      </c>
      <c r="C30" s="264" t="s">
        <v>605</v>
      </c>
      <c r="D30" s="246">
        <v>1</v>
      </c>
      <c r="E30" s="246">
        <f>VLOOKUP(B30,'Mano de Obra'!$B$8:$C$100,2,FALSE)</f>
        <v>85927.097156571981</v>
      </c>
      <c r="F30" s="243"/>
      <c r="G30" s="243">
        <f>+E30*D30</f>
        <v>85927.097156571981</v>
      </c>
      <c r="H30" s="162"/>
      <c r="I30" s="162"/>
    </row>
    <row r="31" spans="1:9" x14ac:dyDescent="0.3">
      <c r="A31" s="320" t="s">
        <v>238</v>
      </c>
      <c r="B31" s="454" t="s">
        <v>239</v>
      </c>
      <c r="C31" s="320" t="s">
        <v>605</v>
      </c>
      <c r="D31" s="247">
        <v>1</v>
      </c>
      <c r="E31" s="247">
        <f>VLOOKUP(B31,'Mano de Obra'!$B$8:$C$100,2,FALSE)</f>
        <v>60860.580776571966</v>
      </c>
      <c r="F31" s="245"/>
      <c r="G31" s="245">
        <f>+E31*D31</f>
        <v>60860.580776571966</v>
      </c>
      <c r="H31" s="162"/>
      <c r="I31" s="162"/>
    </row>
    <row r="32" spans="1:9" x14ac:dyDescent="0.3">
      <c r="A32" s="139"/>
      <c r="B32" s="139"/>
      <c r="C32" s="139"/>
      <c r="D32" s="254"/>
      <c r="E32" s="151"/>
      <c r="F32" s="152" t="s">
        <v>606</v>
      </c>
      <c r="G32" s="153">
        <f>SUM(G30:G31)</f>
        <v>146787.67793314395</v>
      </c>
      <c r="H32" s="162"/>
      <c r="I32" s="162"/>
    </row>
    <row r="33" spans="1:9" x14ac:dyDescent="0.3">
      <c r="A33" s="122"/>
      <c r="B33" s="122"/>
      <c r="C33" s="122"/>
      <c r="E33" s="122"/>
      <c r="F33" s="123" t="s">
        <v>607</v>
      </c>
      <c r="G33" s="130">
        <v>1</v>
      </c>
      <c r="H33" s="162"/>
      <c r="I33" s="162"/>
    </row>
    <row r="34" spans="1:9" x14ac:dyDescent="0.3">
      <c r="A34" s="122"/>
      <c r="B34" s="122"/>
      <c r="C34" s="122"/>
      <c r="E34" s="122"/>
      <c r="F34" s="123" t="s">
        <v>608</v>
      </c>
      <c r="G34" s="130">
        <f>+G33*G32</f>
        <v>146787.67793314395</v>
      </c>
      <c r="H34" s="162"/>
      <c r="I34" s="162"/>
    </row>
    <row r="35" spans="1:9" x14ac:dyDescent="0.3">
      <c r="A35" s="122"/>
      <c r="B35" s="122"/>
      <c r="C35" s="122"/>
      <c r="E35" s="122"/>
      <c r="F35" s="123" t="s">
        <v>10</v>
      </c>
      <c r="G35" s="169">
        <f>+G34/F9</f>
        <v>45165.439364044294</v>
      </c>
      <c r="H35" s="162"/>
      <c r="I35" s="162"/>
    </row>
    <row r="36" spans="1:9" x14ac:dyDescent="0.3">
      <c r="A36" s="122"/>
      <c r="B36" s="122"/>
      <c r="C36" s="122"/>
      <c r="E36" s="122"/>
      <c r="F36" s="123" t="s">
        <v>609</v>
      </c>
      <c r="G36" s="130">
        <f>+G35+G27+G20</f>
        <v>61637.421614562991</v>
      </c>
      <c r="H36" s="162"/>
      <c r="I36" s="162"/>
    </row>
    <row r="37" spans="1:9" x14ac:dyDescent="0.3">
      <c r="A37" s="122"/>
      <c r="B37" s="122"/>
      <c r="C37" s="122"/>
      <c r="E37" s="123" t="s">
        <v>610</v>
      </c>
      <c r="F37" s="198">
        <f>+RESUMEN!$I$2</f>
        <v>0</v>
      </c>
      <c r="G37" s="130">
        <f>IF(F37=0,0,F37*G36)</f>
        <v>0</v>
      </c>
      <c r="H37" s="162"/>
      <c r="I37" s="162"/>
    </row>
    <row r="38" spans="1:9" x14ac:dyDescent="0.3">
      <c r="A38" s="122"/>
      <c r="B38" s="122"/>
      <c r="C38" s="122"/>
      <c r="E38" s="123" t="s">
        <v>611</v>
      </c>
      <c r="F38" s="198">
        <f>+RESUMEN!$I$3</f>
        <v>0</v>
      </c>
      <c r="G38" s="130">
        <f>IF(F38=0,0,F38*G36)</f>
        <v>0</v>
      </c>
      <c r="H38" s="168"/>
      <c r="I38" s="162"/>
    </row>
    <row r="39" spans="1:9" x14ac:dyDescent="0.3">
      <c r="A39" s="122"/>
      <c r="B39" s="122"/>
      <c r="C39" s="122"/>
      <c r="E39" s="151"/>
      <c r="F39" s="152" t="s">
        <v>612</v>
      </c>
      <c r="G39" s="154">
        <f>SUM(G36:G38)</f>
        <v>61637.421614562991</v>
      </c>
      <c r="H39" s="162"/>
      <c r="I39" s="162"/>
    </row>
  </sheetData>
  <pageMargins left="0.7" right="0.7" top="0.75" bottom="0.75" header="0.3" footer="0.3"/>
  <pageSetup paperSize="9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FBB6-8DE6-4715-895D-48FC6B7C97F9}">
  <dimension ref="A2:G40"/>
  <sheetViews>
    <sheetView workbookViewId="0"/>
  </sheetViews>
  <sheetFormatPr defaultColWidth="11.54296875" defaultRowHeight="13" x14ac:dyDescent="0.3"/>
  <cols>
    <col min="1" max="1" width="7.6328125" style="74" customWidth="1"/>
    <col min="2" max="2" width="29.54296875" style="74" customWidth="1"/>
    <col min="3" max="3" width="5.6328125" style="74" customWidth="1"/>
    <col min="4" max="4" width="9" style="33" bestFit="1" customWidth="1"/>
    <col min="5" max="5" width="15.36328125" style="74" bestFit="1" customWidth="1"/>
    <col min="6" max="6" width="9.453125" style="74" customWidth="1"/>
    <col min="7" max="7" width="9.6328125" style="74" customWidth="1"/>
    <col min="8" max="16384" width="11.54296875" style="74"/>
  </cols>
  <sheetData>
    <row r="2" spans="1:7" x14ac:dyDescent="0.3">
      <c r="A2" s="162"/>
      <c r="B2" s="162"/>
      <c r="C2" s="162"/>
      <c r="D2" s="250"/>
      <c r="E2" s="162"/>
      <c r="F2" s="163" t="s">
        <v>78</v>
      </c>
      <c r="G2" s="164">
        <v>45265</v>
      </c>
    </row>
    <row r="3" spans="1:7" ht="15.5" x14ac:dyDescent="0.35">
      <c r="A3" s="165" t="s">
        <v>579</v>
      </c>
      <c r="B3" s="166"/>
      <c r="C3" s="166"/>
      <c r="D3" s="251"/>
      <c r="E3" s="166"/>
      <c r="F3" s="166"/>
      <c r="G3" s="166"/>
    </row>
    <row r="4" spans="1:7" x14ac:dyDescent="0.3">
      <c r="A4" s="122"/>
      <c r="B4" s="122"/>
      <c r="C4" s="122"/>
      <c r="E4" s="122"/>
      <c r="F4" s="123" t="s">
        <v>580</v>
      </c>
      <c r="G4" s="126">
        <v>122</v>
      </c>
    </row>
    <row r="5" spans="1:7" x14ac:dyDescent="0.3">
      <c r="A5" s="127" t="s">
        <v>581</v>
      </c>
      <c r="B5" s="306" t="s">
        <v>801</v>
      </c>
      <c r="C5" s="307"/>
      <c r="D5" s="307"/>
      <c r="E5" s="307"/>
      <c r="F5" s="307"/>
      <c r="G5" s="307"/>
    </row>
    <row r="6" spans="1:7" x14ac:dyDescent="0.3">
      <c r="A6" s="128" t="s">
        <v>582</v>
      </c>
      <c r="B6" s="129" t="s">
        <v>802</v>
      </c>
      <c r="C6" s="122"/>
      <c r="E6" s="122"/>
      <c r="F6" s="123" t="s">
        <v>583</v>
      </c>
      <c r="G6" s="130" t="s">
        <v>24</v>
      </c>
    </row>
    <row r="7" spans="1:7" ht="15.5" x14ac:dyDescent="0.3">
      <c r="A7" s="197" t="s">
        <v>584</v>
      </c>
      <c r="B7" s="305" t="s">
        <v>845</v>
      </c>
      <c r="C7" s="305"/>
      <c r="D7" s="305"/>
      <c r="E7" s="305"/>
      <c r="F7" s="305"/>
      <c r="G7" s="305"/>
    </row>
    <row r="8" spans="1:7" x14ac:dyDescent="0.3">
      <c r="A8" s="128"/>
      <c r="B8" s="122"/>
      <c r="C8" s="131" t="s">
        <v>586</v>
      </c>
      <c r="E8" s="131" t="s">
        <v>587</v>
      </c>
      <c r="F8" s="128" t="s">
        <v>588</v>
      </c>
      <c r="G8" s="122"/>
    </row>
    <row r="9" spans="1:7" x14ac:dyDescent="0.3">
      <c r="A9" s="122"/>
      <c r="B9" s="122"/>
      <c r="C9" s="132" t="s">
        <v>45</v>
      </c>
      <c r="E9" s="241"/>
      <c r="F9" s="242">
        <v>12</v>
      </c>
      <c r="G9" s="162" t="s">
        <v>615</v>
      </c>
    </row>
    <row r="10" spans="1:7" x14ac:dyDescent="0.3">
      <c r="A10" s="128" t="s">
        <v>590</v>
      </c>
      <c r="B10" s="122"/>
      <c r="C10" s="122"/>
      <c r="E10" s="122"/>
      <c r="F10" s="122"/>
      <c r="G10" s="122"/>
    </row>
    <row r="11" spans="1:7" x14ac:dyDescent="0.3">
      <c r="A11" s="133" t="s">
        <v>79</v>
      </c>
      <c r="B11" s="134" t="s">
        <v>591</v>
      </c>
      <c r="C11" s="134" t="s">
        <v>592</v>
      </c>
      <c r="D11" s="252" t="s">
        <v>593</v>
      </c>
      <c r="E11" s="134" t="s">
        <v>594</v>
      </c>
      <c r="F11" s="134" t="s">
        <v>595</v>
      </c>
      <c r="G11" s="135" t="s">
        <v>596</v>
      </c>
    </row>
    <row r="12" spans="1:7" x14ac:dyDescent="0.3">
      <c r="A12" s="243"/>
      <c r="B12" s="308" t="s">
        <v>558</v>
      </c>
      <c r="C12" s="243" t="s">
        <v>17</v>
      </c>
      <c r="D12" s="257">
        <v>0.35</v>
      </c>
      <c r="E12" s="243">
        <f>VLOOKUP(B12,Materiales!$B$8:$D$199,3,FALSE)</f>
        <v>23404.92</v>
      </c>
      <c r="F12" s="243">
        <v>0.05</v>
      </c>
      <c r="G12" s="243">
        <f>+E12*D12*(1+F12)</f>
        <v>8601.3080999999984</v>
      </c>
    </row>
    <row r="13" spans="1:7" x14ac:dyDescent="0.3">
      <c r="A13" s="244"/>
      <c r="B13" s="249" t="s">
        <v>560</v>
      </c>
      <c r="C13" s="244" t="s">
        <v>17</v>
      </c>
      <c r="D13" s="253">
        <v>0.35</v>
      </c>
      <c r="E13" s="244">
        <f>VLOOKUP(B13,Materiales!$B$8:$D$213,3,FALSE)</f>
        <v>15710.58</v>
      </c>
      <c r="F13" s="244">
        <v>0.1</v>
      </c>
      <c r="G13" s="244">
        <f t="shared" ref="G13:G20" si="0">+E13*D13*(1+F13)</f>
        <v>6048.5733</v>
      </c>
    </row>
    <row r="14" spans="1:7" x14ac:dyDescent="0.3">
      <c r="A14" s="244"/>
      <c r="B14" s="249" t="s">
        <v>561</v>
      </c>
      <c r="C14" s="244" t="s">
        <v>17</v>
      </c>
      <c r="D14" s="253">
        <v>1.4999999999999999E-2</v>
      </c>
      <c r="E14" s="244">
        <f>VLOOKUP(B14,Materiales!$B$8:$D$213,3,FALSE)</f>
        <v>13078.33</v>
      </c>
      <c r="F14" s="244">
        <v>0.1</v>
      </c>
      <c r="G14" s="244">
        <f t="shared" si="0"/>
        <v>215.79244500000001</v>
      </c>
    </row>
    <row r="15" spans="1:7" x14ac:dyDescent="0.3">
      <c r="A15" s="244"/>
      <c r="B15" s="249" t="s">
        <v>562</v>
      </c>
      <c r="C15" s="244" t="s">
        <v>17</v>
      </c>
      <c r="D15" s="253">
        <v>0.35</v>
      </c>
      <c r="E15" s="244">
        <f>VLOOKUP(B15,Materiales!$B$8:$D$213,3,FALSE)</f>
        <v>1980.42</v>
      </c>
      <c r="F15" s="244">
        <v>0.1</v>
      </c>
      <c r="G15" s="244">
        <f t="shared" si="0"/>
        <v>762.46169999999995</v>
      </c>
    </row>
    <row r="16" spans="1:7" x14ac:dyDescent="0.3">
      <c r="A16" s="244"/>
      <c r="B16" s="249" t="s">
        <v>563</v>
      </c>
      <c r="C16" s="244" t="s">
        <v>17</v>
      </c>
      <c r="D16" s="253">
        <v>0.03</v>
      </c>
      <c r="E16" s="244">
        <f>VLOOKUP(B16,Materiales!$B$8:$D$213,3,FALSE)</f>
        <v>6314.13</v>
      </c>
      <c r="F16" s="244">
        <v>0.1</v>
      </c>
      <c r="G16" s="244">
        <f t="shared" si="0"/>
        <v>208.36629000000002</v>
      </c>
    </row>
    <row r="17" spans="1:7" x14ac:dyDescent="0.3">
      <c r="A17" s="244"/>
      <c r="B17" s="249" t="s">
        <v>564</v>
      </c>
      <c r="C17" s="244" t="s">
        <v>17</v>
      </c>
      <c r="D17" s="253">
        <v>0.03</v>
      </c>
      <c r="E17" s="244">
        <f>VLOOKUP(B17,Materiales!$B$8:$D$213,3,FALSE)</f>
        <v>6314.13</v>
      </c>
      <c r="F17" s="244">
        <v>0.1</v>
      </c>
      <c r="G17" s="244">
        <f t="shared" si="0"/>
        <v>208.36629000000002</v>
      </c>
    </row>
    <row r="18" spans="1:7" x14ac:dyDescent="0.3">
      <c r="A18" s="244"/>
      <c r="B18" s="249" t="s">
        <v>565</v>
      </c>
      <c r="C18" s="244" t="s">
        <v>17</v>
      </c>
      <c r="D18" s="253">
        <v>0.56999999999999995</v>
      </c>
      <c r="E18" s="244">
        <f>VLOOKUP(B18,Materiales!$B$8:$D$213,3,FALSE)</f>
        <v>1844.8</v>
      </c>
      <c r="F18" s="244">
        <v>0.1</v>
      </c>
      <c r="G18" s="244">
        <f t="shared" si="0"/>
        <v>1156.6895999999999</v>
      </c>
    </row>
    <row r="19" spans="1:7" x14ac:dyDescent="0.3">
      <c r="A19" s="244"/>
      <c r="B19" s="249" t="s">
        <v>567</v>
      </c>
      <c r="C19" s="244" t="s">
        <v>17</v>
      </c>
      <c r="D19" s="253">
        <v>0.3</v>
      </c>
      <c r="E19" s="244">
        <f>VLOOKUP(B19,Materiales!$B$8:$D$213,3,FALSE)</f>
        <v>1747.6</v>
      </c>
      <c r="F19" s="244">
        <v>0.1</v>
      </c>
      <c r="G19" s="244">
        <f t="shared" si="0"/>
        <v>576.70799999999997</v>
      </c>
    </row>
    <row r="20" spans="1:7" x14ac:dyDescent="0.3">
      <c r="A20" s="245"/>
      <c r="B20" s="258" t="s">
        <v>568</v>
      </c>
      <c r="C20" s="245" t="s">
        <v>17</v>
      </c>
      <c r="D20" s="259">
        <v>1.2</v>
      </c>
      <c r="E20" s="244">
        <f>VLOOKUP(B20,Materiales!$B$8:$D$213,3,FALSE)</f>
        <v>90.02</v>
      </c>
      <c r="F20" s="245">
        <v>0.05</v>
      </c>
      <c r="G20" s="244">
        <f t="shared" si="0"/>
        <v>113.42519999999999</v>
      </c>
    </row>
    <row r="21" spans="1:7" x14ac:dyDescent="0.3">
      <c r="A21" s="139"/>
      <c r="B21" s="139"/>
      <c r="C21" s="139"/>
      <c r="D21" s="254"/>
      <c r="E21" s="140"/>
      <c r="F21" s="141" t="s">
        <v>598</v>
      </c>
      <c r="G21" s="142">
        <f>SUM(G12:G20)</f>
        <v>17891.690924999999</v>
      </c>
    </row>
    <row r="22" spans="1:7" x14ac:dyDescent="0.3">
      <c r="A22" s="122"/>
      <c r="B22" s="122"/>
      <c r="C22" s="122"/>
      <c r="E22" s="143"/>
      <c r="F22" s="144" t="s">
        <v>9</v>
      </c>
      <c r="G22" s="156">
        <f>+G21</f>
        <v>17891.690924999999</v>
      </c>
    </row>
    <row r="23" spans="1:7" x14ac:dyDescent="0.3">
      <c r="A23" s="128" t="s">
        <v>599</v>
      </c>
      <c r="B23" s="122"/>
      <c r="C23" s="122"/>
      <c r="E23" s="122"/>
      <c r="F23" s="122"/>
      <c r="G23" s="122"/>
    </row>
    <row r="24" spans="1:7" x14ac:dyDescent="0.3">
      <c r="A24" s="133" t="s">
        <v>79</v>
      </c>
      <c r="B24" s="134" t="s">
        <v>591</v>
      </c>
      <c r="C24" s="134"/>
      <c r="D24" s="252" t="s">
        <v>593</v>
      </c>
      <c r="E24" s="134" t="s">
        <v>600</v>
      </c>
      <c r="F24" s="134" t="s">
        <v>808</v>
      </c>
      <c r="G24" s="135" t="s">
        <v>596</v>
      </c>
    </row>
    <row r="25" spans="1:7" x14ac:dyDescent="0.3">
      <c r="A25" s="243" t="s">
        <v>93</v>
      </c>
      <c r="B25" s="256" t="s">
        <v>94</v>
      </c>
      <c r="C25" s="243" t="s">
        <v>352</v>
      </c>
      <c r="D25" s="257">
        <v>1</v>
      </c>
      <c r="E25" s="243">
        <f>VLOOKUP(B25,'Rend. Equipos'!$B$7:$E$222,2,FALSE)</f>
        <v>0</v>
      </c>
      <c r="F25" s="243">
        <v>0.02</v>
      </c>
      <c r="G25" s="243">
        <f>+E25*D25*F25</f>
        <v>0</v>
      </c>
    </row>
    <row r="26" spans="1:7" x14ac:dyDescent="0.3">
      <c r="A26" s="171"/>
      <c r="B26" s="171"/>
      <c r="C26" s="171"/>
      <c r="D26" s="172"/>
      <c r="E26" s="171"/>
      <c r="F26" s="255"/>
      <c r="G26" s="173"/>
    </row>
    <row r="27" spans="1:7" x14ac:dyDescent="0.3">
      <c r="A27" s="139"/>
      <c r="B27" s="139"/>
      <c r="C27" s="139"/>
      <c r="D27" s="254"/>
      <c r="E27" s="140"/>
      <c r="F27" s="141" t="s">
        <v>602</v>
      </c>
      <c r="G27" s="142">
        <f>SUM(G25:G26)</f>
        <v>0</v>
      </c>
    </row>
    <row r="28" spans="1:7" x14ac:dyDescent="0.3">
      <c r="A28" s="122"/>
      <c r="B28" s="122"/>
      <c r="C28" s="122"/>
      <c r="E28" s="143"/>
      <c r="F28" s="144" t="s">
        <v>11</v>
      </c>
      <c r="G28" s="156">
        <f>+G27/F9</f>
        <v>0</v>
      </c>
    </row>
    <row r="29" spans="1:7" x14ac:dyDescent="0.3">
      <c r="A29" s="128" t="s">
        <v>603</v>
      </c>
      <c r="B29" s="122"/>
      <c r="C29" s="122"/>
      <c r="E29" s="122"/>
      <c r="F29" s="122"/>
      <c r="G29" s="122"/>
    </row>
    <row r="30" spans="1:7" x14ac:dyDescent="0.3">
      <c r="A30" s="133" t="s">
        <v>79</v>
      </c>
      <c r="B30" s="134" t="s">
        <v>591</v>
      </c>
      <c r="C30" s="134"/>
      <c r="D30" s="252" t="s">
        <v>593</v>
      </c>
      <c r="E30" s="134" t="s">
        <v>604</v>
      </c>
      <c r="F30" s="134"/>
      <c r="G30" s="135" t="s">
        <v>596</v>
      </c>
    </row>
    <row r="31" spans="1:7" x14ac:dyDescent="0.3">
      <c r="A31" s="243" t="s">
        <v>255</v>
      </c>
      <c r="B31" s="256" t="s">
        <v>256</v>
      </c>
      <c r="C31" s="243"/>
      <c r="D31" s="257">
        <v>1</v>
      </c>
      <c r="E31" s="243">
        <f>VLOOKUP(B31,'Mano de Obra'!$B$8:$C$100,2,FALSE)</f>
        <v>85927.097156571981</v>
      </c>
      <c r="F31" s="243"/>
      <c r="G31" s="243">
        <f>+E31*D31</f>
        <v>85927.097156571981</v>
      </c>
    </row>
    <row r="32" spans="1:7" x14ac:dyDescent="0.3">
      <c r="A32" s="245" t="s">
        <v>242</v>
      </c>
      <c r="B32" s="258" t="s">
        <v>230</v>
      </c>
      <c r="C32" s="245"/>
      <c r="D32" s="259">
        <v>0.75</v>
      </c>
      <c r="E32" s="245">
        <f>VLOOKUP(B32,'Mano de Obra'!$B$8:$C$100,2,FALSE)</f>
        <v>60860.580776571966</v>
      </c>
      <c r="F32" s="245"/>
      <c r="G32" s="245">
        <f>+E32*D32</f>
        <v>45645.435582428974</v>
      </c>
    </row>
    <row r="33" spans="4:7" x14ac:dyDescent="0.3">
      <c r="D33" s="254"/>
      <c r="E33" s="151"/>
      <c r="F33" s="152" t="s">
        <v>606</v>
      </c>
      <c r="G33" s="153">
        <f>SUM(G31:G32)</f>
        <v>131572.53273900095</v>
      </c>
    </row>
    <row r="34" spans="4:7" x14ac:dyDescent="0.3">
      <c r="E34" s="122"/>
      <c r="F34" s="123" t="s">
        <v>607</v>
      </c>
      <c r="G34" s="130">
        <v>1</v>
      </c>
    </row>
    <row r="35" spans="4:7" x14ac:dyDescent="0.3">
      <c r="E35" s="122"/>
      <c r="F35" s="123" t="s">
        <v>608</v>
      </c>
      <c r="G35" s="130">
        <f>+G34*G33</f>
        <v>131572.53273900095</v>
      </c>
    </row>
    <row r="36" spans="4:7" x14ac:dyDescent="0.3">
      <c r="E36" s="122"/>
      <c r="F36" s="123" t="s">
        <v>10</v>
      </c>
      <c r="G36" s="169">
        <f>+G35/F9</f>
        <v>10964.37772825008</v>
      </c>
    </row>
    <row r="37" spans="4:7" x14ac:dyDescent="0.3">
      <c r="E37" s="122"/>
      <c r="F37" s="123" t="s">
        <v>609</v>
      </c>
      <c r="G37" s="130">
        <f>+G36+G28+G22</f>
        <v>28856.068653250077</v>
      </c>
    </row>
    <row r="38" spans="4:7" x14ac:dyDescent="0.3">
      <c r="E38" s="123" t="s">
        <v>610</v>
      </c>
      <c r="F38" s="198">
        <f>+RESUMEN!$I$2</f>
        <v>0</v>
      </c>
      <c r="G38" s="130">
        <f>IF(F38=0,0,F38*G37)</f>
        <v>0</v>
      </c>
    </row>
    <row r="39" spans="4:7" x14ac:dyDescent="0.3">
      <c r="E39" s="123" t="s">
        <v>611</v>
      </c>
      <c r="F39" s="198">
        <f>+RESUMEN!$I$3</f>
        <v>0</v>
      </c>
      <c r="G39" s="130">
        <f>IF(F39=0,0,F39*G37)</f>
        <v>0</v>
      </c>
    </row>
    <row r="40" spans="4:7" x14ac:dyDescent="0.3">
      <c r="E40" s="151"/>
      <c r="F40" s="152" t="s">
        <v>612</v>
      </c>
      <c r="G40" s="154">
        <f>SUM(G37:G39)</f>
        <v>28856.068653250077</v>
      </c>
    </row>
  </sheetData>
  <pageMargins left="0.7" right="0.7" top="0.75" bottom="0.75" header="0.3" footer="0.3"/>
  <pageSetup paperSize="9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D175-F5CB-4B75-AC7E-C034C5A09DB1}">
  <dimension ref="A2:J37"/>
  <sheetViews>
    <sheetView workbookViewId="0"/>
  </sheetViews>
  <sheetFormatPr defaultColWidth="11.54296875" defaultRowHeight="13" x14ac:dyDescent="0.3"/>
  <cols>
    <col min="1" max="1" width="7.6328125" style="74" customWidth="1"/>
    <col min="2" max="2" width="32.54296875" style="74" customWidth="1"/>
    <col min="3" max="3" width="5.6328125" style="74" customWidth="1"/>
    <col min="4" max="4" width="9" style="33" bestFit="1" customWidth="1"/>
    <col min="5" max="5" width="15.36328125" style="74" bestFit="1" customWidth="1"/>
    <col min="6" max="6" width="9.453125" style="74" customWidth="1"/>
    <col min="7" max="7" width="12.90625" style="74" bestFit="1" customWidth="1"/>
    <col min="8" max="16384" width="11.54296875" style="74"/>
  </cols>
  <sheetData>
    <row r="2" spans="1:10" x14ac:dyDescent="0.3">
      <c r="A2" s="162"/>
      <c r="B2" s="162"/>
      <c r="C2" s="162"/>
      <c r="D2" s="250"/>
      <c r="E2" s="162"/>
      <c r="F2" s="163" t="s">
        <v>78</v>
      </c>
      <c r="G2" s="164">
        <v>45274</v>
      </c>
      <c r="H2" s="162"/>
      <c r="I2" s="162"/>
      <c r="J2" s="162"/>
    </row>
    <row r="3" spans="1:10" ht="15.5" x14ac:dyDescent="0.35">
      <c r="A3" s="165" t="s">
        <v>579</v>
      </c>
      <c r="B3" s="166"/>
      <c r="C3" s="166"/>
      <c r="D3" s="251"/>
      <c r="E3" s="166"/>
      <c r="F3" s="166"/>
      <c r="G3" s="166"/>
      <c r="H3" s="162"/>
      <c r="I3" s="162"/>
      <c r="J3" s="162"/>
    </row>
    <row r="4" spans="1:10" x14ac:dyDescent="0.3">
      <c r="A4" s="122"/>
      <c r="B4" s="122"/>
      <c r="C4" s="122"/>
      <c r="E4" s="122"/>
      <c r="F4" s="123" t="s">
        <v>580</v>
      </c>
      <c r="G4" s="126">
        <v>123</v>
      </c>
      <c r="H4" s="162"/>
      <c r="I4" s="162"/>
      <c r="J4" s="162"/>
    </row>
    <row r="5" spans="1:10" x14ac:dyDescent="0.3">
      <c r="A5" s="127" t="s">
        <v>581</v>
      </c>
      <c r="B5" s="306" t="s">
        <v>801</v>
      </c>
      <c r="C5" s="307"/>
      <c r="D5" s="307"/>
      <c r="E5" s="307"/>
      <c r="F5" s="307"/>
      <c r="G5" s="307"/>
      <c r="H5" s="162"/>
      <c r="I5" s="162"/>
      <c r="J5" s="162"/>
    </row>
    <row r="6" spans="1:10" x14ac:dyDescent="0.3">
      <c r="A6" s="128" t="s">
        <v>582</v>
      </c>
      <c r="B6" s="129" t="s">
        <v>802</v>
      </c>
      <c r="C6" s="122"/>
      <c r="E6" s="122"/>
      <c r="F6" s="123" t="s">
        <v>583</v>
      </c>
      <c r="G6" s="130" t="s">
        <v>24</v>
      </c>
      <c r="H6" s="162"/>
      <c r="I6" s="162"/>
      <c r="J6" s="162"/>
    </row>
    <row r="7" spans="1:10" ht="15.5" x14ac:dyDescent="0.3">
      <c r="A7" s="197" t="s">
        <v>584</v>
      </c>
      <c r="B7" s="305" t="s">
        <v>846</v>
      </c>
      <c r="C7" s="305"/>
      <c r="D7" s="305"/>
      <c r="E7" s="305"/>
      <c r="F7" s="305"/>
      <c r="G7" s="305"/>
      <c r="H7" s="162"/>
      <c r="I7" s="162"/>
      <c r="J7" s="162"/>
    </row>
    <row r="8" spans="1:10" x14ac:dyDescent="0.3">
      <c r="A8" s="128"/>
      <c r="B8" s="122"/>
      <c r="C8" s="131" t="s">
        <v>586</v>
      </c>
      <c r="E8" s="131" t="s">
        <v>587</v>
      </c>
      <c r="F8" s="128" t="s">
        <v>588</v>
      </c>
      <c r="G8" s="122"/>
      <c r="H8" s="162"/>
      <c r="I8" s="162"/>
      <c r="J8" s="162"/>
    </row>
    <row r="9" spans="1:10" x14ac:dyDescent="0.3">
      <c r="A9" s="122"/>
      <c r="B9" s="122"/>
      <c r="C9" s="132" t="s">
        <v>59</v>
      </c>
      <c r="E9" s="241"/>
      <c r="F9" s="242">
        <v>12</v>
      </c>
      <c r="G9" s="162" t="s">
        <v>615</v>
      </c>
      <c r="H9" s="162"/>
      <c r="I9" s="162"/>
      <c r="J9" s="162"/>
    </row>
    <row r="10" spans="1:10" x14ac:dyDescent="0.3">
      <c r="A10" s="128" t="s">
        <v>590</v>
      </c>
      <c r="B10" s="122"/>
      <c r="C10" s="122"/>
      <c r="E10" s="122"/>
      <c r="F10" s="122"/>
      <c r="G10" s="122"/>
      <c r="H10" s="162"/>
      <c r="I10" s="162"/>
      <c r="J10" s="162"/>
    </row>
    <row r="11" spans="1:10" x14ac:dyDescent="0.3">
      <c r="A11" s="133" t="s">
        <v>79</v>
      </c>
      <c r="B11" s="134" t="s">
        <v>591</v>
      </c>
      <c r="C11" s="134" t="s">
        <v>592</v>
      </c>
      <c r="D11" s="252" t="s">
        <v>593</v>
      </c>
      <c r="E11" s="134" t="s">
        <v>594</v>
      </c>
      <c r="F11" s="134" t="s">
        <v>595</v>
      </c>
      <c r="G11" s="135" t="s">
        <v>596</v>
      </c>
      <c r="H11" s="167"/>
      <c r="I11" s="167"/>
      <c r="J11" s="167"/>
    </row>
    <row r="12" spans="1:10" x14ac:dyDescent="0.3">
      <c r="A12" s="243"/>
      <c r="B12" s="308" t="s">
        <v>524</v>
      </c>
      <c r="C12" s="243" t="s">
        <v>59</v>
      </c>
      <c r="D12" s="257">
        <v>1</v>
      </c>
      <c r="E12" s="243">
        <f>VLOOKUP(B12,Materiales!$B$8:$D$199,3,FALSE)</f>
        <v>137000</v>
      </c>
      <c r="F12" s="243">
        <v>0.1</v>
      </c>
      <c r="G12" s="243">
        <f>+E12*D12*(1+F12)</f>
        <v>150700</v>
      </c>
      <c r="H12" s="162"/>
      <c r="I12" s="162"/>
      <c r="J12" s="162"/>
    </row>
    <row r="13" spans="1:10" x14ac:dyDescent="0.3">
      <c r="A13" s="244"/>
      <c r="B13" s="310" t="s">
        <v>847</v>
      </c>
      <c r="C13" s="244" t="s">
        <v>403</v>
      </c>
      <c r="D13" s="314">
        <v>85</v>
      </c>
      <c r="E13" s="244" t="e">
        <f>VLOOKUP(B13,Materiales!$B$8:$D$199,3,FALSE)</f>
        <v>#N/A</v>
      </c>
      <c r="F13" s="313">
        <v>0.1</v>
      </c>
      <c r="G13" s="244" t="e">
        <f t="shared" ref="G13:G17" si="0">+E13*D13*(1+F13)</f>
        <v>#N/A</v>
      </c>
      <c r="H13" s="162"/>
      <c r="I13" s="311">
        <v>1050</v>
      </c>
      <c r="J13" s="162" t="s">
        <v>848</v>
      </c>
    </row>
    <row r="14" spans="1:10" x14ac:dyDescent="0.3">
      <c r="A14" s="244"/>
      <c r="B14" s="249" t="s">
        <v>849</v>
      </c>
      <c r="C14" s="244" t="s">
        <v>17</v>
      </c>
      <c r="D14" s="253">
        <v>16</v>
      </c>
      <c r="E14" s="244" t="e">
        <f>VLOOKUP(B14,Materiales!$B$8:$D$213,3,FALSE)</f>
        <v>#N/A</v>
      </c>
      <c r="F14" s="244">
        <v>0.1</v>
      </c>
      <c r="G14" s="244" t="e">
        <f t="shared" si="0"/>
        <v>#N/A</v>
      </c>
      <c r="H14" s="162"/>
      <c r="I14" s="162"/>
      <c r="J14" s="162"/>
    </row>
    <row r="15" spans="1:10" x14ac:dyDescent="0.3">
      <c r="A15" s="244"/>
      <c r="B15" s="249" t="s">
        <v>850</v>
      </c>
      <c r="C15" s="244" t="s">
        <v>17</v>
      </c>
      <c r="D15" s="253">
        <v>32</v>
      </c>
      <c r="E15" s="244" t="e">
        <f>VLOOKUP(B15,Materiales!$B$8:$D$213,3,FALSE)</f>
        <v>#N/A</v>
      </c>
      <c r="F15" s="244">
        <v>0.1</v>
      </c>
      <c r="G15" s="244" t="e">
        <f t="shared" si="0"/>
        <v>#N/A</v>
      </c>
      <c r="H15" s="162"/>
      <c r="I15" s="162"/>
      <c r="J15" s="162"/>
    </row>
    <row r="16" spans="1:10" x14ac:dyDescent="0.3">
      <c r="A16" s="244"/>
      <c r="B16" s="249" t="s">
        <v>851</v>
      </c>
      <c r="C16" s="244" t="s">
        <v>17</v>
      </c>
      <c r="D16" s="253">
        <v>16</v>
      </c>
      <c r="E16" s="244" t="e">
        <f>VLOOKUP(B16,Materiales!$B$8:$D$213,3,FALSE)</f>
        <v>#N/A</v>
      </c>
      <c r="F16" s="244">
        <v>0.1</v>
      </c>
      <c r="G16" s="244" t="e">
        <f t="shared" si="0"/>
        <v>#N/A</v>
      </c>
      <c r="H16" s="162"/>
      <c r="I16" s="162"/>
      <c r="J16" s="162"/>
    </row>
    <row r="17" spans="1:7" x14ac:dyDescent="0.3">
      <c r="A17" s="244"/>
      <c r="B17" s="249" t="s">
        <v>852</v>
      </c>
      <c r="C17" s="244" t="s">
        <v>17</v>
      </c>
      <c r="D17" s="253">
        <v>6</v>
      </c>
      <c r="E17" s="244" t="e">
        <f>VLOOKUP(B17,Materiales!$B$8:$D$213,3,FALSE)</f>
        <v>#N/A</v>
      </c>
      <c r="F17" s="244">
        <v>0.1</v>
      </c>
      <c r="G17" s="244" t="e">
        <f t="shared" si="0"/>
        <v>#N/A</v>
      </c>
    </row>
    <row r="18" spans="1:7" x14ac:dyDescent="0.3">
      <c r="A18" s="139"/>
      <c r="B18" s="139"/>
      <c r="C18" s="139"/>
      <c r="D18" s="254"/>
      <c r="E18" s="140"/>
      <c r="F18" s="141" t="s">
        <v>598</v>
      </c>
      <c r="G18" s="142" t="e">
        <f>SUM(G12:G17)</f>
        <v>#N/A</v>
      </c>
    </row>
    <row r="19" spans="1:7" x14ac:dyDescent="0.3">
      <c r="A19" s="122"/>
      <c r="B19" s="122"/>
      <c r="C19" s="122"/>
      <c r="E19" s="143"/>
      <c r="F19" s="144" t="s">
        <v>9</v>
      </c>
      <c r="G19" s="156" t="e">
        <f>+G18</f>
        <v>#N/A</v>
      </c>
    </row>
    <row r="20" spans="1:7" x14ac:dyDescent="0.3">
      <c r="A20" s="128" t="s">
        <v>599</v>
      </c>
      <c r="B20" s="122"/>
      <c r="C20" s="122"/>
      <c r="E20" s="122"/>
      <c r="F20" s="122"/>
      <c r="G20" s="122"/>
    </row>
    <row r="21" spans="1:7" x14ac:dyDescent="0.3">
      <c r="A21" s="133" t="s">
        <v>79</v>
      </c>
      <c r="B21" s="134" t="s">
        <v>591</v>
      </c>
      <c r="C21" s="134"/>
      <c r="D21" s="252" t="s">
        <v>593</v>
      </c>
      <c r="E21" s="134" t="s">
        <v>600</v>
      </c>
      <c r="F21" s="134" t="s">
        <v>808</v>
      </c>
      <c r="G21" s="135" t="s">
        <v>596</v>
      </c>
    </row>
    <row r="22" spans="1:7" x14ac:dyDescent="0.3">
      <c r="A22" s="243" t="s">
        <v>93</v>
      </c>
      <c r="B22" s="256" t="s">
        <v>94</v>
      </c>
      <c r="C22" s="243" t="s">
        <v>352</v>
      </c>
      <c r="D22" s="257">
        <v>1</v>
      </c>
      <c r="E22" s="243">
        <f>VLOOKUP(B22,'Rend. Equipos'!$B$7:$E$222,2,FALSE)</f>
        <v>0</v>
      </c>
      <c r="F22" s="243">
        <v>0.02</v>
      </c>
      <c r="G22" s="243">
        <f>+E22*D22*F22</f>
        <v>0</v>
      </c>
    </row>
    <row r="23" spans="1:7" x14ac:dyDescent="0.3">
      <c r="A23" s="171"/>
      <c r="B23" s="171"/>
      <c r="C23" s="171"/>
      <c r="D23" s="172"/>
      <c r="E23" s="171"/>
      <c r="F23" s="255"/>
      <c r="G23" s="173"/>
    </row>
    <row r="24" spans="1:7" x14ac:dyDescent="0.3">
      <c r="A24" s="139"/>
      <c r="B24" s="139"/>
      <c r="C24" s="139"/>
      <c r="D24" s="254"/>
      <c r="E24" s="140"/>
      <c r="F24" s="141" t="s">
        <v>602</v>
      </c>
      <c r="G24" s="142">
        <f>SUM(G22:G23)</f>
        <v>0</v>
      </c>
    </row>
    <row r="25" spans="1:7" x14ac:dyDescent="0.3">
      <c r="A25" s="122"/>
      <c r="B25" s="122"/>
      <c r="C25" s="122"/>
      <c r="E25" s="143"/>
      <c r="F25" s="144" t="s">
        <v>11</v>
      </c>
      <c r="G25" s="156">
        <f>+G24/F9</f>
        <v>0</v>
      </c>
    </row>
    <row r="26" spans="1:7" x14ac:dyDescent="0.3">
      <c r="A26" s="128" t="s">
        <v>603</v>
      </c>
      <c r="B26" s="122"/>
      <c r="C26" s="122"/>
      <c r="E26" s="122"/>
      <c r="F26" s="122"/>
      <c r="G26" s="122"/>
    </row>
    <row r="27" spans="1:7" x14ac:dyDescent="0.3">
      <c r="A27" s="133" t="s">
        <v>79</v>
      </c>
      <c r="B27" s="134" t="s">
        <v>591</v>
      </c>
      <c r="C27" s="134"/>
      <c r="D27" s="252" t="s">
        <v>593</v>
      </c>
      <c r="E27" s="134" t="s">
        <v>604</v>
      </c>
      <c r="F27" s="134"/>
      <c r="G27" s="135" t="s">
        <v>596</v>
      </c>
    </row>
    <row r="28" spans="1:7" x14ac:dyDescent="0.3">
      <c r="A28" s="243" t="s">
        <v>255</v>
      </c>
      <c r="B28" s="256" t="s">
        <v>256</v>
      </c>
      <c r="C28" s="243"/>
      <c r="D28" s="257">
        <v>1</v>
      </c>
      <c r="E28" s="243">
        <f>VLOOKUP(B28,'Mano de Obra'!$B$8:$C$100,2,FALSE)</f>
        <v>85927.097156571981</v>
      </c>
      <c r="F28" s="243"/>
      <c r="G28" s="243">
        <f>+E28*D28</f>
        <v>85927.097156571981</v>
      </c>
    </row>
    <row r="29" spans="1:7" x14ac:dyDescent="0.3">
      <c r="A29" s="245" t="s">
        <v>242</v>
      </c>
      <c r="B29" s="258" t="s">
        <v>230</v>
      </c>
      <c r="C29" s="245"/>
      <c r="D29" s="259">
        <v>0.75</v>
      </c>
      <c r="E29" s="245">
        <f>VLOOKUP(B29,'Mano de Obra'!$B$8:$C$100,2,FALSE)</f>
        <v>60860.580776571966</v>
      </c>
      <c r="F29" s="245"/>
      <c r="G29" s="245">
        <f>+E29*D29</f>
        <v>45645.435582428974</v>
      </c>
    </row>
    <row r="30" spans="1:7" x14ac:dyDescent="0.3">
      <c r="A30" s="139"/>
      <c r="B30" s="139"/>
      <c r="C30" s="139"/>
      <c r="D30" s="254"/>
      <c r="E30" s="151"/>
      <c r="F30" s="152" t="s">
        <v>606</v>
      </c>
      <c r="G30" s="153">
        <f>SUM(G28:G29)</f>
        <v>131572.53273900095</v>
      </c>
    </row>
    <row r="31" spans="1:7" x14ac:dyDescent="0.3">
      <c r="A31" s="122"/>
      <c r="B31" s="122"/>
      <c r="C31" s="122"/>
      <c r="E31" s="122"/>
      <c r="F31" s="123" t="s">
        <v>607</v>
      </c>
      <c r="G31" s="130">
        <v>1</v>
      </c>
    </row>
    <row r="32" spans="1:7" x14ac:dyDescent="0.3">
      <c r="A32" s="122"/>
      <c r="B32" s="122"/>
      <c r="C32" s="122"/>
      <c r="E32" s="122"/>
      <c r="F32" s="123" t="s">
        <v>608</v>
      </c>
      <c r="G32" s="130">
        <f>+G31*G30</f>
        <v>131572.53273900095</v>
      </c>
    </row>
    <row r="33" spans="5:7" x14ac:dyDescent="0.3">
      <c r="E33" s="122"/>
      <c r="F33" s="123" t="s">
        <v>10</v>
      </c>
      <c r="G33" s="169">
        <f>+G32/F9</f>
        <v>10964.37772825008</v>
      </c>
    </row>
    <row r="34" spans="5:7" x14ac:dyDescent="0.3">
      <c r="E34" s="122"/>
      <c r="F34" s="123" t="s">
        <v>609</v>
      </c>
      <c r="G34" s="130" t="e">
        <f>+G33+G25+G19</f>
        <v>#N/A</v>
      </c>
    </row>
    <row r="35" spans="5:7" x14ac:dyDescent="0.3">
      <c r="E35" s="123" t="s">
        <v>610</v>
      </c>
      <c r="F35" s="198">
        <f>+RESUMEN!$I$2</f>
        <v>0</v>
      </c>
      <c r="G35" s="130">
        <f>IF(F35=0,0,F35*G34)</f>
        <v>0</v>
      </c>
    </row>
    <row r="36" spans="5:7" x14ac:dyDescent="0.3">
      <c r="E36" s="123" t="s">
        <v>611</v>
      </c>
      <c r="F36" s="198">
        <f>+RESUMEN!$I$3</f>
        <v>0</v>
      </c>
      <c r="G36" s="130">
        <f>IF(F36=0,0,F36*G34)</f>
        <v>0</v>
      </c>
    </row>
    <row r="37" spans="5:7" x14ac:dyDescent="0.3">
      <c r="E37" s="151"/>
      <c r="F37" s="152" t="s">
        <v>612</v>
      </c>
      <c r="G37" s="154" t="e">
        <f>SUM(G34:G36)</f>
        <v>#N/A</v>
      </c>
    </row>
  </sheetData>
  <pageMargins left="0.7" right="0.7" top="0.75" bottom="0.75" header="0.3" footer="0.3"/>
  <pageSetup paperSize="9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7414-435F-477E-9AF4-33BB32D3B30A}">
  <dimension ref="A2:J39"/>
  <sheetViews>
    <sheetView workbookViewId="0"/>
  </sheetViews>
  <sheetFormatPr defaultColWidth="11.54296875" defaultRowHeight="13" x14ac:dyDescent="0.3"/>
  <cols>
    <col min="1" max="1" width="7.6328125" style="74" customWidth="1"/>
    <col min="2" max="2" width="32.54296875" style="74" customWidth="1"/>
    <col min="3" max="3" width="7.08984375" style="74" bestFit="1" customWidth="1"/>
    <col min="4" max="4" width="9" style="33" bestFit="1" customWidth="1"/>
    <col min="5" max="5" width="15.36328125" style="74" bestFit="1" customWidth="1"/>
    <col min="6" max="6" width="9.453125" style="74" customWidth="1"/>
    <col min="7" max="7" width="10" style="74" bestFit="1" customWidth="1"/>
    <col min="8" max="16384" width="11.54296875" style="74"/>
  </cols>
  <sheetData>
    <row r="2" spans="1:10" x14ac:dyDescent="0.3">
      <c r="A2" s="162"/>
      <c r="B2" s="162"/>
      <c r="C2" s="162"/>
      <c r="D2" s="250"/>
      <c r="E2" s="162"/>
      <c r="F2" s="163" t="s">
        <v>78</v>
      </c>
      <c r="G2" s="164">
        <v>45274</v>
      </c>
      <c r="H2" s="162"/>
      <c r="I2" s="162"/>
      <c r="J2" s="162"/>
    </row>
    <row r="3" spans="1:10" ht="15.5" x14ac:dyDescent="0.35">
      <c r="A3" s="165" t="s">
        <v>579</v>
      </c>
      <c r="B3" s="166"/>
      <c r="C3" s="166"/>
      <c r="D3" s="251"/>
      <c r="E3" s="166"/>
      <c r="F3" s="166"/>
      <c r="G3" s="166"/>
      <c r="H3" s="162"/>
      <c r="I3" s="162"/>
      <c r="J3" s="162"/>
    </row>
    <row r="4" spans="1:10" x14ac:dyDescent="0.3">
      <c r="A4" s="122"/>
      <c r="B4" s="122"/>
      <c r="C4" s="122"/>
      <c r="E4" s="122"/>
      <c r="F4" s="123" t="s">
        <v>580</v>
      </c>
      <c r="G4" s="126">
        <v>124</v>
      </c>
      <c r="H4" s="162"/>
      <c r="I4" s="162"/>
      <c r="J4" s="162"/>
    </row>
    <row r="5" spans="1:10" x14ac:dyDescent="0.3">
      <c r="A5" s="127" t="s">
        <v>581</v>
      </c>
      <c r="B5" s="306" t="s">
        <v>801</v>
      </c>
      <c r="C5" s="307"/>
      <c r="D5" s="307"/>
      <c r="E5" s="307"/>
      <c r="F5" s="307"/>
      <c r="G5" s="307"/>
      <c r="H5" s="162"/>
      <c r="I5" s="162"/>
      <c r="J5" s="162"/>
    </row>
    <row r="6" spans="1:10" x14ac:dyDescent="0.3">
      <c r="A6" s="128" t="s">
        <v>582</v>
      </c>
      <c r="B6" s="129" t="s">
        <v>802</v>
      </c>
      <c r="C6" s="122"/>
      <c r="E6" s="122"/>
      <c r="F6" s="123" t="s">
        <v>583</v>
      </c>
      <c r="G6" s="130" t="s">
        <v>24</v>
      </c>
      <c r="H6" s="162"/>
      <c r="I6" s="162"/>
      <c r="J6" s="162"/>
    </row>
    <row r="7" spans="1:10" ht="15.5" x14ac:dyDescent="0.3">
      <c r="A7" s="197" t="s">
        <v>584</v>
      </c>
      <c r="B7" s="305" t="s">
        <v>853</v>
      </c>
      <c r="C7" s="305"/>
      <c r="D7" s="305"/>
      <c r="E7" s="305"/>
      <c r="F7" s="305"/>
      <c r="G7" s="305"/>
      <c r="H7" s="162"/>
      <c r="I7" s="162"/>
      <c r="J7" s="162"/>
    </row>
    <row r="8" spans="1:10" x14ac:dyDescent="0.3">
      <c r="A8" s="128"/>
      <c r="B8" s="122" t="s">
        <v>854</v>
      </c>
      <c r="C8" s="131" t="s">
        <v>586</v>
      </c>
      <c r="E8" s="131" t="s">
        <v>587</v>
      </c>
      <c r="F8" s="128" t="s">
        <v>588</v>
      </c>
      <c r="G8" s="122"/>
      <c r="H8" s="162"/>
      <c r="I8" s="162"/>
      <c r="J8" s="162"/>
    </row>
    <row r="9" spans="1:10" x14ac:dyDescent="0.3">
      <c r="A9" s="122"/>
      <c r="B9" s="122"/>
      <c r="C9" s="132" t="s">
        <v>59</v>
      </c>
      <c r="E9" s="241"/>
      <c r="F9" s="242">
        <v>12</v>
      </c>
      <c r="G9" s="162" t="s">
        <v>615</v>
      </c>
      <c r="H9" s="162"/>
      <c r="I9" s="162"/>
      <c r="J9" s="162"/>
    </row>
    <row r="10" spans="1:10" x14ac:dyDescent="0.3">
      <c r="A10" s="128" t="s">
        <v>590</v>
      </c>
      <c r="B10" s="122"/>
      <c r="C10" s="122"/>
      <c r="E10" s="122"/>
      <c r="F10" s="122"/>
      <c r="G10" s="122"/>
      <c r="H10" s="162"/>
      <c r="I10" s="162"/>
      <c r="J10" s="162"/>
    </row>
    <row r="11" spans="1:10" x14ac:dyDescent="0.3">
      <c r="A11" s="435" t="s">
        <v>79</v>
      </c>
      <c r="B11" s="261" t="s">
        <v>591</v>
      </c>
      <c r="C11" s="261" t="s">
        <v>592</v>
      </c>
      <c r="D11" s="261" t="s">
        <v>593</v>
      </c>
      <c r="E11" s="261" t="s">
        <v>594</v>
      </c>
      <c r="F11" s="261" t="s">
        <v>595</v>
      </c>
      <c r="G11" s="261" t="s">
        <v>596</v>
      </c>
      <c r="H11" s="399" t="s">
        <v>597</v>
      </c>
      <c r="I11" s="167"/>
      <c r="J11" s="167"/>
    </row>
    <row r="12" spans="1:10" x14ac:dyDescent="0.3">
      <c r="A12" s="243"/>
      <c r="B12" s="308" t="s">
        <v>524</v>
      </c>
      <c r="C12" s="243" t="s">
        <v>59</v>
      </c>
      <c r="D12" s="257">
        <v>1</v>
      </c>
      <c r="E12" s="243">
        <f>VLOOKUP(B12,Materiales!$B$8:$D$199,3,FALSE)</f>
        <v>137000</v>
      </c>
      <c r="F12" s="243">
        <v>5</v>
      </c>
      <c r="G12" s="465">
        <f>+D12*E12*((F12+100)/100)</f>
        <v>143850</v>
      </c>
      <c r="H12" s="162"/>
      <c r="I12" s="162"/>
      <c r="J12" s="162"/>
    </row>
    <row r="13" spans="1:10" x14ac:dyDescent="0.3">
      <c r="A13" s="244"/>
      <c r="B13" s="310" t="s">
        <v>527</v>
      </c>
      <c r="C13" s="244" t="s">
        <v>59</v>
      </c>
      <c r="D13" s="253">
        <v>1</v>
      </c>
      <c r="E13" s="243">
        <f>VLOOKUP(B13,Materiales!$B$8:$D$199,3,FALSE)</f>
        <v>5000</v>
      </c>
      <c r="F13" s="244">
        <v>5</v>
      </c>
      <c r="G13" s="465">
        <f t="shared" ref="G13:G19" si="0">+D13*E13*((F13+100)/100)</f>
        <v>5250</v>
      </c>
      <c r="H13" s="162"/>
      <c r="I13" s="162"/>
      <c r="J13" s="162"/>
    </row>
    <row r="14" spans="1:10" x14ac:dyDescent="0.3">
      <c r="A14" s="244"/>
      <c r="B14" s="310" t="s">
        <v>526</v>
      </c>
      <c r="C14" s="244" t="s">
        <v>352</v>
      </c>
      <c r="D14" s="253"/>
      <c r="E14" s="243">
        <f>VLOOKUP(B14,Materiales!$B$8:$D$199,3,FALSE)</f>
        <v>500000</v>
      </c>
      <c r="F14" s="244"/>
      <c r="G14" s="465">
        <f t="shared" si="0"/>
        <v>0</v>
      </c>
      <c r="H14" s="162"/>
      <c r="I14" s="162"/>
      <c r="J14" s="162"/>
    </row>
    <row r="15" spans="1:10" x14ac:dyDescent="0.3">
      <c r="A15" s="244"/>
      <c r="B15" s="310" t="s">
        <v>855</v>
      </c>
      <c r="C15" s="244" t="s">
        <v>403</v>
      </c>
      <c r="D15" s="312">
        <v>85</v>
      </c>
      <c r="E15" s="244" t="e">
        <f>VLOOKUP(B15,Materiales!$B$8:$D$199,3,FALSE)</f>
        <v>#N/A</v>
      </c>
      <c r="F15" s="244">
        <v>0.1</v>
      </c>
      <c r="G15" s="465" t="e">
        <f t="shared" si="0"/>
        <v>#N/A</v>
      </c>
      <c r="H15" s="162"/>
      <c r="I15" s="311">
        <v>1050</v>
      </c>
      <c r="J15" s="162" t="s">
        <v>848</v>
      </c>
    </row>
    <row r="16" spans="1:10" x14ac:dyDescent="0.3">
      <c r="A16" s="244"/>
      <c r="B16" s="249" t="s">
        <v>849</v>
      </c>
      <c r="C16" s="244" t="s">
        <v>17</v>
      </c>
      <c r="D16" s="253">
        <v>16</v>
      </c>
      <c r="E16" s="244" t="e">
        <f>VLOOKUP(B16,Materiales!$B$8:$D$213,3,FALSE)</f>
        <v>#N/A</v>
      </c>
      <c r="F16" s="244">
        <v>0.1</v>
      </c>
      <c r="G16" s="465" t="e">
        <f t="shared" si="0"/>
        <v>#N/A</v>
      </c>
      <c r="H16" s="162"/>
      <c r="I16" s="162"/>
      <c r="J16" s="162"/>
    </row>
    <row r="17" spans="1:10" x14ac:dyDescent="0.3">
      <c r="A17" s="244"/>
      <c r="B17" s="249" t="s">
        <v>850</v>
      </c>
      <c r="C17" s="244" t="s">
        <v>17</v>
      </c>
      <c r="D17" s="253">
        <v>32</v>
      </c>
      <c r="E17" s="244" t="e">
        <f>VLOOKUP(B17,Materiales!$B$8:$D$213,3,FALSE)</f>
        <v>#N/A</v>
      </c>
      <c r="F17" s="244">
        <v>0.1</v>
      </c>
      <c r="G17" s="465" t="e">
        <f t="shared" si="0"/>
        <v>#N/A</v>
      </c>
      <c r="H17" s="162"/>
      <c r="I17" s="162"/>
      <c r="J17" s="162"/>
    </row>
    <row r="18" spans="1:10" x14ac:dyDescent="0.3">
      <c r="A18" s="244"/>
      <c r="B18" s="249" t="s">
        <v>851</v>
      </c>
      <c r="C18" s="244" t="s">
        <v>17</v>
      </c>
      <c r="D18" s="253">
        <v>16</v>
      </c>
      <c r="E18" s="244" t="e">
        <f>VLOOKUP(B18,Materiales!$B$8:$D$213,3,FALSE)</f>
        <v>#N/A</v>
      </c>
      <c r="F18" s="244">
        <v>0.1</v>
      </c>
      <c r="G18" s="465" t="e">
        <f t="shared" si="0"/>
        <v>#N/A</v>
      </c>
      <c r="H18" s="162"/>
      <c r="I18" s="162"/>
      <c r="J18" s="162"/>
    </row>
    <row r="19" spans="1:10" x14ac:dyDescent="0.3">
      <c r="A19" s="244"/>
      <c r="B19" s="249" t="s">
        <v>856</v>
      </c>
      <c r="C19" s="244" t="s">
        <v>17</v>
      </c>
      <c r="D19" s="253">
        <v>6</v>
      </c>
      <c r="E19" s="244" t="e">
        <f>VLOOKUP(B19,Materiales!$B$8:$D$213,3,FALSE)</f>
        <v>#N/A</v>
      </c>
      <c r="F19" s="244">
        <v>0.1</v>
      </c>
      <c r="G19" s="465" t="e">
        <f t="shared" si="0"/>
        <v>#N/A</v>
      </c>
      <c r="H19" s="162"/>
      <c r="I19" s="162"/>
      <c r="J19" s="162"/>
    </row>
    <row r="20" spans="1:10" x14ac:dyDescent="0.3">
      <c r="A20" s="139"/>
      <c r="B20" s="139"/>
      <c r="C20" s="139"/>
      <c r="D20" s="254"/>
      <c r="E20" s="140"/>
      <c r="F20" s="141" t="s">
        <v>598</v>
      </c>
      <c r="G20" s="142" t="e">
        <f>SUM(G12:G19)</f>
        <v>#N/A</v>
      </c>
      <c r="H20" s="162"/>
      <c r="I20" s="162"/>
      <c r="J20" s="162"/>
    </row>
    <row r="21" spans="1:10" x14ac:dyDescent="0.3">
      <c r="A21" s="122"/>
      <c r="B21" s="122"/>
      <c r="C21" s="122"/>
      <c r="E21" s="143"/>
      <c r="F21" s="144" t="s">
        <v>9</v>
      </c>
      <c r="G21" s="156" t="e">
        <f>+G20</f>
        <v>#N/A</v>
      </c>
      <c r="H21" s="162"/>
      <c r="I21" s="162"/>
      <c r="J21" s="162"/>
    </row>
    <row r="22" spans="1:10" x14ac:dyDescent="0.3">
      <c r="A22" s="128" t="s">
        <v>599</v>
      </c>
      <c r="B22" s="122"/>
      <c r="C22" s="122"/>
      <c r="E22" s="122"/>
      <c r="F22" s="122"/>
      <c r="G22" s="122"/>
      <c r="H22" s="162"/>
      <c r="I22" s="162"/>
      <c r="J22" s="162"/>
    </row>
    <row r="23" spans="1:10" x14ac:dyDescent="0.3">
      <c r="A23" s="133" t="s">
        <v>79</v>
      </c>
      <c r="B23" s="134" t="s">
        <v>591</v>
      </c>
      <c r="C23" s="134"/>
      <c r="D23" s="252" t="s">
        <v>593</v>
      </c>
      <c r="E23" s="134" t="s">
        <v>600</v>
      </c>
      <c r="F23" s="134" t="s">
        <v>808</v>
      </c>
      <c r="G23" s="135" t="s">
        <v>596</v>
      </c>
      <c r="H23" s="162"/>
      <c r="I23" s="162"/>
      <c r="J23" s="162"/>
    </row>
    <row r="24" spans="1:10" x14ac:dyDescent="0.3">
      <c r="A24" s="243" t="s">
        <v>93</v>
      </c>
      <c r="B24" s="256" t="s">
        <v>94</v>
      </c>
      <c r="C24" s="243" t="s">
        <v>352</v>
      </c>
      <c r="D24" s="257">
        <v>1</v>
      </c>
      <c r="E24" s="243">
        <f>VLOOKUP(B24,'Rend. Equipos'!$B$7:$E$222,2,FALSE)</f>
        <v>0</v>
      </c>
      <c r="F24" s="243">
        <v>0.02</v>
      </c>
      <c r="G24" s="243">
        <f>+E24*D24*F24</f>
        <v>0</v>
      </c>
      <c r="H24" s="162"/>
      <c r="I24" s="162"/>
      <c r="J24" s="162"/>
    </row>
    <row r="25" spans="1:10" x14ac:dyDescent="0.3">
      <c r="A25" s="171"/>
      <c r="B25" s="171"/>
      <c r="C25" s="171"/>
      <c r="D25" s="172"/>
      <c r="E25" s="171"/>
      <c r="F25" s="255"/>
      <c r="G25" s="173"/>
      <c r="H25" s="162"/>
      <c r="I25" s="162"/>
      <c r="J25" s="162"/>
    </row>
    <row r="26" spans="1:10" x14ac:dyDescent="0.3">
      <c r="A26" s="139"/>
      <c r="B26" s="139"/>
      <c r="C26" s="139"/>
      <c r="D26" s="254"/>
      <c r="E26" s="140"/>
      <c r="F26" s="141" t="s">
        <v>602</v>
      </c>
      <c r="G26" s="142">
        <f>SUM(G24:G25)</f>
        <v>0</v>
      </c>
      <c r="H26" s="162"/>
      <c r="I26" s="162"/>
      <c r="J26" s="162"/>
    </row>
    <row r="27" spans="1:10" x14ac:dyDescent="0.3">
      <c r="A27" s="122"/>
      <c r="B27" s="122"/>
      <c r="C27" s="122"/>
      <c r="E27" s="143"/>
      <c r="F27" s="144" t="s">
        <v>11</v>
      </c>
      <c r="G27" s="156">
        <f>+G26/F9</f>
        <v>0</v>
      </c>
      <c r="H27" s="167"/>
      <c r="I27" s="167"/>
      <c r="J27" s="167"/>
    </row>
    <row r="28" spans="1:10" x14ac:dyDescent="0.3">
      <c r="A28" s="128" t="s">
        <v>603</v>
      </c>
      <c r="B28" s="122"/>
      <c r="C28" s="122"/>
      <c r="E28" s="122"/>
      <c r="F28" s="122"/>
      <c r="G28" s="122"/>
      <c r="H28" s="162"/>
      <c r="I28" s="162"/>
      <c r="J28" s="162"/>
    </row>
    <row r="29" spans="1:10" x14ac:dyDescent="0.3">
      <c r="A29" s="133" t="s">
        <v>79</v>
      </c>
      <c r="B29" s="134" t="s">
        <v>591</v>
      </c>
      <c r="C29" s="134"/>
      <c r="D29" s="252" t="s">
        <v>593</v>
      </c>
      <c r="E29" s="134" t="s">
        <v>604</v>
      </c>
      <c r="F29" s="134"/>
      <c r="G29" s="135" t="s">
        <v>596</v>
      </c>
      <c r="H29" s="162"/>
      <c r="I29" s="162"/>
      <c r="J29" s="162"/>
    </row>
    <row r="30" spans="1:10" x14ac:dyDescent="0.3">
      <c r="A30" s="243" t="s">
        <v>255</v>
      </c>
      <c r="B30" s="256" t="s">
        <v>256</v>
      </c>
      <c r="C30" s="243"/>
      <c r="D30" s="257">
        <v>1</v>
      </c>
      <c r="E30" s="243">
        <f>VLOOKUP(B30,'Mano de Obra'!$B$8:$C$100,2,FALSE)</f>
        <v>85927.097156571981</v>
      </c>
      <c r="F30" s="243"/>
      <c r="G30" s="243">
        <f>+E30*D30</f>
        <v>85927.097156571981</v>
      </c>
      <c r="H30" s="162"/>
      <c r="I30" s="162"/>
      <c r="J30" s="162"/>
    </row>
    <row r="31" spans="1:10" x14ac:dyDescent="0.3">
      <c r="A31" s="245" t="s">
        <v>242</v>
      </c>
      <c r="B31" s="258" t="s">
        <v>230</v>
      </c>
      <c r="C31" s="245"/>
      <c r="D31" s="259">
        <v>0.75</v>
      </c>
      <c r="E31" s="245">
        <f>VLOOKUP(B31,'Mano de Obra'!$B$8:$C$100,2,FALSE)</f>
        <v>60860.580776571966</v>
      </c>
      <c r="F31" s="245"/>
      <c r="G31" s="245">
        <f>+E31*D31</f>
        <v>45645.435582428974</v>
      </c>
      <c r="H31" s="162"/>
      <c r="I31" s="162"/>
      <c r="J31" s="162"/>
    </row>
    <row r="32" spans="1:10" x14ac:dyDescent="0.3">
      <c r="A32" s="139"/>
      <c r="B32" s="139"/>
      <c r="C32" s="139"/>
      <c r="D32" s="254"/>
      <c r="E32" s="151"/>
      <c r="F32" s="152" t="s">
        <v>606</v>
      </c>
      <c r="G32" s="153">
        <f>SUM(G30:G31)</f>
        <v>131572.53273900095</v>
      </c>
      <c r="H32" s="162"/>
      <c r="I32" s="162"/>
      <c r="J32" s="162"/>
    </row>
    <row r="33" spans="5:7" x14ac:dyDescent="0.3">
      <c r="E33" s="122"/>
      <c r="F33" s="123" t="s">
        <v>607</v>
      </c>
      <c r="G33" s="130">
        <v>1</v>
      </c>
    </row>
    <row r="34" spans="5:7" x14ac:dyDescent="0.3">
      <c r="E34" s="122"/>
      <c r="F34" s="123" t="s">
        <v>608</v>
      </c>
      <c r="G34" s="130">
        <f>+G33*G32</f>
        <v>131572.53273900095</v>
      </c>
    </row>
    <row r="35" spans="5:7" x14ac:dyDescent="0.3">
      <c r="E35" s="122"/>
      <c r="F35" s="123" t="s">
        <v>10</v>
      </c>
      <c r="G35" s="169">
        <f>+G34/F9</f>
        <v>10964.37772825008</v>
      </c>
    </row>
    <row r="36" spans="5:7" x14ac:dyDescent="0.3">
      <c r="E36" s="122"/>
      <c r="F36" s="123" t="s">
        <v>609</v>
      </c>
      <c r="G36" s="130" t="e">
        <f>+G35+G27+G21</f>
        <v>#N/A</v>
      </c>
    </row>
    <row r="37" spans="5:7" x14ac:dyDescent="0.3">
      <c r="E37" s="123" t="s">
        <v>610</v>
      </c>
      <c r="F37" s="198">
        <f>+RESUMEN!$I$2</f>
        <v>0</v>
      </c>
      <c r="G37" s="130">
        <f>IF(F37=0,0,F37*G36)</f>
        <v>0</v>
      </c>
    </row>
    <row r="38" spans="5:7" x14ac:dyDescent="0.3">
      <c r="E38" s="123" t="s">
        <v>611</v>
      </c>
      <c r="F38" s="198">
        <f>+RESUMEN!$I$3</f>
        <v>0</v>
      </c>
      <c r="G38" s="130">
        <f>IF(F38=0,0,F38*G36)</f>
        <v>0</v>
      </c>
    </row>
    <row r="39" spans="5:7" x14ac:dyDescent="0.3">
      <c r="E39" s="151"/>
      <c r="F39" s="152" t="s">
        <v>612</v>
      </c>
      <c r="G39" s="154" t="e">
        <f>SUM(G36:G38)</f>
        <v>#N/A</v>
      </c>
    </row>
  </sheetData>
  <pageMargins left="0.7" right="0.7" top="0.75" bottom="0.75" header="0.3" footer="0.3"/>
  <pageSetup paperSize="9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F418-84C3-412C-9AE7-96E623BAEAE8}">
  <sheetPr>
    <tabColor theme="9"/>
  </sheetPr>
  <dimension ref="A1:P39"/>
  <sheetViews>
    <sheetView workbookViewId="0">
      <selection sqref="A1:G1"/>
    </sheetView>
  </sheetViews>
  <sheetFormatPr defaultColWidth="11.54296875" defaultRowHeight="12.5" x14ac:dyDescent="0.25"/>
  <cols>
    <col min="1" max="1" width="11.54296875" style="201" customWidth="1"/>
    <col min="2" max="2" width="35.6328125" style="201" customWidth="1"/>
    <col min="3" max="3" width="7.08984375" style="201" bestFit="1" customWidth="1"/>
    <col min="4" max="4" width="7.90625" style="201" bestFit="1" customWidth="1"/>
    <col min="5" max="5" width="15.36328125" style="201" bestFit="1" customWidth="1"/>
    <col min="6" max="6" width="9.453125" style="201" customWidth="1"/>
    <col min="7" max="7" width="9.6328125" style="201" customWidth="1"/>
    <col min="8" max="9" width="11.54296875" style="201"/>
    <col min="10" max="10" width="9" style="201" bestFit="1" customWidth="1"/>
    <col min="11" max="11" width="4.36328125" style="201" bestFit="1" customWidth="1"/>
    <col min="12" max="12" width="2.6328125" style="201" bestFit="1" customWidth="1"/>
    <col min="13" max="13" width="7.90625" style="201" bestFit="1" customWidth="1"/>
    <col min="14" max="14" width="13.90625" style="201" bestFit="1" customWidth="1"/>
    <col min="15" max="16384" width="11.54296875" style="20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315"/>
      <c r="I1" s="315"/>
      <c r="J1" s="506"/>
      <c r="K1" s="506"/>
      <c r="L1" s="506"/>
      <c r="M1" s="506"/>
      <c r="N1" s="506"/>
    </row>
    <row r="2" spans="1:14" ht="13" x14ac:dyDescent="0.25">
      <c r="A2" s="315"/>
      <c r="B2" s="315"/>
      <c r="C2" s="315"/>
      <c r="D2" s="315"/>
      <c r="E2" s="315"/>
      <c r="F2" s="240" t="s">
        <v>78</v>
      </c>
      <c r="G2" s="510" t="s">
        <v>613</v>
      </c>
      <c r="H2" s="315"/>
      <c r="I2" s="315"/>
      <c r="J2" s="506"/>
      <c r="K2" s="506"/>
      <c r="L2" s="506"/>
      <c r="M2" s="506"/>
      <c r="N2" s="506"/>
    </row>
    <row r="3" spans="1:14" ht="15.5" x14ac:dyDescent="0.25">
      <c r="A3" s="382" t="s">
        <v>579</v>
      </c>
      <c r="B3" s="383"/>
      <c r="C3" s="383"/>
      <c r="D3" s="383"/>
      <c r="E3" s="383"/>
      <c r="F3" s="383"/>
      <c r="G3" s="383"/>
      <c r="H3" s="315"/>
      <c r="I3" s="315"/>
      <c r="J3" s="506"/>
      <c r="K3" s="506"/>
      <c r="L3" s="506"/>
      <c r="M3" s="506"/>
      <c r="N3" s="506"/>
    </row>
    <row r="4" spans="1:14" ht="13" x14ac:dyDescent="0.25">
      <c r="A4" s="199"/>
      <c r="B4" s="199"/>
      <c r="C4" s="199"/>
      <c r="D4" s="199"/>
      <c r="E4" s="199"/>
      <c r="F4" s="336" t="s">
        <v>580</v>
      </c>
      <c r="G4" s="384">
        <v>134</v>
      </c>
      <c r="H4" s="315"/>
      <c r="I4" s="315"/>
      <c r="J4" s="506"/>
      <c r="K4" s="506"/>
      <c r="L4" s="506"/>
      <c r="M4" s="506"/>
      <c r="N4" s="506"/>
    </row>
    <row r="5" spans="1:14" ht="13" x14ac:dyDescent="0.25">
      <c r="A5" s="337" t="s">
        <v>581</v>
      </c>
      <c r="B5" s="392" t="s">
        <v>613</v>
      </c>
      <c r="C5" s="200"/>
      <c r="D5" s="200"/>
      <c r="E5" s="200"/>
      <c r="F5" s="200"/>
      <c r="G5" s="200"/>
      <c r="H5" s="315"/>
      <c r="I5" s="315"/>
      <c r="J5" s="506"/>
      <c r="K5" s="506"/>
      <c r="L5" s="506"/>
      <c r="M5" s="506"/>
      <c r="N5" s="506"/>
    </row>
    <row r="6" spans="1:14" ht="13" x14ac:dyDescent="0.3">
      <c r="A6" s="378" t="s">
        <v>582</v>
      </c>
      <c r="B6" s="510" t="s">
        <v>613</v>
      </c>
      <c r="C6" s="199"/>
      <c r="D6" s="199"/>
      <c r="E6" s="199"/>
      <c r="F6" s="123" t="s">
        <v>583</v>
      </c>
      <c r="G6" s="510" t="s">
        <v>613</v>
      </c>
      <c r="H6" s="315"/>
      <c r="I6" s="315"/>
      <c r="J6" s="506"/>
      <c r="K6" s="506"/>
      <c r="L6" s="506"/>
      <c r="M6" s="506"/>
      <c r="N6" s="506"/>
    </row>
    <row r="7" spans="1:14" ht="15.5" x14ac:dyDescent="0.25">
      <c r="A7" s="359" t="s">
        <v>584</v>
      </c>
      <c r="B7" s="556" t="s">
        <v>684</v>
      </c>
      <c r="C7" s="556"/>
      <c r="D7" s="556"/>
      <c r="E7" s="556"/>
      <c r="F7" s="556"/>
      <c r="G7" s="556"/>
      <c r="H7" s="315"/>
      <c r="I7" s="315"/>
      <c r="J7" s="315"/>
      <c r="K7" s="506"/>
      <c r="L7" s="506"/>
      <c r="M7" s="506"/>
      <c r="N7" s="506"/>
    </row>
    <row r="8" spans="1:14" ht="13" x14ac:dyDescent="0.25">
      <c r="A8" s="378"/>
      <c r="B8" s="199"/>
      <c r="C8" s="240" t="s">
        <v>586</v>
      </c>
      <c r="D8" s="199"/>
      <c r="E8" s="240" t="s">
        <v>587</v>
      </c>
      <c r="F8" s="378" t="s">
        <v>588</v>
      </c>
      <c r="G8" s="199"/>
      <c r="H8" s="315"/>
      <c r="I8" s="315"/>
      <c r="J8" s="506"/>
      <c r="K8" s="506"/>
      <c r="L8" s="506"/>
      <c r="M8" s="506"/>
      <c r="N8" s="506"/>
    </row>
    <row r="9" spans="1:14" ht="13" x14ac:dyDescent="0.25">
      <c r="A9" s="199"/>
      <c r="B9" s="199"/>
      <c r="C9" s="158" t="s">
        <v>45</v>
      </c>
      <c r="D9" s="199"/>
      <c r="E9" s="158">
        <v>100</v>
      </c>
      <c r="F9" s="385">
        <v>18</v>
      </c>
      <c r="G9" s="199" t="s">
        <v>615</v>
      </c>
      <c r="H9" s="315"/>
      <c r="I9" s="315"/>
      <c r="J9" s="506"/>
      <c r="K9" s="506"/>
      <c r="L9" s="506"/>
      <c r="M9" s="506"/>
      <c r="N9" s="506"/>
    </row>
    <row r="10" spans="1:14" ht="13" x14ac:dyDescent="0.25">
      <c r="A10" s="378" t="s">
        <v>590</v>
      </c>
      <c r="B10" s="199"/>
      <c r="C10" s="199"/>
      <c r="D10" s="199"/>
      <c r="E10" s="199"/>
      <c r="F10" s="199"/>
      <c r="G10" s="199"/>
      <c r="H10" s="315"/>
      <c r="I10" s="315"/>
      <c r="J10" s="322"/>
      <c r="K10" s="322"/>
      <c r="L10" s="322"/>
      <c r="M10" s="322" t="s">
        <v>857</v>
      </c>
      <c r="N10" s="322"/>
    </row>
    <row r="11" spans="1:14" ht="13" x14ac:dyDescent="0.25">
      <c r="A11" s="435" t="s">
        <v>79</v>
      </c>
      <c r="B11" s="261" t="s">
        <v>591</v>
      </c>
      <c r="C11" s="261" t="s">
        <v>592</v>
      </c>
      <c r="D11" s="261" t="s">
        <v>593</v>
      </c>
      <c r="E11" s="261" t="s">
        <v>594</v>
      </c>
      <c r="F11" s="261" t="s">
        <v>595</v>
      </c>
      <c r="G11" s="261" t="s">
        <v>596</v>
      </c>
      <c r="H11" s="399" t="s">
        <v>597</v>
      </c>
      <c r="I11" s="240"/>
      <c r="J11" s="506" t="s">
        <v>676</v>
      </c>
      <c r="K11" s="506" t="s">
        <v>677</v>
      </c>
      <c r="L11" s="263" t="s">
        <v>678</v>
      </c>
      <c r="M11" s="506" t="s">
        <v>679</v>
      </c>
      <c r="N11" s="506" t="s">
        <v>680</v>
      </c>
    </row>
    <row r="12" spans="1:14" ht="13" x14ac:dyDescent="0.25">
      <c r="A12" s="264" t="s">
        <v>362</v>
      </c>
      <c r="B12" s="429" t="s">
        <v>363</v>
      </c>
      <c r="C12" s="264" t="s">
        <v>59</v>
      </c>
      <c r="D12" s="526">
        <v>1.7000000000000001E-2</v>
      </c>
      <c r="E12" s="429">
        <f>VLOOKUP(B12,Materiales!$B$8:$D$118,3,FALSE)</f>
        <v>32399.77</v>
      </c>
      <c r="F12" s="429">
        <v>10</v>
      </c>
      <c r="G12" s="465">
        <f>+D12*E12*((F12+100)/100)</f>
        <v>605.87569900000005</v>
      </c>
      <c r="H12" s="465">
        <f t="shared" ref="H12:H14" si="0">+D12*$E$9</f>
        <v>1.7000000000000002</v>
      </c>
      <c r="I12" s="379"/>
      <c r="J12" s="553">
        <v>3</v>
      </c>
      <c r="K12" s="529">
        <v>2.1999999999999999E-2</v>
      </c>
      <c r="L12" s="263" t="s">
        <v>59</v>
      </c>
      <c r="M12" s="529">
        <v>1.7000000000000001E-2</v>
      </c>
      <c r="N12" s="506">
        <v>1</v>
      </c>
    </row>
    <row r="13" spans="1:14" ht="13" x14ac:dyDescent="0.25">
      <c r="A13" s="320" t="s">
        <v>372</v>
      </c>
      <c r="B13" s="430" t="s">
        <v>373</v>
      </c>
      <c r="C13" s="320" t="s">
        <v>374</v>
      </c>
      <c r="D13" s="554">
        <v>0.14400000000000002</v>
      </c>
      <c r="E13" s="430">
        <f>VLOOKUP(B13,Materiales!$B$8:$D$118,3,FALSE)</f>
        <v>3837.96</v>
      </c>
      <c r="F13" s="430">
        <v>10</v>
      </c>
      <c r="G13" s="467">
        <f>+D13*E13*((F13+100)/100)</f>
        <v>607.93286400000011</v>
      </c>
      <c r="H13" s="467">
        <f t="shared" si="0"/>
        <v>14.400000000000002</v>
      </c>
      <c r="I13" s="379"/>
      <c r="J13" s="553">
        <v>1</v>
      </c>
      <c r="K13" s="506">
        <v>3.6</v>
      </c>
      <c r="L13" s="263" t="s">
        <v>403</v>
      </c>
      <c r="M13" s="529">
        <f>+K13/N13</f>
        <v>0.14400000000000002</v>
      </c>
      <c r="N13" s="506">
        <v>25</v>
      </c>
    </row>
    <row r="14" spans="1:14" ht="13" x14ac:dyDescent="0.25">
      <c r="A14" s="265" t="s">
        <v>368</v>
      </c>
      <c r="B14" s="432" t="s">
        <v>369</v>
      </c>
      <c r="C14" s="265" t="s">
        <v>374</v>
      </c>
      <c r="D14" s="527">
        <v>3.7000000000000005E-2</v>
      </c>
      <c r="E14" s="432">
        <f>VLOOKUP(B14,Materiales!$B$8:$D$118,3,FALSE)</f>
        <v>7809.48</v>
      </c>
      <c r="F14" s="432">
        <v>10</v>
      </c>
      <c r="G14" s="469">
        <f>+D14*E14*((F14+100)/100)</f>
        <v>317.84583600000002</v>
      </c>
      <c r="H14" s="469">
        <f t="shared" si="0"/>
        <v>3.7000000000000006</v>
      </c>
      <c r="I14" s="379"/>
      <c r="J14" s="555">
        <v>0.25</v>
      </c>
      <c r="K14" s="506">
        <v>1.85</v>
      </c>
      <c r="L14" s="263" t="s">
        <v>403</v>
      </c>
      <c r="M14" s="529">
        <f>+K14/N14</f>
        <v>3.7000000000000005E-2</v>
      </c>
      <c r="N14" s="506">
        <v>50</v>
      </c>
    </row>
    <row r="15" spans="1:14" ht="13" x14ac:dyDescent="0.25">
      <c r="A15" s="262"/>
      <c r="B15" s="505"/>
      <c r="C15" s="505"/>
      <c r="D15" s="505"/>
      <c r="E15" s="536"/>
      <c r="F15" s="440" t="s">
        <v>598</v>
      </c>
      <c r="G15" s="537">
        <f>SUM(G12:G14)</f>
        <v>1531.654399</v>
      </c>
      <c r="H15" s="315"/>
      <c r="I15" s="315"/>
      <c r="J15" s="506"/>
      <c r="K15" s="506"/>
      <c r="L15" s="506"/>
      <c r="M15" s="506"/>
      <c r="N15" s="506"/>
    </row>
    <row r="16" spans="1:14" ht="13" x14ac:dyDescent="0.25">
      <c r="A16" s="158"/>
      <c r="B16" s="199"/>
      <c r="C16" s="199"/>
      <c r="D16" s="199"/>
      <c r="E16" s="532"/>
      <c r="F16" s="441" t="s">
        <v>9</v>
      </c>
      <c r="G16" s="533">
        <f>+G15</f>
        <v>1531.654399</v>
      </c>
      <c r="H16" s="541"/>
      <c r="I16" s="541"/>
      <c r="J16" s="506"/>
      <c r="K16" s="506"/>
      <c r="L16" s="506"/>
      <c r="M16" s="506"/>
      <c r="N16" s="506"/>
    </row>
    <row r="17" spans="1:16" ht="13" x14ac:dyDescent="0.25">
      <c r="A17" s="240" t="s">
        <v>599</v>
      </c>
      <c r="B17" s="199"/>
      <c r="C17" s="199"/>
      <c r="D17" s="199"/>
      <c r="E17" s="199"/>
      <c r="F17" s="199"/>
      <c r="G17" s="199"/>
      <c r="H17" s="315"/>
      <c r="I17" s="315"/>
      <c r="J17" s="506"/>
      <c r="K17" s="506"/>
      <c r="L17" s="506"/>
      <c r="M17" s="506"/>
      <c r="N17" s="506"/>
      <c r="O17" s="506"/>
      <c r="P17" s="506"/>
    </row>
    <row r="18" spans="1:16" ht="13" x14ac:dyDescent="0.25">
      <c r="A18" s="435" t="s">
        <v>79</v>
      </c>
      <c r="B18" s="261" t="s">
        <v>591</v>
      </c>
      <c r="C18" s="261" t="s">
        <v>592</v>
      </c>
      <c r="D18" s="348" t="s">
        <v>593</v>
      </c>
      <c r="E18" s="261" t="s">
        <v>600</v>
      </c>
      <c r="F18" s="261" t="s">
        <v>87</v>
      </c>
      <c r="G18" s="399" t="s">
        <v>596</v>
      </c>
      <c r="H18" s="534"/>
      <c r="I18" s="534"/>
      <c r="J18" s="322"/>
      <c r="K18" s="322"/>
      <c r="L18" s="322"/>
      <c r="M18" s="322"/>
      <c r="N18" s="322"/>
      <c r="O18" s="322"/>
      <c r="P18" s="506"/>
    </row>
    <row r="19" spans="1:16" ht="13" x14ac:dyDescent="0.25">
      <c r="A19" s="264" t="s">
        <v>88</v>
      </c>
      <c r="B19" s="429" t="s">
        <v>89</v>
      </c>
      <c r="C19" s="264" t="s">
        <v>352</v>
      </c>
      <c r="D19" s="470">
        <v>1</v>
      </c>
      <c r="E19" s="429">
        <f>VLOOKUP(B19,'Rend. Equipos'!$B$7:$E$222,4,FALSE)</f>
        <v>1028123.0837653707</v>
      </c>
      <c r="F19" s="486">
        <f>VLOOKUP(B19,'Rend. Equipos'!$B$6:$L$166,MATCH($F$18,'Rend. Equipos'!$B$6:$L$6,0),0)</f>
        <v>5.5555555555555556E-4</v>
      </c>
      <c r="G19" s="465">
        <f>+E19*D19*F19</f>
        <v>571.17949098076144</v>
      </c>
      <c r="H19" s="315"/>
      <c r="I19" s="315"/>
      <c r="J19" s="506"/>
      <c r="K19" s="506"/>
      <c r="L19" s="506"/>
      <c r="M19" s="506"/>
      <c r="N19" s="506"/>
      <c r="O19" s="506"/>
      <c r="P19" s="506"/>
    </row>
    <row r="20" spans="1:16" ht="13" x14ac:dyDescent="0.25">
      <c r="A20" s="320" t="s">
        <v>93</v>
      </c>
      <c r="B20" s="430" t="s">
        <v>94</v>
      </c>
      <c r="C20" s="320" t="s">
        <v>352</v>
      </c>
      <c r="D20" s="459">
        <v>1</v>
      </c>
      <c r="E20" s="430">
        <f>VLOOKUP(B20,'Rend. Equipos'!$B$7:$E$222,4,FALSE)</f>
        <v>2470106.6047045495</v>
      </c>
      <c r="F20" s="487">
        <f>VLOOKUP(B20,'Rend. Equipos'!$B$6:$L$166,MATCH($F$18,'Rend. Equipos'!$B$6:$L$6,0),0)</f>
        <v>9.2592592592592596E-4</v>
      </c>
      <c r="G20" s="467">
        <f t="shared" ref="G20:G21" si="1">+E20*D20*F20</f>
        <v>2287.1357450968053</v>
      </c>
      <c r="H20" s="315"/>
      <c r="I20" s="315"/>
      <c r="J20" s="506"/>
      <c r="K20" s="506"/>
      <c r="L20" s="506"/>
      <c r="M20" s="506"/>
      <c r="N20" s="506"/>
      <c r="O20" s="506"/>
      <c r="P20" s="506"/>
    </row>
    <row r="21" spans="1:16" ht="26" x14ac:dyDescent="0.25">
      <c r="A21" s="265" t="s">
        <v>163</v>
      </c>
      <c r="B21" s="463" t="s">
        <v>164</v>
      </c>
      <c r="C21" s="265" t="s">
        <v>17</v>
      </c>
      <c r="D21" s="471">
        <v>1</v>
      </c>
      <c r="E21" s="432">
        <f>VLOOKUP(B21,'Rend. Equipos'!$B$7:$E$222,4,FALSE)</f>
        <v>689222.30122796178</v>
      </c>
      <c r="F21" s="488">
        <f>VLOOKUP(B21,'Rend. Equipos'!$B$6:$L$166,MATCH($F$18,'Rend. Equipos'!$B$6:$L$6,0),0)</f>
        <v>1.3888888888888889E-3</v>
      </c>
      <c r="G21" s="469">
        <f t="shared" si="1"/>
        <v>957.25319614994692</v>
      </c>
      <c r="H21" s="315"/>
      <c r="I21" s="315"/>
      <c r="J21" s="506"/>
      <c r="K21" s="506"/>
      <c r="L21" s="506"/>
      <c r="M21" s="506"/>
      <c r="N21" s="506"/>
      <c r="O21" s="506"/>
      <c r="P21" s="506"/>
    </row>
    <row r="22" spans="1:16" ht="13" x14ac:dyDescent="0.25">
      <c r="A22" s="262"/>
      <c r="B22" s="505"/>
      <c r="C22" s="505"/>
      <c r="D22" s="505"/>
      <c r="E22" s="536"/>
      <c r="F22" s="440" t="s">
        <v>602</v>
      </c>
      <c r="G22" s="537">
        <f>SUM(G19:G20)</f>
        <v>2858.3152360775666</v>
      </c>
      <c r="H22" s="315"/>
      <c r="I22" s="315"/>
      <c r="J22" s="506"/>
      <c r="K22" s="506"/>
      <c r="L22" s="506"/>
      <c r="M22" s="506"/>
      <c r="N22" s="506"/>
      <c r="O22" s="506"/>
      <c r="P22" s="506"/>
    </row>
    <row r="23" spans="1:16" ht="13" x14ac:dyDescent="0.25">
      <c r="A23" s="158"/>
      <c r="B23" s="199"/>
      <c r="C23" s="199"/>
      <c r="D23" s="199"/>
      <c r="E23" s="532"/>
      <c r="F23" s="441" t="s">
        <v>11</v>
      </c>
      <c r="G23" s="533">
        <f>+G22/F9</f>
        <v>158.79529089319814</v>
      </c>
      <c r="H23" s="315"/>
      <c r="I23" s="315"/>
      <c r="J23" s="506"/>
      <c r="K23" s="506"/>
      <c r="L23" s="506"/>
      <c r="M23" s="506"/>
      <c r="N23" s="506"/>
      <c r="O23" s="506"/>
      <c r="P23" s="506"/>
    </row>
    <row r="24" spans="1:16" ht="13" x14ac:dyDescent="0.25">
      <c r="A24" s="337" t="s">
        <v>603</v>
      </c>
      <c r="B24" s="199"/>
      <c r="C24" s="199"/>
      <c r="D24" s="199"/>
      <c r="E24" s="199"/>
      <c r="F24" s="199"/>
      <c r="G24" s="199"/>
      <c r="H24" s="315"/>
      <c r="I24" s="315"/>
      <c r="J24" s="506"/>
      <c r="K24" s="506"/>
      <c r="L24" s="506"/>
      <c r="M24" s="506"/>
      <c r="N24" s="506"/>
      <c r="O24" s="506"/>
      <c r="P24" s="506"/>
    </row>
    <row r="25" spans="1:16" ht="13" x14ac:dyDescent="0.25">
      <c r="A25" s="435" t="s">
        <v>79</v>
      </c>
      <c r="B25" s="261" t="s">
        <v>591</v>
      </c>
      <c r="C25" s="261" t="s">
        <v>592</v>
      </c>
      <c r="D25" s="261" t="s">
        <v>593</v>
      </c>
      <c r="E25" s="261" t="s">
        <v>604</v>
      </c>
      <c r="F25" s="261"/>
      <c r="G25" s="399" t="s">
        <v>596</v>
      </c>
      <c r="H25" s="534"/>
      <c r="I25" s="534"/>
      <c r="K25" s="322"/>
      <c r="M25" s="322" t="s">
        <v>716</v>
      </c>
      <c r="N25" s="322" t="s">
        <v>858</v>
      </c>
      <c r="O25" s="322"/>
      <c r="P25" s="506"/>
    </row>
    <row r="26" spans="1:16" ht="13" x14ac:dyDescent="0.25">
      <c r="A26" s="264" t="s">
        <v>255</v>
      </c>
      <c r="B26" s="429" t="s">
        <v>256</v>
      </c>
      <c r="C26" s="264" t="s">
        <v>605</v>
      </c>
      <c r="D26" s="470">
        <v>1</v>
      </c>
      <c r="E26" s="429">
        <f>VLOOKUP(B26,'Mano de Obra'!$B$8:$C$100,2,FALSE)</f>
        <v>85927.097156571981</v>
      </c>
      <c r="F26" s="429"/>
      <c r="G26" s="465">
        <f>+E26*D26</f>
        <v>85927.097156571981</v>
      </c>
      <c r="H26" s="315"/>
      <c r="I26" s="315"/>
      <c r="K26" s="506"/>
      <c r="M26" s="506">
        <v>0.35</v>
      </c>
      <c r="N26" s="506">
        <v>7</v>
      </c>
      <c r="O26" s="506">
        <f>+N26/M26</f>
        <v>20</v>
      </c>
      <c r="P26" s="506"/>
    </row>
    <row r="27" spans="1:16" ht="13" x14ac:dyDescent="0.25">
      <c r="A27" s="265" t="s">
        <v>228</v>
      </c>
      <c r="B27" s="432" t="s">
        <v>230</v>
      </c>
      <c r="C27" s="265" t="s">
        <v>605</v>
      </c>
      <c r="D27" s="471">
        <v>0.75</v>
      </c>
      <c r="E27" s="432">
        <f>VLOOKUP(B27,'Mano de Obra'!$B$8:$C$100,2,FALSE)</f>
        <v>60860.580776571966</v>
      </c>
      <c r="F27" s="432"/>
      <c r="G27" s="469">
        <f>+E27*D27</f>
        <v>45645.435582428974</v>
      </c>
      <c r="H27" s="315"/>
      <c r="I27" s="315"/>
      <c r="K27" s="506"/>
      <c r="M27" s="506">
        <v>0.25</v>
      </c>
      <c r="N27" s="506">
        <v>7</v>
      </c>
      <c r="O27" s="506">
        <f>+N27/M27</f>
        <v>28</v>
      </c>
      <c r="P27" s="506">
        <f>+O26/O27</f>
        <v>0.7142857142857143</v>
      </c>
    </row>
    <row r="28" spans="1:16" ht="13" x14ac:dyDescent="0.25">
      <c r="A28" s="505"/>
      <c r="B28" s="505"/>
      <c r="C28" s="505"/>
      <c r="D28" s="505"/>
      <c r="E28" s="536"/>
      <c r="F28" s="440" t="s">
        <v>606</v>
      </c>
      <c r="G28" s="537">
        <f>SUM(G26:G27)</f>
        <v>131572.53273900095</v>
      </c>
      <c r="H28" s="315"/>
      <c r="I28" s="315"/>
      <c r="J28" s="506"/>
      <c r="K28" s="506"/>
      <c r="L28" s="506"/>
      <c r="M28" s="506"/>
      <c r="N28" s="506"/>
      <c r="O28" s="506"/>
      <c r="P28" s="506"/>
    </row>
    <row r="29" spans="1:16" ht="13" x14ac:dyDescent="0.25">
      <c r="A29" s="199"/>
      <c r="B29" s="199"/>
      <c r="C29" s="199"/>
      <c r="D29" s="199"/>
      <c r="E29" s="530"/>
      <c r="F29" s="336" t="s">
        <v>607</v>
      </c>
      <c r="G29" s="539">
        <v>1</v>
      </c>
      <c r="H29" s="315"/>
      <c r="I29" s="315"/>
      <c r="J29" s="506"/>
      <c r="K29" s="506"/>
      <c r="L29" s="506"/>
      <c r="M29" s="506"/>
      <c r="N29" s="506"/>
      <c r="O29" s="506"/>
      <c r="P29" s="506"/>
    </row>
    <row r="30" spans="1:16" ht="13" x14ac:dyDescent="0.25">
      <c r="A30" s="199"/>
      <c r="B30" s="199"/>
      <c r="C30" s="199"/>
      <c r="D30" s="199"/>
      <c r="E30" s="530"/>
      <c r="F30" s="336" t="s">
        <v>608</v>
      </c>
      <c r="G30" s="531">
        <f>+G29*G28</f>
        <v>131572.53273900095</v>
      </c>
      <c r="H30" s="315"/>
      <c r="I30" s="315"/>
      <c r="J30" s="506"/>
      <c r="K30" s="506"/>
      <c r="L30" s="506"/>
      <c r="M30" s="506"/>
      <c r="N30" s="506"/>
      <c r="O30" s="506"/>
      <c r="P30" s="506"/>
    </row>
    <row r="31" spans="1:16" ht="13" x14ac:dyDescent="0.25">
      <c r="A31" s="199"/>
      <c r="B31" s="199"/>
      <c r="C31" s="199"/>
      <c r="D31" s="199"/>
      <c r="E31" s="532"/>
      <c r="F31" s="441" t="s">
        <v>10</v>
      </c>
      <c r="G31" s="533">
        <f>+G30/F9</f>
        <v>7309.5851521667191</v>
      </c>
      <c r="H31" s="315"/>
      <c r="I31" s="315"/>
      <c r="J31" s="506"/>
      <c r="K31" s="506"/>
      <c r="L31" s="506"/>
      <c r="M31" s="506"/>
      <c r="N31" s="506"/>
      <c r="O31" s="506"/>
      <c r="P31" s="506"/>
    </row>
    <row r="33" spans="1:7" ht="13" x14ac:dyDescent="0.25">
      <c r="A33" s="199"/>
      <c r="B33" s="199"/>
      <c r="C33" s="199"/>
      <c r="D33" s="199"/>
      <c r="E33" s="199"/>
      <c r="F33" s="336" t="s">
        <v>609</v>
      </c>
      <c r="G33" s="336">
        <f>+G31+G23+G16</f>
        <v>9000.0348420599184</v>
      </c>
    </row>
    <row r="34" spans="1:7" ht="13" x14ac:dyDescent="0.25">
      <c r="A34" s="199"/>
      <c r="B34" s="199"/>
      <c r="C34" s="199"/>
      <c r="D34" s="199"/>
      <c r="E34" s="336" t="s">
        <v>610</v>
      </c>
      <c r="F34" s="540">
        <f>+RESUMEN!$I$2</f>
        <v>0</v>
      </c>
      <c r="G34" s="379">
        <f>IF(F34=0,0,F34*G33)</f>
        <v>0</v>
      </c>
    </row>
    <row r="35" spans="1:7" ht="13" x14ac:dyDescent="0.25">
      <c r="A35" s="199"/>
      <c r="B35" s="199"/>
      <c r="C35" s="199"/>
      <c r="D35" s="199"/>
      <c r="E35" s="336" t="s">
        <v>611</v>
      </c>
      <c r="F35" s="540">
        <f>+RESUMEN!$I$3</f>
        <v>0</v>
      </c>
      <c r="G35" s="379">
        <f>IF(F35=0,0,F35*G33)</f>
        <v>0</v>
      </c>
    </row>
    <row r="36" spans="1:7" ht="13" x14ac:dyDescent="0.25">
      <c r="A36" s="199"/>
      <c r="B36" s="199"/>
      <c r="C36" s="199"/>
      <c r="D36" s="199"/>
      <c r="E36" s="542"/>
      <c r="F36" s="543" t="s">
        <v>612</v>
      </c>
      <c r="G36" s="544">
        <f>SUM(G33:G35)</f>
        <v>9000.0348420599184</v>
      </c>
    </row>
    <row r="37" spans="1:7" ht="13" x14ac:dyDescent="0.25">
      <c r="A37" s="199"/>
      <c r="B37" s="199"/>
      <c r="C37" s="199"/>
      <c r="D37" s="199"/>
      <c r="E37" s="506"/>
      <c r="F37" s="506"/>
      <c r="G37" s="506"/>
    </row>
    <row r="38" spans="1:7" ht="13" x14ac:dyDescent="0.25">
      <c r="A38" s="875"/>
      <c r="B38" s="870"/>
      <c r="C38" s="199"/>
      <c r="D38" s="199"/>
      <c r="E38" s="506"/>
      <c r="F38" s="506"/>
      <c r="G38" s="506"/>
    </row>
    <row r="39" spans="1:7" ht="13" x14ac:dyDescent="0.25">
      <c r="A39" s="875"/>
      <c r="B39" s="870"/>
      <c r="C39" s="199"/>
      <c r="D39" s="199"/>
      <c r="E39" s="506"/>
      <c r="F39" s="506"/>
      <c r="G39" s="506"/>
    </row>
  </sheetData>
  <mergeCells count="3">
    <mergeCell ref="A1:G1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0CB3-658B-4252-9E90-C0A0CD891474}">
  <sheetPr>
    <tabColor theme="9"/>
  </sheetPr>
  <dimension ref="A1:P39"/>
  <sheetViews>
    <sheetView workbookViewId="0">
      <selection sqref="A1:G1"/>
    </sheetView>
  </sheetViews>
  <sheetFormatPr defaultColWidth="11.453125" defaultRowHeight="12.5" x14ac:dyDescent="0.25"/>
  <cols>
    <col min="1" max="1" width="10.6328125" customWidth="1"/>
    <col min="2" max="2" width="36.453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9.6328125" customWidth="1"/>
    <col min="10" max="10" width="9" bestFit="1" customWidth="1"/>
    <col min="11" max="11" width="4.36328125" bestFit="1" customWidth="1"/>
    <col min="12" max="12" width="2.6328125" bestFit="1" customWidth="1"/>
    <col min="13" max="13" width="7.90625" bestFit="1" customWidth="1"/>
    <col min="14" max="14" width="13.90625" bestFit="1" customWidth="1"/>
  </cols>
  <sheetData>
    <row r="1" spans="1:14" ht="15.5" x14ac:dyDescent="0.25">
      <c r="A1" s="869"/>
      <c r="B1" s="870"/>
      <c r="C1" s="870"/>
      <c r="D1" s="870"/>
      <c r="E1" s="870"/>
      <c r="F1" s="870"/>
      <c r="G1" s="870"/>
      <c r="H1" s="162"/>
      <c r="I1" s="162"/>
      <c r="J1" s="1"/>
      <c r="K1" s="1"/>
      <c r="L1" s="1"/>
      <c r="M1" s="1"/>
      <c r="N1" s="1"/>
    </row>
    <row r="2" spans="1:14" ht="13" x14ac:dyDescent="0.3">
      <c r="A2" s="162"/>
      <c r="B2" s="162"/>
      <c r="C2" s="162"/>
      <c r="D2" s="162"/>
      <c r="E2" s="162"/>
      <c r="F2" s="123" t="s">
        <v>78</v>
      </c>
      <c r="G2" s="500" t="s">
        <v>578</v>
      </c>
      <c r="H2" s="162"/>
      <c r="I2" s="162"/>
      <c r="J2" s="1"/>
      <c r="K2" s="1"/>
      <c r="L2" s="1"/>
      <c r="M2" s="1"/>
      <c r="N2" s="1"/>
    </row>
    <row r="3" spans="1:14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62"/>
      <c r="J3" s="1"/>
      <c r="K3" s="1"/>
      <c r="L3" s="1"/>
      <c r="M3" s="1"/>
      <c r="N3" s="1"/>
    </row>
    <row r="4" spans="1:14" ht="13" x14ac:dyDescent="0.3">
      <c r="A4" s="122"/>
      <c r="B4" s="122"/>
      <c r="C4" s="122"/>
      <c r="D4" s="122"/>
      <c r="E4" s="122"/>
      <c r="F4" s="123" t="s">
        <v>580</v>
      </c>
      <c r="G4" s="126">
        <v>135</v>
      </c>
      <c r="H4" s="162"/>
      <c r="I4" s="162"/>
      <c r="J4" s="1"/>
      <c r="K4" s="1"/>
      <c r="L4" s="1"/>
      <c r="M4" s="1"/>
      <c r="N4" s="1"/>
    </row>
    <row r="5" spans="1:14" ht="13" x14ac:dyDescent="0.25">
      <c r="A5" s="127" t="s">
        <v>581</v>
      </c>
      <c r="B5" s="892" t="s">
        <v>578</v>
      </c>
      <c r="C5" s="893"/>
      <c r="D5" s="893"/>
      <c r="E5" s="893"/>
      <c r="F5" s="893"/>
      <c r="G5" s="893"/>
      <c r="H5" s="162"/>
      <c r="I5" s="162"/>
      <c r="J5" s="1"/>
      <c r="K5" s="1"/>
      <c r="L5" s="1"/>
      <c r="M5" s="1"/>
      <c r="N5" s="1"/>
    </row>
    <row r="6" spans="1:14" ht="13" x14ac:dyDescent="0.3">
      <c r="A6" s="128" t="s">
        <v>582</v>
      </c>
      <c r="B6" s="500" t="s">
        <v>578</v>
      </c>
      <c r="C6" s="122"/>
      <c r="D6" s="122"/>
      <c r="E6" s="122"/>
      <c r="F6" s="123" t="s">
        <v>583</v>
      </c>
      <c r="G6" s="500" t="s">
        <v>578</v>
      </c>
      <c r="H6" s="162"/>
      <c r="I6" s="162"/>
      <c r="J6" s="1"/>
      <c r="K6" s="1"/>
      <c r="L6" s="1"/>
      <c r="M6" s="1"/>
      <c r="N6" s="1"/>
    </row>
    <row r="7" spans="1:14" ht="15.5" x14ac:dyDescent="0.25">
      <c r="A7" s="197" t="s">
        <v>584</v>
      </c>
      <c r="B7" s="305" t="s">
        <v>685</v>
      </c>
      <c r="C7" s="305"/>
      <c r="D7" s="305"/>
      <c r="E7" s="305"/>
      <c r="F7" s="305"/>
      <c r="G7" s="305"/>
      <c r="H7" s="162"/>
      <c r="I7" s="162"/>
      <c r="J7" s="162"/>
      <c r="K7" s="1"/>
      <c r="L7" s="1"/>
      <c r="M7" s="1"/>
      <c r="N7" s="1"/>
    </row>
    <row r="8" spans="1:14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62"/>
      <c r="J8" s="1"/>
      <c r="K8" s="1"/>
      <c r="L8" s="1"/>
      <c r="M8" s="1"/>
      <c r="N8" s="1"/>
    </row>
    <row r="9" spans="1:14" ht="13" x14ac:dyDescent="0.3">
      <c r="A9" s="122"/>
      <c r="B9" s="122"/>
      <c r="C9" s="132" t="s">
        <v>45</v>
      </c>
      <c r="D9" s="122"/>
      <c r="E9" s="132">
        <v>100</v>
      </c>
      <c r="F9" s="185">
        <v>9</v>
      </c>
      <c r="G9" s="122" t="s">
        <v>615</v>
      </c>
      <c r="H9" s="162"/>
      <c r="I9" s="162"/>
      <c r="J9" s="1"/>
      <c r="K9" s="1"/>
      <c r="L9" s="1"/>
      <c r="M9" s="1"/>
      <c r="N9" s="1"/>
    </row>
    <row r="10" spans="1:14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62"/>
      <c r="J10" s="3"/>
      <c r="K10" s="3"/>
      <c r="L10" s="3"/>
      <c r="M10" s="3" t="s">
        <v>675</v>
      </c>
      <c r="N10" s="3"/>
    </row>
    <row r="11" spans="1:14" ht="13" x14ac:dyDescent="0.3">
      <c r="A11" s="435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4" t="s">
        <v>596</v>
      </c>
      <c r="H11" s="399" t="s">
        <v>597</v>
      </c>
      <c r="I11" s="240"/>
      <c r="J11" s="321" t="s">
        <v>676</v>
      </c>
      <c r="K11" s="321" t="s">
        <v>677</v>
      </c>
      <c r="L11" s="322" t="s">
        <v>678</v>
      </c>
      <c r="M11" s="321" t="s">
        <v>679</v>
      </c>
      <c r="N11" s="321" t="s">
        <v>680</v>
      </c>
    </row>
    <row r="12" spans="1:14" ht="13" x14ac:dyDescent="0.3">
      <c r="A12" s="264" t="s">
        <v>362</v>
      </c>
      <c r="B12" s="175" t="s">
        <v>363</v>
      </c>
      <c r="C12" s="264" t="s">
        <v>59</v>
      </c>
      <c r="D12" s="372">
        <v>0.01</v>
      </c>
      <c r="E12" s="175">
        <f>VLOOKUP(B12,Materiales!$B$8:$D$118,3,FALSE)</f>
        <v>32399.77</v>
      </c>
      <c r="F12" s="175">
        <v>10</v>
      </c>
      <c r="G12" s="176">
        <f>+D12*E12*((F12+100)/100)</f>
        <v>356.39747000000006</v>
      </c>
      <c r="H12" s="465">
        <f t="shared" ref="H12:H14" si="0">+D12*$E$9</f>
        <v>1</v>
      </c>
      <c r="I12" s="379"/>
      <c r="J12" s="1">
        <v>2</v>
      </c>
      <c r="K12" s="277">
        <v>0.01</v>
      </c>
      <c r="L12" s="263" t="s">
        <v>59</v>
      </c>
      <c r="M12" s="277">
        <f>+K12/N12</f>
        <v>0.01</v>
      </c>
      <c r="N12" s="1">
        <v>1</v>
      </c>
    </row>
    <row r="13" spans="1:14" ht="13" x14ac:dyDescent="0.3">
      <c r="A13" s="320" t="s">
        <v>372</v>
      </c>
      <c r="B13" s="10" t="s">
        <v>376</v>
      </c>
      <c r="C13" s="320" t="s">
        <v>374</v>
      </c>
      <c r="D13" s="374">
        <v>6.4000000000000001E-2</v>
      </c>
      <c r="E13" s="178">
        <f>VLOOKUP(B13,Materiales!$B$8:$D$118,3,FALSE)</f>
        <v>10936.8</v>
      </c>
      <c r="F13" s="178">
        <v>10</v>
      </c>
      <c r="G13" s="179">
        <f>+D13*E13*((F13+100)/100)</f>
        <v>769.95072000000005</v>
      </c>
      <c r="H13" s="467">
        <f t="shared" si="0"/>
        <v>6.4</v>
      </c>
      <c r="I13" s="379"/>
      <c r="J13" s="1">
        <v>1</v>
      </c>
      <c r="K13" s="1">
        <v>1.6</v>
      </c>
      <c r="L13" s="263" t="s">
        <v>403</v>
      </c>
      <c r="M13" s="277">
        <f>+K13/N13</f>
        <v>6.4000000000000001E-2</v>
      </c>
      <c r="N13" s="1">
        <v>25</v>
      </c>
    </row>
    <row r="14" spans="1:14" ht="13" x14ac:dyDescent="0.3">
      <c r="A14" s="265" t="s">
        <v>368</v>
      </c>
      <c r="B14" s="180" t="s">
        <v>369</v>
      </c>
      <c r="C14" s="265" t="s">
        <v>374</v>
      </c>
      <c r="D14" s="373">
        <v>9.0000000000000011E-3</v>
      </c>
      <c r="E14" s="180">
        <f>VLOOKUP(B14,Materiales!$B$8:$D$118,3,FALSE)</f>
        <v>7809.48</v>
      </c>
      <c r="F14" s="180">
        <v>10</v>
      </c>
      <c r="G14" s="182">
        <f>+D14*E14*((F14+100)/100)</f>
        <v>77.313852000000011</v>
      </c>
      <c r="H14" s="469">
        <f t="shared" si="0"/>
        <v>0.90000000000000013</v>
      </c>
      <c r="I14" s="379"/>
      <c r="J14" s="319">
        <v>0.125</v>
      </c>
      <c r="K14" s="1">
        <v>0.45</v>
      </c>
      <c r="L14" s="263" t="s">
        <v>403</v>
      </c>
      <c r="M14" s="277">
        <f>+K14/N14</f>
        <v>9.0000000000000011E-3</v>
      </c>
      <c r="N14" s="1">
        <v>50</v>
      </c>
    </row>
    <row r="15" spans="1:14" ht="13" x14ac:dyDescent="0.3">
      <c r="A15" s="139"/>
      <c r="B15" s="139"/>
      <c r="C15" s="139"/>
      <c r="D15" s="139"/>
      <c r="E15" s="140"/>
      <c r="F15" s="141" t="s">
        <v>598</v>
      </c>
      <c r="G15" s="391">
        <f>SUM(G12:G14)</f>
        <v>1203.6620420000002</v>
      </c>
      <c r="H15" s="162"/>
      <c r="I15" s="162"/>
      <c r="J15" s="1"/>
      <c r="K15" s="1"/>
      <c r="L15" s="1"/>
      <c r="M15" s="1"/>
      <c r="N15" s="1"/>
    </row>
    <row r="16" spans="1:14" ht="13" x14ac:dyDescent="0.3">
      <c r="A16" s="122"/>
      <c r="B16" s="122"/>
      <c r="C16" s="122"/>
      <c r="D16" s="122"/>
      <c r="E16" s="143"/>
      <c r="F16" s="144" t="s">
        <v>9</v>
      </c>
      <c r="G16" s="156">
        <f>+G15</f>
        <v>1203.6620420000002</v>
      </c>
      <c r="H16" s="168"/>
      <c r="I16" s="168"/>
      <c r="J16" s="1"/>
      <c r="K16" s="1"/>
      <c r="L16" s="1"/>
      <c r="M16" s="1"/>
      <c r="N16" s="1"/>
    </row>
    <row r="17" spans="1:16" ht="13" x14ac:dyDescent="0.3">
      <c r="A17" s="128" t="s">
        <v>599</v>
      </c>
      <c r="B17" s="122"/>
      <c r="C17" s="122"/>
      <c r="D17" s="122"/>
      <c r="E17" s="122"/>
      <c r="F17" s="122"/>
      <c r="G17" s="122"/>
      <c r="H17" s="162"/>
      <c r="I17" s="162"/>
      <c r="J17" s="1"/>
      <c r="K17" s="1"/>
      <c r="L17" s="1"/>
      <c r="M17" s="1"/>
      <c r="N17" s="1"/>
      <c r="O17" s="1"/>
      <c r="P17" s="1"/>
    </row>
    <row r="18" spans="1:16" ht="13" x14ac:dyDescent="0.3">
      <c r="A18" s="435" t="s">
        <v>79</v>
      </c>
      <c r="B18" s="134" t="s">
        <v>591</v>
      </c>
      <c r="C18" s="134" t="s">
        <v>592</v>
      </c>
      <c r="D18" s="194" t="s">
        <v>593</v>
      </c>
      <c r="E18" s="134" t="s">
        <v>600</v>
      </c>
      <c r="F18" s="261" t="s">
        <v>87</v>
      </c>
      <c r="G18" s="135" t="s">
        <v>596</v>
      </c>
      <c r="H18" s="167"/>
      <c r="I18" s="167"/>
      <c r="J18" s="3"/>
      <c r="K18" s="3"/>
      <c r="L18" s="3"/>
      <c r="M18" s="3"/>
      <c r="N18" s="3"/>
      <c r="O18" s="3"/>
      <c r="P18" s="1"/>
    </row>
    <row r="19" spans="1:16" ht="13" x14ac:dyDescent="0.25">
      <c r="A19" s="264" t="s">
        <v>88</v>
      </c>
      <c r="B19" s="429" t="s">
        <v>89</v>
      </c>
      <c r="C19" s="264" t="s">
        <v>352</v>
      </c>
      <c r="D19" s="470">
        <v>1</v>
      </c>
      <c r="E19" s="429">
        <f>VLOOKUP(B19,'Rend. Equipos'!$B$7:$E$222,4,FALSE)</f>
        <v>1028123.0837653707</v>
      </c>
      <c r="F19" s="486">
        <f>VLOOKUP(B19,'Rend. Equipos'!$B$6:$L$166,MATCH($F$18,'Rend. Equipos'!$B$6:$L$6,0),0)</f>
        <v>5.5555555555555556E-4</v>
      </c>
      <c r="G19" s="465">
        <f>+E19*D19*F19</f>
        <v>571.17949098076144</v>
      </c>
      <c r="H19" s="162"/>
      <c r="I19" s="162"/>
      <c r="J19" s="1"/>
      <c r="K19" s="1"/>
      <c r="L19" s="1"/>
      <c r="M19" s="1"/>
      <c r="N19" s="1"/>
      <c r="O19" s="1"/>
      <c r="P19" s="1"/>
    </row>
    <row r="20" spans="1:16" ht="13" x14ac:dyDescent="0.25">
      <c r="A20" s="320" t="s">
        <v>93</v>
      </c>
      <c r="B20" s="430" t="s">
        <v>94</v>
      </c>
      <c r="C20" s="320" t="s">
        <v>352</v>
      </c>
      <c r="D20" s="459">
        <v>1</v>
      </c>
      <c r="E20" s="430">
        <f>VLOOKUP(B20,'Rend. Equipos'!$B$7:$E$222,4,FALSE)</f>
        <v>2470106.6047045495</v>
      </c>
      <c r="F20" s="487">
        <f>VLOOKUP(B20,'Rend. Equipos'!$B$6:$L$166,MATCH($F$18,'Rend. Equipos'!$B$6:$L$6,0),0)</f>
        <v>9.2592592592592596E-4</v>
      </c>
      <c r="G20" s="467">
        <f>+E20*D20*F20</f>
        <v>2287.1357450968053</v>
      </c>
      <c r="H20" s="162"/>
      <c r="I20" s="162"/>
      <c r="J20" s="1"/>
      <c r="K20" s="1"/>
      <c r="L20" s="1"/>
      <c r="M20" s="1"/>
      <c r="N20" s="1"/>
      <c r="O20" s="1"/>
      <c r="P20" s="1"/>
    </row>
    <row r="21" spans="1:16" ht="26" x14ac:dyDescent="0.25">
      <c r="A21" s="265" t="s">
        <v>163</v>
      </c>
      <c r="B21" s="463" t="s">
        <v>164</v>
      </c>
      <c r="C21" s="265" t="s">
        <v>17</v>
      </c>
      <c r="D21" s="471">
        <v>1</v>
      </c>
      <c r="E21" s="432">
        <f>VLOOKUP(B21,'Rend. Equipos'!$B$7:$E$222,4,FALSE)</f>
        <v>689222.30122796178</v>
      </c>
      <c r="F21" s="488">
        <f>VLOOKUP(B21,'Rend. Equipos'!$B$6:$L$166,MATCH($F$18,'Rend. Equipos'!$B$6:$L$6,0),0)</f>
        <v>1.3888888888888889E-3</v>
      </c>
      <c r="G21" s="469">
        <f>+E21*D21*F21</f>
        <v>957.25319614994692</v>
      </c>
      <c r="H21" s="162"/>
      <c r="I21" s="162"/>
      <c r="J21" s="1"/>
      <c r="K21" s="1"/>
      <c r="L21" s="1"/>
      <c r="M21" s="1"/>
      <c r="N21" s="1"/>
      <c r="O21" s="1"/>
      <c r="P21" s="1"/>
    </row>
    <row r="22" spans="1:16" ht="13" x14ac:dyDescent="0.3">
      <c r="A22" s="139"/>
      <c r="B22" s="139"/>
      <c r="C22" s="139"/>
      <c r="D22" s="139"/>
      <c r="E22" s="140"/>
      <c r="F22" s="141" t="s">
        <v>602</v>
      </c>
      <c r="G22" s="391">
        <f>SUM(G19:G21)</f>
        <v>3815.5684322275138</v>
      </c>
      <c r="H22" s="162"/>
      <c r="I22" s="162"/>
      <c r="J22" s="1"/>
      <c r="K22" s="1"/>
      <c r="L22" s="1"/>
      <c r="M22" s="1"/>
      <c r="N22" s="1"/>
      <c r="O22" s="1"/>
      <c r="P22" s="1"/>
    </row>
    <row r="23" spans="1:16" ht="13" x14ac:dyDescent="0.3">
      <c r="A23" s="122"/>
      <c r="B23" s="122"/>
      <c r="C23" s="122"/>
      <c r="D23" s="122"/>
      <c r="E23" s="143"/>
      <c r="F23" s="144" t="s">
        <v>11</v>
      </c>
      <c r="G23" s="156">
        <f>+G22/F9</f>
        <v>423.95204802527928</v>
      </c>
      <c r="H23" s="162"/>
      <c r="I23" s="162"/>
      <c r="J23" s="1"/>
      <c r="K23" s="1"/>
      <c r="L23" s="1"/>
      <c r="M23" s="1"/>
      <c r="N23" s="1"/>
      <c r="O23" s="1"/>
      <c r="P23" s="1"/>
    </row>
    <row r="24" spans="1:16" ht="13" x14ac:dyDescent="0.3">
      <c r="A24" s="128" t="s">
        <v>603</v>
      </c>
      <c r="B24" s="122"/>
      <c r="C24" s="122"/>
      <c r="D24" s="122"/>
      <c r="E24" s="122"/>
      <c r="F24" s="122"/>
      <c r="G24" s="122"/>
      <c r="H24" s="162"/>
      <c r="I24" s="162"/>
      <c r="J24" s="1"/>
      <c r="K24" s="1"/>
      <c r="L24" s="1"/>
      <c r="M24" s="1"/>
      <c r="N24" s="1"/>
      <c r="O24" s="1"/>
      <c r="P24" s="1"/>
    </row>
    <row r="25" spans="1:16" ht="13" x14ac:dyDescent="0.3">
      <c r="A25" s="133" t="s">
        <v>79</v>
      </c>
      <c r="B25" s="134" t="s">
        <v>591</v>
      </c>
      <c r="C25" s="134" t="s">
        <v>592</v>
      </c>
      <c r="D25" s="134" t="s">
        <v>593</v>
      </c>
      <c r="E25" s="134" t="s">
        <v>604</v>
      </c>
      <c r="F25" s="134"/>
      <c r="G25" s="135" t="s">
        <v>596</v>
      </c>
      <c r="H25" s="167"/>
      <c r="I25" s="167"/>
      <c r="K25" s="3"/>
      <c r="M25" s="3" t="s">
        <v>716</v>
      </c>
      <c r="N25" s="3" t="s">
        <v>858</v>
      </c>
      <c r="O25" s="3"/>
      <c r="P25" s="1"/>
    </row>
    <row r="26" spans="1:16" ht="13" x14ac:dyDescent="0.3">
      <c r="A26" s="264" t="s">
        <v>255</v>
      </c>
      <c r="B26" s="175" t="s">
        <v>256</v>
      </c>
      <c r="C26" s="264" t="s">
        <v>605</v>
      </c>
      <c r="D26" s="458">
        <v>1</v>
      </c>
      <c r="E26" s="175">
        <f>VLOOKUP(B26,'Mano de Obra'!$B$8:$C$100,2,FALSE)</f>
        <v>85927.097156571981</v>
      </c>
      <c r="F26" s="175"/>
      <c r="G26" s="176">
        <f>+E26*D26</f>
        <v>85927.097156571981</v>
      </c>
      <c r="H26" s="162"/>
      <c r="I26" s="162"/>
      <c r="K26" s="1"/>
      <c r="M26" s="1">
        <v>0.8</v>
      </c>
      <c r="N26" s="1">
        <v>7</v>
      </c>
      <c r="O26" s="1">
        <f>+N26/M26</f>
        <v>8.75</v>
      </c>
      <c r="P26" s="1"/>
    </row>
    <row r="27" spans="1:16" ht="13" x14ac:dyDescent="0.3">
      <c r="A27" s="265" t="s">
        <v>228</v>
      </c>
      <c r="B27" s="180" t="s">
        <v>230</v>
      </c>
      <c r="C27" s="265" t="s">
        <v>605</v>
      </c>
      <c r="D27" s="460">
        <v>0.6</v>
      </c>
      <c r="E27" s="180">
        <f>VLOOKUP(B27,'Mano de Obra'!$B$8:$C$100,2,FALSE)</f>
        <v>60860.580776571966</v>
      </c>
      <c r="F27" s="180"/>
      <c r="G27" s="182">
        <f>+E27*D27</f>
        <v>36516.348465943178</v>
      </c>
      <c r="H27" s="162"/>
      <c r="I27" s="162"/>
      <c r="K27" s="1"/>
      <c r="M27" s="1">
        <v>0.45</v>
      </c>
      <c r="N27" s="1">
        <v>7</v>
      </c>
      <c r="O27" s="1">
        <f>+N27/M27</f>
        <v>15.555555555555555</v>
      </c>
      <c r="P27" s="1">
        <f>+O26/O27</f>
        <v>0.5625</v>
      </c>
    </row>
    <row r="28" spans="1:16" ht="13" x14ac:dyDescent="0.3">
      <c r="A28" s="139"/>
      <c r="B28" s="139"/>
      <c r="C28" s="262"/>
      <c r="D28" s="139"/>
      <c r="E28" s="140"/>
      <c r="F28" s="141" t="s">
        <v>606</v>
      </c>
      <c r="G28" s="391">
        <f>SUM(G26:G27)</f>
        <v>122443.44562251517</v>
      </c>
      <c r="H28" s="162"/>
      <c r="I28" s="162"/>
      <c r="J28" s="1"/>
      <c r="K28" s="1"/>
      <c r="L28" s="1"/>
      <c r="M28" s="1"/>
      <c r="N28" s="1"/>
      <c r="O28" s="1"/>
      <c r="P28" s="1"/>
    </row>
    <row r="29" spans="1:16" ht="13" x14ac:dyDescent="0.3">
      <c r="A29" s="122"/>
      <c r="B29" s="122"/>
      <c r="C29" s="122"/>
      <c r="D29" s="122"/>
      <c r="E29" s="360"/>
      <c r="F29" s="123" t="s">
        <v>607</v>
      </c>
      <c r="G29" s="349">
        <v>1</v>
      </c>
      <c r="H29" s="162"/>
      <c r="I29" s="162"/>
      <c r="J29" s="1"/>
      <c r="K29" s="1"/>
      <c r="L29" s="1"/>
      <c r="M29" s="1"/>
      <c r="N29" s="1"/>
      <c r="O29" s="1"/>
      <c r="P29" s="1"/>
    </row>
    <row r="30" spans="1:16" ht="13" x14ac:dyDescent="0.3">
      <c r="A30" s="122"/>
      <c r="B30" s="122"/>
      <c r="C30" s="122"/>
      <c r="D30" s="122"/>
      <c r="E30" s="360"/>
      <c r="F30" s="123" t="s">
        <v>608</v>
      </c>
      <c r="G30" s="390">
        <f>+G29*G28</f>
        <v>122443.44562251517</v>
      </c>
      <c r="H30" s="162"/>
      <c r="I30" s="162"/>
      <c r="J30" s="1"/>
      <c r="K30" s="1"/>
      <c r="L30" s="1"/>
      <c r="M30" s="1"/>
      <c r="N30" s="1"/>
      <c r="O30" s="1"/>
      <c r="P30" s="1"/>
    </row>
    <row r="31" spans="1:16" ht="13" x14ac:dyDescent="0.3">
      <c r="A31" s="122"/>
      <c r="B31" s="122"/>
      <c r="C31" s="122"/>
      <c r="D31" s="122"/>
      <c r="E31" s="143"/>
      <c r="F31" s="144" t="s">
        <v>10</v>
      </c>
      <c r="G31" s="156">
        <f>+G30/F9</f>
        <v>13604.827291390575</v>
      </c>
      <c r="H31" s="162"/>
      <c r="I31" s="162"/>
      <c r="J31" s="1"/>
      <c r="K31" s="1"/>
      <c r="L31" s="1"/>
      <c r="M31" s="1"/>
      <c r="N31" s="1"/>
      <c r="O31" s="1"/>
      <c r="P31" s="1"/>
    </row>
    <row r="33" spans="1:7" ht="13" x14ac:dyDescent="0.3">
      <c r="A33" s="122"/>
      <c r="B33" s="122"/>
      <c r="C33" s="122"/>
      <c r="D33" s="122"/>
      <c r="E33" s="122"/>
      <c r="F33" s="123" t="s">
        <v>609</v>
      </c>
      <c r="G33" s="130">
        <f>+G31+G23+G16</f>
        <v>15232.441381415854</v>
      </c>
    </row>
    <row r="34" spans="1:7" ht="13" x14ac:dyDescent="0.3">
      <c r="A34" s="122"/>
      <c r="B34" s="122"/>
      <c r="C34" s="122"/>
      <c r="D34" s="122"/>
      <c r="E34" s="123" t="s">
        <v>610</v>
      </c>
      <c r="F34" s="198">
        <f>+RESUMEN!$I$2</f>
        <v>0</v>
      </c>
      <c r="G34" s="130">
        <f>IF(F34=0,0,F34*G33)</f>
        <v>0</v>
      </c>
    </row>
    <row r="35" spans="1:7" ht="13" x14ac:dyDescent="0.3">
      <c r="A35" s="122"/>
      <c r="B35" s="122"/>
      <c r="C35" s="122"/>
      <c r="D35" s="122"/>
      <c r="E35" s="123" t="s">
        <v>611</v>
      </c>
      <c r="F35" s="198">
        <f>+RESUMEN!$I$3</f>
        <v>0</v>
      </c>
      <c r="G35" s="130">
        <f>IF(F35=0,0,F35*G33)</f>
        <v>0</v>
      </c>
    </row>
    <row r="36" spans="1:7" ht="13" x14ac:dyDescent="0.3">
      <c r="A36" s="122"/>
      <c r="B36" s="122"/>
      <c r="C36" s="122"/>
      <c r="D36" s="122"/>
      <c r="E36" s="151"/>
      <c r="F36" s="152" t="s">
        <v>612</v>
      </c>
      <c r="G36" s="389">
        <f>SUM(G33:G35)</f>
        <v>15232.441381415854</v>
      </c>
    </row>
    <row r="37" spans="1:7" ht="13" x14ac:dyDescent="0.3">
      <c r="A37" s="122"/>
      <c r="B37" s="122"/>
      <c r="C37" s="122"/>
      <c r="D37" s="122"/>
      <c r="E37" s="1"/>
      <c r="F37" s="1"/>
      <c r="G37" s="1"/>
    </row>
    <row r="38" spans="1:7" ht="13" x14ac:dyDescent="0.3">
      <c r="A38" s="875"/>
      <c r="B38" s="870"/>
      <c r="C38" s="122"/>
      <c r="D38" s="122"/>
      <c r="E38" s="1"/>
      <c r="F38" s="1"/>
      <c r="G38" s="1"/>
    </row>
    <row r="39" spans="1:7" ht="13" x14ac:dyDescent="0.3">
      <c r="A39" s="875"/>
      <c r="B39" s="870"/>
      <c r="C39" s="122"/>
      <c r="D39" s="122"/>
      <c r="E39" s="1"/>
      <c r="F39" s="1"/>
      <c r="G39" s="1"/>
    </row>
  </sheetData>
  <mergeCells count="4">
    <mergeCell ref="A1:G1"/>
    <mergeCell ref="B5:G5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AF3E-1299-4750-9E2F-3F779DE101CF}">
  <sheetPr>
    <tabColor theme="9"/>
  </sheetPr>
  <dimension ref="A1:M37"/>
  <sheetViews>
    <sheetView workbookViewId="0">
      <selection activeCell="A5" sqref="A5"/>
    </sheetView>
  </sheetViews>
  <sheetFormatPr defaultColWidth="11.453125" defaultRowHeight="12.5" x14ac:dyDescent="0.25"/>
  <cols>
    <col min="1" max="1" width="9.453125" customWidth="1"/>
    <col min="2" max="2" width="35.6328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9.6328125" customWidth="1"/>
  </cols>
  <sheetData>
    <row r="1" spans="1:13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  <c r="K1" s="1"/>
      <c r="L1" s="1"/>
      <c r="M1" s="1"/>
    </row>
    <row r="2" spans="1:13" ht="13" x14ac:dyDescent="0.3">
      <c r="A2" s="162"/>
      <c r="B2" s="162"/>
      <c r="C2" s="162"/>
      <c r="D2" s="162"/>
      <c r="E2" s="162"/>
      <c r="F2" s="240" t="s">
        <v>78</v>
      </c>
      <c r="G2" s="500" t="s">
        <v>578</v>
      </c>
      <c r="H2" s="162"/>
      <c r="I2" s="1"/>
      <c r="J2" s="1"/>
      <c r="K2" s="1"/>
      <c r="L2" s="1"/>
      <c r="M2" s="1"/>
    </row>
    <row r="3" spans="1:13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  <c r="K3" s="1"/>
      <c r="L3" s="1"/>
      <c r="M3" s="1"/>
    </row>
    <row r="4" spans="1:13" ht="13" x14ac:dyDescent="0.3">
      <c r="A4" s="122"/>
      <c r="B4" s="122"/>
      <c r="C4" s="122"/>
      <c r="D4" s="122"/>
      <c r="E4" s="122"/>
      <c r="F4" s="123" t="s">
        <v>580</v>
      </c>
      <c r="G4" s="126">
        <v>136</v>
      </c>
      <c r="H4" s="162"/>
      <c r="I4" s="1"/>
      <c r="J4" s="1"/>
      <c r="K4" s="1"/>
      <c r="L4" s="1"/>
      <c r="M4" s="1"/>
    </row>
    <row r="5" spans="1:13" ht="13" x14ac:dyDescent="0.25">
      <c r="A5" s="127" t="s">
        <v>581</v>
      </c>
      <c r="B5" s="892" t="s">
        <v>578</v>
      </c>
      <c r="C5" s="893"/>
      <c r="D5" s="893"/>
      <c r="E5" s="893"/>
      <c r="F5" s="893"/>
      <c r="G5" s="893"/>
      <c r="H5" s="162"/>
      <c r="I5" s="1"/>
      <c r="J5" s="1"/>
      <c r="K5" s="1"/>
      <c r="L5" s="1"/>
      <c r="M5" s="1"/>
    </row>
    <row r="6" spans="1:13" ht="13" x14ac:dyDescent="0.3">
      <c r="A6" s="128" t="s">
        <v>582</v>
      </c>
      <c r="B6" s="500" t="s">
        <v>578</v>
      </c>
      <c r="C6" s="122"/>
      <c r="D6" s="122"/>
      <c r="E6" s="122"/>
      <c r="F6" s="123" t="s">
        <v>583</v>
      </c>
      <c r="G6" s="500" t="s">
        <v>578</v>
      </c>
      <c r="H6" s="162"/>
      <c r="I6" s="1"/>
      <c r="J6" s="1"/>
      <c r="K6" s="1"/>
      <c r="L6" s="1"/>
      <c r="M6" s="1"/>
    </row>
    <row r="7" spans="1:13" ht="15.5" x14ac:dyDescent="0.25">
      <c r="A7" s="197" t="s">
        <v>584</v>
      </c>
      <c r="B7" s="873" t="s">
        <v>859</v>
      </c>
      <c r="C7" s="874"/>
      <c r="D7" s="874"/>
      <c r="E7" s="874"/>
      <c r="F7" s="874"/>
      <c r="G7" s="874"/>
      <c r="H7" s="162"/>
      <c r="I7" s="162"/>
      <c r="J7" s="1"/>
      <c r="K7" s="1"/>
      <c r="L7" s="1"/>
      <c r="M7" s="1"/>
    </row>
    <row r="8" spans="1:13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1"/>
      <c r="K8" s="1"/>
      <c r="L8" s="1"/>
      <c r="M8" s="1"/>
    </row>
    <row r="9" spans="1:13" ht="13" x14ac:dyDescent="0.3">
      <c r="A9" s="122"/>
      <c r="B9" s="122"/>
      <c r="C9" s="132" t="s">
        <v>45</v>
      </c>
      <c r="D9" s="122"/>
      <c r="E9" s="132">
        <v>100</v>
      </c>
      <c r="F9" s="185">
        <v>14.5</v>
      </c>
      <c r="G9" s="122" t="s">
        <v>615</v>
      </c>
      <c r="H9" s="162"/>
      <c r="I9" s="1"/>
      <c r="J9" s="1"/>
      <c r="K9" s="1"/>
      <c r="L9" s="1"/>
      <c r="M9" s="1"/>
    </row>
    <row r="10" spans="1:13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  <c r="I10" s="1"/>
      <c r="J10" s="1"/>
      <c r="K10" s="1"/>
      <c r="L10" s="1"/>
      <c r="M10" s="1"/>
    </row>
    <row r="11" spans="1:13" ht="13" x14ac:dyDescent="0.3">
      <c r="A11" s="435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399" t="s">
        <v>597</v>
      </c>
      <c r="I11" s="3"/>
      <c r="J11" s="3"/>
      <c r="K11" s="3"/>
      <c r="L11" s="3"/>
      <c r="M11" s="3"/>
    </row>
    <row r="12" spans="1:13" ht="13" x14ac:dyDescent="0.3">
      <c r="A12" s="264" t="s">
        <v>368</v>
      </c>
      <c r="B12" s="175" t="s">
        <v>369</v>
      </c>
      <c r="C12" s="264" t="s">
        <v>374</v>
      </c>
      <c r="D12" s="423">
        <v>7.0000000000000007E-2</v>
      </c>
      <c r="E12" s="175">
        <f>VLOOKUP(B12,Materiales!$B$8:$D$118,3,FALSE)</f>
        <v>7809.48</v>
      </c>
      <c r="F12" s="175">
        <v>10</v>
      </c>
      <c r="G12" s="176">
        <f>+D12*E12*((F12+100)/100)</f>
        <v>601.32996000000003</v>
      </c>
      <c r="H12" s="465">
        <f t="shared" ref="H12:H14" si="0">+D12*$E$9</f>
        <v>7.0000000000000009</v>
      </c>
      <c r="I12" s="1"/>
      <c r="J12" s="1"/>
      <c r="K12" s="1"/>
      <c r="L12" s="1"/>
      <c r="M12" s="1"/>
    </row>
    <row r="13" spans="1:13" ht="13" x14ac:dyDescent="0.3">
      <c r="A13" s="320" t="s">
        <v>372</v>
      </c>
      <c r="B13" s="178" t="s">
        <v>373</v>
      </c>
      <c r="C13" s="320" t="s">
        <v>374</v>
      </c>
      <c r="D13" s="424">
        <v>0.248</v>
      </c>
      <c r="E13" s="178">
        <f>VLOOKUP(B13,Materiales!$B$8:$D$118,3,FALSE)</f>
        <v>3837.96</v>
      </c>
      <c r="F13" s="178">
        <v>10</v>
      </c>
      <c r="G13" s="179">
        <f t="shared" ref="G13:G14" si="1">+D13*E13*((F13+100)/100)</f>
        <v>1046.995488</v>
      </c>
      <c r="H13" s="467">
        <f t="shared" si="0"/>
        <v>24.8</v>
      </c>
      <c r="I13" s="1"/>
      <c r="J13" s="1"/>
      <c r="K13" s="1"/>
      <c r="L13" s="1"/>
      <c r="M13" s="1"/>
    </row>
    <row r="14" spans="1:13" ht="13" x14ac:dyDescent="0.3">
      <c r="A14" s="265" t="s">
        <v>362</v>
      </c>
      <c r="B14" s="180" t="s">
        <v>363</v>
      </c>
      <c r="C14" s="265" t="s">
        <v>59</v>
      </c>
      <c r="D14" s="425">
        <v>0.03</v>
      </c>
      <c r="E14" s="180">
        <f>VLOOKUP(B14,Materiales!$B$8:$D$118,3,FALSE)</f>
        <v>32399.77</v>
      </c>
      <c r="F14" s="180">
        <v>10</v>
      </c>
      <c r="G14" s="182">
        <f t="shared" si="1"/>
        <v>1069.1924100000001</v>
      </c>
      <c r="H14" s="469">
        <f t="shared" si="0"/>
        <v>3</v>
      </c>
      <c r="I14" s="1"/>
      <c r="J14" s="1"/>
      <c r="K14" s="1"/>
      <c r="L14" s="1"/>
      <c r="M14" s="1"/>
    </row>
    <row r="15" spans="1:13" ht="13" x14ac:dyDescent="0.3">
      <c r="A15" s="139"/>
      <c r="B15" s="139"/>
      <c r="C15" s="139"/>
      <c r="D15" s="139"/>
      <c r="E15" s="140"/>
      <c r="F15" s="141" t="s">
        <v>598</v>
      </c>
      <c r="G15" s="391">
        <f>SUM(G12:G14)</f>
        <v>2717.5178580000002</v>
      </c>
      <c r="H15" s="162"/>
      <c r="I15" s="1"/>
      <c r="J15" s="1"/>
      <c r="K15" s="1"/>
      <c r="L15" s="1"/>
      <c r="M15" s="1"/>
    </row>
    <row r="16" spans="1:13" ht="13" x14ac:dyDescent="0.3">
      <c r="A16" s="122"/>
      <c r="B16" s="122"/>
      <c r="C16" s="122"/>
      <c r="D16" s="122"/>
      <c r="E16" s="143"/>
      <c r="F16" s="144" t="s">
        <v>9</v>
      </c>
      <c r="G16" s="156">
        <f>+G15</f>
        <v>2717.5178580000002</v>
      </c>
      <c r="H16" s="162"/>
      <c r="I16" s="1"/>
      <c r="J16" s="1"/>
      <c r="K16" s="1"/>
      <c r="L16" s="1"/>
      <c r="M16" s="1"/>
    </row>
    <row r="17" spans="1:13" ht="13" x14ac:dyDescent="0.3">
      <c r="A17" s="128" t="s">
        <v>599</v>
      </c>
      <c r="B17" s="122"/>
      <c r="C17" s="122"/>
      <c r="D17" s="122"/>
      <c r="E17" s="122"/>
      <c r="F17" s="122"/>
      <c r="G17" s="122"/>
      <c r="H17" s="162"/>
      <c r="I17" s="1"/>
      <c r="J17" s="1"/>
      <c r="K17" s="1"/>
      <c r="L17" s="1"/>
      <c r="M17" s="1"/>
    </row>
    <row r="18" spans="1:13" ht="13" x14ac:dyDescent="0.3">
      <c r="A18" s="435" t="s">
        <v>79</v>
      </c>
      <c r="B18" s="134" t="s">
        <v>591</v>
      </c>
      <c r="C18" s="134" t="s">
        <v>592</v>
      </c>
      <c r="D18" s="134" t="s">
        <v>593</v>
      </c>
      <c r="E18" s="134" t="s">
        <v>600</v>
      </c>
      <c r="F18" s="261" t="s">
        <v>87</v>
      </c>
      <c r="G18" s="135" t="s">
        <v>596</v>
      </c>
      <c r="H18" s="167"/>
      <c r="I18" s="3"/>
      <c r="J18" s="3"/>
      <c r="K18" s="3"/>
      <c r="L18" s="3"/>
      <c r="M18" s="3"/>
    </row>
    <row r="19" spans="1:13" ht="26" x14ac:dyDescent="0.3">
      <c r="A19" s="429" t="s">
        <v>163</v>
      </c>
      <c r="B19" s="557" t="s">
        <v>164</v>
      </c>
      <c r="C19" s="264" t="s">
        <v>17</v>
      </c>
      <c r="D19" s="470">
        <v>1</v>
      </c>
      <c r="E19" s="429">
        <f>VLOOKUP(B19,'Rend. Equipos'!$B$7:$E$222,4,FALSE)</f>
        <v>689222.30122796178</v>
      </c>
      <c r="F19" s="486">
        <f>VLOOKUP(B19,'Rend. Equipos'!$B$6:$L$166,MATCH($F$18,'Rend. Equipos'!$B$6:$L$6,0),0)</f>
        <v>1.3888888888888889E-3</v>
      </c>
      <c r="G19" s="429">
        <f>+E19*D19*F19</f>
        <v>957.25319614994692</v>
      </c>
      <c r="H19" s="162"/>
      <c r="I19" s="1"/>
      <c r="J19" s="1"/>
      <c r="K19" s="1"/>
      <c r="L19" s="1"/>
      <c r="M19" s="1"/>
    </row>
    <row r="20" spans="1:13" ht="13" x14ac:dyDescent="0.3">
      <c r="A20" s="432" t="s">
        <v>93</v>
      </c>
      <c r="B20" s="522" t="s">
        <v>94</v>
      </c>
      <c r="C20" s="265" t="s">
        <v>352</v>
      </c>
      <c r="D20" s="471">
        <v>1</v>
      </c>
      <c r="E20" s="432">
        <f>VLOOKUP(B20,'Rend. Equipos'!$B$7:$E$222,4,FALSE)</f>
        <v>2470106.6047045495</v>
      </c>
      <c r="F20" s="488">
        <f>VLOOKUP(B20,'Rend. Equipos'!$B$6:$L$166,MATCH($F$18,'Rend. Equipos'!$B$6:$L$6,0),0)</f>
        <v>9.2592592592592596E-4</v>
      </c>
      <c r="G20" s="432">
        <f>+E20*D20*F20</f>
        <v>2287.1357450968053</v>
      </c>
      <c r="H20" s="162"/>
      <c r="I20" s="1"/>
      <c r="J20" s="1"/>
      <c r="K20" s="1"/>
      <c r="L20" s="1"/>
      <c r="M20" s="1"/>
    </row>
    <row r="21" spans="1:13" ht="13" x14ac:dyDescent="0.3">
      <c r="A21" s="139"/>
      <c r="B21" s="139"/>
      <c r="C21" s="139"/>
      <c r="D21" s="139"/>
      <c r="E21" s="140"/>
      <c r="F21" s="141" t="s">
        <v>602</v>
      </c>
      <c r="G21" s="391">
        <f>SUM(G19:G20)</f>
        <v>3244.3889412467524</v>
      </c>
      <c r="H21" s="162"/>
      <c r="I21" s="1"/>
      <c r="J21" s="1"/>
      <c r="K21" s="1"/>
      <c r="L21" s="1"/>
      <c r="M21" s="1"/>
    </row>
    <row r="22" spans="1:13" ht="13" x14ac:dyDescent="0.3">
      <c r="A22" s="122"/>
      <c r="B22" s="122"/>
      <c r="C22" s="122"/>
      <c r="D22" s="122"/>
      <c r="E22" s="143"/>
      <c r="F22" s="144" t="s">
        <v>11</v>
      </c>
      <c r="G22" s="156">
        <f>+G21/F9</f>
        <v>223.75096146529327</v>
      </c>
      <c r="H22" s="162"/>
      <c r="I22" s="300"/>
      <c r="J22" s="1"/>
      <c r="K22" s="1"/>
      <c r="L22" s="1"/>
      <c r="M22" s="1"/>
    </row>
    <row r="23" spans="1:13" ht="13" x14ac:dyDescent="0.3">
      <c r="A23" s="128" t="s">
        <v>603</v>
      </c>
      <c r="B23" s="122"/>
      <c r="C23" s="122"/>
      <c r="D23" s="122"/>
      <c r="E23" s="122"/>
      <c r="F23" s="122"/>
      <c r="G23" s="122"/>
      <c r="H23" s="162"/>
      <c r="I23" s="1"/>
      <c r="J23" s="1"/>
      <c r="K23" s="1"/>
      <c r="L23" s="1"/>
      <c r="M23" s="1"/>
    </row>
    <row r="24" spans="1:13" ht="13" x14ac:dyDescent="0.3">
      <c r="A24" s="435" t="s">
        <v>79</v>
      </c>
      <c r="B24" s="134" t="s">
        <v>591</v>
      </c>
      <c r="C24" s="134"/>
      <c r="D24" s="134" t="s">
        <v>593</v>
      </c>
      <c r="E24" s="134" t="s">
        <v>604</v>
      </c>
      <c r="F24" s="134"/>
      <c r="G24" s="135" t="s">
        <v>596</v>
      </c>
      <c r="H24" s="167"/>
      <c r="I24" s="3" t="s">
        <v>686</v>
      </c>
      <c r="J24" s="131" t="s">
        <v>658</v>
      </c>
      <c r="K24" s="3" t="s">
        <v>710</v>
      </c>
      <c r="L24" s="3"/>
      <c r="M24" s="3"/>
    </row>
    <row r="25" spans="1:13" ht="13" x14ac:dyDescent="0.3">
      <c r="A25" s="279" t="s">
        <v>228</v>
      </c>
      <c r="B25" s="122" t="s">
        <v>230</v>
      </c>
      <c r="C25" s="146"/>
      <c r="D25" s="190">
        <v>0.45</v>
      </c>
      <c r="E25" s="122">
        <f>VLOOKUP(B25,'Mano de Obra'!$B$8:$C$100,2,FALSE)</f>
        <v>60860.580776571966</v>
      </c>
      <c r="F25" s="146"/>
      <c r="G25" s="148">
        <f>+E25*D25</f>
        <v>27387.261349457385</v>
      </c>
      <c r="H25" s="162"/>
      <c r="I25" s="1"/>
      <c r="J25" s="1">
        <v>0.25</v>
      </c>
      <c r="K25" s="1">
        <v>8</v>
      </c>
      <c r="L25" s="1">
        <f>+K25/J25</f>
        <v>32</v>
      </c>
      <c r="M25" s="1"/>
    </row>
    <row r="26" spans="1:13" ht="13" x14ac:dyDescent="0.3">
      <c r="A26" s="280" t="s">
        <v>255</v>
      </c>
      <c r="B26" s="122" t="s">
        <v>256</v>
      </c>
      <c r="C26" s="149"/>
      <c r="D26" s="191">
        <v>1</v>
      </c>
      <c r="E26" s="122">
        <f>VLOOKUP(B26,'Mano de Obra'!$B$8:$C$100,2,FALSE)</f>
        <v>85927.097156571981</v>
      </c>
      <c r="F26" s="149"/>
      <c r="G26" s="137">
        <f>+E26*D26</f>
        <v>85927.097156571981</v>
      </c>
      <c r="H26" s="162"/>
      <c r="I26" s="1"/>
      <c r="J26" s="1">
        <v>0.55000000000000004</v>
      </c>
      <c r="K26" s="1">
        <v>8</v>
      </c>
      <c r="L26" s="1">
        <f>+K26/J26</f>
        <v>14.545454545454545</v>
      </c>
      <c r="M26" s="1">
        <f>+L26/L25</f>
        <v>0.45454545454545453</v>
      </c>
    </row>
    <row r="27" spans="1:13" ht="13" x14ac:dyDescent="0.3">
      <c r="A27" s="139"/>
      <c r="B27" s="139"/>
      <c r="C27" s="139"/>
      <c r="D27" s="139"/>
      <c r="E27" s="140"/>
      <c r="F27" s="141" t="s">
        <v>606</v>
      </c>
      <c r="G27" s="391">
        <f>SUM(G25:G26)</f>
        <v>113314.35850602937</v>
      </c>
      <c r="H27" s="162"/>
      <c r="I27" s="1"/>
      <c r="J27" s="1"/>
      <c r="K27" s="1"/>
      <c r="L27" s="1"/>
      <c r="M27" s="1"/>
    </row>
    <row r="28" spans="1:13" ht="13" x14ac:dyDescent="0.3">
      <c r="A28" s="122"/>
      <c r="B28" s="122"/>
      <c r="C28" s="122"/>
      <c r="D28" s="122"/>
      <c r="E28" s="360"/>
      <c r="F28" s="123" t="s">
        <v>607</v>
      </c>
      <c r="G28" s="349">
        <v>1</v>
      </c>
      <c r="H28" s="162"/>
      <c r="I28" s="1"/>
      <c r="J28" s="1"/>
      <c r="K28" s="1"/>
      <c r="L28" s="1"/>
      <c r="M28" s="1"/>
    </row>
    <row r="29" spans="1:13" ht="13" x14ac:dyDescent="0.3">
      <c r="A29" s="122"/>
      <c r="B29" s="122"/>
      <c r="C29" s="122"/>
      <c r="D29" s="122"/>
      <c r="E29" s="360"/>
      <c r="F29" s="123" t="s">
        <v>608</v>
      </c>
      <c r="G29" s="349">
        <f>+G28*G27</f>
        <v>113314.35850602937</v>
      </c>
      <c r="H29" s="162"/>
      <c r="I29" s="1"/>
      <c r="J29" s="1"/>
      <c r="K29" s="1"/>
      <c r="L29" s="1"/>
      <c r="M29" s="1"/>
    </row>
    <row r="30" spans="1:13" ht="13" x14ac:dyDescent="0.3">
      <c r="A30" s="122"/>
      <c r="B30" s="122"/>
      <c r="C30" s="122"/>
      <c r="D30" s="122"/>
      <c r="E30" s="143"/>
      <c r="F30" s="144" t="s">
        <v>10</v>
      </c>
      <c r="G30" s="156">
        <f>+G29/F9</f>
        <v>7814.7833452434052</v>
      </c>
      <c r="H30" s="162"/>
      <c r="I30" s="1"/>
      <c r="J30" s="1"/>
      <c r="K30" s="1"/>
      <c r="L30" s="1"/>
      <c r="M30" s="1"/>
    </row>
    <row r="31" spans="1:13" ht="13" x14ac:dyDescent="0.3">
      <c r="A31" s="122"/>
      <c r="B31" s="122"/>
      <c r="C31" s="122"/>
      <c r="D31" s="122"/>
      <c r="H31" s="162"/>
      <c r="I31" s="1"/>
      <c r="J31" s="1"/>
      <c r="K31" s="1"/>
      <c r="L31" s="1"/>
      <c r="M31" s="1"/>
    </row>
    <row r="32" spans="1:13" ht="13" x14ac:dyDescent="0.3">
      <c r="A32" s="122"/>
      <c r="B32" s="122"/>
      <c r="C32" s="122"/>
      <c r="D32" s="122"/>
      <c r="E32" s="122"/>
      <c r="F32" s="123" t="s">
        <v>609</v>
      </c>
      <c r="G32" s="123">
        <f>+G30+G22+G16</f>
        <v>10756.052164708699</v>
      </c>
      <c r="H32" s="162"/>
      <c r="I32" s="1"/>
      <c r="J32" s="1"/>
      <c r="K32" s="1"/>
      <c r="L32" s="1"/>
      <c r="M32" s="1"/>
    </row>
    <row r="33" spans="1:7" ht="13" x14ac:dyDescent="0.3">
      <c r="A33" s="122"/>
      <c r="B33" s="122"/>
      <c r="C33" s="122"/>
      <c r="D33" s="122"/>
      <c r="E33" s="123" t="s">
        <v>610</v>
      </c>
      <c r="F33" s="198">
        <f>+RESUMEN!$I$2</f>
        <v>0</v>
      </c>
      <c r="G33" s="130">
        <f>IF(F33=0,0,F33*G32)</f>
        <v>0</v>
      </c>
    </row>
    <row r="34" spans="1:7" ht="13" x14ac:dyDescent="0.3">
      <c r="A34" s="122"/>
      <c r="B34" s="122"/>
      <c r="C34" s="122"/>
      <c r="D34" s="1"/>
      <c r="E34" s="123" t="s">
        <v>611</v>
      </c>
      <c r="F34" s="198">
        <f>+RESUMEN!$I$3</f>
        <v>0</v>
      </c>
      <c r="G34" s="130">
        <f>IF(F34=0,0,F34*G32)</f>
        <v>0</v>
      </c>
    </row>
    <row r="35" spans="1:7" ht="13" x14ac:dyDescent="0.3">
      <c r="A35" s="122"/>
      <c r="B35" s="122"/>
      <c r="C35" s="122"/>
      <c r="D35" s="122"/>
      <c r="E35" s="151"/>
      <c r="F35" s="152" t="s">
        <v>612</v>
      </c>
      <c r="G35" s="389">
        <f>SUM(G32:G34)</f>
        <v>10756.052164708699</v>
      </c>
    </row>
    <row r="36" spans="1:7" ht="13" x14ac:dyDescent="0.3">
      <c r="A36" s="875"/>
      <c r="B36" s="870"/>
      <c r="C36" s="122"/>
      <c r="D36" s="122"/>
      <c r="E36" s="1"/>
      <c r="F36" s="1"/>
      <c r="G36" s="1"/>
    </row>
    <row r="37" spans="1:7" ht="13" x14ac:dyDescent="0.3">
      <c r="A37" s="875"/>
      <c r="B37" s="870"/>
      <c r="C37" s="122"/>
      <c r="D37" s="122"/>
      <c r="E37" s="1"/>
      <c r="F37" s="1"/>
      <c r="G37" s="1"/>
    </row>
  </sheetData>
  <mergeCells count="5">
    <mergeCell ref="A1:G1"/>
    <mergeCell ref="B5:G5"/>
    <mergeCell ref="B7:G7"/>
    <mergeCell ref="A36:B36"/>
    <mergeCell ref="A37:B37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1FE5-B748-4A87-8B97-29679FB6F720}">
  <sheetPr>
    <tabColor theme="9"/>
  </sheetPr>
  <dimension ref="A1:H41"/>
  <sheetViews>
    <sheetView topLeftCell="A4" workbookViewId="0">
      <selection activeCell="E21" sqref="E21"/>
    </sheetView>
  </sheetViews>
  <sheetFormatPr defaultColWidth="11.453125" defaultRowHeight="12.5" x14ac:dyDescent="0.25"/>
  <cols>
    <col min="1" max="1" width="7.6328125" customWidth="1"/>
    <col min="2" max="2" width="44" bestFit="1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  <col min="8" max="8" width="10.6328125" customWidth="1"/>
    <col min="10" max="12" width="5" bestFit="1" customWidth="1"/>
    <col min="14" max="14" width="44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62"/>
    </row>
    <row r="2" spans="1:8" x14ac:dyDescent="0.25">
      <c r="A2" s="315"/>
      <c r="B2" s="315"/>
      <c r="C2" s="315"/>
      <c r="D2" s="315"/>
      <c r="E2" s="315"/>
      <c r="F2" s="380" t="s">
        <v>78</v>
      </c>
      <c r="G2" s="381">
        <v>44907</v>
      </c>
      <c r="H2" s="162"/>
    </row>
    <row r="3" spans="1:8" ht="15.5" x14ac:dyDescent="0.25">
      <c r="A3" s="382" t="s">
        <v>579</v>
      </c>
      <c r="B3" s="383"/>
      <c r="C3" s="383"/>
      <c r="D3" s="383"/>
      <c r="E3" s="383"/>
      <c r="F3" s="383"/>
      <c r="G3" s="383"/>
      <c r="H3" s="162"/>
    </row>
    <row r="4" spans="1:8" ht="13" x14ac:dyDescent="0.25">
      <c r="A4" s="199"/>
      <c r="B4" s="199"/>
      <c r="C4" s="199"/>
      <c r="D4" s="199"/>
      <c r="E4" s="199"/>
      <c r="F4" s="336" t="s">
        <v>580</v>
      </c>
      <c r="G4" s="384">
        <v>137</v>
      </c>
      <c r="H4" s="162"/>
    </row>
    <row r="5" spans="1:8" ht="13" x14ac:dyDescent="0.25">
      <c r="A5" s="337" t="s">
        <v>581</v>
      </c>
      <c r="B5" s="909"/>
      <c r="C5" s="910"/>
      <c r="D5" s="910"/>
      <c r="E5" s="910"/>
      <c r="F5" s="910"/>
      <c r="G5" s="910"/>
      <c r="H5" s="162"/>
    </row>
    <row r="6" spans="1:8" ht="13" x14ac:dyDescent="0.25">
      <c r="A6" s="378" t="s">
        <v>582</v>
      </c>
      <c r="B6" s="335"/>
      <c r="C6" s="199"/>
      <c r="D6" s="199"/>
      <c r="E6" s="199"/>
      <c r="F6" s="336" t="s">
        <v>583</v>
      </c>
      <c r="G6" s="379"/>
      <c r="H6" s="162"/>
    </row>
    <row r="7" spans="1:8" ht="15.5" x14ac:dyDescent="0.25">
      <c r="A7" s="359" t="s">
        <v>584</v>
      </c>
      <c r="B7" s="896" t="s">
        <v>860</v>
      </c>
      <c r="C7" s="897"/>
      <c r="D7" s="897"/>
      <c r="E7" s="897"/>
      <c r="F7" s="897"/>
      <c r="G7" s="897"/>
      <c r="H7" s="162"/>
    </row>
    <row r="8" spans="1:8" ht="13" x14ac:dyDescent="0.25">
      <c r="A8" s="378"/>
      <c r="B8" s="199"/>
      <c r="C8" s="240" t="s">
        <v>586</v>
      </c>
      <c r="D8" s="199"/>
      <c r="E8" s="240" t="s">
        <v>587</v>
      </c>
      <c r="F8" s="378" t="s">
        <v>588</v>
      </c>
      <c r="G8" s="199"/>
      <c r="H8" s="162"/>
    </row>
    <row r="9" spans="1:8" ht="13" x14ac:dyDescent="0.25">
      <c r="A9" s="199"/>
      <c r="B9" s="199"/>
      <c r="C9" s="158" t="s">
        <v>45</v>
      </c>
      <c r="D9" s="199"/>
      <c r="E9" s="158">
        <v>100</v>
      </c>
      <c r="F9" s="385">
        <v>20</v>
      </c>
      <c r="G9" s="158" t="s">
        <v>615</v>
      </c>
      <c r="H9" s="162"/>
    </row>
    <row r="10" spans="1:8" ht="13" x14ac:dyDescent="0.25">
      <c r="A10" s="378" t="s">
        <v>590</v>
      </c>
      <c r="B10" s="199"/>
      <c r="C10" s="199"/>
      <c r="D10" s="199"/>
      <c r="E10" s="199"/>
      <c r="F10" s="199"/>
      <c r="G10" s="199"/>
      <c r="H10" s="162"/>
    </row>
    <row r="11" spans="1:8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</row>
    <row r="12" spans="1:8" ht="13" x14ac:dyDescent="0.3">
      <c r="A12" s="175" t="s">
        <v>414</v>
      </c>
      <c r="B12" s="175" t="s">
        <v>415</v>
      </c>
      <c r="C12" s="264" t="s">
        <v>355</v>
      </c>
      <c r="D12" s="386">
        <v>1E-3</v>
      </c>
      <c r="E12" s="175">
        <f>VLOOKUP(B12,Materiales!$B$8:$D$118,3,FALSE)</f>
        <v>9639</v>
      </c>
      <c r="F12" s="175">
        <v>5</v>
      </c>
      <c r="G12" s="176">
        <f>+D12*E12*((F12+100)/100)</f>
        <v>10.120950000000001</v>
      </c>
      <c r="H12" s="176">
        <f>+D12*$E$9</f>
        <v>0.1</v>
      </c>
    </row>
    <row r="13" spans="1:8" ht="13" x14ac:dyDescent="0.3">
      <c r="A13" s="178" t="s">
        <v>485</v>
      </c>
      <c r="B13" s="178" t="s">
        <v>487</v>
      </c>
      <c r="C13" s="320" t="s">
        <v>355</v>
      </c>
      <c r="D13" s="387">
        <v>4.0000000000000001E-3</v>
      </c>
      <c r="E13" s="178">
        <f>VLOOKUP(B13,Materiales!$B$8:$D$118,3,FALSE)</f>
        <v>30467.49</v>
      </c>
      <c r="F13" s="178">
        <v>5</v>
      </c>
      <c r="G13" s="179">
        <f t="shared" ref="G13:G21" si="0">+D13*E13*((F13+100)/100)</f>
        <v>127.96345800000002</v>
      </c>
      <c r="H13" s="179">
        <f t="shared" ref="H13:H21" si="1">+D13*$E$9</f>
        <v>0.4</v>
      </c>
    </row>
    <row r="14" spans="1:8" ht="13" x14ac:dyDescent="0.3">
      <c r="A14" s="178" t="s">
        <v>496</v>
      </c>
      <c r="B14" s="178" t="s">
        <v>497</v>
      </c>
      <c r="C14" s="320" t="s">
        <v>17</v>
      </c>
      <c r="D14" s="387">
        <v>0.03</v>
      </c>
      <c r="E14" s="178">
        <f>VLOOKUP(B14,Materiales!$B$8:$D$118,3,FALSE)</f>
        <v>735.06</v>
      </c>
      <c r="F14" s="178">
        <v>5</v>
      </c>
      <c r="G14" s="179">
        <f t="shared" si="0"/>
        <v>23.154389999999996</v>
      </c>
      <c r="H14" s="179">
        <f t="shared" si="1"/>
        <v>3</v>
      </c>
    </row>
    <row r="15" spans="1:8" ht="13" x14ac:dyDescent="0.3">
      <c r="A15" s="178" t="s">
        <v>493</v>
      </c>
      <c r="B15" s="178" t="s">
        <v>494</v>
      </c>
      <c r="C15" s="320" t="s">
        <v>17</v>
      </c>
      <c r="D15" s="387">
        <v>0.05</v>
      </c>
      <c r="E15" s="178">
        <f>VLOOKUP(B15,Materiales!$B$8:$D$118,3,FALSE)</f>
        <v>3293.01</v>
      </c>
      <c r="F15" s="178">
        <v>10</v>
      </c>
      <c r="G15" s="179">
        <f t="shared" si="0"/>
        <v>181.11555000000004</v>
      </c>
      <c r="H15" s="179">
        <f t="shared" si="1"/>
        <v>5</v>
      </c>
    </row>
    <row r="16" spans="1:8" ht="13" x14ac:dyDescent="0.3">
      <c r="A16" s="178" t="s">
        <v>491</v>
      </c>
      <c r="B16" s="178" t="s">
        <v>492</v>
      </c>
      <c r="C16" s="320" t="s">
        <v>17</v>
      </c>
      <c r="D16" s="387">
        <v>1.4999999999999999E-2</v>
      </c>
      <c r="E16" s="178">
        <f>VLOOKUP(B16,Materiales!$B$8:$D$118,3,FALSE)</f>
        <v>5661.4</v>
      </c>
      <c r="F16" s="178">
        <v>5</v>
      </c>
      <c r="G16" s="179">
        <f t="shared" si="0"/>
        <v>89.167049999999989</v>
      </c>
      <c r="H16" s="179">
        <f t="shared" si="1"/>
        <v>1.5</v>
      </c>
    </row>
    <row r="17" spans="1:8" ht="13" x14ac:dyDescent="0.3">
      <c r="A17" s="178"/>
      <c r="B17" s="178" t="s">
        <v>500</v>
      </c>
      <c r="C17" s="320" t="s">
        <v>17</v>
      </c>
      <c r="D17" s="387">
        <v>5.0000000000000001E-3</v>
      </c>
      <c r="E17" s="178">
        <f>VLOOKUP(B17,Materiales!$B$8:$D$118,3,FALSE)</f>
        <v>6678.36</v>
      </c>
      <c r="F17" s="178">
        <v>5</v>
      </c>
      <c r="G17" s="179">
        <f t="shared" si="0"/>
        <v>35.061389999999996</v>
      </c>
      <c r="H17" s="179">
        <f t="shared" si="1"/>
        <v>0.5</v>
      </c>
    </row>
    <row r="18" spans="1:8" ht="13" x14ac:dyDescent="0.3">
      <c r="A18" s="178"/>
      <c r="B18" s="178" t="s">
        <v>502</v>
      </c>
      <c r="C18" s="320" t="s">
        <v>17</v>
      </c>
      <c r="D18" s="387">
        <v>5.0000000000000001E-3</v>
      </c>
      <c r="E18" s="178">
        <f>VLOOKUP(B18,Materiales!$B$8:$D$118,3,FALSE)</f>
        <v>5282.24</v>
      </c>
      <c r="F18" s="178">
        <v>5</v>
      </c>
      <c r="G18" s="179">
        <f t="shared" si="0"/>
        <v>27.731760000000001</v>
      </c>
      <c r="H18" s="179">
        <f t="shared" si="1"/>
        <v>0.5</v>
      </c>
    </row>
    <row r="19" spans="1:8" ht="13" x14ac:dyDescent="0.3">
      <c r="A19" s="178"/>
      <c r="B19" s="178" t="s">
        <v>504</v>
      </c>
      <c r="C19" s="320" t="s">
        <v>17</v>
      </c>
      <c r="D19" s="387">
        <v>0.01</v>
      </c>
      <c r="E19" s="178">
        <f>VLOOKUP(B19,Materiales!$B$8:$D$118,3,FALSE)</f>
        <v>7427.6</v>
      </c>
      <c r="F19" s="178">
        <v>5</v>
      </c>
      <c r="G19" s="179">
        <f t="shared" si="0"/>
        <v>77.989800000000017</v>
      </c>
      <c r="H19" s="179">
        <f t="shared" si="1"/>
        <v>1</v>
      </c>
    </row>
    <row r="20" spans="1:8" ht="13" x14ac:dyDescent="0.3">
      <c r="A20" s="178" t="s">
        <v>470</v>
      </c>
      <c r="B20" s="178" t="s">
        <v>471</v>
      </c>
      <c r="C20" s="320" t="s">
        <v>355</v>
      </c>
      <c r="D20" s="387">
        <v>2E-3</v>
      </c>
      <c r="E20" s="178">
        <f>VLOOKUP(B20,Materiales!$B$8:$D$118,3,FALSE)</f>
        <v>18735.77</v>
      </c>
      <c r="F20" s="178">
        <v>10</v>
      </c>
      <c r="G20" s="179">
        <f t="shared" si="0"/>
        <v>41.218694000000006</v>
      </c>
      <c r="H20" s="179">
        <f t="shared" si="1"/>
        <v>0.2</v>
      </c>
    </row>
    <row r="21" spans="1:8" ht="13" x14ac:dyDescent="0.3">
      <c r="A21" s="180" t="s">
        <v>459</v>
      </c>
      <c r="B21" s="180" t="s">
        <v>460</v>
      </c>
      <c r="C21" s="265" t="s">
        <v>355</v>
      </c>
      <c r="D21" s="388">
        <v>1.2500000000000001E-2</v>
      </c>
      <c r="E21" s="180">
        <f>VLOOKUP(B21,Materiales!$B$8:$D$118,3,FALSE)</f>
        <v>120622.23</v>
      </c>
      <c r="F21" s="180">
        <v>10</v>
      </c>
      <c r="G21" s="182">
        <f t="shared" si="0"/>
        <v>1658.5556625000002</v>
      </c>
      <c r="H21" s="182">
        <f t="shared" si="1"/>
        <v>1.25</v>
      </c>
    </row>
    <row r="22" spans="1:8" ht="13" x14ac:dyDescent="0.3">
      <c r="A22" s="122"/>
      <c r="B22" s="122"/>
      <c r="C22" s="122"/>
      <c r="D22" s="193"/>
      <c r="E22" s="360"/>
      <c r="F22" s="123" t="s">
        <v>598</v>
      </c>
      <c r="G22" s="390">
        <f>SUM(G12:G21)</f>
        <v>2272.0787045000002</v>
      </c>
      <c r="H22" s="162"/>
    </row>
    <row r="23" spans="1:8" ht="13" x14ac:dyDescent="0.3">
      <c r="A23" s="122"/>
      <c r="B23" s="122"/>
      <c r="C23" s="122"/>
      <c r="D23" s="193"/>
      <c r="E23" s="143"/>
      <c r="F23" s="144" t="s">
        <v>9</v>
      </c>
      <c r="G23" s="156">
        <f>+G22</f>
        <v>2272.0787045000002</v>
      </c>
      <c r="H23" s="162"/>
    </row>
    <row r="24" spans="1:8" ht="13" x14ac:dyDescent="0.3">
      <c r="A24" s="128" t="s">
        <v>599</v>
      </c>
      <c r="B24" s="122"/>
      <c r="C24" s="122"/>
      <c r="D24" s="193"/>
      <c r="E24" s="122"/>
      <c r="F24" s="122"/>
      <c r="G24" s="122"/>
      <c r="H24" s="162"/>
    </row>
    <row r="25" spans="1:8" ht="13" x14ac:dyDescent="0.3">
      <c r="A25" s="133" t="s">
        <v>79</v>
      </c>
      <c r="B25" s="134" t="s">
        <v>591</v>
      </c>
      <c r="C25" s="134" t="s">
        <v>279</v>
      </c>
      <c r="D25" s="134" t="s">
        <v>593</v>
      </c>
      <c r="E25" s="134" t="s">
        <v>600</v>
      </c>
      <c r="F25" s="134" t="s">
        <v>87</v>
      </c>
      <c r="G25" s="135" t="s">
        <v>596</v>
      </c>
      <c r="H25" s="412"/>
    </row>
    <row r="26" spans="1:8" ht="13" x14ac:dyDescent="0.3">
      <c r="A26" s="175"/>
      <c r="B26" s="175" t="s">
        <v>183</v>
      </c>
      <c r="C26" s="264" t="s">
        <v>17</v>
      </c>
      <c r="D26" s="266">
        <v>1</v>
      </c>
      <c r="E26" s="175">
        <f>VLOOKUP(B26,'Rend. Equipos'!$B$7:$E$222,4,FALSE)</f>
        <v>72091.108607308124</v>
      </c>
      <c r="F26" s="266">
        <f>VLOOKUP(B26,'Rend. Equipos'!$B$6:$L$166,MATCH($F$25,'Rend. Equipos'!$B$6:$L$6,0),0)</f>
        <v>2.7777777777777779E-3</v>
      </c>
      <c r="G26" s="176">
        <f>+E26*D26*F26</f>
        <v>200.25307946474479</v>
      </c>
      <c r="H26" s="411"/>
    </row>
    <row r="27" spans="1:8" ht="13" x14ac:dyDescent="0.3">
      <c r="A27" s="180" t="s">
        <v>135</v>
      </c>
      <c r="B27" s="180" t="s">
        <v>136</v>
      </c>
      <c r="C27" s="265" t="s">
        <v>352</v>
      </c>
      <c r="D27" s="181">
        <v>1</v>
      </c>
      <c r="E27" s="180">
        <f>VLOOKUP(B27,'Rend. Equipos'!$B$7:$E$222,4,FALSE)</f>
        <v>1241010.6908793931</v>
      </c>
      <c r="F27" s="181">
        <f>VLOOKUP(B27,'Rend. Equipos'!$B$6:$L$166,MATCH($F$25,'Rend. Equipos'!$B$6:$L$6,0),0)</f>
        <v>1.3888888888888887E-3</v>
      </c>
      <c r="G27" s="182">
        <f>+E27*D27*F27</f>
        <v>1723.6259595547124</v>
      </c>
      <c r="H27" s="411"/>
    </row>
    <row r="28" spans="1:8" ht="13" x14ac:dyDescent="0.3">
      <c r="A28" s="122"/>
      <c r="B28" s="122"/>
      <c r="C28" s="122"/>
      <c r="D28" s="122"/>
      <c r="E28" s="360"/>
      <c r="F28" s="123" t="s">
        <v>602</v>
      </c>
      <c r="G28" s="390">
        <f>SUM(G26:G27)</f>
        <v>1923.8790390194572</v>
      </c>
      <c r="H28" s="162"/>
    </row>
    <row r="29" spans="1:8" ht="13" x14ac:dyDescent="0.3">
      <c r="A29" s="122"/>
      <c r="B29" s="122"/>
      <c r="C29" s="122"/>
      <c r="D29" s="193"/>
      <c r="E29" s="143"/>
      <c r="F29" s="144" t="s">
        <v>11</v>
      </c>
      <c r="G29" s="156">
        <f>+G28/F9</f>
        <v>96.19395195097286</v>
      </c>
      <c r="H29" s="162"/>
    </row>
    <row r="30" spans="1:8" ht="13" x14ac:dyDescent="0.3">
      <c r="A30" s="128" t="s">
        <v>603</v>
      </c>
      <c r="B30" s="122"/>
      <c r="C30" s="122"/>
      <c r="D30" s="193"/>
      <c r="E30" s="122"/>
      <c r="F30" s="122"/>
      <c r="G30" s="122"/>
      <c r="H30" s="162"/>
    </row>
    <row r="31" spans="1:8" ht="13" x14ac:dyDescent="0.3">
      <c r="A31" s="133" t="s">
        <v>79</v>
      </c>
      <c r="B31" s="134" t="s">
        <v>591</v>
      </c>
      <c r="C31" s="134"/>
      <c r="D31" s="194" t="s">
        <v>593</v>
      </c>
      <c r="E31" s="134" t="s">
        <v>604</v>
      </c>
      <c r="F31" s="134"/>
      <c r="G31" s="135" t="s">
        <v>596</v>
      </c>
      <c r="H31" s="167"/>
    </row>
    <row r="32" spans="1:8" ht="13" x14ac:dyDescent="0.3">
      <c r="A32" s="136" t="s">
        <v>265</v>
      </c>
      <c r="B32" s="122" t="s">
        <v>266</v>
      </c>
      <c r="C32" s="146"/>
      <c r="D32" s="147">
        <v>1</v>
      </c>
      <c r="E32" s="122">
        <f>VLOOKUP(B32,'Mano de Obra'!$B$8:$C$100,2,FALSE)</f>
        <v>85927.097156571981</v>
      </c>
      <c r="F32" s="146"/>
      <c r="G32" s="148">
        <f>+E32*D32</f>
        <v>85927.097156571981</v>
      </c>
      <c r="H32" s="162"/>
    </row>
    <row r="33" spans="1:8" ht="13" x14ac:dyDescent="0.3">
      <c r="A33" s="139"/>
      <c r="B33" s="139"/>
      <c r="C33" s="139"/>
      <c r="D33" s="139"/>
      <c r="E33" s="140"/>
      <c r="F33" s="141" t="s">
        <v>606</v>
      </c>
      <c r="G33" s="391">
        <f>SUM(G32:G32)</f>
        <v>85927.097156571981</v>
      </c>
      <c r="H33" s="162"/>
    </row>
    <row r="34" spans="1:8" ht="13" x14ac:dyDescent="0.3">
      <c r="A34" s="122"/>
      <c r="B34" s="122"/>
      <c r="C34" s="122"/>
      <c r="D34" s="122"/>
      <c r="E34" s="360"/>
      <c r="F34" s="123" t="s">
        <v>607</v>
      </c>
      <c r="G34" s="349">
        <v>1</v>
      </c>
      <c r="H34" s="162"/>
    </row>
    <row r="35" spans="1:8" ht="13" x14ac:dyDescent="0.3">
      <c r="A35" s="122"/>
      <c r="B35" s="122"/>
      <c r="C35" s="122"/>
      <c r="D35" s="122"/>
      <c r="E35" s="360"/>
      <c r="F35" s="123" t="s">
        <v>608</v>
      </c>
      <c r="G35" s="390">
        <f>+G34*G33</f>
        <v>85927.097156571981</v>
      </c>
      <c r="H35" s="162"/>
    </row>
    <row r="36" spans="1:8" ht="13" x14ac:dyDescent="0.3">
      <c r="A36" s="122"/>
      <c r="B36" s="122"/>
      <c r="C36" s="122"/>
      <c r="D36" s="122"/>
      <c r="E36" s="143"/>
      <c r="F36" s="144" t="s">
        <v>10</v>
      </c>
      <c r="G36" s="156">
        <f>+G35/F9</f>
        <v>4296.3548578285991</v>
      </c>
      <c r="H36" s="168"/>
    </row>
    <row r="37" spans="1:8" ht="13" x14ac:dyDescent="0.3">
      <c r="A37" s="122"/>
      <c r="B37" s="122"/>
      <c r="C37" s="122"/>
      <c r="D37" s="122"/>
      <c r="H37" s="162"/>
    </row>
    <row r="38" spans="1:8" ht="13" x14ac:dyDescent="0.3">
      <c r="A38" s="122"/>
      <c r="B38" s="122"/>
      <c r="C38" s="122"/>
      <c r="D38" s="122"/>
      <c r="E38" s="122"/>
      <c r="F38" s="123" t="s">
        <v>609</v>
      </c>
      <c r="G38" s="123">
        <f>+G36+G29+G23</f>
        <v>6664.6275142795712</v>
      </c>
      <c r="H38" s="162"/>
    </row>
    <row r="39" spans="1:8" ht="13" x14ac:dyDescent="0.3">
      <c r="A39" s="122"/>
      <c r="B39" s="122"/>
      <c r="C39" s="122"/>
      <c r="D39" s="122"/>
      <c r="E39" s="123" t="s">
        <v>610</v>
      </c>
      <c r="F39" s="198">
        <f>+RESUMEN!$I$2</f>
        <v>0</v>
      </c>
      <c r="G39" s="130">
        <f>IF(F39=0,0,F39*G38)</f>
        <v>0</v>
      </c>
      <c r="H39" s="162"/>
    </row>
    <row r="40" spans="1:8" ht="13" x14ac:dyDescent="0.3">
      <c r="A40" s="122"/>
      <c r="B40" s="122"/>
      <c r="C40" s="1"/>
      <c r="D40" s="1"/>
      <c r="E40" s="123" t="s">
        <v>611</v>
      </c>
      <c r="F40" s="198">
        <f>+RESUMEN!$I$3</f>
        <v>0</v>
      </c>
      <c r="G40" s="130">
        <f>IF(F40=0,0,F40*G38)</f>
        <v>0</v>
      </c>
      <c r="H40" s="1"/>
    </row>
    <row r="41" spans="1:8" ht="13" x14ac:dyDescent="0.3">
      <c r="A41" s="1"/>
      <c r="B41" s="1"/>
      <c r="C41" s="1"/>
      <c r="D41" s="1"/>
      <c r="E41" s="151"/>
      <c r="F41" s="152" t="s">
        <v>612</v>
      </c>
      <c r="G41" s="389">
        <f>SUM(G38:G40)</f>
        <v>6664.6275142795712</v>
      </c>
      <c r="H41" s="1"/>
    </row>
  </sheetData>
  <mergeCells count="3">
    <mergeCell ref="A1:G1"/>
    <mergeCell ref="B5:G5"/>
    <mergeCell ref="B7:G7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8D77-F42A-4264-96BC-2107D166DBD6}">
  <sheetPr>
    <tabColor rgb="FFFFFF00"/>
  </sheetPr>
  <dimension ref="A1:J38"/>
  <sheetViews>
    <sheetView workbookViewId="0">
      <selection sqref="A1:G1"/>
    </sheetView>
  </sheetViews>
  <sheetFormatPr defaultColWidth="11.453125" defaultRowHeight="12.5" x14ac:dyDescent="0.25"/>
  <cols>
    <col min="1" max="1" width="7.6328125" customWidth="1"/>
    <col min="2" max="2" width="44" bestFit="1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  <col min="11" max="13" width="5" bestFit="1" customWidth="1"/>
  </cols>
  <sheetData>
    <row r="1" spans="1:10" ht="15.5" x14ac:dyDescent="0.25">
      <c r="A1" s="869"/>
      <c r="B1" s="870"/>
      <c r="C1" s="870"/>
      <c r="D1" s="870"/>
      <c r="E1" s="870"/>
      <c r="F1" s="870"/>
      <c r="G1" s="870"/>
      <c r="H1" s="162"/>
      <c r="I1" s="1"/>
      <c r="J1" s="1"/>
    </row>
    <row r="2" spans="1:10" x14ac:dyDescent="0.25">
      <c r="A2" s="162"/>
      <c r="B2" s="162"/>
      <c r="C2" s="162"/>
      <c r="D2" s="162"/>
      <c r="E2" s="162"/>
      <c r="F2" s="163" t="s">
        <v>78</v>
      </c>
      <c r="G2" s="164">
        <v>44907</v>
      </c>
      <c r="H2" s="162"/>
      <c r="I2" s="1"/>
      <c r="J2" s="1"/>
    </row>
    <row r="3" spans="1:10" ht="15.5" x14ac:dyDescent="0.35">
      <c r="A3" s="165" t="s">
        <v>579</v>
      </c>
      <c r="B3" s="166"/>
      <c r="C3" s="166"/>
      <c r="D3" s="166"/>
      <c r="E3" s="166"/>
      <c r="F3" s="166"/>
      <c r="G3" s="166"/>
      <c r="H3" s="162"/>
      <c r="I3" s="1"/>
      <c r="J3" s="1"/>
    </row>
    <row r="4" spans="1:10" ht="13" x14ac:dyDescent="0.3">
      <c r="A4" s="122"/>
      <c r="B4" s="122"/>
      <c r="C4" s="122"/>
      <c r="D4" s="122"/>
      <c r="E4" s="122"/>
      <c r="F4" s="123" t="s">
        <v>580</v>
      </c>
      <c r="G4" s="126">
        <v>137</v>
      </c>
      <c r="H4" s="162"/>
      <c r="I4" s="1"/>
      <c r="J4" s="1"/>
    </row>
    <row r="5" spans="1:10" ht="13" x14ac:dyDescent="0.25">
      <c r="A5" s="127" t="s">
        <v>581</v>
      </c>
      <c r="B5" s="905" t="s">
        <v>801</v>
      </c>
      <c r="C5" s="906"/>
      <c r="D5" s="906"/>
      <c r="E5" s="906"/>
      <c r="F5" s="906"/>
      <c r="G5" s="906"/>
      <c r="H5" s="162"/>
      <c r="I5" s="1"/>
      <c r="J5" s="1"/>
    </row>
    <row r="6" spans="1:10" ht="13" x14ac:dyDescent="0.3">
      <c r="A6" s="128" t="s">
        <v>582</v>
      </c>
      <c r="B6" s="129" t="s">
        <v>802</v>
      </c>
      <c r="C6" s="122"/>
      <c r="D6" s="122"/>
      <c r="E6" s="122"/>
      <c r="F6" s="123" t="s">
        <v>583</v>
      </c>
      <c r="G6" s="130" t="s">
        <v>24</v>
      </c>
      <c r="H6" s="162"/>
      <c r="I6" s="1"/>
      <c r="J6" s="1"/>
    </row>
    <row r="7" spans="1:10" ht="15.5" x14ac:dyDescent="0.25">
      <c r="A7" s="197" t="s">
        <v>584</v>
      </c>
      <c r="B7" s="873"/>
      <c r="C7" s="874"/>
      <c r="D7" s="874"/>
      <c r="E7" s="874"/>
      <c r="F7" s="874"/>
      <c r="G7" s="874"/>
      <c r="H7" s="162"/>
      <c r="I7" s="162"/>
      <c r="J7" s="1"/>
    </row>
    <row r="8" spans="1:10" ht="13" x14ac:dyDescent="0.3">
      <c r="A8" s="128"/>
      <c r="B8" s="122"/>
      <c r="C8" s="131" t="s">
        <v>586</v>
      </c>
      <c r="D8" s="122"/>
      <c r="E8" s="131" t="s">
        <v>587</v>
      </c>
      <c r="F8" s="128" t="s">
        <v>588</v>
      </c>
      <c r="G8" s="122"/>
      <c r="H8" s="162"/>
      <c r="I8" s="1"/>
      <c r="J8" s="1"/>
    </row>
    <row r="9" spans="1:10" ht="13" x14ac:dyDescent="0.3">
      <c r="A9" s="122"/>
      <c r="B9" s="122"/>
      <c r="C9" s="132" t="s">
        <v>45</v>
      </c>
      <c r="D9" s="122"/>
      <c r="E9" s="132">
        <v>1889.58</v>
      </c>
      <c r="F9" s="185">
        <v>20</v>
      </c>
      <c r="G9" s="158" t="s">
        <v>615</v>
      </c>
      <c r="H9" s="162"/>
      <c r="I9" s="1"/>
      <c r="J9" s="1"/>
    </row>
    <row r="10" spans="1:10" ht="13" x14ac:dyDescent="0.3">
      <c r="A10" s="128" t="s">
        <v>590</v>
      </c>
      <c r="B10" s="122"/>
      <c r="C10" s="122"/>
      <c r="D10" s="122"/>
      <c r="E10" s="122"/>
      <c r="F10" s="122"/>
      <c r="G10" s="122"/>
      <c r="H10" s="162"/>
    </row>
    <row r="11" spans="1:10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67"/>
      <c r="I11" s="1">
        <v>100</v>
      </c>
      <c r="J11" s="1" t="s">
        <v>45</v>
      </c>
    </row>
    <row r="12" spans="1:10" ht="13" x14ac:dyDescent="0.3">
      <c r="A12" s="175" t="s">
        <v>414</v>
      </c>
      <c r="B12" s="175" t="s">
        <v>415</v>
      </c>
      <c r="C12" s="264" t="s">
        <v>355</v>
      </c>
      <c r="D12" s="330">
        <v>1E-3</v>
      </c>
      <c r="E12" s="175">
        <f>VLOOKUP(B12,Materiales!$B$8:$D$118,3,FALSE)</f>
        <v>9639</v>
      </c>
      <c r="F12" s="175">
        <v>5</v>
      </c>
      <c r="G12" s="176">
        <f>+D12*E12*((F12+100)/100)</f>
        <v>10.120950000000001</v>
      </c>
      <c r="H12" s="162"/>
      <c r="I12" s="1">
        <f>+D12*$I$11</f>
        <v>0.1</v>
      </c>
      <c r="J12" s="1"/>
    </row>
    <row r="13" spans="1:10" ht="13" x14ac:dyDescent="0.3">
      <c r="A13" s="178" t="s">
        <v>485</v>
      </c>
      <c r="B13" s="178" t="s">
        <v>487</v>
      </c>
      <c r="C13" s="320" t="s">
        <v>355</v>
      </c>
      <c r="D13" s="331">
        <v>4.0000000000000001E-3</v>
      </c>
      <c r="E13" s="178">
        <f>VLOOKUP(B13,Materiales!$B$8:$D$118,3,FALSE)</f>
        <v>30467.49</v>
      </c>
      <c r="F13" s="178">
        <v>5</v>
      </c>
      <c r="G13" s="179">
        <f t="shared" ref="G13:G18" si="0">+D13*E13*((F13+100)/100)</f>
        <v>127.96345800000002</v>
      </c>
      <c r="H13" s="162"/>
      <c r="I13" s="1">
        <f t="shared" ref="I13:I18" si="1">+D13*$I$11</f>
        <v>0.4</v>
      </c>
      <c r="J13" s="1"/>
    </row>
    <row r="14" spans="1:10" ht="13" x14ac:dyDescent="0.3">
      <c r="A14" s="178" t="s">
        <v>496</v>
      </c>
      <c r="B14" s="178" t="s">
        <v>497</v>
      </c>
      <c r="C14" s="320" t="s">
        <v>17</v>
      </c>
      <c r="D14" s="331">
        <v>0.02</v>
      </c>
      <c r="E14" s="178">
        <f>VLOOKUP(B14,Materiales!$B$8:$D$118,3,FALSE)</f>
        <v>735.06</v>
      </c>
      <c r="F14" s="178">
        <v>5</v>
      </c>
      <c r="G14" s="179">
        <f t="shared" si="0"/>
        <v>15.436260000000001</v>
      </c>
      <c r="H14" s="162"/>
      <c r="I14" s="1">
        <f t="shared" si="1"/>
        <v>2</v>
      </c>
      <c r="J14" s="1"/>
    </row>
    <row r="15" spans="1:10" ht="13" x14ac:dyDescent="0.3">
      <c r="A15" s="178" t="s">
        <v>493</v>
      </c>
      <c r="B15" s="178" t="s">
        <v>494</v>
      </c>
      <c r="C15" s="320" t="s">
        <v>17</v>
      </c>
      <c r="D15" s="331">
        <v>0.05</v>
      </c>
      <c r="E15" s="178">
        <f>VLOOKUP(B15,Materiales!$B$8:$D$118,3,FALSE)</f>
        <v>3293.01</v>
      </c>
      <c r="F15" s="178">
        <v>10</v>
      </c>
      <c r="G15" s="179">
        <f t="shared" si="0"/>
        <v>181.11555000000004</v>
      </c>
      <c r="H15" s="162"/>
      <c r="I15" s="1">
        <f t="shared" si="1"/>
        <v>5</v>
      </c>
      <c r="J15" s="1"/>
    </row>
    <row r="16" spans="1:10" ht="13" x14ac:dyDescent="0.3">
      <c r="A16" s="178" t="s">
        <v>491</v>
      </c>
      <c r="B16" s="178" t="s">
        <v>492</v>
      </c>
      <c r="C16" s="320" t="s">
        <v>17</v>
      </c>
      <c r="D16" s="331">
        <v>1.4999999999999999E-2</v>
      </c>
      <c r="E16" s="178">
        <f>VLOOKUP(B16,Materiales!$B$8:$D$118,3,FALSE)</f>
        <v>5661.4</v>
      </c>
      <c r="F16" s="178">
        <v>5</v>
      </c>
      <c r="G16" s="179">
        <f t="shared" si="0"/>
        <v>89.167049999999989</v>
      </c>
      <c r="H16" s="162"/>
      <c r="I16" s="1">
        <f t="shared" si="1"/>
        <v>1.5</v>
      </c>
      <c r="J16" s="1"/>
    </row>
    <row r="17" spans="1:10" ht="13" x14ac:dyDescent="0.3">
      <c r="A17" s="178" t="s">
        <v>470</v>
      </c>
      <c r="B17" s="178" t="s">
        <v>471</v>
      </c>
      <c r="C17" s="320" t="s">
        <v>355</v>
      </c>
      <c r="D17" s="331">
        <v>2E-3</v>
      </c>
      <c r="E17" s="178">
        <f>VLOOKUP(B17,Materiales!$B$8:$D$118,3,FALSE)</f>
        <v>18735.77</v>
      </c>
      <c r="F17" s="178">
        <v>10</v>
      </c>
      <c r="G17" s="179">
        <f t="shared" si="0"/>
        <v>41.218694000000006</v>
      </c>
      <c r="H17" s="162"/>
      <c r="I17" s="1">
        <f t="shared" si="1"/>
        <v>0.2</v>
      </c>
      <c r="J17" s="1"/>
    </row>
    <row r="18" spans="1:10" ht="13" x14ac:dyDescent="0.3">
      <c r="A18" s="180" t="s">
        <v>459</v>
      </c>
      <c r="B18" s="180" t="s">
        <v>460</v>
      </c>
      <c r="C18" s="265" t="s">
        <v>355</v>
      </c>
      <c r="D18" s="333">
        <v>1.2500000000000001E-2</v>
      </c>
      <c r="E18" s="180">
        <f>VLOOKUP(B18,Materiales!$B$8:$D$118,3,FALSE)</f>
        <v>120622.23</v>
      </c>
      <c r="F18" s="180">
        <v>10</v>
      </c>
      <c r="G18" s="182">
        <f t="shared" si="0"/>
        <v>1658.5556625000002</v>
      </c>
      <c r="H18" s="250"/>
      <c r="I18" s="1">
        <f t="shared" si="1"/>
        <v>1.25</v>
      </c>
      <c r="J18" s="1"/>
    </row>
    <row r="19" spans="1:10" ht="13" x14ac:dyDescent="0.3">
      <c r="A19" s="139"/>
      <c r="B19" s="139"/>
      <c r="C19" s="139"/>
      <c r="D19" s="192"/>
      <c r="E19" s="140"/>
      <c r="F19" s="141" t="s">
        <v>598</v>
      </c>
      <c r="G19" s="142">
        <f>SUM(G12:G18)</f>
        <v>2123.5776245000002</v>
      </c>
      <c r="H19" s="162"/>
      <c r="I19" s="1"/>
      <c r="J19" s="1"/>
    </row>
    <row r="20" spans="1:10" ht="13" x14ac:dyDescent="0.3">
      <c r="A20" s="122"/>
      <c r="B20" s="122"/>
      <c r="C20" s="122"/>
      <c r="D20" s="193"/>
      <c r="E20" s="143"/>
      <c r="F20" s="144" t="s">
        <v>9</v>
      </c>
      <c r="G20" s="156">
        <f>+G19</f>
        <v>2123.5776245000002</v>
      </c>
      <c r="H20" s="162"/>
      <c r="I20" s="1"/>
      <c r="J20" s="1"/>
    </row>
    <row r="21" spans="1:10" ht="13" x14ac:dyDescent="0.3">
      <c r="A21" s="128" t="s">
        <v>599</v>
      </c>
      <c r="B21" s="122"/>
      <c r="C21" s="122"/>
      <c r="D21" s="193"/>
      <c r="E21" s="122"/>
      <c r="F21" s="122"/>
      <c r="G21" s="122"/>
      <c r="H21" s="162"/>
      <c r="I21" s="1"/>
      <c r="J21" s="1"/>
    </row>
    <row r="22" spans="1:10" ht="13" x14ac:dyDescent="0.3">
      <c r="A22" s="133" t="s">
        <v>79</v>
      </c>
      <c r="B22" s="134" t="s">
        <v>591</v>
      </c>
      <c r="C22" s="134"/>
      <c r="D22" s="134" t="s">
        <v>593</v>
      </c>
      <c r="E22" s="134" t="s">
        <v>600</v>
      </c>
      <c r="F22" s="134" t="s">
        <v>808</v>
      </c>
      <c r="G22" s="135" t="s">
        <v>596</v>
      </c>
      <c r="H22" s="167"/>
      <c r="I22" s="3"/>
      <c r="J22" s="3"/>
    </row>
    <row r="23" spans="1:10" ht="13" x14ac:dyDescent="0.3">
      <c r="A23" s="136" t="s">
        <v>181</v>
      </c>
      <c r="B23" s="122" t="s">
        <v>861</v>
      </c>
      <c r="C23" s="146"/>
      <c r="D23" s="147">
        <v>1</v>
      </c>
      <c r="E23" s="136" t="e">
        <f>VLOOKUP(B23,'Rend. Equipos'!$B$7:$E$222,2,FALSE)</f>
        <v>#N/A</v>
      </c>
      <c r="F23" s="147">
        <v>5.0000000000000001E-3</v>
      </c>
      <c r="G23" s="148" t="e">
        <f>+E23*D23*F23</f>
        <v>#N/A</v>
      </c>
      <c r="H23" s="162"/>
      <c r="I23" s="1"/>
      <c r="J23" s="1"/>
    </row>
    <row r="24" spans="1:10" ht="13" x14ac:dyDescent="0.3">
      <c r="A24" s="138" t="s">
        <v>135</v>
      </c>
      <c r="B24" s="122" t="s">
        <v>136</v>
      </c>
      <c r="C24" s="149"/>
      <c r="D24" s="150">
        <v>1</v>
      </c>
      <c r="E24" s="138">
        <f>VLOOKUP(B24,'Rend. Equipos'!$B$7:$E$222,2,FALSE)</f>
        <v>0</v>
      </c>
      <c r="F24" s="150">
        <v>6.9000000000000006E-2</v>
      </c>
      <c r="G24" s="137">
        <f>+E24*D24*F24</f>
        <v>0</v>
      </c>
      <c r="H24" s="162"/>
      <c r="I24" s="1"/>
      <c r="J24" s="1"/>
    </row>
    <row r="25" spans="1:10" ht="13" x14ac:dyDescent="0.3">
      <c r="A25" s="139"/>
      <c r="B25" s="139"/>
      <c r="C25" s="139"/>
      <c r="D25" s="139"/>
      <c r="E25" s="140"/>
      <c r="F25" s="141" t="s">
        <v>602</v>
      </c>
      <c r="G25" s="142" t="e">
        <f>SUM(G23:G24)</f>
        <v>#N/A</v>
      </c>
      <c r="H25" s="162"/>
      <c r="I25" s="1"/>
      <c r="J25" s="1"/>
    </row>
    <row r="26" spans="1:10" ht="13" x14ac:dyDescent="0.3">
      <c r="A26" s="122"/>
      <c r="B26" s="122"/>
      <c r="C26" s="122"/>
      <c r="D26" s="193"/>
      <c r="E26" s="143"/>
      <c r="F26" s="144" t="s">
        <v>11</v>
      </c>
      <c r="G26" s="156" t="e">
        <f>+G25/F9</f>
        <v>#N/A</v>
      </c>
      <c r="H26" s="162"/>
      <c r="I26" s="1"/>
      <c r="J26" s="1"/>
    </row>
    <row r="27" spans="1:10" ht="13" x14ac:dyDescent="0.3">
      <c r="A27" s="128" t="s">
        <v>603</v>
      </c>
      <c r="B27" s="122"/>
      <c r="C27" s="122"/>
      <c r="D27" s="193"/>
      <c r="E27" s="122"/>
      <c r="F27" s="122"/>
      <c r="G27" s="122"/>
      <c r="H27" s="162"/>
      <c r="I27" s="1"/>
      <c r="J27" s="1"/>
    </row>
    <row r="28" spans="1:10" ht="13" x14ac:dyDescent="0.3">
      <c r="A28" s="133" t="s">
        <v>79</v>
      </c>
      <c r="B28" s="134" t="s">
        <v>591</v>
      </c>
      <c r="C28" s="134"/>
      <c r="D28" s="194" t="s">
        <v>593</v>
      </c>
      <c r="E28" s="134" t="s">
        <v>604</v>
      </c>
      <c r="F28" s="134"/>
      <c r="G28" s="135" t="s">
        <v>596</v>
      </c>
      <c r="H28" s="167"/>
      <c r="I28" s="3"/>
      <c r="J28" s="3"/>
    </row>
    <row r="29" spans="1:10" ht="13" x14ac:dyDescent="0.3">
      <c r="A29" s="136" t="s">
        <v>265</v>
      </c>
      <c r="B29" s="122" t="s">
        <v>266</v>
      </c>
      <c r="C29" s="146"/>
      <c r="D29" s="147">
        <v>1</v>
      </c>
      <c r="E29" s="122">
        <f>VLOOKUP(B29,'Mano de Obra'!$B$8:$C$100,2,FALSE)</f>
        <v>85927.097156571981</v>
      </c>
      <c r="F29" s="146"/>
      <c r="G29" s="148">
        <f>+E29*D29</f>
        <v>85927.097156571981</v>
      </c>
      <c r="H29" s="162"/>
      <c r="I29" s="1"/>
      <c r="J29" s="1"/>
    </row>
    <row r="30" spans="1:10" ht="13" x14ac:dyDescent="0.3">
      <c r="A30" s="138" t="s">
        <v>251</v>
      </c>
      <c r="B30" s="122" t="s">
        <v>252</v>
      </c>
      <c r="C30" s="149"/>
      <c r="D30" s="328">
        <v>0.25</v>
      </c>
      <c r="E30" s="122">
        <f>VLOOKUP(B30,'Mano de Obra'!$B$8:$C$100,2,FALSE)</f>
        <v>65493.071636571978</v>
      </c>
      <c r="F30" s="149"/>
      <c r="G30" s="137">
        <f>+E30*D30</f>
        <v>16373.267909142995</v>
      </c>
      <c r="H30" s="162"/>
      <c r="I30" s="332"/>
      <c r="J30" s="1"/>
    </row>
    <row r="31" spans="1:10" ht="13" x14ac:dyDescent="0.3">
      <c r="A31" s="139"/>
      <c r="B31" s="139"/>
      <c r="C31" s="139"/>
      <c r="D31" s="139"/>
      <c r="E31" s="151"/>
      <c r="F31" s="152" t="s">
        <v>606</v>
      </c>
      <c r="G31" s="153">
        <f>SUM(G29:G30)</f>
        <v>102300.36506571497</v>
      </c>
      <c r="H31" s="162"/>
      <c r="I31" s="1"/>
      <c r="J31" s="1"/>
    </row>
    <row r="32" spans="1:10" ht="13" x14ac:dyDescent="0.3">
      <c r="A32" s="122"/>
      <c r="B32" s="122"/>
      <c r="C32" s="122"/>
      <c r="D32" s="122"/>
      <c r="E32" s="122"/>
      <c r="F32" s="123" t="s">
        <v>607</v>
      </c>
      <c r="G32" s="130">
        <v>1</v>
      </c>
      <c r="H32" s="162"/>
      <c r="I32" s="1"/>
      <c r="J32" s="1"/>
    </row>
    <row r="33" spans="1:7" ht="13" x14ac:dyDescent="0.3">
      <c r="A33" s="122"/>
      <c r="B33" s="122"/>
      <c r="C33" s="122"/>
      <c r="D33" s="122"/>
      <c r="E33" s="122"/>
      <c r="F33" s="123" t="s">
        <v>608</v>
      </c>
      <c r="G33" s="130">
        <f>+G32*G31</f>
        <v>102300.36506571497</v>
      </c>
    </row>
    <row r="34" spans="1:7" ht="13" x14ac:dyDescent="0.3">
      <c r="A34" s="122"/>
      <c r="B34" s="122"/>
      <c r="C34" s="122"/>
      <c r="D34" s="122"/>
      <c r="E34" s="122"/>
      <c r="F34" s="123" t="s">
        <v>10</v>
      </c>
      <c r="G34" s="157">
        <f>+G33/F9</f>
        <v>5115.0182532857489</v>
      </c>
    </row>
    <row r="35" spans="1:7" ht="13" x14ac:dyDescent="0.3">
      <c r="A35" s="122"/>
      <c r="B35" s="122"/>
      <c r="C35" s="122"/>
      <c r="D35" s="122"/>
      <c r="E35" s="122"/>
      <c r="F35" s="123" t="s">
        <v>609</v>
      </c>
      <c r="G35" s="130" t="e">
        <f>+G34+G26+G20</f>
        <v>#N/A</v>
      </c>
    </row>
    <row r="36" spans="1:7" ht="13" x14ac:dyDescent="0.3">
      <c r="A36" s="122"/>
      <c r="B36" s="122"/>
      <c r="C36" s="122"/>
      <c r="D36" s="122"/>
      <c r="E36" s="123" t="s">
        <v>610</v>
      </c>
      <c r="F36" s="198">
        <f>+RESUMEN!$I$2</f>
        <v>0</v>
      </c>
      <c r="G36" s="130">
        <f>IF(F36=0,0,F36*G35)</f>
        <v>0</v>
      </c>
    </row>
    <row r="37" spans="1:7" ht="13" x14ac:dyDescent="0.3">
      <c r="A37" s="122"/>
      <c r="B37" s="122"/>
      <c r="C37" s="122"/>
      <c r="D37" s="122"/>
      <c r="E37" s="123" t="s">
        <v>611</v>
      </c>
      <c r="F37" s="198">
        <f>+RESUMEN!$I$3</f>
        <v>0</v>
      </c>
      <c r="G37" s="130">
        <f>IF(F37=0,0,F37*G35)</f>
        <v>0</v>
      </c>
    </row>
    <row r="38" spans="1:7" ht="13" x14ac:dyDescent="0.3">
      <c r="A38" s="122"/>
      <c r="B38" s="122"/>
      <c r="C38" s="1"/>
      <c r="D38" s="1"/>
      <c r="E38" s="151"/>
      <c r="F38" s="152" t="s">
        <v>612</v>
      </c>
      <c r="G38" s="154" t="e">
        <f>SUM(G35:G37)</f>
        <v>#N/A</v>
      </c>
    </row>
  </sheetData>
  <mergeCells count="3">
    <mergeCell ref="A1:G1"/>
    <mergeCell ref="B5:G5"/>
    <mergeCell ref="B7:G7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DA9D-38D4-40DA-9E79-73F418126A04}">
  <sheetPr>
    <tabColor theme="9"/>
  </sheetPr>
  <dimension ref="A1:H39"/>
  <sheetViews>
    <sheetView workbookViewId="0">
      <selection activeCell="B12" sqref="B12"/>
    </sheetView>
  </sheetViews>
  <sheetFormatPr defaultColWidth="11.453125" defaultRowHeight="12.5" x14ac:dyDescent="0.25"/>
  <cols>
    <col min="1" max="1" width="7.6328125" customWidth="1"/>
    <col min="2" max="2" width="44" bestFit="1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  <col min="8" max="8" width="10.6328125" customWidth="1"/>
    <col min="10" max="12" width="5" bestFit="1" customWidth="1"/>
    <col min="14" max="14" width="44" bestFit="1" customWidth="1"/>
  </cols>
  <sheetData>
    <row r="1" spans="1:8" ht="15.5" x14ac:dyDescent="0.25">
      <c r="A1" s="869"/>
      <c r="B1" s="870"/>
      <c r="C1" s="870"/>
      <c r="D1" s="870"/>
      <c r="E1" s="870"/>
      <c r="F1" s="870"/>
      <c r="G1" s="870"/>
      <c r="H1" s="162"/>
    </row>
    <row r="2" spans="1:8" x14ac:dyDescent="0.25">
      <c r="A2" s="315"/>
      <c r="B2" s="315"/>
      <c r="C2" s="315"/>
      <c r="D2" s="315"/>
      <c r="E2" s="315"/>
      <c r="F2" s="380" t="s">
        <v>78</v>
      </c>
      <c r="G2" s="381">
        <v>44907</v>
      </c>
      <c r="H2" s="162"/>
    </row>
    <row r="3" spans="1:8" ht="15.5" x14ac:dyDescent="0.25">
      <c r="A3" s="382" t="s">
        <v>579</v>
      </c>
      <c r="B3" s="383"/>
      <c r="C3" s="383"/>
      <c r="D3" s="383"/>
      <c r="E3" s="383"/>
      <c r="F3" s="383"/>
      <c r="G3" s="383"/>
      <c r="H3" s="162"/>
    </row>
    <row r="4" spans="1:8" ht="13" x14ac:dyDescent="0.25">
      <c r="A4" s="199"/>
      <c r="B4" s="199"/>
      <c r="C4" s="199"/>
      <c r="D4" s="199"/>
      <c r="E4" s="199"/>
      <c r="F4" s="336" t="s">
        <v>580</v>
      </c>
      <c r="G4" s="384">
        <v>146</v>
      </c>
      <c r="H4" s="162"/>
    </row>
    <row r="5" spans="1:8" ht="13" x14ac:dyDescent="0.25">
      <c r="A5" s="337" t="s">
        <v>581</v>
      </c>
      <c r="B5" s="909"/>
      <c r="C5" s="910"/>
      <c r="D5" s="910"/>
      <c r="E5" s="910"/>
      <c r="F5" s="910"/>
      <c r="G5" s="910"/>
      <c r="H5" s="162"/>
    </row>
    <row r="6" spans="1:8" ht="13" x14ac:dyDescent="0.25">
      <c r="A6" s="378" t="s">
        <v>582</v>
      </c>
      <c r="B6" s="335"/>
      <c r="C6" s="199"/>
      <c r="D6" s="199"/>
      <c r="E6" s="199"/>
      <c r="F6" s="336" t="s">
        <v>583</v>
      </c>
      <c r="G6" s="379"/>
      <c r="H6" s="162"/>
    </row>
    <row r="7" spans="1:8" ht="15.5" x14ac:dyDescent="0.25">
      <c r="A7" s="359" t="s">
        <v>584</v>
      </c>
      <c r="B7" s="896" t="s">
        <v>862</v>
      </c>
      <c r="C7" s="897"/>
      <c r="D7" s="897"/>
      <c r="E7" s="897"/>
      <c r="F7" s="897"/>
      <c r="G7" s="897"/>
      <c r="H7" s="162"/>
    </row>
    <row r="8" spans="1:8" ht="13" x14ac:dyDescent="0.25">
      <c r="A8" s="378"/>
      <c r="B8" s="199"/>
      <c r="C8" s="240" t="s">
        <v>586</v>
      </c>
      <c r="D8" s="199"/>
      <c r="E8" s="240" t="s">
        <v>587</v>
      </c>
      <c r="F8" s="378" t="s">
        <v>588</v>
      </c>
      <c r="G8" s="199"/>
      <c r="H8" s="162"/>
    </row>
    <row r="9" spans="1:8" ht="13" x14ac:dyDescent="0.25">
      <c r="A9" s="199"/>
      <c r="B9" s="199"/>
      <c r="C9" s="158" t="s">
        <v>45</v>
      </c>
      <c r="D9" s="199"/>
      <c r="E9" s="158">
        <v>100</v>
      </c>
      <c r="F9" s="385">
        <v>25</v>
      </c>
      <c r="G9" s="158" t="s">
        <v>615</v>
      </c>
      <c r="H9" s="162"/>
    </row>
    <row r="10" spans="1:8" ht="13" x14ac:dyDescent="0.25">
      <c r="A10" s="378" t="s">
        <v>590</v>
      </c>
      <c r="B10" s="199"/>
      <c r="C10" s="199"/>
      <c r="D10" s="199"/>
      <c r="E10" s="199"/>
      <c r="F10" s="199"/>
      <c r="G10" s="199"/>
      <c r="H10" s="162"/>
    </row>
    <row r="11" spans="1:8" ht="13" x14ac:dyDescent="0.3">
      <c r="A11" s="133" t="s">
        <v>79</v>
      </c>
      <c r="B11" s="134" t="s">
        <v>591</v>
      </c>
      <c r="C11" s="134" t="s">
        <v>592</v>
      </c>
      <c r="D11" s="134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</row>
    <row r="12" spans="1:8" ht="13" x14ac:dyDescent="0.3">
      <c r="A12" s="175" t="s">
        <v>414</v>
      </c>
      <c r="B12" s="175" t="s">
        <v>415</v>
      </c>
      <c r="C12" s="264" t="s">
        <v>355</v>
      </c>
      <c r="D12" s="386">
        <v>1E-3</v>
      </c>
      <c r="E12" s="175">
        <f>VLOOKUP(B12,Materiales!$B$8:$D$118,3,FALSE)</f>
        <v>9639</v>
      </c>
      <c r="F12" s="175">
        <v>5</v>
      </c>
      <c r="G12" s="176">
        <f>+D12*E12*((F12+100)/100)</f>
        <v>10.120950000000001</v>
      </c>
      <c r="H12" s="176">
        <f>+D12*$E$9</f>
        <v>0.1</v>
      </c>
    </row>
    <row r="13" spans="1:8" ht="13" x14ac:dyDescent="0.3">
      <c r="A13" s="178" t="s">
        <v>485</v>
      </c>
      <c r="B13" s="178" t="s">
        <v>487</v>
      </c>
      <c r="C13" s="320" t="s">
        <v>355</v>
      </c>
      <c r="D13" s="387">
        <v>4.0000000000000001E-3</v>
      </c>
      <c r="E13" s="178">
        <f>VLOOKUP(B13,Materiales!$B$8:$D$118,3,FALSE)</f>
        <v>30467.49</v>
      </c>
      <c r="F13" s="178">
        <v>5</v>
      </c>
      <c r="G13" s="179">
        <f t="shared" ref="G13:G19" si="0">+D13*E13*((F13+100)/100)</f>
        <v>127.96345800000002</v>
      </c>
      <c r="H13" s="179">
        <f t="shared" ref="H13:H19" si="1">+D13*$E$9</f>
        <v>0.4</v>
      </c>
    </row>
    <row r="14" spans="1:8" ht="13" x14ac:dyDescent="0.3">
      <c r="A14" s="178" t="s">
        <v>496</v>
      </c>
      <c r="B14" s="178" t="s">
        <v>497</v>
      </c>
      <c r="C14" s="320" t="s">
        <v>17</v>
      </c>
      <c r="D14" s="387">
        <v>0.03</v>
      </c>
      <c r="E14" s="178">
        <f>VLOOKUP(B14,Materiales!$B$8:$D$118,3,FALSE)</f>
        <v>735.06</v>
      </c>
      <c r="F14" s="178">
        <v>5</v>
      </c>
      <c r="G14" s="179">
        <f t="shared" si="0"/>
        <v>23.154389999999996</v>
      </c>
      <c r="H14" s="179">
        <f t="shared" si="1"/>
        <v>3</v>
      </c>
    </row>
    <row r="15" spans="1:8" ht="13" x14ac:dyDescent="0.3">
      <c r="A15" s="178" t="s">
        <v>493</v>
      </c>
      <c r="B15" s="178" t="s">
        <v>494</v>
      </c>
      <c r="C15" s="320" t="s">
        <v>17</v>
      </c>
      <c r="D15" s="387">
        <v>0.05</v>
      </c>
      <c r="E15" s="178">
        <f>VLOOKUP(B15,Materiales!$B$8:$D$118,3,FALSE)</f>
        <v>3293.01</v>
      </c>
      <c r="F15" s="178">
        <v>10</v>
      </c>
      <c r="G15" s="179">
        <f t="shared" si="0"/>
        <v>181.11555000000004</v>
      </c>
      <c r="H15" s="179">
        <f t="shared" si="1"/>
        <v>5</v>
      </c>
    </row>
    <row r="16" spans="1:8" ht="13" x14ac:dyDescent="0.3">
      <c r="A16" s="178"/>
      <c r="B16" s="178" t="s">
        <v>500</v>
      </c>
      <c r="C16" s="320" t="s">
        <v>17</v>
      </c>
      <c r="D16" s="387">
        <v>5.0000000000000001E-3</v>
      </c>
      <c r="E16" s="178">
        <f>VLOOKUP(B16,Materiales!$B$8:$D$118,3,FALSE)</f>
        <v>6678.36</v>
      </c>
      <c r="F16" s="178">
        <v>5</v>
      </c>
      <c r="G16" s="179">
        <f t="shared" si="0"/>
        <v>35.061389999999996</v>
      </c>
      <c r="H16" s="179">
        <f t="shared" si="1"/>
        <v>0.5</v>
      </c>
    </row>
    <row r="17" spans="1:8" ht="13" x14ac:dyDescent="0.3">
      <c r="A17" s="178"/>
      <c r="B17" s="178" t="s">
        <v>502</v>
      </c>
      <c r="C17" s="320" t="s">
        <v>17</v>
      </c>
      <c r="D17" s="387">
        <v>5.0000000000000001E-3</v>
      </c>
      <c r="E17" s="178">
        <f>VLOOKUP(B17,Materiales!$B$8:$D$118,3,FALSE)</f>
        <v>5282.24</v>
      </c>
      <c r="F17" s="178">
        <v>5</v>
      </c>
      <c r="G17" s="179">
        <f t="shared" si="0"/>
        <v>27.731760000000001</v>
      </c>
      <c r="H17" s="179">
        <f t="shared" si="1"/>
        <v>0.5</v>
      </c>
    </row>
    <row r="18" spans="1:8" ht="13" x14ac:dyDescent="0.3">
      <c r="A18" s="178"/>
      <c r="B18" s="178" t="s">
        <v>504</v>
      </c>
      <c r="C18" s="320" t="s">
        <v>17</v>
      </c>
      <c r="D18" s="387">
        <v>0.01</v>
      </c>
      <c r="E18" s="178">
        <f>VLOOKUP(B18,Materiales!$B$8:$D$118,3,FALSE)</f>
        <v>7427.6</v>
      </c>
      <c r="F18" s="178">
        <v>5</v>
      </c>
      <c r="G18" s="179">
        <f t="shared" si="0"/>
        <v>77.989800000000017</v>
      </c>
      <c r="H18" s="179">
        <f t="shared" si="1"/>
        <v>1</v>
      </c>
    </row>
    <row r="19" spans="1:8" ht="13" x14ac:dyDescent="0.3">
      <c r="A19" s="180" t="s">
        <v>459</v>
      </c>
      <c r="B19" s="180" t="s">
        <v>460</v>
      </c>
      <c r="C19" s="265" t="s">
        <v>355</v>
      </c>
      <c r="D19" s="388">
        <v>1.2500000000000001E-2</v>
      </c>
      <c r="E19" s="180">
        <f>VLOOKUP(B19,Materiales!$B$8:$D$118,3,FALSE)</f>
        <v>120622.23</v>
      </c>
      <c r="F19" s="180">
        <v>10</v>
      </c>
      <c r="G19" s="182">
        <f t="shared" si="0"/>
        <v>1658.5556625000002</v>
      </c>
      <c r="H19" s="182">
        <f t="shared" si="1"/>
        <v>1.25</v>
      </c>
    </row>
    <row r="20" spans="1:8" ht="13" x14ac:dyDescent="0.3">
      <c r="A20" s="122"/>
      <c r="B20" s="122"/>
      <c r="C20" s="122"/>
      <c r="D20" s="193"/>
      <c r="E20" s="360"/>
      <c r="F20" s="123" t="s">
        <v>598</v>
      </c>
      <c r="G20" s="390">
        <f>SUM(G12:G19)</f>
        <v>2141.6929605000005</v>
      </c>
      <c r="H20" s="162"/>
    </row>
    <row r="21" spans="1:8" ht="13" x14ac:dyDescent="0.3">
      <c r="A21" s="122"/>
      <c r="B21" s="122"/>
      <c r="C21" s="122"/>
      <c r="D21" s="193"/>
      <c r="E21" s="143"/>
      <c r="F21" s="144" t="s">
        <v>9</v>
      </c>
      <c r="G21" s="156">
        <f>+G20</f>
        <v>2141.6929605000005</v>
      </c>
      <c r="H21" s="162"/>
    </row>
    <row r="22" spans="1:8" ht="13" x14ac:dyDescent="0.3">
      <c r="A22" s="128" t="s">
        <v>599</v>
      </c>
      <c r="B22" s="122"/>
      <c r="C22" s="122"/>
      <c r="D22" s="193"/>
      <c r="E22" s="122"/>
      <c r="F22" s="122"/>
      <c r="G22" s="122"/>
      <c r="H22" s="162"/>
    </row>
    <row r="23" spans="1:8" ht="13" x14ac:dyDescent="0.3">
      <c r="A23" s="133" t="s">
        <v>79</v>
      </c>
      <c r="B23" s="134" t="s">
        <v>591</v>
      </c>
      <c r="C23" s="134" t="s">
        <v>279</v>
      </c>
      <c r="D23" s="134" t="s">
        <v>593</v>
      </c>
      <c r="E23" s="134" t="s">
        <v>600</v>
      </c>
      <c r="F23" s="134" t="s">
        <v>87</v>
      </c>
      <c r="G23" s="135" t="s">
        <v>596</v>
      </c>
      <c r="H23" s="412"/>
    </row>
    <row r="24" spans="1:8" ht="13" x14ac:dyDescent="0.3">
      <c r="A24" s="175"/>
      <c r="B24" s="175" t="s">
        <v>183</v>
      </c>
      <c r="C24" s="264" t="s">
        <v>17</v>
      </c>
      <c r="D24" s="266">
        <v>1</v>
      </c>
      <c r="E24" s="175">
        <f>VLOOKUP(B24,'Rend. Equipos'!$B$7:$E$222,4,FALSE)</f>
        <v>72091.108607308124</v>
      </c>
      <c r="F24" s="266">
        <f>VLOOKUP(B24,'Rend. Equipos'!$B$6:$L$166,MATCH($F$23,'Rend. Equipos'!$B$6:$L$6,0),0)</f>
        <v>2.7777777777777779E-3</v>
      </c>
      <c r="G24" s="176">
        <f>+E24*D24*F24</f>
        <v>200.25307946474479</v>
      </c>
      <c r="H24" s="411"/>
    </row>
    <row r="25" spans="1:8" ht="13" x14ac:dyDescent="0.3">
      <c r="A25" s="180" t="s">
        <v>135</v>
      </c>
      <c r="B25" s="180" t="s">
        <v>136</v>
      </c>
      <c r="C25" s="265" t="s">
        <v>352</v>
      </c>
      <c r="D25" s="181">
        <v>1</v>
      </c>
      <c r="E25" s="180">
        <f>VLOOKUP(B25,'Rend. Equipos'!$B$7:$E$222,4,FALSE)</f>
        <v>1241010.6908793931</v>
      </c>
      <c r="F25" s="181">
        <f>VLOOKUP(B25,'Rend. Equipos'!$B$6:$L$166,MATCH($F$23,'Rend. Equipos'!$B$6:$L$6,0),0)</f>
        <v>1.3888888888888887E-3</v>
      </c>
      <c r="G25" s="182">
        <f>+E25*D25*F25</f>
        <v>1723.6259595547124</v>
      </c>
      <c r="H25" s="411"/>
    </row>
    <row r="26" spans="1:8" ht="13" x14ac:dyDescent="0.3">
      <c r="A26" s="122"/>
      <c r="B26" s="122"/>
      <c r="C26" s="122"/>
      <c r="D26" s="122"/>
      <c r="E26" s="360"/>
      <c r="F26" s="123" t="s">
        <v>602</v>
      </c>
      <c r="G26" s="390">
        <f>SUM(G24:G25)</f>
        <v>1923.8790390194572</v>
      </c>
      <c r="H26" s="162"/>
    </row>
    <row r="27" spans="1:8" ht="13" x14ac:dyDescent="0.3">
      <c r="A27" s="122"/>
      <c r="B27" s="122"/>
      <c r="C27" s="122"/>
      <c r="D27" s="193"/>
      <c r="E27" s="143"/>
      <c r="F27" s="144" t="s">
        <v>11</v>
      </c>
      <c r="G27" s="156">
        <f>+G26/F9</f>
        <v>76.955161560778294</v>
      </c>
      <c r="H27" s="162"/>
    </row>
    <row r="28" spans="1:8" ht="13" x14ac:dyDescent="0.3">
      <c r="A28" s="128" t="s">
        <v>603</v>
      </c>
      <c r="B28" s="122"/>
      <c r="C28" s="122"/>
      <c r="D28" s="193"/>
      <c r="E28" s="122"/>
      <c r="F28" s="122"/>
      <c r="G28" s="122"/>
      <c r="H28" s="162"/>
    </row>
    <row r="29" spans="1:8" ht="13" x14ac:dyDescent="0.3">
      <c r="A29" s="133" t="s">
        <v>79</v>
      </c>
      <c r="B29" s="134" t="s">
        <v>591</v>
      </c>
      <c r="C29" s="134"/>
      <c r="D29" s="194" t="s">
        <v>593</v>
      </c>
      <c r="E29" s="134" t="s">
        <v>604</v>
      </c>
      <c r="F29" s="134"/>
      <c r="G29" s="135" t="s">
        <v>596</v>
      </c>
      <c r="H29" s="167"/>
    </row>
    <row r="30" spans="1:8" ht="13" x14ac:dyDescent="0.3">
      <c r="A30" s="136" t="s">
        <v>265</v>
      </c>
      <c r="B30" s="122" t="s">
        <v>266</v>
      </c>
      <c r="C30" s="146"/>
      <c r="D30" s="147">
        <v>1</v>
      </c>
      <c r="E30" s="122">
        <f>VLOOKUP(B30,'Mano de Obra'!$B$8:$C$100,2,FALSE)</f>
        <v>85927.097156571981</v>
      </c>
      <c r="F30" s="146"/>
      <c r="G30" s="148">
        <f>+E30*D30</f>
        <v>85927.097156571981</v>
      </c>
      <c r="H30" s="162"/>
    </row>
    <row r="31" spans="1:8" ht="13" x14ac:dyDescent="0.3">
      <c r="A31" s="139"/>
      <c r="B31" s="139"/>
      <c r="C31" s="139"/>
      <c r="D31" s="139"/>
      <c r="E31" s="140"/>
      <c r="F31" s="141" t="s">
        <v>606</v>
      </c>
      <c r="G31" s="391">
        <f>SUM(G30:G30)</f>
        <v>85927.097156571981</v>
      </c>
      <c r="H31" s="162"/>
    </row>
    <row r="32" spans="1:8" ht="13" x14ac:dyDescent="0.3">
      <c r="A32" s="122"/>
      <c r="B32" s="122"/>
      <c r="C32" s="122"/>
      <c r="D32" s="122"/>
      <c r="E32" s="360"/>
      <c r="F32" s="123" t="s">
        <v>607</v>
      </c>
      <c r="G32" s="349">
        <v>1</v>
      </c>
      <c r="H32" s="162"/>
    </row>
    <row r="33" spans="1:8" ht="13" x14ac:dyDescent="0.3">
      <c r="A33" s="122"/>
      <c r="B33" s="122"/>
      <c r="C33" s="122"/>
      <c r="D33" s="122"/>
      <c r="E33" s="360"/>
      <c r="F33" s="123" t="s">
        <v>608</v>
      </c>
      <c r="G33" s="390">
        <f>+G32*G31</f>
        <v>85927.097156571981</v>
      </c>
      <c r="H33" s="162"/>
    </row>
    <row r="34" spans="1:8" ht="13" x14ac:dyDescent="0.3">
      <c r="A34" s="122"/>
      <c r="B34" s="122"/>
      <c r="C34" s="122"/>
      <c r="D34" s="122"/>
      <c r="E34" s="143"/>
      <c r="F34" s="144" t="s">
        <v>10</v>
      </c>
      <c r="G34" s="156">
        <f>+G33/F9</f>
        <v>3437.0838862628793</v>
      </c>
      <c r="H34" s="168"/>
    </row>
    <row r="35" spans="1:8" ht="13" x14ac:dyDescent="0.3">
      <c r="A35" s="122"/>
      <c r="B35" s="122"/>
      <c r="C35" s="122"/>
      <c r="D35" s="122"/>
      <c r="H35" s="162"/>
    </row>
    <row r="36" spans="1:8" ht="13" x14ac:dyDescent="0.3">
      <c r="A36" s="122"/>
      <c r="B36" s="122"/>
      <c r="C36" s="122"/>
      <c r="D36" s="122"/>
      <c r="E36" s="122"/>
      <c r="F36" s="123" t="s">
        <v>609</v>
      </c>
      <c r="G36" s="123">
        <f>+G34+G27+G21</f>
        <v>5655.7320083236582</v>
      </c>
      <c r="H36" s="162"/>
    </row>
    <row r="37" spans="1:8" ht="13" x14ac:dyDescent="0.3">
      <c r="A37" s="122"/>
      <c r="B37" s="122"/>
      <c r="C37" s="122"/>
      <c r="D37" s="122"/>
      <c r="E37" s="123" t="s">
        <v>610</v>
      </c>
      <c r="F37" s="198">
        <f>+RESUMEN!$I$2</f>
        <v>0</v>
      </c>
      <c r="G37" s="130">
        <f>IF(F37=0,0,F37*G36)</f>
        <v>0</v>
      </c>
      <c r="H37" s="162"/>
    </row>
    <row r="38" spans="1:8" ht="13" x14ac:dyDescent="0.3">
      <c r="A38" s="122"/>
      <c r="B38" s="122"/>
      <c r="C38" s="1"/>
      <c r="D38" s="1"/>
      <c r="E38" s="123" t="s">
        <v>611</v>
      </c>
      <c r="F38" s="198">
        <f>+RESUMEN!$I$3</f>
        <v>0</v>
      </c>
      <c r="G38" s="130">
        <f>IF(F38=0,0,F38*G36)</f>
        <v>0</v>
      </c>
      <c r="H38" s="1"/>
    </row>
    <row r="39" spans="1:8" ht="13" x14ac:dyDescent="0.3">
      <c r="A39" s="1"/>
      <c r="B39" s="1"/>
      <c r="C39" s="1"/>
      <c r="D39" s="1"/>
      <c r="E39" s="151"/>
      <c r="F39" s="152" t="s">
        <v>612</v>
      </c>
      <c r="G39" s="389">
        <f>SUM(G36:G38)</f>
        <v>5655.7320083236582</v>
      </c>
      <c r="H39" s="1"/>
    </row>
  </sheetData>
  <mergeCells count="3">
    <mergeCell ref="A1:G1"/>
    <mergeCell ref="B5:G5"/>
    <mergeCell ref="B7:G7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8DDE-D154-4A15-9666-A6467E4334D1}">
  <sheetPr>
    <tabColor theme="9"/>
  </sheetPr>
  <dimension ref="A2:I41"/>
  <sheetViews>
    <sheetView workbookViewId="0">
      <selection activeCell="B15" sqref="B15"/>
    </sheetView>
  </sheetViews>
  <sheetFormatPr defaultColWidth="11.54296875" defaultRowHeight="13" x14ac:dyDescent="0.3"/>
  <cols>
    <col min="1" max="1" width="10.54296875" style="74" customWidth="1"/>
    <col min="2" max="2" width="35.08984375" style="74" bestFit="1" customWidth="1"/>
    <col min="3" max="3" width="7.08984375" style="74" bestFit="1" customWidth="1"/>
    <col min="4" max="4" width="9" style="33" bestFit="1" customWidth="1"/>
    <col min="5" max="5" width="15.36328125" style="74" bestFit="1" customWidth="1"/>
    <col min="6" max="6" width="9.453125" style="74" customWidth="1"/>
    <col min="7" max="7" width="9.90625" style="74" bestFit="1" customWidth="1"/>
    <col min="8" max="8" width="10.6328125" style="74" bestFit="1" customWidth="1"/>
    <col min="9" max="16384" width="11.54296875" style="74"/>
  </cols>
  <sheetData>
    <row r="2" spans="1:9" x14ac:dyDescent="0.3">
      <c r="A2" s="162"/>
      <c r="B2" s="162"/>
      <c r="C2" s="162"/>
      <c r="D2" s="250"/>
      <c r="E2" s="162"/>
      <c r="F2" s="163" t="s">
        <v>78</v>
      </c>
      <c r="G2" s="164">
        <v>45264</v>
      </c>
      <c r="H2" s="162"/>
      <c r="I2" s="162"/>
    </row>
    <row r="3" spans="1:9" ht="15.5" x14ac:dyDescent="0.35">
      <c r="A3" s="165" t="s">
        <v>579</v>
      </c>
      <c r="B3" s="166"/>
      <c r="C3" s="166"/>
      <c r="D3" s="251"/>
      <c r="E3" s="166"/>
      <c r="F3" s="166"/>
      <c r="G3" s="166"/>
      <c r="H3" s="162"/>
      <c r="I3" s="162"/>
    </row>
    <row r="4" spans="1:9" x14ac:dyDescent="0.3">
      <c r="A4" s="122"/>
      <c r="B4" s="122"/>
      <c r="C4" s="122"/>
      <c r="E4" s="122"/>
      <c r="F4" s="123" t="s">
        <v>580</v>
      </c>
      <c r="G4" s="126">
        <v>120</v>
      </c>
      <c r="H4" s="162"/>
      <c r="I4" s="162"/>
    </row>
    <row r="5" spans="1:9" x14ac:dyDescent="0.3">
      <c r="A5" s="127" t="s">
        <v>581</v>
      </c>
      <c r="B5" s="306" t="s">
        <v>801</v>
      </c>
      <c r="C5" s="307"/>
      <c r="D5" s="307"/>
      <c r="E5" s="307"/>
      <c r="F5" s="307"/>
      <c r="G5" s="307"/>
      <c r="H5" s="162"/>
      <c r="I5" s="162"/>
    </row>
    <row r="6" spans="1:9" x14ac:dyDescent="0.3">
      <c r="A6" s="128" t="s">
        <v>582</v>
      </c>
      <c r="B6" s="129" t="s">
        <v>802</v>
      </c>
      <c r="C6" s="122"/>
      <c r="E6" s="122"/>
      <c r="F6" s="123" t="s">
        <v>583</v>
      </c>
      <c r="G6" s="130" t="s">
        <v>24</v>
      </c>
      <c r="H6" s="162"/>
      <c r="I6" s="162"/>
    </row>
    <row r="7" spans="1:9" ht="15.5" x14ac:dyDescent="0.3">
      <c r="A7" s="197" t="s">
        <v>584</v>
      </c>
      <c r="B7" s="305" t="s">
        <v>863</v>
      </c>
      <c r="C7" s="305"/>
      <c r="D7" s="305"/>
      <c r="E7" s="305"/>
      <c r="F7" s="305"/>
      <c r="G7" s="305"/>
      <c r="H7" s="162"/>
      <c r="I7" s="162"/>
    </row>
    <row r="8" spans="1:9" x14ac:dyDescent="0.3">
      <c r="A8" s="128"/>
      <c r="B8" s="122"/>
      <c r="C8" s="131" t="s">
        <v>586</v>
      </c>
      <c r="E8" s="131" t="s">
        <v>587</v>
      </c>
      <c r="F8" s="128" t="s">
        <v>588</v>
      </c>
      <c r="G8" s="122"/>
      <c r="H8" s="162"/>
      <c r="I8" s="162"/>
    </row>
    <row r="9" spans="1:9" x14ac:dyDescent="0.3">
      <c r="A9" s="122"/>
      <c r="B9" s="122"/>
      <c r="C9" s="132" t="s">
        <v>45</v>
      </c>
      <c r="E9" s="241">
        <v>100</v>
      </c>
      <c r="F9" s="242">
        <v>3.25</v>
      </c>
      <c r="G9" s="162" t="s">
        <v>615</v>
      </c>
      <c r="H9" s="162"/>
      <c r="I9" s="162"/>
    </row>
    <row r="10" spans="1:9" x14ac:dyDescent="0.3">
      <c r="A10" s="128" t="s">
        <v>590</v>
      </c>
      <c r="B10" s="122"/>
      <c r="C10" s="122"/>
      <c r="E10" s="122"/>
      <c r="F10" s="122"/>
      <c r="G10" s="122"/>
      <c r="H10" s="162"/>
      <c r="I10" s="162"/>
    </row>
    <row r="11" spans="1:9" x14ac:dyDescent="0.3">
      <c r="A11" s="133" t="s">
        <v>79</v>
      </c>
      <c r="B11" s="134" t="s">
        <v>591</v>
      </c>
      <c r="C11" s="134" t="s">
        <v>592</v>
      </c>
      <c r="D11" s="252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167">
        <v>15</v>
      </c>
    </row>
    <row r="12" spans="1:9" x14ac:dyDescent="0.3">
      <c r="A12" s="746"/>
      <c r="B12" s="175" t="s">
        <v>542</v>
      </c>
      <c r="C12" s="264" t="s">
        <v>52</v>
      </c>
      <c r="D12" s="739">
        <v>5</v>
      </c>
      <c r="E12" s="246">
        <f>VLOOKUP(B12,Materiales!$B$8:$D$200,3,FALSE)</f>
        <v>635.56000000000006</v>
      </c>
      <c r="F12" s="246">
        <v>10</v>
      </c>
      <c r="G12" s="246">
        <f>+D12*E12*((F12+100)/100)</f>
        <v>3495.5800000000004</v>
      </c>
      <c r="H12" s="449">
        <f>+D12*$E$9</f>
        <v>500</v>
      </c>
      <c r="I12" s="162">
        <f>D12*$I$11</f>
        <v>75</v>
      </c>
    </row>
    <row r="13" spans="1:9" x14ac:dyDescent="0.3">
      <c r="A13" s="747"/>
      <c r="B13" s="178" t="s">
        <v>545</v>
      </c>
      <c r="C13" s="320" t="s">
        <v>17</v>
      </c>
      <c r="D13" s="740">
        <v>3</v>
      </c>
      <c r="E13" s="247">
        <f>VLOOKUP(B13,Materiales!$B$8:$D$200,3,FALSE)</f>
        <v>282.29000000000002</v>
      </c>
      <c r="F13" s="247">
        <v>10</v>
      </c>
      <c r="G13" s="247">
        <f t="shared" ref="G13:G20" si="0">+D13*E13*((F13+100)/100)</f>
        <v>931.55700000000024</v>
      </c>
      <c r="H13" s="676">
        <f t="shared" ref="H13:H20" si="1">+D13*$E$9</f>
        <v>300</v>
      </c>
      <c r="I13" s="162">
        <f t="shared" ref="I13:I20" si="2">D13*$I$11</f>
        <v>45</v>
      </c>
    </row>
    <row r="14" spans="1:9" x14ac:dyDescent="0.3">
      <c r="A14" s="747"/>
      <c r="B14" s="178" t="s">
        <v>549</v>
      </c>
      <c r="C14" s="320" t="s">
        <v>17</v>
      </c>
      <c r="D14" s="740">
        <v>2</v>
      </c>
      <c r="E14" s="247">
        <f>VLOOKUP(B14,Materiales!$B$8:$D$200,3,FALSE)</f>
        <v>184.87</v>
      </c>
      <c r="F14" s="247">
        <v>10</v>
      </c>
      <c r="G14" s="247">
        <f t="shared" si="0"/>
        <v>406.71400000000006</v>
      </c>
      <c r="H14" s="676">
        <f t="shared" si="1"/>
        <v>200</v>
      </c>
      <c r="I14" s="162">
        <f t="shared" si="2"/>
        <v>30</v>
      </c>
    </row>
    <row r="15" spans="1:9" x14ac:dyDescent="0.3">
      <c r="A15" s="747"/>
      <c r="B15" s="178" t="s">
        <v>551</v>
      </c>
      <c r="C15" s="320" t="s">
        <v>52</v>
      </c>
      <c r="D15" s="740">
        <v>7.5</v>
      </c>
      <c r="E15" s="247">
        <f>VLOOKUP(B15,Materiales!$B$8:$D$200,3,FALSE)</f>
        <v>316.44450000000001</v>
      </c>
      <c r="F15" s="247">
        <v>10</v>
      </c>
      <c r="G15" s="247">
        <f t="shared" si="0"/>
        <v>2610.6671250000004</v>
      </c>
      <c r="H15" s="676">
        <f t="shared" si="1"/>
        <v>750</v>
      </c>
      <c r="I15" s="162">
        <f>D15*$I$11</f>
        <v>112.5</v>
      </c>
    </row>
    <row r="16" spans="1:9" x14ac:dyDescent="0.3">
      <c r="A16" s="747"/>
      <c r="B16" s="178" t="s">
        <v>552</v>
      </c>
      <c r="C16" s="320" t="s">
        <v>52</v>
      </c>
      <c r="D16" s="740">
        <v>5</v>
      </c>
      <c r="E16" s="247">
        <f>VLOOKUP(B16,Materiales!$B$8:$D$200,3,FALSE)</f>
        <v>509.31489999999997</v>
      </c>
      <c r="F16" s="247">
        <v>10</v>
      </c>
      <c r="G16" s="247">
        <f t="shared" si="0"/>
        <v>2801.2319499999999</v>
      </c>
      <c r="H16" s="676">
        <f t="shared" si="1"/>
        <v>500</v>
      </c>
      <c r="I16" s="162">
        <f t="shared" si="2"/>
        <v>75</v>
      </c>
    </row>
    <row r="17" spans="1:9" x14ac:dyDescent="0.3">
      <c r="A17" s="747"/>
      <c r="B17" s="419" t="s">
        <v>553</v>
      </c>
      <c r="C17" s="428" t="s">
        <v>52</v>
      </c>
      <c r="D17" s="740">
        <v>7.5</v>
      </c>
      <c r="E17" s="247">
        <f>VLOOKUP(B17,Materiales!$B$8:$D$200,3,FALSE)</f>
        <v>509.31489999999997</v>
      </c>
      <c r="F17" s="247">
        <v>10</v>
      </c>
      <c r="G17" s="247">
        <f t="shared" si="0"/>
        <v>4201.847925</v>
      </c>
      <c r="H17" s="676">
        <f t="shared" si="1"/>
        <v>750</v>
      </c>
      <c r="I17" s="162">
        <f t="shared" si="2"/>
        <v>112.5</v>
      </c>
    </row>
    <row r="18" spans="1:9" x14ac:dyDescent="0.3">
      <c r="A18" s="747"/>
      <c r="B18" s="178" t="s">
        <v>557</v>
      </c>
      <c r="C18" s="320" t="s">
        <v>17</v>
      </c>
      <c r="D18" s="740">
        <v>0.5</v>
      </c>
      <c r="E18" s="247">
        <f>VLOOKUP(B18,Materiales!$B$8:$D$200,3,FALSE)</f>
        <v>202.42</v>
      </c>
      <c r="F18" s="247">
        <v>5</v>
      </c>
      <c r="G18" s="247">
        <f t="shared" si="0"/>
        <v>106.2705</v>
      </c>
      <c r="H18" s="676">
        <f t="shared" si="1"/>
        <v>50</v>
      </c>
      <c r="I18" s="162">
        <f t="shared" si="2"/>
        <v>7.5</v>
      </c>
    </row>
    <row r="19" spans="1:9" x14ac:dyDescent="0.3">
      <c r="A19" s="747"/>
      <c r="B19" s="419" t="s">
        <v>556</v>
      </c>
      <c r="C19" s="428" t="s">
        <v>17</v>
      </c>
      <c r="D19" s="740">
        <v>1</v>
      </c>
      <c r="E19" s="247">
        <f>VLOOKUP(B19,Materiales!$B$8:$D$200,3,FALSE)</f>
        <v>2148.7603305785124</v>
      </c>
      <c r="F19" s="247">
        <v>5</v>
      </c>
      <c r="G19" s="247">
        <f t="shared" si="0"/>
        <v>2256.1983471074382</v>
      </c>
      <c r="H19" s="676">
        <f t="shared" si="1"/>
        <v>100</v>
      </c>
      <c r="I19" s="162">
        <f t="shared" si="2"/>
        <v>15</v>
      </c>
    </row>
    <row r="20" spans="1:9" x14ac:dyDescent="0.3">
      <c r="A20" s="809"/>
      <c r="B20" s="420" t="s">
        <v>632</v>
      </c>
      <c r="C20" s="299" t="s">
        <v>352</v>
      </c>
      <c r="D20" s="741">
        <v>0.21</v>
      </c>
      <c r="E20" s="248">
        <f>+SUM(G12:G19)</f>
        <v>16810.066847107439</v>
      </c>
      <c r="F20" s="248">
        <v>0</v>
      </c>
      <c r="G20" s="248">
        <f t="shared" si="0"/>
        <v>3530.114037892562</v>
      </c>
      <c r="H20" s="450">
        <f t="shared" si="1"/>
        <v>21</v>
      </c>
      <c r="I20" s="162">
        <f t="shared" si="2"/>
        <v>3.15</v>
      </c>
    </row>
    <row r="21" spans="1:9" x14ac:dyDescent="0.3">
      <c r="A21" s="122"/>
      <c r="B21" s="122"/>
      <c r="C21" s="122"/>
      <c r="D21" s="79"/>
      <c r="E21" s="360"/>
      <c r="F21" s="123" t="s">
        <v>598</v>
      </c>
      <c r="G21" s="349">
        <f>SUM(G12:G20)</f>
        <v>20340.180885000002</v>
      </c>
      <c r="H21" s="162"/>
      <c r="I21" s="162"/>
    </row>
    <row r="22" spans="1:9" x14ac:dyDescent="0.3">
      <c r="A22" s="122"/>
      <c r="B22" s="122"/>
      <c r="C22" s="122"/>
      <c r="E22" s="143"/>
      <c r="F22" s="144" t="s">
        <v>9</v>
      </c>
      <c r="G22" s="156">
        <f>+G21</f>
        <v>20340.180885000002</v>
      </c>
      <c r="H22" s="162"/>
      <c r="I22" s="162"/>
    </row>
    <row r="23" spans="1:9" x14ac:dyDescent="0.3">
      <c r="A23" s="128" t="s">
        <v>599</v>
      </c>
      <c r="B23" s="122"/>
      <c r="C23" s="122"/>
      <c r="E23" s="122"/>
      <c r="F23" s="122"/>
      <c r="G23" s="122"/>
      <c r="H23" s="162"/>
      <c r="I23" s="162"/>
    </row>
    <row r="24" spans="1:9" x14ac:dyDescent="0.3">
      <c r="A24" s="133" t="s">
        <v>79</v>
      </c>
      <c r="B24" s="134" t="s">
        <v>591</v>
      </c>
      <c r="C24" s="134"/>
      <c r="D24" s="252" t="s">
        <v>593</v>
      </c>
      <c r="E24" s="134" t="s">
        <v>600</v>
      </c>
      <c r="F24" s="134" t="s">
        <v>87</v>
      </c>
      <c r="G24" s="135" t="s">
        <v>596</v>
      </c>
      <c r="H24" s="167"/>
      <c r="I24" s="167"/>
    </row>
    <row r="25" spans="1:9" x14ac:dyDescent="0.3">
      <c r="A25" s="264" t="s">
        <v>125</v>
      </c>
      <c r="B25" s="418" t="s">
        <v>126</v>
      </c>
      <c r="C25" s="264" t="s">
        <v>352</v>
      </c>
      <c r="D25" s="246">
        <v>1</v>
      </c>
      <c r="E25" s="246">
        <f>VLOOKUP(B25,'Rend. Equipos'!$B$7:$E$222,4,FALSE)</f>
        <v>2734071.1873955494</v>
      </c>
      <c r="F25" s="423">
        <f>VLOOKUP(B25,'Rend. Equipos'!$B$6:$L$166,MATCH($F$24,'Rend. Equipos'!$B$6:$L$6,0),0)</f>
        <v>1.8518518518518519E-3</v>
      </c>
      <c r="G25" s="264">
        <f>+E25*D25*F25</f>
        <v>5063.0947914732396</v>
      </c>
      <c r="H25" s="162"/>
      <c r="I25" s="162"/>
    </row>
    <row r="26" spans="1:9" ht="26" x14ac:dyDescent="0.3">
      <c r="A26" s="320" t="s">
        <v>88</v>
      </c>
      <c r="B26" s="454" t="s">
        <v>89</v>
      </c>
      <c r="C26" s="320" t="s">
        <v>352</v>
      </c>
      <c r="D26" s="247">
        <v>0.5</v>
      </c>
      <c r="E26" s="247">
        <f>VLOOKUP(B26,'Rend. Equipos'!$B$7:$E$222,4,FALSE)</f>
        <v>1028123.0837653707</v>
      </c>
      <c r="F26" s="424">
        <f>VLOOKUP(B26,'Rend. Equipos'!$B$6:$L$166,MATCH($F$24,'Rend. Equipos'!$B$6:$L$6,0),0)</f>
        <v>5.5555555555555556E-4</v>
      </c>
      <c r="G26" s="320">
        <f t="shared" ref="G26:G27" si="3">+E26*D26*F26</f>
        <v>285.58974549038072</v>
      </c>
      <c r="H26" s="162"/>
      <c r="I26" s="162"/>
    </row>
    <row r="27" spans="1:9" ht="26" x14ac:dyDescent="0.3">
      <c r="A27" s="265" t="s">
        <v>181</v>
      </c>
      <c r="B27" s="748" t="s">
        <v>182</v>
      </c>
      <c r="C27" s="265" t="s">
        <v>352</v>
      </c>
      <c r="D27" s="248">
        <v>0.5</v>
      </c>
      <c r="E27" s="248">
        <f>VLOOKUP(B27,'Rend. Equipos'!$B$7:$E$222,4,FALSE)</f>
        <v>201885.25333580485</v>
      </c>
      <c r="F27" s="425">
        <f>VLOOKUP(B27,'Rend. Equipos'!$B$6:$L$166,MATCH($F$24,'Rend. Equipos'!$B$6:$L$6,0),0)</f>
        <v>6.9444444444444436E-4</v>
      </c>
      <c r="G27" s="265">
        <f t="shared" si="3"/>
        <v>70.099046297154459</v>
      </c>
      <c r="H27" s="162"/>
      <c r="I27" s="162"/>
    </row>
    <row r="28" spans="1:9" x14ac:dyDescent="0.3">
      <c r="A28" s="139"/>
      <c r="B28" s="139"/>
      <c r="C28" s="139"/>
      <c r="D28" s="254"/>
      <c r="E28" s="140"/>
      <c r="F28" s="141" t="s">
        <v>602</v>
      </c>
      <c r="G28" s="142">
        <f>SUM(G25:G27)</f>
        <v>5418.7835832607743</v>
      </c>
      <c r="H28" s="162"/>
      <c r="I28" s="162"/>
    </row>
    <row r="29" spans="1:9" x14ac:dyDescent="0.3">
      <c r="A29" s="122"/>
      <c r="B29" s="122"/>
      <c r="C29" s="122"/>
      <c r="E29" s="143"/>
      <c r="F29" s="144" t="s">
        <v>11</v>
      </c>
      <c r="G29" s="156">
        <f>+G28/F9</f>
        <v>1667.3180256186997</v>
      </c>
      <c r="H29" s="162"/>
      <c r="I29" s="162"/>
    </row>
    <row r="30" spans="1:9" x14ac:dyDescent="0.3">
      <c r="A30" s="128" t="s">
        <v>603</v>
      </c>
      <c r="B30" s="122"/>
      <c r="C30" s="122"/>
      <c r="E30" s="122"/>
      <c r="F30" s="122"/>
      <c r="G30" s="122"/>
      <c r="H30" s="162"/>
      <c r="I30" s="162"/>
    </row>
    <row r="31" spans="1:9" x14ac:dyDescent="0.3">
      <c r="A31" s="133" t="s">
        <v>79</v>
      </c>
      <c r="B31" s="134" t="s">
        <v>591</v>
      </c>
      <c r="C31" s="134" t="s">
        <v>592</v>
      </c>
      <c r="D31" s="252" t="s">
        <v>593</v>
      </c>
      <c r="E31" s="134" t="s">
        <v>604</v>
      </c>
      <c r="F31" s="134"/>
      <c r="G31" s="135" t="s">
        <v>596</v>
      </c>
      <c r="H31" s="167"/>
      <c r="I31" s="167"/>
    </row>
    <row r="32" spans="1:9" x14ac:dyDescent="0.3">
      <c r="A32" s="264" t="s">
        <v>261</v>
      </c>
      <c r="B32" s="418" t="s">
        <v>262</v>
      </c>
      <c r="C32" s="264" t="s">
        <v>605</v>
      </c>
      <c r="D32" s="246">
        <v>1</v>
      </c>
      <c r="E32" s="246">
        <f>VLOOKUP(B32,'Mano de Obra'!$B$8:$C$100,2,FALSE)</f>
        <v>85927.097156571981</v>
      </c>
      <c r="F32" s="423"/>
      <c r="G32" s="264">
        <f>+E32*D32</f>
        <v>85927.097156571981</v>
      </c>
      <c r="H32" s="162"/>
      <c r="I32" s="162"/>
    </row>
    <row r="33" spans="1:9" x14ac:dyDescent="0.3">
      <c r="A33" s="320" t="s">
        <v>238</v>
      </c>
      <c r="B33" s="454" t="s">
        <v>239</v>
      </c>
      <c r="C33" s="320" t="s">
        <v>605</v>
      </c>
      <c r="D33" s="247">
        <v>1</v>
      </c>
      <c r="E33" s="247">
        <f>VLOOKUP(B33,'Mano de Obra'!$B$8:$C$100,2,FALSE)</f>
        <v>60860.580776571966</v>
      </c>
      <c r="F33" s="424"/>
      <c r="G33" s="320">
        <f>+E33*D33</f>
        <v>60860.580776571966</v>
      </c>
      <c r="H33" s="162"/>
      <c r="I33" s="162"/>
    </row>
    <row r="34" spans="1:9" x14ac:dyDescent="0.3">
      <c r="A34" s="139"/>
      <c r="B34" s="139"/>
      <c r="C34" s="139"/>
      <c r="D34" s="254"/>
      <c r="E34" s="151"/>
      <c r="F34" s="152" t="s">
        <v>606</v>
      </c>
      <c r="G34" s="153">
        <f>SUM(G32:G33)</f>
        <v>146787.67793314395</v>
      </c>
      <c r="H34" s="162"/>
      <c r="I34" s="162"/>
    </row>
    <row r="35" spans="1:9" x14ac:dyDescent="0.3">
      <c r="A35" s="122"/>
      <c r="B35" s="122"/>
      <c r="C35" s="122"/>
      <c r="E35" s="122"/>
      <c r="F35" s="123" t="s">
        <v>607</v>
      </c>
      <c r="G35" s="130">
        <v>1</v>
      </c>
      <c r="H35" s="162"/>
      <c r="I35" s="162"/>
    </row>
    <row r="36" spans="1:9" x14ac:dyDescent="0.3">
      <c r="A36" s="122"/>
      <c r="B36" s="122"/>
      <c r="C36" s="122"/>
      <c r="E36" s="122"/>
      <c r="F36" s="123" t="s">
        <v>608</v>
      </c>
      <c r="G36" s="130">
        <f>+G35*G34</f>
        <v>146787.67793314395</v>
      </c>
      <c r="H36" s="162"/>
      <c r="I36" s="162"/>
    </row>
    <row r="37" spans="1:9" x14ac:dyDescent="0.3">
      <c r="A37" s="122"/>
      <c r="B37" s="122"/>
      <c r="C37" s="122"/>
      <c r="E37" s="122"/>
      <c r="F37" s="123" t="s">
        <v>10</v>
      </c>
      <c r="G37" s="169">
        <f>+G36/F9</f>
        <v>45165.439364044294</v>
      </c>
      <c r="H37" s="162"/>
      <c r="I37" s="162"/>
    </row>
    <row r="38" spans="1:9" x14ac:dyDescent="0.3">
      <c r="A38" s="122"/>
      <c r="B38" s="122"/>
      <c r="C38" s="122"/>
      <c r="E38" s="122"/>
      <c r="F38" s="123" t="s">
        <v>609</v>
      </c>
      <c r="G38" s="130">
        <f>+G37+G29+G22</f>
        <v>67172.938274663</v>
      </c>
      <c r="H38" s="162"/>
      <c r="I38" s="162"/>
    </row>
    <row r="39" spans="1:9" x14ac:dyDescent="0.3">
      <c r="A39" s="122"/>
      <c r="B39" s="122"/>
      <c r="C39" s="122"/>
      <c r="E39" s="123" t="s">
        <v>610</v>
      </c>
      <c r="F39" s="198">
        <f>+RESUMEN!$I$2</f>
        <v>0</v>
      </c>
      <c r="G39" s="130">
        <f>IF(F39=0,0,F39*G38)</f>
        <v>0</v>
      </c>
      <c r="H39" s="162"/>
      <c r="I39" s="162"/>
    </row>
    <row r="40" spans="1:9" x14ac:dyDescent="0.3">
      <c r="A40" s="122"/>
      <c r="B40" s="122"/>
      <c r="C40" s="122"/>
      <c r="E40" s="123" t="s">
        <v>611</v>
      </c>
      <c r="F40" s="198">
        <f>+RESUMEN!$I$3</f>
        <v>0</v>
      </c>
      <c r="G40" s="130">
        <f>IF(F40=0,0,F40*G38)</f>
        <v>0</v>
      </c>
      <c r="H40" s="168"/>
      <c r="I40" s="162"/>
    </row>
    <row r="41" spans="1:9" x14ac:dyDescent="0.3">
      <c r="A41" s="122"/>
      <c r="B41" s="122"/>
      <c r="C41" s="122"/>
      <c r="E41" s="151"/>
      <c r="F41" s="152" t="s">
        <v>612</v>
      </c>
      <c r="G41" s="154">
        <f>SUM(G38:G40)</f>
        <v>67172.938274663</v>
      </c>
      <c r="H41" s="162"/>
      <c r="I41" s="162"/>
    </row>
  </sheetData>
  <pageMargins left="0.7" right="0.7" top="0.75" bottom="0.75" header="0.3" footer="0.3"/>
  <pageSetup paperSize="9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0479-1E68-4BA2-A253-03C85E8AB0E3}">
  <sheetPr>
    <tabColor theme="9"/>
  </sheetPr>
  <dimension ref="A2:I39"/>
  <sheetViews>
    <sheetView workbookViewId="0">
      <selection activeCell="D12" sqref="D12:D13"/>
    </sheetView>
  </sheetViews>
  <sheetFormatPr defaultColWidth="11.54296875" defaultRowHeight="13" x14ac:dyDescent="0.3"/>
  <cols>
    <col min="1" max="1" width="10.54296875" style="74" customWidth="1"/>
    <col min="2" max="2" width="35.08984375" style="74" bestFit="1" customWidth="1"/>
    <col min="3" max="3" width="7.08984375" style="74" bestFit="1" customWidth="1"/>
    <col min="4" max="4" width="9" style="33" bestFit="1" customWidth="1"/>
    <col min="5" max="5" width="15.36328125" style="74" bestFit="1" customWidth="1"/>
    <col min="6" max="6" width="9.453125" style="74" customWidth="1"/>
    <col min="7" max="7" width="9.90625" style="74" bestFit="1" customWidth="1"/>
    <col min="8" max="8" width="10.6328125" style="74" bestFit="1" customWidth="1"/>
    <col min="9" max="16384" width="11.54296875" style="74"/>
  </cols>
  <sheetData>
    <row r="2" spans="1:9" x14ac:dyDescent="0.3">
      <c r="A2" s="162"/>
      <c r="B2" s="162"/>
      <c r="C2" s="162"/>
      <c r="D2" s="250"/>
      <c r="E2" s="162"/>
      <c r="F2" s="163" t="s">
        <v>78</v>
      </c>
      <c r="G2" s="164">
        <v>45264</v>
      </c>
      <c r="H2" s="162"/>
      <c r="I2" s="162"/>
    </row>
    <row r="3" spans="1:9" ht="15.5" x14ac:dyDescent="0.35">
      <c r="A3" s="165" t="s">
        <v>579</v>
      </c>
      <c r="B3" s="166"/>
      <c r="C3" s="166"/>
      <c r="D3" s="251"/>
      <c r="E3" s="166"/>
      <c r="F3" s="166"/>
      <c r="G3" s="166"/>
      <c r="H3" s="162"/>
      <c r="I3" s="162"/>
    </row>
    <row r="4" spans="1:9" x14ac:dyDescent="0.3">
      <c r="A4" s="122"/>
      <c r="B4" s="122"/>
      <c r="C4" s="122"/>
      <c r="E4" s="122"/>
      <c r="F4" s="123" t="s">
        <v>580</v>
      </c>
      <c r="G4" s="126">
        <v>120</v>
      </c>
      <c r="H4" s="162"/>
      <c r="I4" s="162"/>
    </row>
    <row r="5" spans="1:9" x14ac:dyDescent="0.3">
      <c r="A5" s="127" t="s">
        <v>581</v>
      </c>
      <c r="B5" s="306" t="s">
        <v>801</v>
      </c>
      <c r="C5" s="307"/>
      <c r="D5" s="307"/>
      <c r="E5" s="307"/>
      <c r="F5" s="307"/>
      <c r="G5" s="307"/>
      <c r="H5" s="162"/>
      <c r="I5" s="162"/>
    </row>
    <row r="6" spans="1:9" x14ac:dyDescent="0.3">
      <c r="A6" s="128" t="s">
        <v>582</v>
      </c>
      <c r="B6" s="129" t="s">
        <v>802</v>
      </c>
      <c r="C6" s="122"/>
      <c r="E6" s="122"/>
      <c r="F6" s="123" t="s">
        <v>583</v>
      </c>
      <c r="G6" s="130" t="s">
        <v>24</v>
      </c>
      <c r="H6" s="162"/>
      <c r="I6" s="162"/>
    </row>
    <row r="7" spans="1:9" ht="15.5" x14ac:dyDescent="0.3">
      <c r="A7" s="197" t="s">
        <v>584</v>
      </c>
      <c r="B7" s="305" t="s">
        <v>864</v>
      </c>
      <c r="C7" s="305"/>
      <c r="D7" s="305"/>
      <c r="E7" s="305"/>
      <c r="F7" s="305"/>
      <c r="G7" s="305"/>
      <c r="H7" s="162"/>
      <c r="I7" s="162"/>
    </row>
    <row r="8" spans="1:9" x14ac:dyDescent="0.3">
      <c r="A8" s="128"/>
      <c r="B8" s="122"/>
      <c r="C8" s="131" t="s">
        <v>586</v>
      </c>
      <c r="E8" s="131" t="s">
        <v>587</v>
      </c>
      <c r="F8" s="128" t="s">
        <v>588</v>
      </c>
      <c r="G8" s="122"/>
      <c r="H8" s="162"/>
      <c r="I8" s="162"/>
    </row>
    <row r="9" spans="1:9" x14ac:dyDescent="0.3">
      <c r="A9" s="122"/>
      <c r="B9" s="122"/>
      <c r="C9" s="132" t="s">
        <v>45</v>
      </c>
      <c r="E9" s="241">
        <v>100</v>
      </c>
      <c r="F9" s="242">
        <v>3.25</v>
      </c>
      <c r="G9" s="162" t="s">
        <v>615</v>
      </c>
      <c r="H9" s="162"/>
      <c r="I9" s="162"/>
    </row>
    <row r="10" spans="1:9" x14ac:dyDescent="0.3">
      <c r="A10" s="128" t="s">
        <v>590</v>
      </c>
      <c r="B10" s="122"/>
      <c r="C10" s="122"/>
      <c r="E10" s="122"/>
      <c r="F10" s="122"/>
      <c r="G10" s="122"/>
      <c r="H10" s="162"/>
      <c r="I10" s="162"/>
    </row>
    <row r="11" spans="1:9" x14ac:dyDescent="0.3">
      <c r="A11" s="133" t="s">
        <v>79</v>
      </c>
      <c r="B11" s="134" t="s">
        <v>591</v>
      </c>
      <c r="C11" s="134" t="s">
        <v>592</v>
      </c>
      <c r="D11" s="252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167">
        <v>15</v>
      </c>
    </row>
    <row r="12" spans="1:9" x14ac:dyDescent="0.3">
      <c r="A12" s="746"/>
      <c r="B12" s="175" t="s">
        <v>540</v>
      </c>
      <c r="C12" s="264" t="s">
        <v>52</v>
      </c>
      <c r="D12" s="739">
        <v>7.5</v>
      </c>
      <c r="E12" s="246">
        <f>VLOOKUP(B12,Materiales!$B$8:$D$200,3,FALSE)</f>
        <v>666.92666666666662</v>
      </c>
      <c r="F12" s="246">
        <v>10</v>
      </c>
      <c r="G12" s="246">
        <f>+D12*E12*((F12+100)/100)</f>
        <v>5502.1450000000004</v>
      </c>
      <c r="H12" s="449">
        <f>+D12*$E$9</f>
        <v>750</v>
      </c>
      <c r="I12" s="162">
        <f>D12*$I$11</f>
        <v>112.5</v>
      </c>
    </row>
    <row r="13" spans="1:9" x14ac:dyDescent="0.3">
      <c r="A13" s="747"/>
      <c r="B13" s="178" t="s">
        <v>546</v>
      </c>
      <c r="C13" s="320" t="s">
        <v>17</v>
      </c>
      <c r="D13" s="740">
        <v>3</v>
      </c>
      <c r="E13" s="247">
        <f>VLOOKUP(B13,Materiales!$B$8:$D$200,3,FALSE)</f>
        <v>351.14</v>
      </c>
      <c r="F13" s="247">
        <v>10</v>
      </c>
      <c r="G13" s="247">
        <f t="shared" ref="G13:G18" si="0">+D13*E13*((F13+100)/100)</f>
        <v>1158.7620000000002</v>
      </c>
      <c r="H13" s="676">
        <f t="shared" ref="H13:H18" si="1">+D13*$E$9</f>
        <v>300</v>
      </c>
      <c r="I13" s="162">
        <f t="shared" ref="I13:I18" si="2">D13*$I$11</f>
        <v>45</v>
      </c>
    </row>
    <row r="14" spans="1:9" x14ac:dyDescent="0.3">
      <c r="A14" s="747"/>
      <c r="B14" s="178" t="s">
        <v>550</v>
      </c>
      <c r="C14" s="320" t="s">
        <v>17</v>
      </c>
      <c r="D14" s="740">
        <f>+ROUNDUP(D12/3,0)</f>
        <v>3</v>
      </c>
      <c r="E14" s="247">
        <f>VLOOKUP(B14,Materiales!$B$8:$D$200,3,FALSE)</f>
        <v>280.10000000000002</v>
      </c>
      <c r="F14" s="247">
        <v>10</v>
      </c>
      <c r="G14" s="247">
        <f t="shared" si="0"/>
        <v>924.33000000000015</v>
      </c>
      <c r="H14" s="676">
        <f t="shared" si="1"/>
        <v>300</v>
      </c>
      <c r="I14" s="162">
        <f t="shared" si="2"/>
        <v>45</v>
      </c>
    </row>
    <row r="15" spans="1:9" x14ac:dyDescent="0.3">
      <c r="A15" s="747" t="s">
        <v>865</v>
      </c>
      <c r="B15" s="178" t="s">
        <v>554</v>
      </c>
      <c r="C15" s="320" t="s">
        <v>52</v>
      </c>
      <c r="D15" s="740">
        <v>7.5</v>
      </c>
      <c r="E15" s="247">
        <f>VLOOKUP(B15,Materiales!$B$8:$D$200,3,FALSE)</f>
        <v>834.6</v>
      </c>
      <c r="F15" s="247">
        <v>10</v>
      </c>
      <c r="G15" s="247">
        <f t="shared" si="0"/>
        <v>6885.4500000000007</v>
      </c>
      <c r="H15" s="676">
        <f t="shared" si="1"/>
        <v>750</v>
      </c>
      <c r="I15" s="162">
        <f t="shared" si="2"/>
        <v>112.5</v>
      </c>
    </row>
    <row r="16" spans="1:9" x14ac:dyDescent="0.3">
      <c r="A16" s="747" t="s">
        <v>866</v>
      </c>
      <c r="B16" s="178" t="s">
        <v>554</v>
      </c>
      <c r="C16" s="428" t="s">
        <v>52</v>
      </c>
      <c r="D16" s="740">
        <v>15</v>
      </c>
      <c r="E16" s="247">
        <f>VLOOKUP(B16,Materiales!$B$8:$D$200,3,FALSE)</f>
        <v>834.6</v>
      </c>
      <c r="F16" s="247">
        <v>10</v>
      </c>
      <c r="G16" s="247">
        <f t="shared" si="0"/>
        <v>13770.900000000001</v>
      </c>
      <c r="H16" s="676">
        <f t="shared" si="1"/>
        <v>1500</v>
      </c>
      <c r="I16" s="162">
        <f t="shared" si="2"/>
        <v>225</v>
      </c>
    </row>
    <row r="17" spans="1:9" x14ac:dyDescent="0.3">
      <c r="A17" s="747"/>
      <c r="B17" s="178" t="s">
        <v>557</v>
      </c>
      <c r="C17" s="320" t="s">
        <v>17</v>
      </c>
      <c r="D17" s="740">
        <v>1</v>
      </c>
      <c r="E17" s="247">
        <f>VLOOKUP(B17,Materiales!$B$8:$D$200,3,FALSE)</f>
        <v>202.42</v>
      </c>
      <c r="F17" s="247">
        <v>5</v>
      </c>
      <c r="G17" s="247">
        <f t="shared" si="0"/>
        <v>212.541</v>
      </c>
      <c r="H17" s="676">
        <f t="shared" si="1"/>
        <v>100</v>
      </c>
      <c r="I17" s="162">
        <f t="shared" si="2"/>
        <v>15</v>
      </c>
    </row>
    <row r="18" spans="1:9" x14ac:dyDescent="0.3">
      <c r="A18" s="809"/>
      <c r="B18" s="420" t="s">
        <v>632</v>
      </c>
      <c r="C18" s="299" t="s">
        <v>352</v>
      </c>
      <c r="D18" s="741">
        <v>0.21</v>
      </c>
      <c r="E18" s="248">
        <f>+SUM(G12:G17)</f>
        <v>28454.128000000004</v>
      </c>
      <c r="F18" s="248">
        <v>0</v>
      </c>
      <c r="G18" s="248">
        <f t="shared" si="0"/>
        <v>5975.3668800000005</v>
      </c>
      <c r="H18" s="450">
        <f t="shared" si="1"/>
        <v>21</v>
      </c>
      <c r="I18" s="162">
        <f t="shared" si="2"/>
        <v>3.15</v>
      </c>
    </row>
    <row r="19" spans="1:9" x14ac:dyDescent="0.3">
      <c r="A19" s="122"/>
      <c r="B19" s="122"/>
      <c r="C19" s="122"/>
      <c r="D19" s="79"/>
      <c r="E19" s="360"/>
      <c r="F19" s="123" t="s">
        <v>598</v>
      </c>
      <c r="G19" s="349">
        <f>SUM(G12:G18)</f>
        <v>34429.494880000006</v>
      </c>
      <c r="H19" s="162"/>
      <c r="I19" s="162"/>
    </row>
    <row r="20" spans="1:9" x14ac:dyDescent="0.3">
      <c r="A20" s="122"/>
      <c r="B20" s="122"/>
      <c r="C20" s="122"/>
      <c r="E20" s="143"/>
      <c r="F20" s="144" t="s">
        <v>9</v>
      </c>
      <c r="G20" s="156">
        <f>+G19</f>
        <v>34429.494880000006</v>
      </c>
      <c r="H20" s="162"/>
      <c r="I20" s="162"/>
    </row>
    <row r="21" spans="1:9" x14ac:dyDescent="0.3">
      <c r="A21" s="128" t="s">
        <v>599</v>
      </c>
      <c r="B21" s="122"/>
      <c r="C21" s="122"/>
      <c r="E21" s="122"/>
      <c r="F21" s="122"/>
      <c r="G21" s="122"/>
      <c r="H21" s="162"/>
      <c r="I21" s="162"/>
    </row>
    <row r="22" spans="1:9" x14ac:dyDescent="0.3">
      <c r="A22" s="133" t="s">
        <v>79</v>
      </c>
      <c r="B22" s="134" t="s">
        <v>591</v>
      </c>
      <c r="C22" s="134"/>
      <c r="D22" s="252" t="s">
        <v>593</v>
      </c>
      <c r="E22" s="134" t="s">
        <v>600</v>
      </c>
      <c r="F22" s="134" t="s">
        <v>87</v>
      </c>
      <c r="G22" s="135" t="s">
        <v>596</v>
      </c>
      <c r="H22" s="167"/>
      <c r="I22" s="167"/>
    </row>
    <row r="23" spans="1:9" x14ac:dyDescent="0.3">
      <c r="A23" s="264" t="s">
        <v>125</v>
      </c>
      <c r="B23" s="418" t="s">
        <v>126</v>
      </c>
      <c r="C23" s="264" t="s">
        <v>352</v>
      </c>
      <c r="D23" s="246">
        <v>1</v>
      </c>
      <c r="E23" s="246">
        <f>VLOOKUP(B23,'Rend. Equipos'!$B$7:$E$222,4,FALSE)</f>
        <v>2734071.1873955494</v>
      </c>
      <c r="F23" s="423">
        <f>VLOOKUP(B23,'Rend. Equipos'!$B$6:$L$166,MATCH($F$22,'Rend. Equipos'!$B$6:$L$6,0),0)</f>
        <v>1.8518518518518519E-3</v>
      </c>
      <c r="G23" s="264">
        <f>+E23*D23*F23</f>
        <v>5063.0947914732396</v>
      </c>
      <c r="H23" s="162"/>
      <c r="I23" s="162"/>
    </row>
    <row r="24" spans="1:9" ht="26" x14ac:dyDescent="0.3">
      <c r="A24" s="320" t="s">
        <v>88</v>
      </c>
      <c r="B24" s="454" t="s">
        <v>89</v>
      </c>
      <c r="C24" s="320" t="s">
        <v>352</v>
      </c>
      <c r="D24" s="247">
        <v>0.5</v>
      </c>
      <c r="E24" s="247">
        <f>VLOOKUP(B24,'Rend. Equipos'!$B$7:$E$222,4,FALSE)</f>
        <v>1028123.0837653707</v>
      </c>
      <c r="F24" s="424">
        <f>VLOOKUP(B24,'Rend. Equipos'!$B$6:$L$166,MATCH($F$22,'Rend. Equipos'!$B$6:$L$6,0),0)</f>
        <v>5.5555555555555556E-4</v>
      </c>
      <c r="G24" s="320">
        <f t="shared" ref="G24:G25" si="3">+E24*D24*F24</f>
        <v>285.58974549038072</v>
      </c>
      <c r="H24" s="162"/>
      <c r="I24" s="162"/>
    </row>
    <row r="25" spans="1:9" ht="26" x14ac:dyDescent="0.3">
      <c r="A25" s="265" t="s">
        <v>181</v>
      </c>
      <c r="B25" s="748" t="s">
        <v>182</v>
      </c>
      <c r="C25" s="265" t="s">
        <v>352</v>
      </c>
      <c r="D25" s="248">
        <v>0.5</v>
      </c>
      <c r="E25" s="248">
        <f>VLOOKUP(B25,'Rend. Equipos'!$B$7:$E$222,4,FALSE)</f>
        <v>201885.25333580485</v>
      </c>
      <c r="F25" s="425">
        <f>VLOOKUP(B25,'Rend. Equipos'!$B$6:$L$166,MATCH($F$22,'Rend. Equipos'!$B$6:$L$6,0),0)</f>
        <v>6.9444444444444436E-4</v>
      </c>
      <c r="G25" s="265">
        <f t="shared" si="3"/>
        <v>70.099046297154459</v>
      </c>
      <c r="H25" s="162"/>
      <c r="I25" s="162"/>
    </row>
    <row r="26" spans="1:9" x14ac:dyDescent="0.3">
      <c r="A26" s="139"/>
      <c r="B26" s="139"/>
      <c r="C26" s="139"/>
      <c r="D26" s="254"/>
      <c r="E26" s="140"/>
      <c r="F26" s="141" t="s">
        <v>602</v>
      </c>
      <c r="G26" s="142">
        <f>SUM(G23:G25)</f>
        <v>5418.7835832607743</v>
      </c>
      <c r="H26" s="162"/>
      <c r="I26" s="162"/>
    </row>
    <row r="27" spans="1:9" x14ac:dyDescent="0.3">
      <c r="A27" s="122"/>
      <c r="B27" s="122"/>
      <c r="C27" s="122"/>
      <c r="E27" s="143"/>
      <c r="F27" s="144" t="s">
        <v>11</v>
      </c>
      <c r="G27" s="156">
        <f>+G26/F9</f>
        <v>1667.3180256186997</v>
      </c>
      <c r="H27" s="162"/>
      <c r="I27" s="162"/>
    </row>
    <row r="28" spans="1:9" x14ac:dyDescent="0.3">
      <c r="A28" s="128" t="s">
        <v>603</v>
      </c>
      <c r="B28" s="122"/>
      <c r="C28" s="122"/>
      <c r="E28" s="122"/>
      <c r="F28" s="122"/>
      <c r="G28" s="122"/>
      <c r="H28" s="162"/>
      <c r="I28" s="162"/>
    </row>
    <row r="29" spans="1:9" x14ac:dyDescent="0.3">
      <c r="A29" s="133" t="s">
        <v>79</v>
      </c>
      <c r="B29" s="134" t="s">
        <v>591</v>
      </c>
      <c r="C29" s="134" t="s">
        <v>592</v>
      </c>
      <c r="D29" s="252" t="s">
        <v>593</v>
      </c>
      <c r="E29" s="134" t="s">
        <v>604</v>
      </c>
      <c r="F29" s="134"/>
      <c r="G29" s="135" t="s">
        <v>596</v>
      </c>
      <c r="H29" s="167"/>
      <c r="I29" s="167"/>
    </row>
    <row r="30" spans="1:9" x14ac:dyDescent="0.3">
      <c r="A30" s="264" t="s">
        <v>261</v>
      </c>
      <c r="B30" s="418" t="s">
        <v>262</v>
      </c>
      <c r="C30" s="264" t="s">
        <v>605</v>
      </c>
      <c r="D30" s="246">
        <v>1</v>
      </c>
      <c r="E30" s="246">
        <f>VLOOKUP(B30,'Mano de Obra'!$B$8:$C$100,2,FALSE)</f>
        <v>85927.097156571981</v>
      </c>
      <c r="F30" s="423"/>
      <c r="G30" s="264">
        <f>+E30*D30</f>
        <v>85927.097156571981</v>
      </c>
      <c r="H30" s="162"/>
      <c r="I30" s="162"/>
    </row>
    <row r="31" spans="1:9" x14ac:dyDescent="0.3">
      <c r="A31" s="320" t="s">
        <v>238</v>
      </c>
      <c r="B31" s="454" t="s">
        <v>239</v>
      </c>
      <c r="C31" s="320" t="s">
        <v>605</v>
      </c>
      <c r="D31" s="247">
        <v>1</v>
      </c>
      <c r="E31" s="247">
        <f>VLOOKUP(B31,'Mano de Obra'!$B$8:$C$100,2,FALSE)</f>
        <v>60860.580776571966</v>
      </c>
      <c r="F31" s="424"/>
      <c r="G31" s="320">
        <f>+E31*D31</f>
        <v>60860.580776571966</v>
      </c>
      <c r="H31" s="162"/>
      <c r="I31" s="162"/>
    </row>
    <row r="32" spans="1:9" x14ac:dyDescent="0.3">
      <c r="A32" s="139"/>
      <c r="B32" s="139"/>
      <c r="C32" s="139"/>
      <c r="D32" s="254"/>
      <c r="E32" s="151"/>
      <c r="F32" s="152" t="s">
        <v>606</v>
      </c>
      <c r="G32" s="153">
        <f>SUM(G30:G31)</f>
        <v>146787.67793314395</v>
      </c>
      <c r="H32" s="162"/>
      <c r="I32" s="162"/>
    </row>
    <row r="33" spans="1:9" x14ac:dyDescent="0.3">
      <c r="A33" s="122"/>
      <c r="B33" s="122"/>
      <c r="C33" s="122"/>
      <c r="E33" s="122"/>
      <c r="F33" s="123" t="s">
        <v>607</v>
      </c>
      <c r="G33" s="130">
        <v>1</v>
      </c>
      <c r="H33" s="162"/>
      <c r="I33" s="162"/>
    </row>
    <row r="34" spans="1:9" x14ac:dyDescent="0.3">
      <c r="A34" s="122"/>
      <c r="B34" s="122"/>
      <c r="C34" s="122"/>
      <c r="E34" s="122"/>
      <c r="F34" s="123" t="s">
        <v>608</v>
      </c>
      <c r="G34" s="130">
        <f>+G33*G32</f>
        <v>146787.67793314395</v>
      </c>
      <c r="H34" s="162"/>
      <c r="I34" s="162"/>
    </row>
    <row r="35" spans="1:9" x14ac:dyDescent="0.3">
      <c r="A35" s="122"/>
      <c r="B35" s="122"/>
      <c r="C35" s="122"/>
      <c r="E35" s="122"/>
      <c r="F35" s="123" t="s">
        <v>10</v>
      </c>
      <c r="G35" s="169">
        <f>+G34/F9</f>
        <v>45165.439364044294</v>
      </c>
      <c r="H35" s="162"/>
      <c r="I35" s="162"/>
    </row>
    <row r="36" spans="1:9" x14ac:dyDescent="0.3">
      <c r="A36" s="122"/>
      <c r="B36" s="122"/>
      <c r="C36" s="122"/>
      <c r="E36" s="122"/>
      <c r="F36" s="123" t="s">
        <v>609</v>
      </c>
      <c r="G36" s="130">
        <f>+G35+G27+G20</f>
        <v>81262.252269663004</v>
      </c>
      <c r="H36" s="162"/>
      <c r="I36" s="162"/>
    </row>
    <row r="37" spans="1:9" x14ac:dyDescent="0.3">
      <c r="A37" s="122"/>
      <c r="B37" s="122"/>
      <c r="C37" s="122"/>
      <c r="E37" s="123" t="s">
        <v>610</v>
      </c>
      <c r="F37" s="198">
        <f>+RESUMEN!$I$2</f>
        <v>0</v>
      </c>
      <c r="G37" s="130">
        <f>IF(F37=0,0,F37*G36)</f>
        <v>0</v>
      </c>
      <c r="H37" s="162"/>
      <c r="I37" s="162"/>
    </row>
    <row r="38" spans="1:9" x14ac:dyDescent="0.3">
      <c r="A38" s="122"/>
      <c r="B38" s="122"/>
      <c r="C38" s="122"/>
      <c r="E38" s="123" t="s">
        <v>611</v>
      </c>
      <c r="F38" s="198">
        <f>+RESUMEN!$I$3</f>
        <v>0</v>
      </c>
      <c r="G38" s="130">
        <f>IF(F38=0,0,F38*G36)</f>
        <v>0</v>
      </c>
      <c r="H38" s="168"/>
      <c r="I38" s="162"/>
    </row>
    <row r="39" spans="1:9" x14ac:dyDescent="0.3">
      <c r="A39" s="122"/>
      <c r="B39" s="122"/>
      <c r="C39" s="122"/>
      <c r="E39" s="151"/>
      <c r="F39" s="152" t="s">
        <v>612</v>
      </c>
      <c r="G39" s="154">
        <f>SUM(G36:G38)</f>
        <v>81262.252269663004</v>
      </c>
      <c r="H39" s="162"/>
      <c r="I39" s="162"/>
    </row>
  </sheetData>
  <pageMargins left="0.7" right="0.7" top="0.75" bottom="0.75" header="0.3" footer="0.3"/>
  <pageSetup paperSize="9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068D-591A-4BA9-9FDF-A3E17B791C6A}">
  <sheetPr>
    <tabColor theme="9"/>
  </sheetPr>
  <dimension ref="A2:J38"/>
  <sheetViews>
    <sheetView tabSelected="1" workbookViewId="0">
      <selection activeCell="J24" sqref="J24"/>
    </sheetView>
  </sheetViews>
  <sheetFormatPr defaultColWidth="11.54296875" defaultRowHeight="13" x14ac:dyDescent="0.3"/>
  <cols>
    <col min="1" max="1" width="7.6328125" style="74" customWidth="1"/>
    <col min="2" max="2" width="29.54296875" style="74" customWidth="1"/>
    <col min="3" max="3" width="5.6328125" style="74" customWidth="1"/>
    <col min="4" max="4" width="9" style="33" bestFit="1" customWidth="1"/>
    <col min="5" max="5" width="15.36328125" style="74" bestFit="1" customWidth="1"/>
    <col min="6" max="6" width="23.36328125" style="74" bestFit="1" customWidth="1"/>
    <col min="7" max="7" width="9.90625" style="74" bestFit="1" customWidth="1"/>
    <col min="8" max="8" width="10.6328125" style="74" bestFit="1" customWidth="1"/>
    <col min="9" max="16384" width="11.54296875" style="74"/>
  </cols>
  <sheetData>
    <row r="2" spans="1:9" x14ac:dyDescent="0.3">
      <c r="A2" s="162"/>
      <c r="B2" s="162"/>
      <c r="C2" s="162"/>
      <c r="D2" s="250"/>
      <c r="E2" s="162"/>
      <c r="F2" s="163" t="s">
        <v>78</v>
      </c>
      <c r="G2" s="164">
        <v>45264</v>
      </c>
      <c r="H2" s="162"/>
      <c r="I2" s="162"/>
    </row>
    <row r="3" spans="1:9" ht="15.5" x14ac:dyDescent="0.35">
      <c r="A3" s="165" t="s">
        <v>579</v>
      </c>
      <c r="B3" s="166"/>
      <c r="C3" s="166"/>
      <c r="D3" s="251"/>
      <c r="E3" s="166"/>
      <c r="F3" s="166"/>
      <c r="G3" s="166"/>
      <c r="H3" s="162"/>
      <c r="I3" s="162"/>
    </row>
    <row r="4" spans="1:9" x14ac:dyDescent="0.3">
      <c r="A4" s="122"/>
      <c r="B4" s="122"/>
      <c r="C4" s="122"/>
      <c r="E4" s="122"/>
      <c r="F4" s="123" t="s">
        <v>580</v>
      </c>
      <c r="G4" s="126">
        <v>121</v>
      </c>
      <c r="H4" s="162"/>
      <c r="I4" s="162"/>
    </row>
    <row r="5" spans="1:9" x14ac:dyDescent="0.3">
      <c r="A5" s="127" t="s">
        <v>581</v>
      </c>
      <c r="B5" s="306" t="s">
        <v>801</v>
      </c>
      <c r="C5" s="307"/>
      <c r="D5" s="307"/>
      <c r="E5" s="307"/>
      <c r="F5" s="307"/>
      <c r="G5" s="307"/>
      <c r="H5" s="162"/>
      <c r="I5" s="162"/>
    </row>
    <row r="6" spans="1:9" x14ac:dyDescent="0.3">
      <c r="A6" s="128" t="s">
        <v>582</v>
      </c>
      <c r="B6" s="129" t="s">
        <v>802</v>
      </c>
      <c r="C6" s="122"/>
      <c r="E6" s="122"/>
      <c r="F6" s="123" t="s">
        <v>583</v>
      </c>
      <c r="G6" s="130" t="s">
        <v>24</v>
      </c>
      <c r="H6" s="162"/>
      <c r="I6" s="162"/>
    </row>
    <row r="7" spans="1:9" ht="15.5" x14ac:dyDescent="0.3">
      <c r="A7" s="197" t="s">
        <v>584</v>
      </c>
      <c r="B7" s="305" t="s">
        <v>867</v>
      </c>
      <c r="C7" s="305"/>
      <c r="D7" s="305"/>
      <c r="E7" s="305"/>
      <c r="F7" s="305"/>
      <c r="G7" s="305"/>
      <c r="H7" s="162"/>
      <c r="I7" s="162"/>
    </row>
    <row r="8" spans="1:9" x14ac:dyDescent="0.3">
      <c r="A8" s="128"/>
      <c r="B8" s="122"/>
      <c r="C8" s="131" t="s">
        <v>586</v>
      </c>
      <c r="E8" s="131" t="s">
        <v>587</v>
      </c>
      <c r="F8" s="128" t="s">
        <v>588</v>
      </c>
      <c r="G8" s="122"/>
      <c r="H8" s="162"/>
      <c r="I8" s="162"/>
    </row>
    <row r="9" spans="1:9" x14ac:dyDescent="0.3">
      <c r="A9" s="122"/>
      <c r="B9" s="122"/>
      <c r="C9" s="132" t="s">
        <v>45</v>
      </c>
      <c r="E9" s="241">
        <v>100</v>
      </c>
      <c r="F9" s="242">
        <v>5</v>
      </c>
      <c r="G9" s="162" t="s">
        <v>615</v>
      </c>
      <c r="H9" s="162"/>
      <c r="I9" s="162"/>
    </row>
    <row r="10" spans="1:9" x14ac:dyDescent="0.3">
      <c r="A10" s="128" t="s">
        <v>590</v>
      </c>
      <c r="B10" s="122"/>
      <c r="C10" s="122"/>
      <c r="E10" s="122"/>
      <c r="F10" s="122"/>
      <c r="G10" s="122"/>
      <c r="H10" s="162"/>
    </row>
    <row r="11" spans="1:9" x14ac:dyDescent="0.3">
      <c r="A11" s="133" t="s">
        <v>79</v>
      </c>
      <c r="B11" s="134" t="s">
        <v>591</v>
      </c>
      <c r="C11" s="134" t="s">
        <v>592</v>
      </c>
      <c r="D11" s="252" t="s">
        <v>593</v>
      </c>
      <c r="E11" s="134" t="s">
        <v>594</v>
      </c>
      <c r="F11" s="134" t="s">
        <v>595</v>
      </c>
      <c r="G11" s="135" t="s">
        <v>596</v>
      </c>
      <c r="H11" s="135" t="s">
        <v>597</v>
      </c>
      <c r="I11" s="162">
        <v>15</v>
      </c>
    </row>
    <row r="12" spans="1:9" x14ac:dyDescent="0.3">
      <c r="A12" s="746"/>
      <c r="B12" s="308" t="s">
        <v>540</v>
      </c>
      <c r="C12" s="746" t="s">
        <v>52</v>
      </c>
      <c r="D12" s="810">
        <v>7.5</v>
      </c>
      <c r="E12" s="746">
        <f>VLOOKUP(B12,Materiales!$B$8:$D$199,3,FALSE)</f>
        <v>666.92666666666662</v>
      </c>
      <c r="F12" s="746">
        <v>5</v>
      </c>
      <c r="G12" s="246">
        <f>+D12*E12*((F12+100)/100)</f>
        <v>5252.0474999999997</v>
      </c>
      <c r="H12" s="449">
        <f>+D12*$E$9</f>
        <v>750</v>
      </c>
      <c r="I12" s="162">
        <f>D12*$I$11</f>
        <v>112.5</v>
      </c>
    </row>
    <row r="13" spans="1:9" x14ac:dyDescent="0.3">
      <c r="A13" s="747"/>
      <c r="B13" s="811" t="s">
        <v>546</v>
      </c>
      <c r="C13" s="747" t="s">
        <v>17</v>
      </c>
      <c r="D13" s="812">
        <v>4</v>
      </c>
      <c r="E13" s="747">
        <f>VLOOKUP(B13,Materiales!$B$8:$D$213,3,FALSE)</f>
        <v>351.14</v>
      </c>
      <c r="F13" s="747">
        <v>10</v>
      </c>
      <c r="G13" s="247">
        <f t="shared" ref="G13:G17" si="0">+D13*E13*((F13+100)/100)</f>
        <v>1545.0160000000001</v>
      </c>
      <c r="H13" s="676">
        <f t="shared" ref="H13:H17" si="1">+D13*$E$9</f>
        <v>400</v>
      </c>
      <c r="I13" s="162">
        <f>D13*$I$11</f>
        <v>60</v>
      </c>
    </row>
    <row r="14" spans="1:9" x14ac:dyDescent="0.3">
      <c r="A14" s="747"/>
      <c r="B14" s="811" t="s">
        <v>550</v>
      </c>
      <c r="C14" s="747" t="s">
        <v>17</v>
      </c>
      <c r="D14" s="812">
        <v>1.2</v>
      </c>
      <c r="E14" s="747">
        <f>VLOOKUP(B14,Materiales!$B$8:$D$213,3,FALSE)</f>
        <v>280.10000000000002</v>
      </c>
      <c r="F14" s="747">
        <v>10</v>
      </c>
      <c r="G14" s="247">
        <f t="shared" si="0"/>
        <v>369.73200000000003</v>
      </c>
      <c r="H14" s="676">
        <f t="shared" si="1"/>
        <v>120</v>
      </c>
      <c r="I14" s="162">
        <f>D14*$I$11</f>
        <v>18</v>
      </c>
    </row>
    <row r="15" spans="1:9" x14ac:dyDescent="0.3">
      <c r="A15" s="747"/>
      <c r="B15" s="811" t="s">
        <v>551</v>
      </c>
      <c r="C15" s="747" t="s">
        <v>52</v>
      </c>
      <c r="D15" s="812">
        <v>7.5</v>
      </c>
      <c r="E15" s="747">
        <f>VLOOKUP(B15,Materiales!$B$8:$D$213,3,FALSE)</f>
        <v>316.44450000000001</v>
      </c>
      <c r="F15" s="747">
        <v>10</v>
      </c>
      <c r="G15" s="247">
        <f t="shared" si="0"/>
        <v>2610.6671250000004</v>
      </c>
      <c r="H15" s="676">
        <f t="shared" si="1"/>
        <v>750</v>
      </c>
      <c r="I15" s="162">
        <f>D15*$I$11</f>
        <v>112.5</v>
      </c>
    </row>
    <row r="16" spans="1:9" x14ac:dyDescent="0.3">
      <c r="A16" s="747"/>
      <c r="B16" s="811" t="s">
        <v>557</v>
      </c>
      <c r="C16" s="747" t="s">
        <v>17</v>
      </c>
      <c r="D16" s="812">
        <v>1</v>
      </c>
      <c r="E16" s="747">
        <f>VLOOKUP(B16,Materiales!$B$8:$D$213,3,FALSE)</f>
        <v>202.42</v>
      </c>
      <c r="F16" s="747">
        <v>5</v>
      </c>
      <c r="G16" s="247">
        <f t="shared" si="0"/>
        <v>212.541</v>
      </c>
      <c r="H16" s="676">
        <f t="shared" si="1"/>
        <v>100</v>
      </c>
      <c r="I16" s="162">
        <f t="shared" ref="I16:I17" si="2">D16*$I$11</f>
        <v>15</v>
      </c>
    </row>
    <row r="17" spans="1:9" x14ac:dyDescent="0.3">
      <c r="A17" s="809"/>
      <c r="B17" s="420" t="s">
        <v>632</v>
      </c>
      <c r="C17" s="809" t="s">
        <v>17</v>
      </c>
      <c r="D17" s="813">
        <v>0.21</v>
      </c>
      <c r="E17" s="809">
        <f>+SUM(G12:G16)</f>
        <v>9990.0036249999994</v>
      </c>
      <c r="F17" s="809">
        <v>0</v>
      </c>
      <c r="G17" s="248">
        <f t="shared" si="0"/>
        <v>2097.90076125</v>
      </c>
      <c r="H17" s="450">
        <f t="shared" si="1"/>
        <v>21</v>
      </c>
      <c r="I17" s="162">
        <f t="shared" si="2"/>
        <v>3.15</v>
      </c>
    </row>
    <row r="18" spans="1:9" x14ac:dyDescent="0.3">
      <c r="A18" s="122"/>
      <c r="B18" s="122"/>
      <c r="C18" s="122"/>
      <c r="D18" s="79"/>
      <c r="E18" s="360"/>
      <c r="F18" s="123" t="s">
        <v>598</v>
      </c>
      <c r="G18" s="349">
        <f>SUM(G12:G17)</f>
        <v>12087.90438625</v>
      </c>
      <c r="H18" s="162"/>
      <c r="I18" s="162"/>
    </row>
    <row r="19" spans="1:9" x14ac:dyDescent="0.3">
      <c r="A19" s="122"/>
      <c r="B19" s="122"/>
      <c r="C19" s="122"/>
      <c r="E19" s="143"/>
      <c r="F19" s="144" t="s">
        <v>9</v>
      </c>
      <c r="G19" s="156">
        <f>+G18</f>
        <v>12087.90438625</v>
      </c>
      <c r="H19" s="162"/>
      <c r="I19" s="162"/>
    </row>
    <row r="20" spans="1:9" x14ac:dyDescent="0.3">
      <c r="A20" s="128" t="s">
        <v>599</v>
      </c>
      <c r="B20" s="122"/>
      <c r="C20" s="122"/>
      <c r="E20" s="122"/>
      <c r="F20" s="122"/>
      <c r="G20" s="122"/>
      <c r="H20" s="162"/>
      <c r="I20" s="162"/>
    </row>
    <row r="21" spans="1:9" x14ac:dyDescent="0.3">
      <c r="A21" s="133" t="s">
        <v>79</v>
      </c>
      <c r="B21" s="134" t="s">
        <v>591</v>
      </c>
      <c r="C21" s="134"/>
      <c r="D21" s="252" t="s">
        <v>593</v>
      </c>
      <c r="E21" s="134" t="s">
        <v>600</v>
      </c>
      <c r="F21" s="134" t="s">
        <v>87</v>
      </c>
      <c r="G21" s="135" t="s">
        <v>596</v>
      </c>
      <c r="H21" s="167"/>
      <c r="I21" s="167"/>
    </row>
    <row r="22" spans="1:9" x14ac:dyDescent="0.3">
      <c r="A22" s="264" t="s">
        <v>125</v>
      </c>
      <c r="B22" s="418" t="s">
        <v>126</v>
      </c>
      <c r="C22" s="264" t="s">
        <v>352</v>
      </c>
      <c r="D22" s="246">
        <v>1</v>
      </c>
      <c r="E22" s="246">
        <f>VLOOKUP(B22,'Rend. Equipos'!$B$7:$E$222,4,FALSE)</f>
        <v>2734071.1873955494</v>
      </c>
      <c r="F22" s="423">
        <f>VLOOKUP(B22,'Rend. Equipos'!$B$6:$L$166,MATCH($F$21,'Rend. Equipos'!$B$6:$L$6,0),0)</f>
        <v>1.8518518518518519E-3</v>
      </c>
      <c r="G22" s="746">
        <f>+E22*D22*F22</f>
        <v>5063.0947914732396</v>
      </c>
      <c r="H22" s="162"/>
      <c r="I22" s="162"/>
    </row>
    <row r="23" spans="1:9" ht="26" x14ac:dyDescent="0.3">
      <c r="A23" s="320" t="s">
        <v>88</v>
      </c>
      <c r="B23" s="454" t="s">
        <v>89</v>
      </c>
      <c r="C23" s="320" t="s">
        <v>352</v>
      </c>
      <c r="D23" s="247">
        <v>0.5</v>
      </c>
      <c r="E23" s="247">
        <f>VLOOKUP(B23,'Rend. Equipos'!$B$7:$E$222,4,FALSE)</f>
        <v>1028123.0837653707</v>
      </c>
      <c r="F23" s="424">
        <f>VLOOKUP(B23,'Rend. Equipos'!$B$6:$L$166,MATCH($F$21,'Rend. Equipos'!$B$6:$L$6,0),0)</f>
        <v>5.5555555555555556E-4</v>
      </c>
      <c r="G23" s="747">
        <f t="shared" ref="G23:G24" si="3">+E23*D23*F23</f>
        <v>285.58974549038072</v>
      </c>
      <c r="H23" s="162"/>
      <c r="I23" s="162"/>
    </row>
    <row r="24" spans="1:9" ht="39" x14ac:dyDescent="0.3">
      <c r="A24" s="265" t="s">
        <v>181</v>
      </c>
      <c r="B24" s="748" t="s">
        <v>182</v>
      </c>
      <c r="C24" s="265" t="s">
        <v>352</v>
      </c>
      <c r="D24" s="248">
        <v>0.5</v>
      </c>
      <c r="E24" s="248">
        <f>VLOOKUP(B24,'Rend. Equipos'!$B$7:$E$222,4,FALSE)</f>
        <v>201885.25333580485</v>
      </c>
      <c r="F24" s="425">
        <f>VLOOKUP(B24,'Rend. Equipos'!$B$6:$L$166,MATCH($F$21,'Rend. Equipos'!$B$6:$L$6,0),0)</f>
        <v>6.9444444444444436E-4</v>
      </c>
      <c r="G24" s="809">
        <f t="shared" si="3"/>
        <v>70.099046297154459</v>
      </c>
      <c r="H24" s="162"/>
      <c r="I24" s="162"/>
    </row>
    <row r="25" spans="1:9" x14ac:dyDescent="0.3">
      <c r="A25" s="139"/>
      <c r="B25" s="139"/>
      <c r="C25" s="139"/>
      <c r="D25" s="254"/>
      <c r="E25" s="140"/>
      <c r="F25" s="141" t="s">
        <v>602</v>
      </c>
      <c r="G25" s="142">
        <f>SUM(G22:G24)</f>
        <v>5418.7835832607743</v>
      </c>
      <c r="H25" s="162"/>
      <c r="I25" s="162"/>
    </row>
    <row r="26" spans="1:9" x14ac:dyDescent="0.3">
      <c r="A26" s="122"/>
      <c r="B26" s="122"/>
      <c r="C26" s="122"/>
      <c r="E26" s="143"/>
      <c r="F26" s="144" t="s">
        <v>11</v>
      </c>
      <c r="G26" s="156">
        <f>+G25/F9</f>
        <v>1083.7567166521549</v>
      </c>
      <c r="H26" s="162"/>
      <c r="I26" s="162"/>
    </row>
    <row r="27" spans="1:9" x14ac:dyDescent="0.3">
      <c r="A27" s="128" t="s">
        <v>603</v>
      </c>
      <c r="B27" s="122"/>
      <c r="C27" s="122"/>
      <c r="E27" s="122"/>
      <c r="F27" s="122"/>
      <c r="G27" s="122"/>
      <c r="H27" s="162"/>
      <c r="I27" s="162"/>
    </row>
    <row r="28" spans="1:9" x14ac:dyDescent="0.3">
      <c r="A28" s="133" t="s">
        <v>79</v>
      </c>
      <c r="B28" s="134" t="s">
        <v>591</v>
      </c>
      <c r="C28" s="134"/>
      <c r="D28" s="252" t="s">
        <v>593</v>
      </c>
      <c r="E28" s="134" t="s">
        <v>604</v>
      </c>
      <c r="F28" s="134"/>
      <c r="G28" s="135" t="s">
        <v>596</v>
      </c>
      <c r="H28" s="167"/>
      <c r="I28" s="167"/>
    </row>
    <row r="29" spans="1:9" x14ac:dyDescent="0.3">
      <c r="A29" s="264" t="s">
        <v>261</v>
      </c>
      <c r="B29" s="418" t="s">
        <v>262</v>
      </c>
      <c r="C29" s="264" t="s">
        <v>605</v>
      </c>
      <c r="D29" s="246">
        <v>1</v>
      </c>
      <c r="E29" s="246">
        <f>VLOOKUP(B29,'Mano de Obra'!$B$8:$C$100,2,FALSE)</f>
        <v>85927.097156571981</v>
      </c>
      <c r="F29" s="243"/>
      <c r="G29" s="243">
        <f>+E29*D29</f>
        <v>85927.097156571981</v>
      </c>
      <c r="H29" s="162"/>
      <c r="I29" s="162"/>
    </row>
    <row r="30" spans="1:9" x14ac:dyDescent="0.3">
      <c r="A30" s="320" t="s">
        <v>238</v>
      </c>
      <c r="B30" s="454" t="s">
        <v>239</v>
      </c>
      <c r="C30" s="320" t="s">
        <v>605</v>
      </c>
      <c r="D30" s="247">
        <v>1</v>
      </c>
      <c r="E30" s="247">
        <f>VLOOKUP(B30,'Mano de Obra'!$B$8:$C$100,2,FALSE)</f>
        <v>60860.580776571966</v>
      </c>
      <c r="F30" s="245"/>
      <c r="G30" s="245">
        <f>+E30*D30</f>
        <v>60860.580776571966</v>
      </c>
      <c r="H30" s="162"/>
      <c r="I30" s="162"/>
    </row>
    <row r="31" spans="1:9" x14ac:dyDescent="0.3">
      <c r="A31" s="139"/>
      <c r="B31" s="139"/>
      <c r="C31" s="139"/>
      <c r="D31" s="254"/>
      <c r="E31" s="151"/>
      <c r="F31" s="152" t="s">
        <v>606</v>
      </c>
      <c r="G31" s="153">
        <f>SUM(G29:G30)</f>
        <v>146787.67793314395</v>
      </c>
      <c r="H31" s="162"/>
      <c r="I31" s="162"/>
    </row>
    <row r="32" spans="1:9" x14ac:dyDescent="0.3">
      <c r="A32" s="122"/>
      <c r="B32" s="122"/>
      <c r="C32" s="122"/>
      <c r="E32" s="122"/>
      <c r="F32" s="123" t="s">
        <v>607</v>
      </c>
      <c r="G32" s="130">
        <v>1</v>
      </c>
      <c r="H32" s="162"/>
      <c r="I32" s="162"/>
    </row>
    <row r="33" spans="1:10" x14ac:dyDescent="0.3">
      <c r="A33" s="122"/>
      <c r="B33" s="122"/>
      <c r="C33" s="122"/>
      <c r="E33" s="122"/>
      <c r="F33" s="123" t="s">
        <v>608</v>
      </c>
      <c r="G33" s="130">
        <f>+G32*G31</f>
        <v>146787.67793314395</v>
      </c>
      <c r="H33" s="162"/>
      <c r="I33" s="162"/>
    </row>
    <row r="34" spans="1:10" x14ac:dyDescent="0.3">
      <c r="A34" s="122"/>
      <c r="B34" s="122"/>
      <c r="C34" s="122"/>
      <c r="E34" s="122"/>
      <c r="F34" s="123" t="s">
        <v>10</v>
      </c>
      <c r="G34" s="169">
        <f>+G33/F9</f>
        <v>29357.53558662879</v>
      </c>
      <c r="H34" s="162"/>
      <c r="I34" s="162"/>
      <c r="J34" s="122"/>
    </row>
    <row r="35" spans="1:10" x14ac:dyDescent="0.3">
      <c r="A35" s="122"/>
      <c r="B35" s="122"/>
      <c r="C35" s="122"/>
      <c r="E35" s="122"/>
      <c r="F35" s="123" t="s">
        <v>609</v>
      </c>
      <c r="G35" s="130">
        <f>+G34+G26+G19</f>
        <v>42529.196689530945</v>
      </c>
      <c r="H35" s="162"/>
      <c r="I35" s="162"/>
    </row>
    <row r="36" spans="1:10" x14ac:dyDescent="0.3">
      <c r="A36" s="122"/>
      <c r="B36" s="122"/>
      <c r="C36" s="122"/>
      <c r="E36" s="123" t="s">
        <v>610</v>
      </c>
      <c r="F36" s="198">
        <f>+RESUMEN!$I$2</f>
        <v>0</v>
      </c>
      <c r="G36" s="130">
        <f>IF(F36=0,0,F36*G35)</f>
        <v>0</v>
      </c>
      <c r="H36" s="162"/>
      <c r="I36" s="162"/>
    </row>
    <row r="37" spans="1:10" x14ac:dyDescent="0.3">
      <c r="A37" s="122"/>
      <c r="B37" s="122"/>
      <c r="C37" s="122"/>
      <c r="E37" s="123" t="s">
        <v>611</v>
      </c>
      <c r="F37" s="198">
        <f>+RESUMEN!$I$3</f>
        <v>0</v>
      </c>
      <c r="G37" s="130">
        <f>IF(F37=0,0,F37*G35)</f>
        <v>0</v>
      </c>
      <c r="H37" s="168"/>
      <c r="I37" s="162"/>
    </row>
    <row r="38" spans="1:10" x14ac:dyDescent="0.3">
      <c r="A38" s="122"/>
      <c r="B38" s="122"/>
      <c r="C38" s="122"/>
      <c r="E38" s="151"/>
      <c r="F38" s="152" t="s">
        <v>612</v>
      </c>
      <c r="G38" s="154">
        <f>SUM(G35:G37)</f>
        <v>42529.196689530945</v>
      </c>
      <c r="H38" s="162"/>
      <c r="I38" s="162"/>
    </row>
  </sheetData>
  <pageMargins left="0.7" right="0.7" top="0.75" bottom="0.75" header="0.3" footer="0.3"/>
  <pageSetup paperSize="9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B1:F14"/>
  <sheetViews>
    <sheetView workbookViewId="0"/>
  </sheetViews>
  <sheetFormatPr defaultColWidth="11.453125" defaultRowHeight="12.5" x14ac:dyDescent="0.25"/>
  <cols>
    <col min="1" max="1" width="1.08984375" customWidth="1"/>
    <col min="2" max="2" width="64.453125" customWidth="1"/>
    <col min="3" max="3" width="1.54296875" customWidth="1"/>
    <col min="4" max="4" width="5.54296875" customWidth="1"/>
    <col min="5" max="6" width="16" customWidth="1"/>
  </cols>
  <sheetData>
    <row r="1" spans="2:6" ht="13" x14ac:dyDescent="0.25">
      <c r="B1" s="203" t="s">
        <v>868</v>
      </c>
      <c r="C1" s="203"/>
      <c r="D1" s="211"/>
      <c r="E1" s="211"/>
      <c r="F1" s="211"/>
    </row>
    <row r="2" spans="2:6" ht="13" x14ac:dyDescent="0.25">
      <c r="B2" s="203" t="s">
        <v>869</v>
      </c>
      <c r="C2" s="203"/>
      <c r="D2" s="211"/>
      <c r="E2" s="211"/>
      <c r="F2" s="211"/>
    </row>
    <row r="3" spans="2:6" x14ac:dyDescent="0.25">
      <c r="B3" s="204"/>
      <c r="C3" s="204"/>
      <c r="D3" s="212"/>
      <c r="E3" s="212"/>
      <c r="F3" s="212"/>
    </row>
    <row r="4" spans="2:6" ht="50" x14ac:dyDescent="0.25">
      <c r="B4" s="204" t="s">
        <v>870</v>
      </c>
      <c r="C4" s="204"/>
      <c r="D4" s="212"/>
      <c r="E4" s="212"/>
      <c r="F4" s="212"/>
    </row>
    <row r="5" spans="2:6" x14ac:dyDescent="0.25">
      <c r="B5" s="204"/>
      <c r="C5" s="204"/>
      <c r="D5" s="212"/>
      <c r="E5" s="212"/>
      <c r="F5" s="212"/>
    </row>
    <row r="6" spans="2:6" ht="13" x14ac:dyDescent="0.25">
      <c r="B6" s="203" t="s">
        <v>871</v>
      </c>
      <c r="C6" s="203"/>
      <c r="D6" s="211"/>
      <c r="E6" s="211" t="s">
        <v>872</v>
      </c>
      <c r="F6" s="211" t="s">
        <v>873</v>
      </c>
    </row>
    <row r="7" spans="2:6" ht="13" thickBot="1" x14ac:dyDescent="0.3">
      <c r="B7" s="204"/>
      <c r="C7" s="204"/>
      <c r="D7" s="212"/>
      <c r="E7" s="212"/>
      <c r="F7" s="212"/>
    </row>
    <row r="8" spans="2:6" ht="37.5" x14ac:dyDescent="0.25">
      <c r="B8" s="205" t="s">
        <v>874</v>
      </c>
      <c r="C8" s="206"/>
      <c r="D8" s="213"/>
      <c r="E8" s="213">
        <v>1</v>
      </c>
      <c r="F8" s="214"/>
    </row>
    <row r="9" spans="2:6" ht="25.5" thickBot="1" x14ac:dyDescent="0.3">
      <c r="B9" s="207"/>
      <c r="C9" s="208"/>
      <c r="D9" s="215"/>
      <c r="E9" s="216" t="s">
        <v>875</v>
      </c>
      <c r="F9" s="217" t="s">
        <v>876</v>
      </c>
    </row>
    <row r="10" spans="2:6" x14ac:dyDescent="0.25">
      <c r="B10" s="204"/>
      <c r="C10" s="204"/>
      <c r="D10" s="212"/>
      <c r="E10" s="212"/>
      <c r="F10" s="212"/>
    </row>
    <row r="11" spans="2:6" x14ac:dyDescent="0.25">
      <c r="B11" s="204"/>
      <c r="C11" s="204"/>
      <c r="D11" s="212"/>
      <c r="E11" s="212"/>
      <c r="F11" s="212"/>
    </row>
    <row r="12" spans="2:6" ht="13" x14ac:dyDescent="0.25">
      <c r="B12" s="203" t="s">
        <v>877</v>
      </c>
      <c r="C12" s="203"/>
      <c r="D12" s="211"/>
      <c r="E12" s="211"/>
      <c r="F12" s="211"/>
    </row>
    <row r="13" spans="2:6" ht="13" thickBot="1" x14ac:dyDescent="0.3">
      <c r="B13" s="204"/>
      <c r="C13" s="204"/>
      <c r="D13" s="212"/>
      <c r="E13" s="212"/>
      <c r="F13" s="212"/>
    </row>
    <row r="14" spans="2:6" ht="38" thickBot="1" x14ac:dyDescent="0.3">
      <c r="B14" s="209" t="s">
        <v>878</v>
      </c>
      <c r="C14" s="210"/>
      <c r="D14" s="218"/>
      <c r="E14" s="218">
        <v>22</v>
      </c>
      <c r="F14" s="219" t="s">
        <v>876</v>
      </c>
    </row>
  </sheetData>
  <hyperlinks>
    <hyperlink ref="E9" location="'RESUMEN'!O11:O66" display="'RESUMEN'!O11:O66" xr:uid="{00000000-0004-0000-4900-000000000000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B1:F14"/>
  <sheetViews>
    <sheetView workbookViewId="0"/>
  </sheetViews>
  <sheetFormatPr defaultColWidth="11.453125" defaultRowHeight="12.5" x14ac:dyDescent="0.25"/>
  <cols>
    <col min="1" max="1" width="1.08984375" customWidth="1"/>
    <col min="2" max="2" width="64.453125" customWidth="1"/>
    <col min="3" max="3" width="1.54296875" customWidth="1"/>
    <col min="4" max="4" width="5.54296875" customWidth="1"/>
    <col min="5" max="6" width="16" customWidth="1"/>
  </cols>
  <sheetData>
    <row r="1" spans="2:6" ht="13" x14ac:dyDescent="0.25">
      <c r="B1" s="203" t="s">
        <v>879</v>
      </c>
      <c r="C1" s="203"/>
      <c r="D1" s="211"/>
      <c r="E1" s="211"/>
      <c r="F1" s="211"/>
    </row>
    <row r="2" spans="2:6" ht="13" x14ac:dyDescent="0.25">
      <c r="B2" s="203" t="s">
        <v>880</v>
      </c>
      <c r="C2" s="203"/>
      <c r="D2" s="211"/>
      <c r="E2" s="211"/>
      <c r="F2" s="211"/>
    </row>
    <row r="3" spans="2:6" x14ac:dyDescent="0.25">
      <c r="B3" s="204"/>
      <c r="C3" s="204"/>
      <c r="D3" s="212"/>
      <c r="E3" s="212"/>
      <c r="F3" s="212"/>
    </row>
    <row r="4" spans="2:6" ht="37.5" x14ac:dyDescent="0.25">
      <c r="B4" s="204" t="s">
        <v>881</v>
      </c>
      <c r="C4" s="204"/>
      <c r="D4" s="212"/>
      <c r="E4" s="212"/>
      <c r="F4" s="212"/>
    </row>
    <row r="5" spans="2:6" x14ac:dyDescent="0.25">
      <c r="B5" s="204"/>
      <c r="C5" s="204"/>
      <c r="D5" s="212"/>
      <c r="E5" s="212"/>
      <c r="F5" s="212"/>
    </row>
    <row r="6" spans="2:6" ht="13" x14ac:dyDescent="0.25">
      <c r="B6" s="203" t="s">
        <v>877</v>
      </c>
      <c r="C6" s="203"/>
      <c r="D6" s="211"/>
      <c r="E6" s="211" t="s">
        <v>872</v>
      </c>
      <c r="F6" s="211" t="s">
        <v>873</v>
      </c>
    </row>
    <row r="7" spans="2:6" ht="13" thickBot="1" x14ac:dyDescent="0.3">
      <c r="B7" s="204"/>
      <c r="C7" s="204"/>
      <c r="D7" s="212"/>
      <c r="E7" s="212"/>
      <c r="F7" s="212"/>
    </row>
    <row r="8" spans="2:6" ht="25" x14ac:dyDescent="0.25">
      <c r="B8" s="205" t="s">
        <v>882</v>
      </c>
      <c r="C8" s="206"/>
      <c r="D8" s="213"/>
      <c r="E8" s="213">
        <v>1</v>
      </c>
      <c r="F8" s="214" t="s">
        <v>876</v>
      </c>
    </row>
    <row r="9" spans="2:6" x14ac:dyDescent="0.25">
      <c r="B9" s="238"/>
      <c r="C9" s="204"/>
      <c r="D9" s="212"/>
      <c r="E9" s="212"/>
      <c r="F9" s="239" t="s">
        <v>883</v>
      </c>
    </row>
    <row r="10" spans="2:6" x14ac:dyDescent="0.25">
      <c r="B10" s="238"/>
      <c r="C10" s="204"/>
      <c r="D10" s="212"/>
      <c r="E10" s="212"/>
      <c r="F10" s="239" t="s">
        <v>884</v>
      </c>
    </row>
    <row r="11" spans="2:6" x14ac:dyDescent="0.25">
      <c r="B11" s="238"/>
      <c r="C11" s="204"/>
      <c r="D11" s="212"/>
      <c r="E11" s="212"/>
      <c r="F11" s="239" t="s">
        <v>885</v>
      </c>
    </row>
    <row r="12" spans="2:6" x14ac:dyDescent="0.25">
      <c r="B12" s="238"/>
      <c r="C12" s="204"/>
      <c r="D12" s="212"/>
      <c r="E12" s="212"/>
      <c r="F12" s="239" t="s">
        <v>886</v>
      </c>
    </row>
    <row r="13" spans="2:6" x14ac:dyDescent="0.25">
      <c r="B13" s="238"/>
      <c r="C13" s="204"/>
      <c r="D13" s="212"/>
      <c r="E13" s="212"/>
      <c r="F13" s="239" t="s">
        <v>887</v>
      </c>
    </row>
    <row r="14" spans="2:6" ht="13" thickBot="1" x14ac:dyDescent="0.3">
      <c r="B14" s="207"/>
      <c r="C14" s="208"/>
      <c r="D14" s="215"/>
      <c r="E14" s="215"/>
      <c r="F14" s="217" t="s">
        <v>888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b8146b-4687-4c21-8073-28304239b282" xsi:nil="true"/>
    <lcf76f155ced4ddcb4097134ff3c332f xmlns="ab6a9574-441b-4d3f-8a90-150a156684c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9CEA585CBBC74FBBAE7EC15B2535DB" ma:contentTypeVersion="15" ma:contentTypeDescription="Crear nuevo documento." ma:contentTypeScope="" ma:versionID="fe063b133d2d04b6a4a472d7f96458d2">
  <xsd:schema xmlns:xsd="http://www.w3.org/2001/XMLSchema" xmlns:xs="http://www.w3.org/2001/XMLSchema" xmlns:p="http://schemas.microsoft.com/office/2006/metadata/properties" xmlns:ns2="ab6a9574-441b-4d3f-8a90-150a156684ce" xmlns:ns3="2bb8146b-4687-4c21-8073-28304239b282" targetNamespace="http://schemas.microsoft.com/office/2006/metadata/properties" ma:root="true" ma:fieldsID="15aa79107beb17c172f02e10d0a1589a" ns2:_="" ns3:_="">
    <xsd:import namespace="ab6a9574-441b-4d3f-8a90-150a156684ce"/>
    <xsd:import namespace="2bb8146b-4687-4c21-8073-28304239b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a9574-441b-4d3f-8a90-150a15668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6b6bd9f4-03c0-4cd6-9b4e-028e8076b3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8146b-4687-4c21-8073-28304239b28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fae0a55-0688-47a5-9a7f-e84b45e7d6a0}" ma:internalName="TaxCatchAll" ma:showField="CatchAllData" ma:web="2bb8146b-4687-4c21-8073-28304239b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50F5E6-A301-4EF2-928C-CA917863C479}">
  <ds:schemaRefs>
    <ds:schemaRef ds:uri="http://schemas.microsoft.com/office/2006/metadata/properties"/>
    <ds:schemaRef ds:uri="http://schemas.microsoft.com/office/infopath/2007/PartnerControls"/>
    <ds:schemaRef ds:uri="2bb8146b-4687-4c21-8073-28304239b282"/>
    <ds:schemaRef ds:uri="ab6a9574-441b-4d3f-8a90-150a156684ce"/>
  </ds:schemaRefs>
</ds:datastoreItem>
</file>

<file path=customXml/itemProps2.xml><?xml version="1.0" encoding="utf-8"?>
<ds:datastoreItem xmlns:ds="http://schemas.openxmlformats.org/officeDocument/2006/customXml" ds:itemID="{3D4AD311-736D-4AC6-B933-EC5C26A172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3D587C-22BB-41F2-9675-FBA3F1334D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6a9574-441b-4d3f-8a90-150a156684ce"/>
    <ds:schemaRef ds:uri="2bb8146b-4687-4c21-8073-28304239b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89</vt:i4>
      </vt:variant>
      <vt:variant>
        <vt:lpstr>Named Ranges</vt:lpstr>
      </vt:variant>
      <vt:variant>
        <vt:i4>22</vt:i4>
      </vt:variant>
    </vt:vector>
  </HeadingPairs>
  <TitlesOfParts>
    <vt:vector size="111" baseType="lpstr">
      <vt:lpstr>RESUMEN</vt:lpstr>
      <vt:lpstr>Rend. Equipos</vt:lpstr>
      <vt:lpstr>Precio Equipos</vt:lpstr>
      <vt:lpstr>Mano de Obra</vt:lpstr>
      <vt:lpstr>Sub CONTRATOS</vt:lpstr>
      <vt:lpstr>Materiales</vt:lpstr>
      <vt:lpstr>P-32</vt:lpstr>
      <vt:lpstr>P-33</vt:lpstr>
      <vt:lpstr>P-34</vt:lpstr>
      <vt:lpstr>P-35</vt:lpstr>
      <vt:lpstr>P-36</vt:lpstr>
      <vt:lpstr>P-37</vt:lpstr>
      <vt:lpstr>P-38</vt:lpstr>
      <vt:lpstr>P-39</vt:lpstr>
      <vt:lpstr>P-40</vt:lpstr>
      <vt:lpstr>P-41</vt:lpstr>
      <vt:lpstr>P-42</vt:lpstr>
      <vt:lpstr>P-43</vt:lpstr>
      <vt:lpstr>P-44</vt:lpstr>
      <vt:lpstr>P-45</vt:lpstr>
      <vt:lpstr>P-46</vt:lpstr>
      <vt:lpstr>P-47</vt:lpstr>
      <vt:lpstr>P-48</vt:lpstr>
      <vt:lpstr>P-49</vt:lpstr>
      <vt:lpstr>P-50</vt:lpstr>
      <vt:lpstr>P-51</vt:lpstr>
      <vt:lpstr>P-52</vt:lpstr>
      <vt:lpstr>P-53</vt:lpstr>
      <vt:lpstr>P-53 bis</vt:lpstr>
      <vt:lpstr>P-54</vt:lpstr>
      <vt:lpstr>P-55</vt:lpstr>
      <vt:lpstr>P-56</vt:lpstr>
      <vt:lpstr>P-57</vt:lpstr>
      <vt:lpstr>P-58</vt:lpstr>
      <vt:lpstr>P-59</vt:lpstr>
      <vt:lpstr>P-60</vt:lpstr>
      <vt:lpstr>P-61</vt:lpstr>
      <vt:lpstr>P-62</vt:lpstr>
      <vt:lpstr>P-63</vt:lpstr>
      <vt:lpstr>P-63 bis</vt:lpstr>
      <vt:lpstr>P-64</vt:lpstr>
      <vt:lpstr>P-65</vt:lpstr>
      <vt:lpstr>P-66</vt:lpstr>
      <vt:lpstr>P-67</vt:lpstr>
      <vt:lpstr>P-68</vt:lpstr>
      <vt:lpstr>P-70</vt:lpstr>
      <vt:lpstr>P-71</vt:lpstr>
      <vt:lpstr>P-72</vt:lpstr>
      <vt:lpstr>P-73</vt:lpstr>
      <vt:lpstr>P-74</vt:lpstr>
      <vt:lpstr>P-75</vt:lpstr>
      <vt:lpstr>P-80</vt:lpstr>
      <vt:lpstr>P-81</vt:lpstr>
      <vt:lpstr>P-82</vt:lpstr>
      <vt:lpstr>P-83</vt:lpstr>
      <vt:lpstr>P-84</vt:lpstr>
      <vt:lpstr>P-85</vt:lpstr>
      <vt:lpstr>P-86</vt:lpstr>
      <vt:lpstr>P-87</vt:lpstr>
      <vt:lpstr>P-88</vt:lpstr>
      <vt:lpstr>P-89</vt:lpstr>
      <vt:lpstr>P-90</vt:lpstr>
      <vt:lpstr>P-91</vt:lpstr>
      <vt:lpstr>P-102</vt:lpstr>
      <vt:lpstr>P-106</vt:lpstr>
      <vt:lpstr>P-110</vt:lpstr>
      <vt:lpstr>P-113</vt:lpstr>
      <vt:lpstr>P-114</vt:lpstr>
      <vt:lpstr>P-115</vt:lpstr>
      <vt:lpstr>P-116</vt:lpstr>
      <vt:lpstr>P-117</vt:lpstr>
      <vt:lpstr>P-118</vt:lpstr>
      <vt:lpstr>P-119</vt:lpstr>
      <vt:lpstr>P-120</vt:lpstr>
      <vt:lpstr>P-121</vt:lpstr>
      <vt:lpstr>P-122</vt:lpstr>
      <vt:lpstr>P-123</vt:lpstr>
      <vt:lpstr>P-124</vt:lpstr>
      <vt:lpstr>P-134</vt:lpstr>
      <vt:lpstr>P-135</vt:lpstr>
      <vt:lpstr>P-136</vt:lpstr>
      <vt:lpstr>P-137</vt:lpstr>
      <vt:lpstr>P-138</vt:lpstr>
      <vt:lpstr>P-146</vt:lpstr>
      <vt:lpstr>P-147</vt:lpstr>
      <vt:lpstr>P-148</vt:lpstr>
      <vt:lpstr>P-149</vt:lpstr>
      <vt:lpstr>Informe de compatibilidad</vt:lpstr>
      <vt:lpstr>Hoja2</vt:lpstr>
      <vt:lpstr>'Mano de Obra'!CONTRATISTA</vt:lpstr>
      <vt:lpstr>Materiales!CONTRATISTA</vt:lpstr>
      <vt:lpstr>'Sub CONTRATOS'!CONTRATISTA</vt:lpstr>
      <vt:lpstr>Materiales!FECHA</vt:lpstr>
      <vt:lpstr>'Rend. Equipos'!FECHA</vt:lpstr>
      <vt:lpstr>'Sub CONTRATOS'!FECHA</vt:lpstr>
      <vt:lpstr>FECHA</vt:lpstr>
      <vt:lpstr>Materiales!INICIO</vt:lpstr>
      <vt:lpstr>'Precio Equipos'!INICIO</vt:lpstr>
      <vt:lpstr>'Rend. Equipos'!INICIO</vt:lpstr>
      <vt:lpstr>'Sub CONTRATOS'!INICIO</vt:lpstr>
      <vt:lpstr>INICIO</vt:lpstr>
      <vt:lpstr>'Mano de Obra'!OBRA</vt:lpstr>
      <vt:lpstr>Materiales!OBRA</vt:lpstr>
      <vt:lpstr>'Sub CONTRATOS'!OBRA</vt:lpstr>
      <vt:lpstr>Materiales!PARTIDABASE</vt:lpstr>
      <vt:lpstr>'Rend. Equipos'!PARTIDABASE</vt:lpstr>
      <vt:lpstr>'Sub CONTRATOS'!PARTIDABASE</vt:lpstr>
      <vt:lpstr>PARTIDABASE</vt:lpstr>
      <vt:lpstr>'P-34'!Print_Area</vt:lpstr>
      <vt:lpstr>'Precio Equipos'!TITULO</vt:lpstr>
      <vt:lpstr>'Rend. Equipos'!TITULO</vt:lpstr>
    </vt:vector>
  </TitlesOfParts>
  <Manager/>
  <Company>Lulo Software, C. 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Edmundo Lulo García</dc:creator>
  <cp:keywords/>
  <dc:description/>
  <cp:lastModifiedBy>Pedro Pagliaricci</cp:lastModifiedBy>
  <cp:revision/>
  <dcterms:created xsi:type="dcterms:W3CDTF">2007-07-20T15:38:01Z</dcterms:created>
  <dcterms:modified xsi:type="dcterms:W3CDTF">2026-05-11T22:57:38Z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