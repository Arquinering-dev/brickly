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8_{650559F4-9D0A-4788-9DAC-ECFF0667D066}" xr6:coauthVersionLast="47" xr6:coauthVersionMax="47" xr10:uidLastSave="{00000000-0000-0000-0000-000000000000}"/>
  <bookViews>
    <workbookView xWindow="-110" yWindow="-110" windowWidth="19420" windowHeight="11500" firstSheet="6" activeTab="8" xr2:uid="{FDD88255-9A10-4DC5-B8B3-DB6B384874D9}"/>
  </bookViews>
  <sheets>
    <sheet name="GDR 3760_Pto. 01_Cert. 01" sheetId="2" r:id="rId1"/>
    <sheet name="GDR 3760_Pto. 01_Cert. 02" sheetId="3" r:id="rId2"/>
    <sheet name="GDR 3760_Pto. 01_Cert. 03" sheetId="5" r:id="rId3"/>
    <sheet name="GDR 3760_Pto. 01_Cert. 04" sheetId="6" r:id="rId4"/>
    <sheet name="GDR 3760_Pto. 01_Cert. 05" sheetId="8" r:id="rId5"/>
    <sheet name="GDR 3760_Pto. 01_Cert. 06" sheetId="9" r:id="rId6"/>
    <sheet name="GDR 3760_Pto. 01_Cert. 07" sheetId="10" r:id="rId7"/>
    <sheet name="GDR 3760_Pto. 01_Cert. 08" sheetId="11" r:id="rId8"/>
    <sheet name="GDR 3760_Pto. 01_Cert. 09" sheetId="12" r:id="rId9"/>
    <sheet name="GDR 3760_Pto. 01_Cert. 09 (2)" sheetId="13" r:id="rId10"/>
  </sheets>
  <definedNames>
    <definedName name="\0">#REF!</definedName>
    <definedName name="\c">#REF!</definedName>
    <definedName name="\E">#REF!</definedName>
    <definedName name="\i">#REF!</definedName>
    <definedName name="\j">#REF!</definedName>
    <definedName name="\m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6">#REF!</definedName>
    <definedName name="\P" localSheetId="7">#REF!</definedName>
    <definedName name="\P" localSheetId="8">#REF!</definedName>
    <definedName name="\P" localSheetId="9">#REF!</definedName>
    <definedName name="\P">#REF!</definedName>
    <definedName name="\r">#N/A</definedName>
    <definedName name="\x">#REF!</definedName>
    <definedName name="\z">#REF!</definedName>
    <definedName name="__________ben1" localSheetId="0">#REF!</definedName>
    <definedName name="__________ben1" localSheetId="1">#REF!</definedName>
    <definedName name="__________ben1" localSheetId="2">#REF!</definedName>
    <definedName name="__________ben1" localSheetId="3">#REF!</definedName>
    <definedName name="__________ben1" localSheetId="4">#REF!</definedName>
    <definedName name="__________ben1" localSheetId="5">#REF!</definedName>
    <definedName name="__________ben1" localSheetId="6">#REF!</definedName>
    <definedName name="__________ben1" localSheetId="7">#REF!</definedName>
    <definedName name="__________ben1" localSheetId="8">#REF!</definedName>
    <definedName name="__________ben1" localSheetId="9">#REF!</definedName>
    <definedName name="__________ben1">#REF!</definedName>
    <definedName name="__________ben10" localSheetId="0">#REF!</definedName>
    <definedName name="__________ben10" localSheetId="1">#REF!</definedName>
    <definedName name="__________ben10" localSheetId="2">#REF!</definedName>
    <definedName name="__________ben10" localSheetId="3">#REF!</definedName>
    <definedName name="__________ben10" localSheetId="4">#REF!</definedName>
    <definedName name="__________ben10" localSheetId="5">#REF!</definedName>
    <definedName name="__________ben10" localSheetId="6">#REF!</definedName>
    <definedName name="__________ben10" localSheetId="7">#REF!</definedName>
    <definedName name="__________ben10" localSheetId="8">#REF!</definedName>
    <definedName name="__________ben10" localSheetId="9">#REF!</definedName>
    <definedName name="__________ben10">#REF!</definedName>
    <definedName name="__________ben15" localSheetId="0">#REF!</definedName>
    <definedName name="__________ben15" localSheetId="1">#REF!</definedName>
    <definedName name="__________ben15" localSheetId="2">#REF!</definedName>
    <definedName name="__________ben15" localSheetId="3">#REF!</definedName>
    <definedName name="__________ben15" localSheetId="4">#REF!</definedName>
    <definedName name="__________ben15" localSheetId="5">#REF!</definedName>
    <definedName name="__________ben15" localSheetId="6">#REF!</definedName>
    <definedName name="__________ben15" localSheetId="7">#REF!</definedName>
    <definedName name="__________ben15" localSheetId="8">#REF!</definedName>
    <definedName name="__________ben15" localSheetId="9">#REF!</definedName>
    <definedName name="__________ben15">#REF!</definedName>
    <definedName name="__________BEN2">#REF!</definedName>
    <definedName name="__________ben20" localSheetId="0">#REF!</definedName>
    <definedName name="__________ben20" localSheetId="1">#REF!</definedName>
    <definedName name="__________ben20" localSheetId="2">#REF!</definedName>
    <definedName name="__________ben20" localSheetId="3">#REF!</definedName>
    <definedName name="__________ben20" localSheetId="4">#REF!</definedName>
    <definedName name="__________ben20" localSheetId="5">#REF!</definedName>
    <definedName name="__________ben20" localSheetId="6">#REF!</definedName>
    <definedName name="__________ben20" localSheetId="7">#REF!</definedName>
    <definedName name="__________ben20" localSheetId="8">#REF!</definedName>
    <definedName name="__________ben20" localSheetId="9">#REF!</definedName>
    <definedName name="__________ben20">#REF!</definedName>
    <definedName name="__________ben25" localSheetId="0">#REF!</definedName>
    <definedName name="__________ben25" localSheetId="1">#REF!</definedName>
    <definedName name="__________ben25" localSheetId="2">#REF!</definedName>
    <definedName name="__________ben25" localSheetId="3">#REF!</definedName>
    <definedName name="__________ben25" localSheetId="4">#REF!</definedName>
    <definedName name="__________ben25" localSheetId="5">#REF!</definedName>
    <definedName name="__________ben25" localSheetId="6">#REF!</definedName>
    <definedName name="__________ben25" localSheetId="7">#REF!</definedName>
    <definedName name="__________ben25" localSheetId="8">#REF!</definedName>
    <definedName name="__________ben25" localSheetId="9">#REF!</definedName>
    <definedName name="__________ben25">#REF!</definedName>
    <definedName name="__________BEN3" localSheetId="0">#REF!</definedName>
    <definedName name="__________BEN3" localSheetId="1">#REF!</definedName>
    <definedName name="__________BEN3" localSheetId="2">#REF!</definedName>
    <definedName name="__________BEN3" localSheetId="3">#REF!</definedName>
    <definedName name="__________BEN3" localSheetId="4">#REF!</definedName>
    <definedName name="__________BEN3" localSheetId="5">#REF!</definedName>
    <definedName name="__________BEN3" localSheetId="6">#REF!</definedName>
    <definedName name="__________BEN3" localSheetId="7">#REF!</definedName>
    <definedName name="__________BEN3" localSheetId="8">#REF!</definedName>
    <definedName name="__________BEN3" localSheetId="9">#REF!</definedName>
    <definedName name="__________BEN3">#REF!</definedName>
    <definedName name="__________BEN4" localSheetId="0">#REF!</definedName>
    <definedName name="__________BEN4" localSheetId="1">#REF!</definedName>
    <definedName name="__________BEN4" localSheetId="2">#REF!</definedName>
    <definedName name="__________BEN4" localSheetId="3">#REF!</definedName>
    <definedName name="__________BEN4" localSheetId="4">#REF!</definedName>
    <definedName name="__________BEN4" localSheetId="5">#REF!</definedName>
    <definedName name="__________BEN4" localSheetId="6">#REF!</definedName>
    <definedName name="__________BEN4" localSheetId="7">#REF!</definedName>
    <definedName name="__________BEN4" localSheetId="8">#REF!</definedName>
    <definedName name="__________BEN4" localSheetId="9">#REF!</definedName>
    <definedName name="__________BEN4">#REF!</definedName>
    <definedName name="__________ben5" localSheetId="0">#REF!</definedName>
    <definedName name="__________ben5" localSheetId="1">#REF!</definedName>
    <definedName name="__________ben5" localSheetId="2">#REF!</definedName>
    <definedName name="__________ben5" localSheetId="3">#REF!</definedName>
    <definedName name="__________ben5" localSheetId="4">#REF!</definedName>
    <definedName name="__________ben5" localSheetId="5">#REF!</definedName>
    <definedName name="__________ben5" localSheetId="6">#REF!</definedName>
    <definedName name="__________ben5" localSheetId="7">#REF!</definedName>
    <definedName name="__________ben5" localSheetId="8">#REF!</definedName>
    <definedName name="__________ben5" localSheetId="9">#REF!</definedName>
    <definedName name="__________ben5">#REF!</definedName>
    <definedName name="_________ben1" localSheetId="0">#REF!</definedName>
    <definedName name="_________ben1" localSheetId="1">#REF!</definedName>
    <definedName name="_________ben1" localSheetId="2">#REF!</definedName>
    <definedName name="_________ben1" localSheetId="3">#REF!</definedName>
    <definedName name="_________ben1" localSheetId="4">#REF!</definedName>
    <definedName name="_________ben1" localSheetId="5">#REF!</definedName>
    <definedName name="_________ben1" localSheetId="6">#REF!</definedName>
    <definedName name="_________ben1" localSheetId="7">#REF!</definedName>
    <definedName name="_________ben1" localSheetId="8">#REF!</definedName>
    <definedName name="_________ben1" localSheetId="9">#REF!</definedName>
    <definedName name="_________ben1">#REF!</definedName>
    <definedName name="_________ben10" localSheetId="0">#REF!</definedName>
    <definedName name="_________ben10" localSheetId="1">#REF!</definedName>
    <definedName name="_________ben10" localSheetId="2">#REF!</definedName>
    <definedName name="_________ben10" localSheetId="3">#REF!</definedName>
    <definedName name="_________ben10" localSheetId="4">#REF!</definedName>
    <definedName name="_________ben10" localSheetId="5">#REF!</definedName>
    <definedName name="_________ben10" localSheetId="6">#REF!</definedName>
    <definedName name="_________ben10" localSheetId="7">#REF!</definedName>
    <definedName name="_________ben10" localSheetId="8">#REF!</definedName>
    <definedName name="_________ben10" localSheetId="9">#REF!</definedName>
    <definedName name="_________ben10">#REF!</definedName>
    <definedName name="_________ben15" localSheetId="0">#REF!</definedName>
    <definedName name="_________ben15" localSheetId="1">#REF!</definedName>
    <definedName name="_________ben15" localSheetId="2">#REF!</definedName>
    <definedName name="_________ben15" localSheetId="3">#REF!</definedName>
    <definedName name="_________ben15" localSheetId="4">#REF!</definedName>
    <definedName name="_________ben15" localSheetId="5">#REF!</definedName>
    <definedName name="_________ben15" localSheetId="6">#REF!</definedName>
    <definedName name="_________ben15" localSheetId="7">#REF!</definedName>
    <definedName name="_________ben15" localSheetId="8">#REF!</definedName>
    <definedName name="_________ben15" localSheetId="9">#REF!</definedName>
    <definedName name="_________ben15">#REF!</definedName>
    <definedName name="_________BEN2">#REF!</definedName>
    <definedName name="_________ben20" localSheetId="0">#REF!</definedName>
    <definedName name="_________ben20" localSheetId="1">#REF!</definedName>
    <definedName name="_________ben20" localSheetId="2">#REF!</definedName>
    <definedName name="_________ben20" localSheetId="3">#REF!</definedName>
    <definedName name="_________ben20" localSheetId="4">#REF!</definedName>
    <definedName name="_________ben20" localSheetId="5">#REF!</definedName>
    <definedName name="_________ben20" localSheetId="6">#REF!</definedName>
    <definedName name="_________ben20" localSheetId="7">#REF!</definedName>
    <definedName name="_________ben20" localSheetId="8">#REF!</definedName>
    <definedName name="_________ben20" localSheetId="9">#REF!</definedName>
    <definedName name="_________ben20">#REF!</definedName>
    <definedName name="_________ben25" localSheetId="0">#REF!</definedName>
    <definedName name="_________ben25" localSheetId="1">#REF!</definedName>
    <definedName name="_________ben25" localSheetId="2">#REF!</definedName>
    <definedName name="_________ben25" localSheetId="3">#REF!</definedName>
    <definedName name="_________ben25" localSheetId="4">#REF!</definedName>
    <definedName name="_________ben25" localSheetId="5">#REF!</definedName>
    <definedName name="_________ben25" localSheetId="6">#REF!</definedName>
    <definedName name="_________ben25" localSheetId="7">#REF!</definedName>
    <definedName name="_________ben25" localSheetId="8">#REF!</definedName>
    <definedName name="_________ben25" localSheetId="9">#REF!</definedName>
    <definedName name="_________ben25">#REF!</definedName>
    <definedName name="_________BEN3" localSheetId="0">#REF!</definedName>
    <definedName name="_________BEN3" localSheetId="1">#REF!</definedName>
    <definedName name="_________BEN3" localSheetId="2">#REF!</definedName>
    <definedName name="_________BEN3" localSheetId="3">#REF!</definedName>
    <definedName name="_________BEN3" localSheetId="4">#REF!</definedName>
    <definedName name="_________BEN3" localSheetId="5">#REF!</definedName>
    <definedName name="_________BEN3" localSheetId="6">#REF!</definedName>
    <definedName name="_________BEN3" localSheetId="7">#REF!</definedName>
    <definedName name="_________BEN3" localSheetId="8">#REF!</definedName>
    <definedName name="_________BEN3" localSheetId="9">#REF!</definedName>
    <definedName name="_________BEN3">#REF!</definedName>
    <definedName name="_________BEN4" localSheetId="0">#REF!</definedName>
    <definedName name="_________BEN4" localSheetId="1">#REF!</definedName>
    <definedName name="_________BEN4" localSheetId="2">#REF!</definedName>
    <definedName name="_________BEN4" localSheetId="3">#REF!</definedName>
    <definedName name="_________BEN4" localSheetId="4">#REF!</definedName>
    <definedName name="_________BEN4" localSheetId="5">#REF!</definedName>
    <definedName name="_________BEN4" localSheetId="6">#REF!</definedName>
    <definedName name="_________BEN4" localSheetId="7">#REF!</definedName>
    <definedName name="_________BEN4" localSheetId="8">#REF!</definedName>
    <definedName name="_________BEN4" localSheetId="9">#REF!</definedName>
    <definedName name="_________BEN4">#REF!</definedName>
    <definedName name="_________ben5" localSheetId="0">#REF!</definedName>
    <definedName name="_________ben5" localSheetId="1">#REF!</definedName>
    <definedName name="_________ben5" localSheetId="2">#REF!</definedName>
    <definedName name="_________ben5" localSheetId="3">#REF!</definedName>
    <definedName name="_________ben5" localSheetId="4">#REF!</definedName>
    <definedName name="_________ben5" localSheetId="5">#REF!</definedName>
    <definedName name="_________ben5" localSheetId="6">#REF!</definedName>
    <definedName name="_________ben5" localSheetId="7">#REF!</definedName>
    <definedName name="_________ben5" localSheetId="8">#REF!</definedName>
    <definedName name="_________ben5" localSheetId="9">#REF!</definedName>
    <definedName name="_________ben5">#REF!</definedName>
    <definedName name="________ben1" localSheetId="0">#REF!</definedName>
    <definedName name="________ben1" localSheetId="1">#REF!</definedName>
    <definedName name="________ben1" localSheetId="2">#REF!</definedName>
    <definedName name="________ben1" localSheetId="3">#REF!</definedName>
    <definedName name="________ben1" localSheetId="4">#REF!</definedName>
    <definedName name="________ben1" localSheetId="5">#REF!</definedName>
    <definedName name="________ben1" localSheetId="6">#REF!</definedName>
    <definedName name="________ben1" localSheetId="7">#REF!</definedName>
    <definedName name="________ben1" localSheetId="8">#REF!</definedName>
    <definedName name="________ben1" localSheetId="9">#REF!</definedName>
    <definedName name="________ben1">#REF!</definedName>
    <definedName name="________ben10" localSheetId="0">#REF!</definedName>
    <definedName name="________ben10" localSheetId="1">#REF!</definedName>
    <definedName name="________ben10" localSheetId="2">#REF!</definedName>
    <definedName name="________ben10" localSheetId="3">#REF!</definedName>
    <definedName name="________ben10" localSheetId="4">#REF!</definedName>
    <definedName name="________ben10" localSheetId="5">#REF!</definedName>
    <definedName name="________ben10" localSheetId="6">#REF!</definedName>
    <definedName name="________ben10" localSheetId="7">#REF!</definedName>
    <definedName name="________ben10" localSheetId="8">#REF!</definedName>
    <definedName name="________ben10" localSheetId="9">#REF!</definedName>
    <definedName name="________ben10">#REF!</definedName>
    <definedName name="________ben15" localSheetId="0">#REF!</definedName>
    <definedName name="________ben15" localSheetId="1">#REF!</definedName>
    <definedName name="________ben15" localSheetId="2">#REF!</definedName>
    <definedName name="________ben15" localSheetId="3">#REF!</definedName>
    <definedName name="________ben15" localSheetId="4">#REF!</definedName>
    <definedName name="________ben15" localSheetId="5">#REF!</definedName>
    <definedName name="________ben15" localSheetId="6">#REF!</definedName>
    <definedName name="________ben15" localSheetId="7">#REF!</definedName>
    <definedName name="________ben15" localSheetId="8">#REF!</definedName>
    <definedName name="________ben15" localSheetId="9">#REF!</definedName>
    <definedName name="________ben15">#REF!</definedName>
    <definedName name="________BEN2">#REF!</definedName>
    <definedName name="________ben20" localSheetId="0">#REF!</definedName>
    <definedName name="________ben20" localSheetId="1">#REF!</definedName>
    <definedName name="________ben20" localSheetId="2">#REF!</definedName>
    <definedName name="________ben20" localSheetId="3">#REF!</definedName>
    <definedName name="________ben20" localSheetId="4">#REF!</definedName>
    <definedName name="________ben20" localSheetId="5">#REF!</definedName>
    <definedName name="________ben20" localSheetId="6">#REF!</definedName>
    <definedName name="________ben20" localSheetId="7">#REF!</definedName>
    <definedName name="________ben20" localSheetId="8">#REF!</definedName>
    <definedName name="________ben20" localSheetId="9">#REF!</definedName>
    <definedName name="________ben20">#REF!</definedName>
    <definedName name="________ben25" localSheetId="0">#REF!</definedName>
    <definedName name="________ben25" localSheetId="1">#REF!</definedName>
    <definedName name="________ben25" localSheetId="2">#REF!</definedName>
    <definedName name="________ben25" localSheetId="3">#REF!</definedName>
    <definedName name="________ben25" localSheetId="4">#REF!</definedName>
    <definedName name="________ben25" localSheetId="5">#REF!</definedName>
    <definedName name="________ben25" localSheetId="6">#REF!</definedName>
    <definedName name="________ben25" localSheetId="7">#REF!</definedName>
    <definedName name="________ben25" localSheetId="8">#REF!</definedName>
    <definedName name="________ben25" localSheetId="9">#REF!</definedName>
    <definedName name="________ben25">#REF!</definedName>
    <definedName name="________BEN3" localSheetId="0">#REF!</definedName>
    <definedName name="________BEN3" localSheetId="1">#REF!</definedName>
    <definedName name="________BEN3" localSheetId="2">#REF!</definedName>
    <definedName name="________BEN3" localSheetId="3">#REF!</definedName>
    <definedName name="________BEN3" localSheetId="4">#REF!</definedName>
    <definedName name="________BEN3" localSheetId="5">#REF!</definedName>
    <definedName name="________BEN3" localSheetId="6">#REF!</definedName>
    <definedName name="________BEN3" localSheetId="7">#REF!</definedName>
    <definedName name="________BEN3" localSheetId="8">#REF!</definedName>
    <definedName name="________BEN3" localSheetId="9">#REF!</definedName>
    <definedName name="________BEN3">#REF!</definedName>
    <definedName name="________BEN4" localSheetId="0">#REF!</definedName>
    <definedName name="________BEN4" localSheetId="1">#REF!</definedName>
    <definedName name="________BEN4" localSheetId="2">#REF!</definedName>
    <definedName name="________BEN4" localSheetId="3">#REF!</definedName>
    <definedName name="________BEN4" localSheetId="4">#REF!</definedName>
    <definedName name="________BEN4" localSheetId="5">#REF!</definedName>
    <definedName name="________BEN4" localSheetId="6">#REF!</definedName>
    <definedName name="________BEN4" localSheetId="7">#REF!</definedName>
    <definedName name="________BEN4" localSheetId="8">#REF!</definedName>
    <definedName name="________BEN4" localSheetId="9">#REF!</definedName>
    <definedName name="________BEN4">#REF!</definedName>
    <definedName name="________ben5" localSheetId="0">#REF!</definedName>
    <definedName name="________ben5" localSheetId="1">#REF!</definedName>
    <definedName name="________ben5" localSheetId="2">#REF!</definedName>
    <definedName name="________ben5" localSheetId="3">#REF!</definedName>
    <definedName name="________ben5" localSheetId="4">#REF!</definedName>
    <definedName name="________ben5" localSheetId="5">#REF!</definedName>
    <definedName name="________ben5" localSheetId="6">#REF!</definedName>
    <definedName name="________ben5" localSheetId="7">#REF!</definedName>
    <definedName name="________ben5" localSheetId="8">#REF!</definedName>
    <definedName name="________ben5" localSheetId="9">#REF!</definedName>
    <definedName name="________ben5">#REF!</definedName>
    <definedName name="________tu3" localSheetId="0">#REF!</definedName>
    <definedName name="________tu3" localSheetId="1">#REF!</definedName>
    <definedName name="________tu3" localSheetId="2">#REF!</definedName>
    <definedName name="________tu3" localSheetId="3">#REF!</definedName>
    <definedName name="________tu3" localSheetId="4">#REF!</definedName>
    <definedName name="________tu3" localSheetId="5">#REF!</definedName>
    <definedName name="________tu3" localSheetId="6">#REF!</definedName>
    <definedName name="________tu3" localSheetId="7">#REF!</definedName>
    <definedName name="________tu3" localSheetId="8">#REF!</definedName>
    <definedName name="________tu3" localSheetId="9">#REF!</definedName>
    <definedName name="________tu3">#REF!</definedName>
    <definedName name="_______ben1" localSheetId="0">#REF!</definedName>
    <definedName name="_______ben1" localSheetId="1">#REF!</definedName>
    <definedName name="_______ben1" localSheetId="2">#REF!</definedName>
    <definedName name="_______ben1" localSheetId="3">#REF!</definedName>
    <definedName name="_______ben1" localSheetId="4">#REF!</definedName>
    <definedName name="_______ben1" localSheetId="5">#REF!</definedName>
    <definedName name="_______ben1" localSheetId="6">#REF!</definedName>
    <definedName name="_______ben1" localSheetId="7">#REF!</definedName>
    <definedName name="_______ben1" localSheetId="8">#REF!</definedName>
    <definedName name="_______ben1" localSheetId="9">#REF!</definedName>
    <definedName name="_______ben1">#REF!</definedName>
    <definedName name="_______ben10" localSheetId="0">#REF!</definedName>
    <definedName name="_______ben10" localSheetId="1">#REF!</definedName>
    <definedName name="_______ben10" localSheetId="2">#REF!</definedName>
    <definedName name="_______ben10" localSheetId="3">#REF!</definedName>
    <definedName name="_______ben10" localSheetId="4">#REF!</definedName>
    <definedName name="_______ben10" localSheetId="5">#REF!</definedName>
    <definedName name="_______ben10" localSheetId="6">#REF!</definedName>
    <definedName name="_______ben10" localSheetId="7">#REF!</definedName>
    <definedName name="_______ben10" localSheetId="8">#REF!</definedName>
    <definedName name="_______ben10" localSheetId="9">#REF!</definedName>
    <definedName name="_______ben10">#REF!</definedName>
    <definedName name="_______ben15" localSheetId="0">#REF!</definedName>
    <definedName name="_______ben15" localSheetId="1">#REF!</definedName>
    <definedName name="_______ben15" localSheetId="2">#REF!</definedName>
    <definedName name="_______ben15" localSheetId="3">#REF!</definedName>
    <definedName name="_______ben15" localSheetId="4">#REF!</definedName>
    <definedName name="_______ben15" localSheetId="5">#REF!</definedName>
    <definedName name="_______ben15" localSheetId="6">#REF!</definedName>
    <definedName name="_______ben15" localSheetId="7">#REF!</definedName>
    <definedName name="_______ben15" localSheetId="8">#REF!</definedName>
    <definedName name="_______ben15" localSheetId="9">#REF!</definedName>
    <definedName name="_______ben15">#REF!</definedName>
    <definedName name="_______BEN2">#REF!</definedName>
    <definedName name="_______ben20" localSheetId="0">#REF!</definedName>
    <definedName name="_______ben20" localSheetId="1">#REF!</definedName>
    <definedName name="_______ben20" localSheetId="2">#REF!</definedName>
    <definedName name="_______ben20" localSheetId="3">#REF!</definedName>
    <definedName name="_______ben20" localSheetId="4">#REF!</definedName>
    <definedName name="_______ben20" localSheetId="5">#REF!</definedName>
    <definedName name="_______ben20" localSheetId="6">#REF!</definedName>
    <definedName name="_______ben20" localSheetId="7">#REF!</definedName>
    <definedName name="_______ben20" localSheetId="8">#REF!</definedName>
    <definedName name="_______ben20" localSheetId="9">#REF!</definedName>
    <definedName name="_______ben20">#REF!</definedName>
    <definedName name="_______ben25" localSheetId="0">#REF!</definedName>
    <definedName name="_______ben25" localSheetId="1">#REF!</definedName>
    <definedName name="_______ben25" localSheetId="2">#REF!</definedName>
    <definedName name="_______ben25" localSheetId="3">#REF!</definedName>
    <definedName name="_______ben25" localSheetId="4">#REF!</definedName>
    <definedName name="_______ben25" localSheetId="5">#REF!</definedName>
    <definedName name="_______ben25" localSheetId="6">#REF!</definedName>
    <definedName name="_______ben25" localSheetId="7">#REF!</definedName>
    <definedName name="_______ben25" localSheetId="8">#REF!</definedName>
    <definedName name="_______ben25" localSheetId="9">#REF!</definedName>
    <definedName name="_______ben25">#REF!</definedName>
    <definedName name="_______BEN3" localSheetId="0">#REF!</definedName>
    <definedName name="_______BEN3" localSheetId="1">#REF!</definedName>
    <definedName name="_______BEN3" localSheetId="2">#REF!</definedName>
    <definedName name="_______BEN3" localSheetId="3">#REF!</definedName>
    <definedName name="_______BEN3" localSheetId="4">#REF!</definedName>
    <definedName name="_______BEN3" localSheetId="5">#REF!</definedName>
    <definedName name="_______BEN3" localSheetId="6">#REF!</definedName>
    <definedName name="_______BEN3" localSheetId="7">#REF!</definedName>
    <definedName name="_______BEN3" localSheetId="8">#REF!</definedName>
    <definedName name="_______BEN3" localSheetId="9">#REF!</definedName>
    <definedName name="_______BEN3">#REF!</definedName>
    <definedName name="_______BEN4" localSheetId="0">#REF!</definedName>
    <definedName name="_______BEN4" localSheetId="1">#REF!</definedName>
    <definedName name="_______BEN4" localSheetId="2">#REF!</definedName>
    <definedName name="_______BEN4" localSheetId="3">#REF!</definedName>
    <definedName name="_______BEN4" localSheetId="4">#REF!</definedName>
    <definedName name="_______BEN4" localSheetId="5">#REF!</definedName>
    <definedName name="_______BEN4" localSheetId="6">#REF!</definedName>
    <definedName name="_______BEN4" localSheetId="7">#REF!</definedName>
    <definedName name="_______BEN4" localSheetId="8">#REF!</definedName>
    <definedName name="_______BEN4" localSheetId="9">#REF!</definedName>
    <definedName name="_______BEN4">#REF!</definedName>
    <definedName name="_______ben5" localSheetId="0">#REF!</definedName>
    <definedName name="_______ben5" localSheetId="1">#REF!</definedName>
    <definedName name="_______ben5" localSheetId="2">#REF!</definedName>
    <definedName name="_______ben5" localSheetId="3">#REF!</definedName>
    <definedName name="_______ben5" localSheetId="4">#REF!</definedName>
    <definedName name="_______ben5" localSheetId="5">#REF!</definedName>
    <definedName name="_______ben5" localSheetId="6">#REF!</definedName>
    <definedName name="_______ben5" localSheetId="7">#REF!</definedName>
    <definedName name="_______ben5" localSheetId="8">#REF!</definedName>
    <definedName name="_______ben5" localSheetId="9">#REF!</definedName>
    <definedName name="_______ben5">#REF!</definedName>
    <definedName name="_______tu3" localSheetId="0">#REF!</definedName>
    <definedName name="_______tu3" localSheetId="1">#REF!</definedName>
    <definedName name="_______tu3" localSheetId="2">#REF!</definedName>
    <definedName name="_______tu3" localSheetId="3">#REF!</definedName>
    <definedName name="_______tu3" localSheetId="4">#REF!</definedName>
    <definedName name="_______tu3" localSheetId="5">#REF!</definedName>
    <definedName name="_______tu3" localSheetId="6">#REF!</definedName>
    <definedName name="_______tu3" localSheetId="7">#REF!</definedName>
    <definedName name="_______tu3" localSheetId="8">#REF!</definedName>
    <definedName name="_______tu3" localSheetId="9">#REF!</definedName>
    <definedName name="_______tu3">#REF!</definedName>
    <definedName name="______ben1" localSheetId="0">#REF!</definedName>
    <definedName name="______ben1" localSheetId="1">#REF!</definedName>
    <definedName name="______ben1" localSheetId="2">#REF!</definedName>
    <definedName name="______ben1" localSheetId="3">#REF!</definedName>
    <definedName name="______ben1" localSheetId="4">#REF!</definedName>
    <definedName name="______ben1" localSheetId="5">#REF!</definedName>
    <definedName name="______ben1" localSheetId="6">#REF!</definedName>
    <definedName name="______ben1" localSheetId="7">#REF!</definedName>
    <definedName name="______ben1" localSheetId="8">#REF!</definedName>
    <definedName name="______ben1" localSheetId="9">#REF!</definedName>
    <definedName name="______ben1">#REF!</definedName>
    <definedName name="______ben10" localSheetId="0">#REF!</definedName>
    <definedName name="______ben10" localSheetId="1">#REF!</definedName>
    <definedName name="______ben10" localSheetId="2">#REF!</definedName>
    <definedName name="______ben10" localSheetId="3">#REF!</definedName>
    <definedName name="______ben10" localSheetId="4">#REF!</definedName>
    <definedName name="______ben10" localSheetId="5">#REF!</definedName>
    <definedName name="______ben10" localSheetId="6">#REF!</definedName>
    <definedName name="______ben10" localSheetId="7">#REF!</definedName>
    <definedName name="______ben10" localSheetId="8">#REF!</definedName>
    <definedName name="______ben10" localSheetId="9">#REF!</definedName>
    <definedName name="______ben10">#REF!</definedName>
    <definedName name="______ben15" localSheetId="0">#REF!</definedName>
    <definedName name="______ben15" localSheetId="1">#REF!</definedName>
    <definedName name="______ben15" localSheetId="2">#REF!</definedName>
    <definedName name="______ben15" localSheetId="3">#REF!</definedName>
    <definedName name="______ben15" localSheetId="4">#REF!</definedName>
    <definedName name="______ben15" localSheetId="5">#REF!</definedName>
    <definedName name="______ben15" localSheetId="6">#REF!</definedName>
    <definedName name="______ben15" localSheetId="7">#REF!</definedName>
    <definedName name="______ben15" localSheetId="8">#REF!</definedName>
    <definedName name="______ben15" localSheetId="9">#REF!</definedName>
    <definedName name="______ben15">#REF!</definedName>
    <definedName name="______BEN2">#REF!</definedName>
    <definedName name="______ben20" localSheetId="0">#REF!</definedName>
    <definedName name="______ben20" localSheetId="1">#REF!</definedName>
    <definedName name="______ben20" localSheetId="2">#REF!</definedName>
    <definedName name="______ben20" localSheetId="3">#REF!</definedName>
    <definedName name="______ben20" localSheetId="4">#REF!</definedName>
    <definedName name="______ben20" localSheetId="5">#REF!</definedName>
    <definedName name="______ben20" localSheetId="6">#REF!</definedName>
    <definedName name="______ben20" localSheetId="7">#REF!</definedName>
    <definedName name="______ben20" localSheetId="8">#REF!</definedName>
    <definedName name="______ben20" localSheetId="9">#REF!</definedName>
    <definedName name="______ben20">#REF!</definedName>
    <definedName name="______ben25" localSheetId="0">#REF!</definedName>
    <definedName name="______ben25" localSheetId="1">#REF!</definedName>
    <definedName name="______ben25" localSheetId="2">#REF!</definedName>
    <definedName name="______ben25" localSheetId="3">#REF!</definedName>
    <definedName name="______ben25" localSheetId="4">#REF!</definedName>
    <definedName name="______ben25" localSheetId="5">#REF!</definedName>
    <definedName name="______ben25" localSheetId="6">#REF!</definedName>
    <definedName name="______ben25" localSheetId="7">#REF!</definedName>
    <definedName name="______ben25" localSheetId="8">#REF!</definedName>
    <definedName name="______ben25" localSheetId="9">#REF!</definedName>
    <definedName name="______ben25">#REF!</definedName>
    <definedName name="______BEN3" localSheetId="0">#REF!</definedName>
    <definedName name="______BEN3" localSheetId="1">#REF!</definedName>
    <definedName name="______BEN3" localSheetId="2">#REF!</definedName>
    <definedName name="______BEN3" localSheetId="3">#REF!</definedName>
    <definedName name="______BEN3" localSheetId="4">#REF!</definedName>
    <definedName name="______BEN3" localSheetId="5">#REF!</definedName>
    <definedName name="______BEN3" localSheetId="6">#REF!</definedName>
    <definedName name="______BEN3" localSheetId="7">#REF!</definedName>
    <definedName name="______BEN3" localSheetId="8">#REF!</definedName>
    <definedName name="______BEN3" localSheetId="9">#REF!</definedName>
    <definedName name="______BEN3">#REF!</definedName>
    <definedName name="______BEN4" localSheetId="0">#REF!</definedName>
    <definedName name="______BEN4" localSheetId="1">#REF!</definedName>
    <definedName name="______BEN4" localSheetId="2">#REF!</definedName>
    <definedName name="______BEN4" localSheetId="3">#REF!</definedName>
    <definedName name="______BEN4" localSheetId="4">#REF!</definedName>
    <definedName name="______BEN4" localSheetId="5">#REF!</definedName>
    <definedName name="______BEN4" localSheetId="6">#REF!</definedName>
    <definedName name="______BEN4" localSheetId="7">#REF!</definedName>
    <definedName name="______BEN4" localSheetId="8">#REF!</definedName>
    <definedName name="______BEN4" localSheetId="9">#REF!</definedName>
    <definedName name="______BEN4">#REF!</definedName>
    <definedName name="______ben5" localSheetId="0">#REF!</definedName>
    <definedName name="______ben5" localSheetId="1">#REF!</definedName>
    <definedName name="______ben5" localSheetId="2">#REF!</definedName>
    <definedName name="______ben5" localSheetId="3">#REF!</definedName>
    <definedName name="______ben5" localSheetId="4">#REF!</definedName>
    <definedName name="______ben5" localSheetId="5">#REF!</definedName>
    <definedName name="______ben5" localSheetId="6">#REF!</definedName>
    <definedName name="______ben5" localSheetId="7">#REF!</definedName>
    <definedName name="______ben5" localSheetId="8">#REF!</definedName>
    <definedName name="______ben5" localSheetId="9">#REF!</definedName>
    <definedName name="______ben5">#REF!</definedName>
    <definedName name="______tu3" localSheetId="0">#REF!</definedName>
    <definedName name="______tu3" localSheetId="1">#REF!</definedName>
    <definedName name="______tu3" localSheetId="2">#REF!</definedName>
    <definedName name="______tu3" localSheetId="3">#REF!</definedName>
    <definedName name="______tu3" localSheetId="4">#REF!</definedName>
    <definedName name="______tu3" localSheetId="5">#REF!</definedName>
    <definedName name="______tu3" localSheetId="6">#REF!</definedName>
    <definedName name="______tu3" localSheetId="7">#REF!</definedName>
    <definedName name="______tu3" localSheetId="8">#REF!</definedName>
    <definedName name="______tu3" localSheetId="9">#REF!</definedName>
    <definedName name="______tu3">#REF!</definedName>
    <definedName name="_____ben1" localSheetId="0">#REF!</definedName>
    <definedName name="_____ben1" localSheetId="1">#REF!</definedName>
    <definedName name="_____ben1" localSheetId="2">#REF!</definedName>
    <definedName name="_____ben1" localSheetId="3">#REF!</definedName>
    <definedName name="_____ben1" localSheetId="4">#REF!</definedName>
    <definedName name="_____ben1" localSheetId="5">#REF!</definedName>
    <definedName name="_____ben1" localSheetId="6">#REF!</definedName>
    <definedName name="_____ben1" localSheetId="7">#REF!</definedName>
    <definedName name="_____ben1" localSheetId="8">#REF!</definedName>
    <definedName name="_____ben1" localSheetId="9">#REF!</definedName>
    <definedName name="_____ben1">#REF!</definedName>
    <definedName name="_____ben10" localSheetId="0">#REF!</definedName>
    <definedName name="_____ben10" localSheetId="1">#REF!</definedName>
    <definedName name="_____ben10" localSheetId="2">#REF!</definedName>
    <definedName name="_____ben10" localSheetId="3">#REF!</definedName>
    <definedName name="_____ben10" localSheetId="4">#REF!</definedName>
    <definedName name="_____ben10" localSheetId="5">#REF!</definedName>
    <definedName name="_____ben10" localSheetId="6">#REF!</definedName>
    <definedName name="_____ben10" localSheetId="7">#REF!</definedName>
    <definedName name="_____ben10" localSheetId="8">#REF!</definedName>
    <definedName name="_____ben10" localSheetId="9">#REF!</definedName>
    <definedName name="_____ben10">#REF!</definedName>
    <definedName name="_____ben15" localSheetId="0">#REF!</definedName>
    <definedName name="_____ben15" localSheetId="1">#REF!</definedName>
    <definedName name="_____ben15" localSheetId="2">#REF!</definedName>
    <definedName name="_____ben15" localSheetId="3">#REF!</definedName>
    <definedName name="_____ben15" localSheetId="4">#REF!</definedName>
    <definedName name="_____ben15" localSheetId="5">#REF!</definedName>
    <definedName name="_____ben15" localSheetId="6">#REF!</definedName>
    <definedName name="_____ben15" localSheetId="7">#REF!</definedName>
    <definedName name="_____ben15" localSheetId="8">#REF!</definedName>
    <definedName name="_____ben15" localSheetId="9">#REF!</definedName>
    <definedName name="_____ben15">#REF!</definedName>
    <definedName name="_____BEN2">#REF!</definedName>
    <definedName name="_____ben20" localSheetId="0">#REF!</definedName>
    <definedName name="_____ben20" localSheetId="1">#REF!</definedName>
    <definedName name="_____ben20" localSheetId="2">#REF!</definedName>
    <definedName name="_____ben20" localSheetId="3">#REF!</definedName>
    <definedName name="_____ben20" localSheetId="4">#REF!</definedName>
    <definedName name="_____ben20" localSheetId="5">#REF!</definedName>
    <definedName name="_____ben20" localSheetId="6">#REF!</definedName>
    <definedName name="_____ben20" localSheetId="7">#REF!</definedName>
    <definedName name="_____ben20" localSheetId="8">#REF!</definedName>
    <definedName name="_____ben20" localSheetId="9">#REF!</definedName>
    <definedName name="_____ben20">#REF!</definedName>
    <definedName name="_____ben25" localSheetId="0">#REF!</definedName>
    <definedName name="_____ben25" localSheetId="1">#REF!</definedName>
    <definedName name="_____ben25" localSheetId="2">#REF!</definedName>
    <definedName name="_____ben25" localSheetId="3">#REF!</definedName>
    <definedName name="_____ben25" localSheetId="4">#REF!</definedName>
    <definedName name="_____ben25" localSheetId="5">#REF!</definedName>
    <definedName name="_____ben25" localSheetId="6">#REF!</definedName>
    <definedName name="_____ben25" localSheetId="7">#REF!</definedName>
    <definedName name="_____ben25" localSheetId="8">#REF!</definedName>
    <definedName name="_____ben25" localSheetId="9">#REF!</definedName>
    <definedName name="_____ben25">#REF!</definedName>
    <definedName name="_____BEN3" localSheetId="0">#REF!</definedName>
    <definedName name="_____BEN3" localSheetId="1">#REF!</definedName>
    <definedName name="_____BEN3" localSheetId="2">#REF!</definedName>
    <definedName name="_____BEN3" localSheetId="3">#REF!</definedName>
    <definedName name="_____BEN3" localSheetId="4">#REF!</definedName>
    <definedName name="_____BEN3" localSheetId="5">#REF!</definedName>
    <definedName name="_____BEN3" localSheetId="6">#REF!</definedName>
    <definedName name="_____BEN3" localSheetId="7">#REF!</definedName>
    <definedName name="_____BEN3" localSheetId="8">#REF!</definedName>
    <definedName name="_____BEN3" localSheetId="9">#REF!</definedName>
    <definedName name="_____BEN3">#REF!</definedName>
    <definedName name="_____BEN4" localSheetId="0">#REF!</definedName>
    <definedName name="_____BEN4" localSheetId="1">#REF!</definedName>
    <definedName name="_____BEN4" localSheetId="2">#REF!</definedName>
    <definedName name="_____BEN4" localSheetId="3">#REF!</definedName>
    <definedName name="_____BEN4" localSheetId="4">#REF!</definedName>
    <definedName name="_____BEN4" localSheetId="5">#REF!</definedName>
    <definedName name="_____BEN4" localSheetId="6">#REF!</definedName>
    <definedName name="_____BEN4" localSheetId="7">#REF!</definedName>
    <definedName name="_____BEN4" localSheetId="8">#REF!</definedName>
    <definedName name="_____BEN4" localSheetId="9">#REF!</definedName>
    <definedName name="_____BEN4">#REF!</definedName>
    <definedName name="_____ben5" localSheetId="0">#REF!</definedName>
    <definedName name="_____ben5" localSheetId="1">#REF!</definedName>
    <definedName name="_____ben5" localSheetId="2">#REF!</definedName>
    <definedName name="_____ben5" localSheetId="3">#REF!</definedName>
    <definedName name="_____ben5" localSheetId="4">#REF!</definedName>
    <definedName name="_____ben5" localSheetId="5">#REF!</definedName>
    <definedName name="_____ben5" localSheetId="6">#REF!</definedName>
    <definedName name="_____ben5" localSheetId="7">#REF!</definedName>
    <definedName name="_____ben5" localSheetId="8">#REF!</definedName>
    <definedName name="_____ben5" localSheetId="9">#REF!</definedName>
    <definedName name="_____ben5">#REF!</definedName>
    <definedName name="_____tu3" localSheetId="0">#REF!</definedName>
    <definedName name="_____tu3" localSheetId="1">#REF!</definedName>
    <definedName name="_____tu3" localSheetId="2">#REF!</definedName>
    <definedName name="_____tu3" localSheetId="3">#REF!</definedName>
    <definedName name="_____tu3" localSheetId="4">#REF!</definedName>
    <definedName name="_____tu3" localSheetId="5">#REF!</definedName>
    <definedName name="_____tu3" localSheetId="6">#REF!</definedName>
    <definedName name="_____tu3" localSheetId="7">#REF!</definedName>
    <definedName name="_____tu3" localSheetId="8">#REF!</definedName>
    <definedName name="_____tu3" localSheetId="9">#REF!</definedName>
    <definedName name="_____tu3">#REF!</definedName>
    <definedName name="____ben1" localSheetId="0">#REF!</definedName>
    <definedName name="____ben1" localSheetId="1">#REF!</definedName>
    <definedName name="____ben1" localSheetId="2">#REF!</definedName>
    <definedName name="____ben1" localSheetId="3">#REF!</definedName>
    <definedName name="____ben1" localSheetId="4">#REF!</definedName>
    <definedName name="____ben1" localSheetId="5">#REF!</definedName>
    <definedName name="____ben1" localSheetId="6">#REF!</definedName>
    <definedName name="____ben1" localSheetId="7">#REF!</definedName>
    <definedName name="____ben1" localSheetId="8">#REF!</definedName>
    <definedName name="____ben1" localSheetId="9">#REF!</definedName>
    <definedName name="____ben1">#REF!</definedName>
    <definedName name="____ben10" localSheetId="0">#REF!</definedName>
    <definedName name="____ben10" localSheetId="1">#REF!</definedName>
    <definedName name="____ben10" localSheetId="2">#REF!</definedName>
    <definedName name="____ben10" localSheetId="3">#REF!</definedName>
    <definedName name="____ben10" localSheetId="4">#REF!</definedName>
    <definedName name="____ben10" localSheetId="5">#REF!</definedName>
    <definedName name="____ben10" localSheetId="6">#REF!</definedName>
    <definedName name="____ben10" localSheetId="7">#REF!</definedName>
    <definedName name="____ben10" localSheetId="8">#REF!</definedName>
    <definedName name="____ben10" localSheetId="9">#REF!</definedName>
    <definedName name="____ben10">#REF!</definedName>
    <definedName name="____ben15" localSheetId="0">#REF!</definedName>
    <definedName name="____ben15" localSheetId="1">#REF!</definedName>
    <definedName name="____ben15" localSheetId="2">#REF!</definedName>
    <definedName name="____ben15" localSheetId="3">#REF!</definedName>
    <definedName name="____ben15" localSheetId="4">#REF!</definedName>
    <definedName name="____ben15" localSheetId="5">#REF!</definedName>
    <definedName name="____ben15" localSheetId="6">#REF!</definedName>
    <definedName name="____ben15" localSheetId="7">#REF!</definedName>
    <definedName name="____ben15" localSheetId="8">#REF!</definedName>
    <definedName name="____ben15" localSheetId="9">#REF!</definedName>
    <definedName name="____ben15">#REF!</definedName>
    <definedName name="____BEN2">#REF!</definedName>
    <definedName name="____ben20" localSheetId="0">#REF!</definedName>
    <definedName name="____ben20" localSheetId="1">#REF!</definedName>
    <definedName name="____ben20" localSheetId="2">#REF!</definedName>
    <definedName name="____ben20" localSheetId="3">#REF!</definedName>
    <definedName name="____ben20" localSheetId="4">#REF!</definedName>
    <definedName name="____ben20" localSheetId="5">#REF!</definedName>
    <definedName name="____ben20" localSheetId="6">#REF!</definedName>
    <definedName name="____ben20" localSheetId="7">#REF!</definedName>
    <definedName name="____ben20" localSheetId="8">#REF!</definedName>
    <definedName name="____ben20" localSheetId="9">#REF!</definedName>
    <definedName name="____ben20">#REF!</definedName>
    <definedName name="____ben25" localSheetId="0">#REF!</definedName>
    <definedName name="____ben25" localSheetId="1">#REF!</definedName>
    <definedName name="____ben25" localSheetId="2">#REF!</definedName>
    <definedName name="____ben25" localSheetId="3">#REF!</definedName>
    <definedName name="____ben25" localSheetId="4">#REF!</definedName>
    <definedName name="____ben25" localSheetId="5">#REF!</definedName>
    <definedName name="____ben25" localSheetId="6">#REF!</definedName>
    <definedName name="____ben25" localSheetId="7">#REF!</definedName>
    <definedName name="____ben25" localSheetId="8">#REF!</definedName>
    <definedName name="____ben25" localSheetId="9">#REF!</definedName>
    <definedName name="____ben25">#REF!</definedName>
    <definedName name="____BEN3" localSheetId="0">#REF!</definedName>
    <definedName name="____BEN3" localSheetId="1">#REF!</definedName>
    <definedName name="____BEN3" localSheetId="2">#REF!</definedName>
    <definedName name="____BEN3" localSheetId="3">#REF!</definedName>
    <definedName name="____BEN3" localSheetId="4">#REF!</definedName>
    <definedName name="____BEN3" localSheetId="5">#REF!</definedName>
    <definedName name="____BEN3" localSheetId="6">#REF!</definedName>
    <definedName name="____BEN3" localSheetId="7">#REF!</definedName>
    <definedName name="____BEN3" localSheetId="8">#REF!</definedName>
    <definedName name="____BEN3" localSheetId="9">#REF!</definedName>
    <definedName name="____BEN3">#REF!</definedName>
    <definedName name="____BEN4" localSheetId="0">#REF!</definedName>
    <definedName name="____BEN4" localSheetId="1">#REF!</definedName>
    <definedName name="____BEN4" localSheetId="2">#REF!</definedName>
    <definedName name="____BEN4" localSheetId="3">#REF!</definedName>
    <definedName name="____BEN4" localSheetId="4">#REF!</definedName>
    <definedName name="____BEN4" localSheetId="5">#REF!</definedName>
    <definedName name="____BEN4" localSheetId="6">#REF!</definedName>
    <definedName name="____BEN4" localSheetId="7">#REF!</definedName>
    <definedName name="____BEN4" localSheetId="8">#REF!</definedName>
    <definedName name="____BEN4" localSheetId="9">#REF!</definedName>
    <definedName name="____BEN4">#REF!</definedName>
    <definedName name="____ben5" localSheetId="0">#REF!</definedName>
    <definedName name="____ben5" localSheetId="1">#REF!</definedName>
    <definedName name="____ben5" localSheetId="2">#REF!</definedName>
    <definedName name="____ben5" localSheetId="3">#REF!</definedName>
    <definedName name="____ben5" localSheetId="4">#REF!</definedName>
    <definedName name="____ben5" localSheetId="5">#REF!</definedName>
    <definedName name="____ben5" localSheetId="6">#REF!</definedName>
    <definedName name="____ben5" localSheetId="7">#REF!</definedName>
    <definedName name="____ben5" localSheetId="8">#REF!</definedName>
    <definedName name="____ben5" localSheetId="9">#REF!</definedName>
    <definedName name="____ben5">#REF!</definedName>
    <definedName name="____tu3" localSheetId="0">#REF!</definedName>
    <definedName name="____tu3" localSheetId="1">#REF!</definedName>
    <definedName name="____tu3" localSheetId="2">#REF!</definedName>
    <definedName name="____tu3" localSheetId="3">#REF!</definedName>
    <definedName name="____tu3" localSheetId="4">#REF!</definedName>
    <definedName name="____tu3" localSheetId="5">#REF!</definedName>
    <definedName name="____tu3" localSheetId="6">#REF!</definedName>
    <definedName name="____tu3" localSheetId="7">#REF!</definedName>
    <definedName name="____tu3" localSheetId="8">#REF!</definedName>
    <definedName name="____tu3" localSheetId="9">#REF!</definedName>
    <definedName name="____tu3">#REF!</definedName>
    <definedName name="___ben1" localSheetId="0">#REF!</definedName>
    <definedName name="___ben1" localSheetId="1">#REF!</definedName>
    <definedName name="___ben1" localSheetId="2">#REF!</definedName>
    <definedName name="___ben1" localSheetId="3">#REF!</definedName>
    <definedName name="___ben1" localSheetId="4">#REF!</definedName>
    <definedName name="___ben1" localSheetId="5">#REF!</definedName>
    <definedName name="___ben1" localSheetId="6">#REF!</definedName>
    <definedName name="___ben1" localSheetId="7">#REF!</definedName>
    <definedName name="___ben1" localSheetId="8">#REF!</definedName>
    <definedName name="___ben1" localSheetId="9">#REF!</definedName>
    <definedName name="___ben1">#REF!</definedName>
    <definedName name="___ben10" localSheetId="0">#REF!</definedName>
    <definedName name="___ben10" localSheetId="1">#REF!</definedName>
    <definedName name="___ben10" localSheetId="2">#REF!</definedName>
    <definedName name="___ben10" localSheetId="3">#REF!</definedName>
    <definedName name="___ben10" localSheetId="4">#REF!</definedName>
    <definedName name="___ben10" localSheetId="5">#REF!</definedName>
    <definedName name="___ben10" localSheetId="6">#REF!</definedName>
    <definedName name="___ben10" localSheetId="7">#REF!</definedName>
    <definedName name="___ben10" localSheetId="8">#REF!</definedName>
    <definedName name="___ben10" localSheetId="9">#REF!</definedName>
    <definedName name="___ben10">#REF!</definedName>
    <definedName name="___ben15" localSheetId="0">#REF!</definedName>
    <definedName name="___ben15" localSheetId="1">#REF!</definedName>
    <definedName name="___ben15" localSheetId="2">#REF!</definedName>
    <definedName name="___ben15" localSheetId="3">#REF!</definedName>
    <definedName name="___ben15" localSheetId="4">#REF!</definedName>
    <definedName name="___ben15" localSheetId="5">#REF!</definedName>
    <definedName name="___ben15" localSheetId="6">#REF!</definedName>
    <definedName name="___ben15" localSheetId="7">#REF!</definedName>
    <definedName name="___ben15" localSheetId="8">#REF!</definedName>
    <definedName name="___ben15" localSheetId="9">#REF!</definedName>
    <definedName name="___ben15">#REF!</definedName>
    <definedName name="___BEN2">#REF!</definedName>
    <definedName name="___ben20" localSheetId="0">#REF!</definedName>
    <definedName name="___ben20" localSheetId="1">#REF!</definedName>
    <definedName name="___ben20" localSheetId="2">#REF!</definedName>
    <definedName name="___ben20" localSheetId="3">#REF!</definedName>
    <definedName name="___ben20" localSheetId="4">#REF!</definedName>
    <definedName name="___ben20" localSheetId="5">#REF!</definedName>
    <definedName name="___ben20" localSheetId="6">#REF!</definedName>
    <definedName name="___ben20" localSheetId="7">#REF!</definedName>
    <definedName name="___ben20" localSheetId="8">#REF!</definedName>
    <definedName name="___ben20" localSheetId="9">#REF!</definedName>
    <definedName name="___ben20">#REF!</definedName>
    <definedName name="___ben25" localSheetId="0">#REF!</definedName>
    <definedName name="___ben25" localSheetId="1">#REF!</definedName>
    <definedName name="___ben25" localSheetId="2">#REF!</definedName>
    <definedName name="___ben25" localSheetId="3">#REF!</definedName>
    <definedName name="___ben25" localSheetId="4">#REF!</definedName>
    <definedName name="___ben25" localSheetId="5">#REF!</definedName>
    <definedName name="___ben25" localSheetId="6">#REF!</definedName>
    <definedName name="___ben25" localSheetId="7">#REF!</definedName>
    <definedName name="___ben25" localSheetId="8">#REF!</definedName>
    <definedName name="___ben25" localSheetId="9">#REF!</definedName>
    <definedName name="___ben25">#REF!</definedName>
    <definedName name="___BEN3" localSheetId="0">#REF!</definedName>
    <definedName name="___BEN3" localSheetId="1">#REF!</definedName>
    <definedName name="___BEN3" localSheetId="2">#REF!</definedName>
    <definedName name="___BEN3" localSheetId="3">#REF!</definedName>
    <definedName name="___BEN3" localSheetId="4">#REF!</definedName>
    <definedName name="___BEN3" localSheetId="5">#REF!</definedName>
    <definedName name="___BEN3" localSheetId="6">#REF!</definedName>
    <definedName name="___BEN3" localSheetId="7">#REF!</definedName>
    <definedName name="___BEN3" localSheetId="8">#REF!</definedName>
    <definedName name="___BEN3" localSheetId="9">#REF!</definedName>
    <definedName name="___BEN3">#REF!</definedName>
    <definedName name="___BEN4" localSheetId="0">#REF!</definedName>
    <definedName name="___BEN4" localSheetId="1">#REF!</definedName>
    <definedName name="___BEN4" localSheetId="2">#REF!</definedName>
    <definedName name="___BEN4" localSheetId="3">#REF!</definedName>
    <definedName name="___BEN4" localSheetId="4">#REF!</definedName>
    <definedName name="___BEN4" localSheetId="5">#REF!</definedName>
    <definedName name="___BEN4" localSheetId="6">#REF!</definedName>
    <definedName name="___BEN4" localSheetId="7">#REF!</definedName>
    <definedName name="___BEN4" localSheetId="8">#REF!</definedName>
    <definedName name="___BEN4" localSheetId="9">#REF!</definedName>
    <definedName name="___BEN4">#REF!</definedName>
    <definedName name="___ben5" localSheetId="0">#REF!</definedName>
    <definedName name="___ben5" localSheetId="1">#REF!</definedName>
    <definedName name="___ben5" localSheetId="2">#REF!</definedName>
    <definedName name="___ben5" localSheetId="3">#REF!</definedName>
    <definedName name="___ben5" localSheetId="4">#REF!</definedName>
    <definedName name="___ben5" localSheetId="5">#REF!</definedName>
    <definedName name="___ben5" localSheetId="6">#REF!</definedName>
    <definedName name="___ben5" localSheetId="7">#REF!</definedName>
    <definedName name="___ben5" localSheetId="8">#REF!</definedName>
    <definedName name="___ben5" localSheetId="9">#REF!</definedName>
    <definedName name="___ben5">#REF!</definedName>
    <definedName name="___tu3" localSheetId="0">#REF!</definedName>
    <definedName name="___tu3" localSheetId="1">#REF!</definedName>
    <definedName name="___tu3" localSheetId="2">#REF!</definedName>
    <definedName name="___tu3" localSheetId="3">#REF!</definedName>
    <definedName name="___tu3" localSheetId="4">#REF!</definedName>
    <definedName name="___tu3" localSheetId="5">#REF!</definedName>
    <definedName name="___tu3" localSheetId="6">#REF!</definedName>
    <definedName name="___tu3" localSheetId="7">#REF!</definedName>
    <definedName name="___tu3" localSheetId="8">#REF!</definedName>
    <definedName name="___tu3" localSheetId="9">#REF!</definedName>
    <definedName name="___tu3">#REF!</definedName>
    <definedName name="__ben1" localSheetId="0">#REF!</definedName>
    <definedName name="__ben1" localSheetId="1">#REF!</definedName>
    <definedName name="__ben1" localSheetId="2">#REF!</definedName>
    <definedName name="__ben1" localSheetId="3">#REF!</definedName>
    <definedName name="__ben1" localSheetId="4">#REF!</definedName>
    <definedName name="__ben1" localSheetId="5">#REF!</definedName>
    <definedName name="__ben1" localSheetId="6">#REF!</definedName>
    <definedName name="__ben1" localSheetId="7">#REF!</definedName>
    <definedName name="__ben1" localSheetId="8">#REF!</definedName>
    <definedName name="__ben1" localSheetId="9">#REF!</definedName>
    <definedName name="__ben1">#REF!</definedName>
    <definedName name="__ben10" localSheetId="0">#REF!</definedName>
    <definedName name="__ben10" localSheetId="1">#REF!</definedName>
    <definedName name="__ben10" localSheetId="2">#REF!</definedName>
    <definedName name="__ben10" localSheetId="3">#REF!</definedName>
    <definedName name="__ben10" localSheetId="4">#REF!</definedName>
    <definedName name="__ben10" localSheetId="5">#REF!</definedName>
    <definedName name="__ben10" localSheetId="6">#REF!</definedName>
    <definedName name="__ben10" localSheetId="7">#REF!</definedName>
    <definedName name="__ben10" localSheetId="8">#REF!</definedName>
    <definedName name="__ben10" localSheetId="9">#REF!</definedName>
    <definedName name="__ben10">#REF!</definedName>
    <definedName name="__ben15" localSheetId="0">#REF!</definedName>
    <definedName name="__ben15" localSheetId="1">#REF!</definedName>
    <definedName name="__ben15" localSheetId="2">#REF!</definedName>
    <definedName name="__ben15" localSheetId="3">#REF!</definedName>
    <definedName name="__ben15" localSheetId="4">#REF!</definedName>
    <definedName name="__ben15" localSheetId="5">#REF!</definedName>
    <definedName name="__ben15" localSheetId="6">#REF!</definedName>
    <definedName name="__ben15" localSheetId="7">#REF!</definedName>
    <definedName name="__ben15" localSheetId="8">#REF!</definedName>
    <definedName name="__ben15" localSheetId="9">#REF!</definedName>
    <definedName name="__ben15">#REF!</definedName>
    <definedName name="__BEN2">#REF!</definedName>
    <definedName name="__ben20" localSheetId="0">#REF!</definedName>
    <definedName name="__ben20" localSheetId="1">#REF!</definedName>
    <definedName name="__ben20" localSheetId="2">#REF!</definedName>
    <definedName name="__ben20" localSheetId="3">#REF!</definedName>
    <definedName name="__ben20" localSheetId="4">#REF!</definedName>
    <definedName name="__ben20" localSheetId="5">#REF!</definedName>
    <definedName name="__ben20" localSheetId="6">#REF!</definedName>
    <definedName name="__ben20" localSheetId="7">#REF!</definedName>
    <definedName name="__ben20" localSheetId="8">#REF!</definedName>
    <definedName name="__ben20" localSheetId="9">#REF!</definedName>
    <definedName name="__ben20">#REF!</definedName>
    <definedName name="__ben25" localSheetId="0">#REF!</definedName>
    <definedName name="__ben25" localSheetId="1">#REF!</definedName>
    <definedName name="__ben25" localSheetId="2">#REF!</definedName>
    <definedName name="__ben25" localSheetId="3">#REF!</definedName>
    <definedName name="__ben25" localSheetId="4">#REF!</definedName>
    <definedName name="__ben25" localSheetId="5">#REF!</definedName>
    <definedName name="__ben25" localSheetId="6">#REF!</definedName>
    <definedName name="__ben25" localSheetId="7">#REF!</definedName>
    <definedName name="__ben25" localSheetId="8">#REF!</definedName>
    <definedName name="__ben25" localSheetId="9">#REF!</definedName>
    <definedName name="__ben25">#REF!</definedName>
    <definedName name="__BEN3" localSheetId="0">#REF!</definedName>
    <definedName name="__BEN3" localSheetId="1">#REF!</definedName>
    <definedName name="__BEN3" localSheetId="2">#REF!</definedName>
    <definedName name="__BEN3" localSheetId="3">#REF!</definedName>
    <definedName name="__BEN3" localSheetId="4">#REF!</definedName>
    <definedName name="__BEN3" localSheetId="5">#REF!</definedName>
    <definedName name="__BEN3" localSheetId="6">#REF!</definedName>
    <definedName name="__BEN3" localSheetId="7">#REF!</definedName>
    <definedName name="__BEN3" localSheetId="8">#REF!</definedName>
    <definedName name="__BEN3" localSheetId="9">#REF!</definedName>
    <definedName name="__BEN3">#REF!</definedName>
    <definedName name="__BEN4" localSheetId="0">#REF!</definedName>
    <definedName name="__BEN4" localSheetId="1">#REF!</definedName>
    <definedName name="__BEN4" localSheetId="2">#REF!</definedName>
    <definedName name="__BEN4" localSheetId="3">#REF!</definedName>
    <definedName name="__BEN4" localSheetId="4">#REF!</definedName>
    <definedName name="__BEN4" localSheetId="5">#REF!</definedName>
    <definedName name="__BEN4" localSheetId="6">#REF!</definedName>
    <definedName name="__BEN4" localSheetId="7">#REF!</definedName>
    <definedName name="__BEN4" localSheetId="8">#REF!</definedName>
    <definedName name="__BEN4" localSheetId="9">#REF!</definedName>
    <definedName name="__BEN4">#REF!</definedName>
    <definedName name="__ben5" localSheetId="0">#REF!</definedName>
    <definedName name="__ben5" localSheetId="1">#REF!</definedName>
    <definedName name="__ben5" localSheetId="2">#REF!</definedName>
    <definedName name="__ben5" localSheetId="3">#REF!</definedName>
    <definedName name="__ben5" localSheetId="4">#REF!</definedName>
    <definedName name="__ben5" localSheetId="5">#REF!</definedName>
    <definedName name="__ben5" localSheetId="6">#REF!</definedName>
    <definedName name="__ben5" localSheetId="7">#REF!</definedName>
    <definedName name="__ben5" localSheetId="8">#REF!</definedName>
    <definedName name="__ben5" localSheetId="9">#REF!</definedName>
    <definedName name="__ben5">#REF!</definedName>
    <definedName name="__HJJ2">#REF!</definedName>
    <definedName name="__tu3" localSheetId="0">#REF!</definedName>
    <definedName name="__tu3" localSheetId="1">#REF!</definedName>
    <definedName name="__tu3" localSheetId="2">#REF!</definedName>
    <definedName name="__tu3" localSheetId="3">#REF!</definedName>
    <definedName name="__tu3" localSheetId="4">#REF!</definedName>
    <definedName name="__tu3" localSheetId="5">#REF!</definedName>
    <definedName name="__tu3" localSheetId="6">#REF!</definedName>
    <definedName name="__tu3" localSheetId="7">#REF!</definedName>
    <definedName name="__tu3" localSheetId="8">#REF!</definedName>
    <definedName name="__tu3" localSheetId="9">#REF!</definedName>
    <definedName name="__tu3">#REF!</definedName>
    <definedName name="_3FLE">#REF!</definedName>
    <definedName name="_6PRINT_AREA">#REF!</definedName>
    <definedName name="_ben1" localSheetId="0">#REF!</definedName>
    <definedName name="_ben1" localSheetId="1">#REF!</definedName>
    <definedName name="_ben1" localSheetId="2">#REF!</definedName>
    <definedName name="_ben1" localSheetId="3">#REF!</definedName>
    <definedName name="_ben1" localSheetId="4">#REF!</definedName>
    <definedName name="_ben1" localSheetId="5">#REF!</definedName>
    <definedName name="_ben1" localSheetId="6">#REF!</definedName>
    <definedName name="_ben1" localSheetId="7">#REF!</definedName>
    <definedName name="_ben1" localSheetId="8">#REF!</definedName>
    <definedName name="_ben1" localSheetId="9">#REF!</definedName>
    <definedName name="_ben1">#REF!</definedName>
    <definedName name="_ben10" localSheetId="0">#REF!</definedName>
    <definedName name="_ben10" localSheetId="1">#REF!</definedName>
    <definedName name="_ben10" localSheetId="2">#REF!</definedName>
    <definedName name="_ben10" localSheetId="3">#REF!</definedName>
    <definedName name="_ben10" localSheetId="4">#REF!</definedName>
    <definedName name="_ben10" localSheetId="5">#REF!</definedName>
    <definedName name="_ben10" localSheetId="6">#REF!</definedName>
    <definedName name="_ben10" localSheetId="7">#REF!</definedName>
    <definedName name="_ben10" localSheetId="8">#REF!</definedName>
    <definedName name="_ben10" localSheetId="9">#REF!</definedName>
    <definedName name="_ben10">#REF!</definedName>
    <definedName name="_ben15" localSheetId="0">#REF!</definedName>
    <definedName name="_ben15" localSheetId="1">#REF!</definedName>
    <definedName name="_ben15" localSheetId="2">#REF!</definedName>
    <definedName name="_ben15" localSheetId="3">#REF!</definedName>
    <definedName name="_ben15" localSheetId="4">#REF!</definedName>
    <definedName name="_ben15" localSheetId="5">#REF!</definedName>
    <definedName name="_ben15" localSheetId="6">#REF!</definedName>
    <definedName name="_ben15" localSheetId="7">#REF!</definedName>
    <definedName name="_ben15" localSheetId="8">#REF!</definedName>
    <definedName name="_ben15" localSheetId="9">#REF!</definedName>
    <definedName name="_ben15">#REF!</definedName>
    <definedName name="_BEN2">#REF!</definedName>
    <definedName name="_ben20" localSheetId="0">#REF!</definedName>
    <definedName name="_ben20" localSheetId="1">#REF!</definedName>
    <definedName name="_ben20" localSheetId="2">#REF!</definedName>
    <definedName name="_ben20" localSheetId="3">#REF!</definedName>
    <definedName name="_ben20" localSheetId="4">#REF!</definedName>
    <definedName name="_ben20" localSheetId="5">#REF!</definedName>
    <definedName name="_ben20" localSheetId="6">#REF!</definedName>
    <definedName name="_ben20" localSheetId="7">#REF!</definedName>
    <definedName name="_ben20" localSheetId="8">#REF!</definedName>
    <definedName name="_ben20" localSheetId="9">#REF!</definedName>
    <definedName name="_ben20">#REF!</definedName>
    <definedName name="_ben21" localSheetId="0">#REF!</definedName>
    <definedName name="_ben21" localSheetId="1">#REF!</definedName>
    <definedName name="_ben21" localSheetId="2">#REF!</definedName>
    <definedName name="_ben21" localSheetId="3">#REF!</definedName>
    <definedName name="_ben21" localSheetId="4">#REF!</definedName>
    <definedName name="_ben21" localSheetId="5">#REF!</definedName>
    <definedName name="_ben21" localSheetId="6">#REF!</definedName>
    <definedName name="_ben21" localSheetId="7">#REF!</definedName>
    <definedName name="_ben21" localSheetId="8">#REF!</definedName>
    <definedName name="_ben21" localSheetId="9">#REF!</definedName>
    <definedName name="_ben21">#REF!</definedName>
    <definedName name="_ben25" localSheetId="0">#REF!</definedName>
    <definedName name="_ben25" localSheetId="1">#REF!</definedName>
    <definedName name="_ben25" localSheetId="2">#REF!</definedName>
    <definedName name="_ben25" localSheetId="3">#REF!</definedName>
    <definedName name="_ben25" localSheetId="4">#REF!</definedName>
    <definedName name="_ben25" localSheetId="5">#REF!</definedName>
    <definedName name="_ben25" localSheetId="6">#REF!</definedName>
    <definedName name="_ben25" localSheetId="7">#REF!</definedName>
    <definedName name="_ben25" localSheetId="8">#REF!</definedName>
    <definedName name="_ben25" localSheetId="9">#REF!</definedName>
    <definedName name="_ben25">#REF!</definedName>
    <definedName name="_ben29" localSheetId="0">#REF!</definedName>
    <definedName name="_ben29" localSheetId="1">#REF!</definedName>
    <definedName name="_ben29" localSheetId="2">#REF!</definedName>
    <definedName name="_ben29" localSheetId="3">#REF!</definedName>
    <definedName name="_ben29" localSheetId="4">#REF!</definedName>
    <definedName name="_ben29" localSheetId="5">#REF!</definedName>
    <definedName name="_ben29" localSheetId="6">#REF!</definedName>
    <definedName name="_ben29" localSheetId="7">#REF!</definedName>
    <definedName name="_ben29" localSheetId="8">#REF!</definedName>
    <definedName name="_ben29" localSheetId="9">#REF!</definedName>
    <definedName name="_ben29">#REF!</definedName>
    <definedName name="_BEN3" localSheetId="0">#REF!</definedName>
    <definedName name="_BEN3" localSheetId="1">#REF!</definedName>
    <definedName name="_BEN3" localSheetId="2">#REF!</definedName>
    <definedName name="_BEN3" localSheetId="3">#REF!</definedName>
    <definedName name="_BEN3" localSheetId="4">#REF!</definedName>
    <definedName name="_BEN3" localSheetId="5">#REF!</definedName>
    <definedName name="_BEN3" localSheetId="6">#REF!</definedName>
    <definedName name="_BEN3" localSheetId="7">#REF!</definedName>
    <definedName name="_BEN3" localSheetId="8">#REF!</definedName>
    <definedName name="_BEN3" localSheetId="9">#REF!</definedName>
    <definedName name="_BEN3">#REF!</definedName>
    <definedName name="_ben30" localSheetId="0">#REF!</definedName>
    <definedName name="_ben30" localSheetId="1">#REF!</definedName>
    <definedName name="_ben30" localSheetId="2">#REF!</definedName>
    <definedName name="_ben30" localSheetId="3">#REF!</definedName>
    <definedName name="_ben30" localSheetId="4">#REF!</definedName>
    <definedName name="_ben30" localSheetId="5">#REF!</definedName>
    <definedName name="_ben30" localSheetId="6">#REF!</definedName>
    <definedName name="_ben30" localSheetId="7">#REF!</definedName>
    <definedName name="_ben30" localSheetId="8">#REF!</definedName>
    <definedName name="_ben30" localSheetId="9">#REF!</definedName>
    <definedName name="_ben30">#REF!</definedName>
    <definedName name="_BEN4" localSheetId="0">#REF!</definedName>
    <definedName name="_BEN4" localSheetId="1">#REF!</definedName>
    <definedName name="_BEN4" localSheetId="2">#REF!</definedName>
    <definedName name="_BEN4" localSheetId="3">#REF!</definedName>
    <definedName name="_BEN4" localSheetId="4">#REF!</definedName>
    <definedName name="_BEN4" localSheetId="5">#REF!</definedName>
    <definedName name="_BEN4" localSheetId="6">#REF!</definedName>
    <definedName name="_BEN4" localSheetId="7">#REF!</definedName>
    <definedName name="_BEN4" localSheetId="8">#REF!</definedName>
    <definedName name="_BEN4" localSheetId="9">#REF!</definedName>
    <definedName name="_BEN4">#REF!</definedName>
    <definedName name="_ben5" localSheetId="0">#REF!</definedName>
    <definedName name="_ben5" localSheetId="1">#REF!</definedName>
    <definedName name="_ben5" localSheetId="2">#REF!</definedName>
    <definedName name="_ben5" localSheetId="3">#REF!</definedName>
    <definedName name="_ben5" localSheetId="4">#REF!</definedName>
    <definedName name="_ben5" localSheetId="5">#REF!</definedName>
    <definedName name="_ben5" localSheetId="6">#REF!</definedName>
    <definedName name="_ben5" localSheetId="7">#REF!</definedName>
    <definedName name="_ben5" localSheetId="8">#REF!</definedName>
    <definedName name="_ben5" localSheetId="9">#REF!</definedName>
    <definedName name="_ben5">#REF!</definedName>
    <definedName name="_ben52" localSheetId="0">#REF!</definedName>
    <definedName name="_ben52" localSheetId="1">#REF!</definedName>
    <definedName name="_ben52" localSheetId="2">#REF!</definedName>
    <definedName name="_ben52" localSheetId="3">#REF!</definedName>
    <definedName name="_ben52" localSheetId="4">#REF!</definedName>
    <definedName name="_ben52" localSheetId="5">#REF!</definedName>
    <definedName name="_ben52" localSheetId="6">#REF!</definedName>
    <definedName name="_ben52" localSheetId="7">#REF!</definedName>
    <definedName name="_ben52" localSheetId="8">#REF!</definedName>
    <definedName name="_ben52" localSheetId="9">#REF!</definedName>
    <definedName name="_ben52">#REF!</definedName>
    <definedName name="_d2" localSheetId="0" hidden="1">{"NORMAL",#N/A,FALSE,"02"}</definedName>
    <definedName name="_d2" localSheetId="1" hidden="1">{"NORMAL",#N/A,FALSE,"02"}</definedName>
    <definedName name="_d2" localSheetId="2" hidden="1">{"NORMAL",#N/A,FALSE,"02"}</definedName>
    <definedName name="_d2" localSheetId="3" hidden="1">{"NORMAL",#N/A,FALSE,"02"}</definedName>
    <definedName name="_d2" localSheetId="4" hidden="1">{"NORMAL",#N/A,FALSE,"02"}</definedName>
    <definedName name="_d2" localSheetId="5" hidden="1">{"NORMAL",#N/A,FALSE,"02"}</definedName>
    <definedName name="_d2" localSheetId="6" hidden="1">{"NORMAL",#N/A,FALSE,"02"}</definedName>
    <definedName name="_d2" localSheetId="7" hidden="1">{"NORMAL",#N/A,FALSE,"02"}</definedName>
    <definedName name="_d2" localSheetId="8" hidden="1">{"NORMAL",#N/A,FALSE,"02"}</definedName>
    <definedName name="_d2" localSheetId="9" hidden="1">{"NORMAL",#N/A,FALSE,"02"}</definedName>
    <definedName name="_d2" hidden="1">{"NORMAL",#N/A,FALSE,"02"}</definedName>
    <definedName name="_f" localSheetId="0" hidden="1">{"DECIMAL",#N/A,FALSE,"02"}</definedName>
    <definedName name="_f" localSheetId="1" hidden="1">{"DECIMAL",#N/A,FALSE,"02"}</definedName>
    <definedName name="_f" localSheetId="2" hidden="1">{"DECIMAL",#N/A,FALSE,"02"}</definedName>
    <definedName name="_f" localSheetId="3" hidden="1">{"DECIMAL",#N/A,FALSE,"02"}</definedName>
    <definedName name="_f" localSheetId="4" hidden="1">{"DECIMAL",#N/A,FALSE,"02"}</definedName>
    <definedName name="_f" localSheetId="5" hidden="1">{"DECIMAL",#N/A,FALSE,"02"}</definedName>
    <definedName name="_f" localSheetId="6" hidden="1">{"DECIMAL",#N/A,FALSE,"02"}</definedName>
    <definedName name="_f" localSheetId="7" hidden="1">{"DECIMAL",#N/A,FALSE,"02"}</definedName>
    <definedName name="_f" localSheetId="8" hidden="1">{"DECIMAL",#N/A,FALSE,"02"}</definedName>
    <definedName name="_f" localSheetId="9" hidden="1">{"DECIMAL",#N/A,FALSE,"02"}</definedName>
    <definedName name="_f" hidden="1">{"DECIMAL",#N/A,FALSE,"02"}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hidden="1">#REF!</definedName>
    <definedName name="_xlnm._FilterDatabase" localSheetId="0" hidden="1">'GDR 3760_Pto. 01_Cert. 01'!$A$8:$F$49</definedName>
    <definedName name="_xlnm._FilterDatabase" localSheetId="1" hidden="1">'GDR 3760_Pto. 01_Cert. 02'!$A$8:$F$49</definedName>
    <definedName name="_xlnm._FilterDatabase" localSheetId="2" hidden="1">'GDR 3760_Pto. 01_Cert. 03'!$A$8:$F$49</definedName>
    <definedName name="_xlnm._FilterDatabase" localSheetId="3" hidden="1">'GDR 3760_Pto. 01_Cert. 04'!$A$8:$F$49</definedName>
    <definedName name="_xlnm._FilterDatabase" localSheetId="4" hidden="1">'GDR 3760_Pto. 01_Cert. 05'!$A$8:$F$49</definedName>
    <definedName name="_xlnm._FilterDatabase" localSheetId="5" hidden="1">'GDR 3760_Pto. 01_Cert. 06'!$A$8:$F$49</definedName>
    <definedName name="_xlnm._FilterDatabase" localSheetId="6" hidden="1">'GDR 3760_Pto. 01_Cert. 07'!$A$8:$F$49</definedName>
    <definedName name="_xlnm._FilterDatabase" localSheetId="7" hidden="1">'GDR 3760_Pto. 01_Cert. 08'!$A$8:$F$49</definedName>
    <definedName name="_xlnm._FilterDatabase" localSheetId="8" hidden="1">'GDR 3760_Pto. 01_Cert. 09'!$A$8:$F$49</definedName>
    <definedName name="_xlnm._FilterDatabase" localSheetId="9" hidden="1">'GDR 3760_Pto. 01_Cert. 09 (2)'!$A$8:$F$55</definedName>
    <definedName name="_GoBack" localSheetId="0">'GDR 3760_Pto. 01_Cert. 01'!#REF!</definedName>
    <definedName name="_GoBack" localSheetId="1">'GDR 3760_Pto. 01_Cert. 02'!#REF!</definedName>
    <definedName name="_GoBack" localSheetId="2">'GDR 3760_Pto. 01_Cert. 03'!#REF!</definedName>
    <definedName name="_GoBack" localSheetId="3">'GDR 3760_Pto. 01_Cert. 04'!#REF!</definedName>
    <definedName name="_GoBack" localSheetId="4">'GDR 3760_Pto. 01_Cert. 05'!#REF!</definedName>
    <definedName name="_GoBack" localSheetId="5">'GDR 3760_Pto. 01_Cert. 06'!#REF!</definedName>
    <definedName name="_GoBack" localSheetId="6">'GDR 3760_Pto. 01_Cert. 07'!#REF!</definedName>
    <definedName name="_GoBack" localSheetId="7">'GDR 3760_Pto. 01_Cert. 08'!#REF!</definedName>
    <definedName name="_GoBack" localSheetId="8">'GDR 3760_Pto. 01_Cert. 09'!#REF!</definedName>
    <definedName name="_GoBack" localSheetId="9">'GDR 3760_Pto. 01_Cert. 09 (2)'!#REF!</definedName>
    <definedName name="_HJJ2">#REF!</definedName>
    <definedName name="_Key1" hidden="1">#REF!</definedName>
    <definedName name="_KH170">#REF!</definedName>
    <definedName name="_MatMult_A" localSheetId="0" hidden="1">#REF!</definedName>
    <definedName name="_MatMult_A" localSheetId="1" hidden="1">#REF!</definedName>
    <definedName name="_MatMult_A" localSheetId="2" hidden="1">#REF!</definedName>
    <definedName name="_MatMult_A" localSheetId="3" hidden="1">#REF!</definedName>
    <definedName name="_MatMult_A" localSheetId="4" hidden="1">#REF!</definedName>
    <definedName name="_MatMult_A" localSheetId="5" hidden="1">#REF!</definedName>
    <definedName name="_MatMult_A" localSheetId="6" hidden="1">#REF!</definedName>
    <definedName name="_MatMult_A" localSheetId="7" hidden="1">#REF!</definedName>
    <definedName name="_MatMult_A" localSheetId="8" hidden="1">#REF!</definedName>
    <definedName name="_MatMult_A" localSheetId="9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0">'GDR 3760_Pto. 01_Cert. 01'!#REF!</definedName>
    <definedName name="_Toc502326724" localSheetId="1">'GDR 3760_Pto. 01_Cert. 02'!#REF!</definedName>
    <definedName name="_Toc502326724" localSheetId="2">'GDR 3760_Pto. 01_Cert. 03'!#REF!</definedName>
    <definedName name="_Toc502326724" localSheetId="3">'GDR 3760_Pto. 01_Cert. 04'!#REF!</definedName>
    <definedName name="_Toc502326724" localSheetId="4">'GDR 3760_Pto. 01_Cert. 05'!#REF!</definedName>
    <definedName name="_Toc502326724" localSheetId="5">'GDR 3760_Pto. 01_Cert. 06'!#REF!</definedName>
    <definedName name="_Toc502326724" localSheetId="6">'GDR 3760_Pto. 01_Cert. 07'!#REF!</definedName>
    <definedName name="_Toc502326724" localSheetId="7">'GDR 3760_Pto. 01_Cert. 08'!#REF!</definedName>
    <definedName name="_Toc502326724" localSheetId="8">'GDR 3760_Pto. 01_Cert. 09'!#REF!</definedName>
    <definedName name="_Toc502326724" localSheetId="9">'GDR 3760_Pto. 01_Cert. 09 (2)'!#REF!</definedName>
    <definedName name="_Toc502326725" localSheetId="0">'GDR 3760_Pto. 01_Cert. 01'!#REF!</definedName>
    <definedName name="_Toc502326725" localSheetId="1">'GDR 3760_Pto. 01_Cert. 02'!#REF!</definedName>
    <definedName name="_Toc502326725" localSheetId="2">'GDR 3760_Pto. 01_Cert. 03'!#REF!</definedName>
    <definedName name="_Toc502326725" localSheetId="3">'GDR 3760_Pto. 01_Cert. 04'!#REF!</definedName>
    <definedName name="_Toc502326725" localSheetId="4">'GDR 3760_Pto. 01_Cert. 05'!#REF!</definedName>
    <definedName name="_Toc502326725" localSheetId="5">'GDR 3760_Pto. 01_Cert. 06'!#REF!</definedName>
    <definedName name="_Toc502326725" localSheetId="6">'GDR 3760_Pto. 01_Cert. 07'!#REF!</definedName>
    <definedName name="_Toc502326725" localSheetId="7">'GDR 3760_Pto. 01_Cert. 08'!#REF!</definedName>
    <definedName name="_Toc502326725" localSheetId="8">'GDR 3760_Pto. 01_Cert. 09'!#REF!</definedName>
    <definedName name="_Toc502326725" localSheetId="9">'GDR 3760_Pto. 01_Cert. 09 (2)'!#REF!</definedName>
    <definedName name="_Toc502326726" localSheetId="0">'GDR 3760_Pto. 01_Cert. 01'!#REF!</definedName>
    <definedName name="_Toc502326726" localSheetId="1">'GDR 3760_Pto. 01_Cert. 02'!#REF!</definedName>
    <definedName name="_Toc502326726" localSheetId="2">'GDR 3760_Pto. 01_Cert. 03'!#REF!</definedName>
    <definedName name="_Toc502326726" localSheetId="3">'GDR 3760_Pto. 01_Cert. 04'!#REF!</definedName>
    <definedName name="_Toc502326726" localSheetId="4">'GDR 3760_Pto. 01_Cert. 05'!#REF!</definedName>
    <definedName name="_Toc502326726" localSheetId="5">'GDR 3760_Pto. 01_Cert. 06'!#REF!</definedName>
    <definedName name="_Toc502326726" localSheetId="6">'GDR 3760_Pto. 01_Cert. 07'!#REF!</definedName>
    <definedName name="_Toc502326726" localSheetId="7">'GDR 3760_Pto. 01_Cert. 08'!#REF!</definedName>
    <definedName name="_Toc502326726" localSheetId="8">'GDR 3760_Pto. 01_Cert. 09'!#REF!</definedName>
    <definedName name="_Toc502326726" localSheetId="9">'GDR 3760_Pto. 01_Cert. 09 (2)'!#REF!</definedName>
    <definedName name="_tu3" localSheetId="0">#REF!</definedName>
    <definedName name="_tu3" localSheetId="1">#REF!</definedName>
    <definedName name="_tu3" localSheetId="2">#REF!</definedName>
    <definedName name="_tu3" localSheetId="3">#REF!</definedName>
    <definedName name="_tu3" localSheetId="4">#REF!</definedName>
    <definedName name="_tu3" localSheetId="5">#REF!</definedName>
    <definedName name="_tu3" localSheetId="6">#REF!</definedName>
    <definedName name="_tu3" localSheetId="7">#REF!</definedName>
    <definedName name="_tu3" localSheetId="8">#REF!</definedName>
    <definedName name="_tu3" localSheetId="9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0">L2C1:L372C15</definedName>
    <definedName name="Adecuación" localSheetId="1">L2C1:L372C15</definedName>
    <definedName name="Adecuación" localSheetId="2">L2C1:L372C15</definedName>
    <definedName name="Adecuación" localSheetId="3">L2C1:L372C15</definedName>
    <definedName name="Adecuación" localSheetId="4">L2C1:L372C15</definedName>
    <definedName name="Adecuación" localSheetId="5">L2C1:L372C15</definedName>
    <definedName name="Adecuación" localSheetId="6">L2C1:L372C15</definedName>
    <definedName name="Adecuación" localSheetId="7">L2C1:L372C15</definedName>
    <definedName name="Adecuación" localSheetId="8">L2C1:L372C15</definedName>
    <definedName name="Adecuación" localSheetId="9">L2C1:L372C15</definedName>
    <definedName name="Adecuación">L2C1:L372C15</definedName>
    <definedName name="ADICT">#REF!</definedName>
    <definedName name="ADICT1">#REF!</definedName>
    <definedName name="aeir">#REF!</definedName>
    <definedName name="AIML">#REF!</definedName>
    <definedName name="AISS">#REF!</definedName>
    <definedName name="ALFA">#REF!</definedName>
    <definedName name="alfa_s">#REF!</definedName>
    <definedName name="alfa_s_c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>#REF!</definedName>
    <definedName name="aMEcolumnas">#REF!</definedName>
    <definedName name="aMEcortepasto">#REF!</definedName>
    <definedName name="AMECT">#REF!</definedName>
    <definedName name="aMEdemolicion">#REF!</definedName>
    <definedName name="aMEdesembanque">#REF!</definedName>
    <definedName name="aMEdren">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>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>#REF!</definedName>
    <definedName name="Ana_Ed_3">#REF!</definedName>
    <definedName name="Ana_Edi_1">#REF!</definedName>
    <definedName name="Ana_Edi_2">#REF!</definedName>
    <definedName name="Ana_Edi_2_Var">#REF!</definedName>
    <definedName name="Ana_Edi_3_Var">#REF!</definedName>
    <definedName name="Ana_OEX">#REF!</definedName>
    <definedName name="Ana_Resumen">#REF!</definedName>
    <definedName name="ANAE1">#REF!</definedName>
    <definedName name="analiprecios" localSheetId="0">#REF!</definedName>
    <definedName name="analiprecios" localSheetId="1">#REF!</definedName>
    <definedName name="analiprecios" localSheetId="2">#REF!</definedName>
    <definedName name="analiprecios" localSheetId="3">#REF!</definedName>
    <definedName name="analiprecios" localSheetId="4">#REF!</definedName>
    <definedName name="analiprecios" localSheetId="5">#REF!</definedName>
    <definedName name="analiprecios" localSheetId="6">#REF!</definedName>
    <definedName name="analiprecios" localSheetId="7">#REF!</definedName>
    <definedName name="analiprecios" localSheetId="8">#REF!</definedName>
    <definedName name="analiprecios" localSheetId="9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0">#REF!</definedName>
    <definedName name="analisisequipo" localSheetId="1">#REF!</definedName>
    <definedName name="analisisequipo" localSheetId="2">#REF!</definedName>
    <definedName name="analisisequipo" localSheetId="3">#REF!</definedName>
    <definedName name="analisisequipo" localSheetId="4">#REF!</definedName>
    <definedName name="analisisequipo" localSheetId="5">#REF!</definedName>
    <definedName name="analisisequipo" localSheetId="6">#REF!</definedName>
    <definedName name="analisisequipo" localSheetId="7">#REF!</definedName>
    <definedName name="analisisequipo" localSheetId="8">#REF!</definedName>
    <definedName name="analisisequipo" localSheetId="9">#REF!</definedName>
    <definedName name="analisisequipo">#REF!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AREA1">#REF!</definedName>
    <definedName name="AREA2">#REF!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>#REF!</definedName>
    <definedName name="ARRC">#REF!</definedName>
    <definedName name="ARREM">#REF!</definedName>
    <definedName name="ARREP">#REF!</definedName>
    <definedName name="arriba">#REF!</definedName>
    <definedName name="ARRRR">#REF!</definedName>
    <definedName name="ARSC">#REF!</definedName>
    <definedName name="ARSCE">#REF!</definedName>
    <definedName name="ARSDA">#REF!</definedName>
    <definedName name="ARSEC">#REF!</definedName>
    <definedName name="ARSED">#REF!</definedName>
    <definedName name="ARSEM">#REF!</definedName>
    <definedName name="ARSEP">#REF!</definedName>
    <definedName name="ARSLE">#REF!</definedName>
    <definedName name="ARSNA">#REF!</definedName>
    <definedName name="ART">#REF!</definedName>
    <definedName name="ART_Cargo_Fijo">#REF!</definedName>
    <definedName name="aruno">#REF!</definedName>
    <definedName name="as">#REF!</definedName>
    <definedName name="asd" localSheetId="0">L2C1:L372C15</definedName>
    <definedName name="asd" localSheetId="1">L2C1:L372C15</definedName>
    <definedName name="asd" localSheetId="2">L2C1:L372C15</definedName>
    <definedName name="asd" localSheetId="3">L2C1:L372C15</definedName>
    <definedName name="asd" localSheetId="4">L2C1:L372C15</definedName>
    <definedName name="asd" localSheetId="5">L2C1:L372C15</definedName>
    <definedName name="asd" localSheetId="6">L2C1:L372C15</definedName>
    <definedName name="asd" localSheetId="7">L2C1:L372C15</definedName>
    <definedName name="asd" localSheetId="8">L2C1:L372C15</definedName>
    <definedName name="asd" localSheetId="9">L2C1:L372C15</definedName>
    <definedName name="asd">L2C1:L372C15</definedName>
    <definedName name="asdaaa">#REF!</definedName>
    <definedName name="ASDAASD" localSheetId="0">L2C1:L372C15</definedName>
    <definedName name="ASDAASD" localSheetId="1">L2C1:L372C15</definedName>
    <definedName name="ASDAASD" localSheetId="2">L2C1:L372C15</definedName>
    <definedName name="ASDAASD" localSheetId="3">L2C1:L372C15</definedName>
    <definedName name="ASDAASD" localSheetId="4">L2C1:L372C15</definedName>
    <definedName name="ASDAASD" localSheetId="5">L2C1:L372C15</definedName>
    <definedName name="ASDAASD" localSheetId="6">L2C1:L372C15</definedName>
    <definedName name="ASDAASD" localSheetId="7">L2C1:L372C15</definedName>
    <definedName name="ASDAASD" localSheetId="8">L2C1:L372C15</definedName>
    <definedName name="ASDAASD" localSheetId="9">L2C1:L372C15</definedName>
    <definedName name="ASDAASD">L2C1:L372C15</definedName>
    <definedName name="asdis">#REF!</definedName>
    <definedName name="asew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0" hidden="1">{#N/A,#N/A,FALSE,"Monthly report";#N/A,#N/A,FALSE,"M.R. UEM";#N/A,#N/A,FALSE,"M.R. VCM"}</definedName>
    <definedName name="Avance" localSheetId="1" hidden="1">{#N/A,#N/A,FALSE,"Monthly report";#N/A,#N/A,FALSE,"M.R. UEM";#N/A,#N/A,FALSE,"M.R. VCM"}</definedName>
    <definedName name="Avance" localSheetId="2" hidden="1">{#N/A,#N/A,FALSE,"Monthly report";#N/A,#N/A,FALSE,"M.R. UEM";#N/A,#N/A,FALSE,"M.R. VCM"}</definedName>
    <definedName name="Avance" localSheetId="3" hidden="1">{#N/A,#N/A,FALSE,"Monthly report";#N/A,#N/A,FALSE,"M.R. UEM";#N/A,#N/A,FALSE,"M.R. VCM"}</definedName>
    <definedName name="Avance" localSheetId="4" hidden="1">{#N/A,#N/A,FALSE,"Monthly report";#N/A,#N/A,FALSE,"M.R. UEM";#N/A,#N/A,FALSE,"M.R. VCM"}</definedName>
    <definedName name="Avance" localSheetId="5" hidden="1">{#N/A,#N/A,FALSE,"Monthly report";#N/A,#N/A,FALSE,"M.R. UEM";#N/A,#N/A,FALSE,"M.R. VCM"}</definedName>
    <definedName name="Avance" localSheetId="6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0" hidden="1">{#N/A,#N/A,FALSE,"Monthly report";#N/A,#N/A,FALSE,"M.R. UEM";#N/A,#N/A,FALSE,"M.R. VCM"}</definedName>
    <definedName name="Avance2" localSheetId="1" hidden="1">{#N/A,#N/A,FALSE,"Monthly report";#N/A,#N/A,FALSE,"M.R. UEM";#N/A,#N/A,FALSE,"M.R. VCM"}</definedName>
    <definedName name="Avance2" localSheetId="2" hidden="1">{#N/A,#N/A,FALSE,"Monthly report";#N/A,#N/A,FALSE,"M.R. UEM";#N/A,#N/A,FALSE,"M.R. VCM"}</definedName>
    <definedName name="Avance2" localSheetId="3" hidden="1">{#N/A,#N/A,FALSE,"Monthly report";#N/A,#N/A,FALSE,"M.R. UEM";#N/A,#N/A,FALSE,"M.R. VCM"}</definedName>
    <definedName name="Avance2" localSheetId="4" hidden="1">{#N/A,#N/A,FALSE,"Monthly report";#N/A,#N/A,FALSE,"M.R. UEM";#N/A,#N/A,FALSE,"M.R. VCM"}</definedName>
    <definedName name="Avance2" localSheetId="5" hidden="1">{#N/A,#N/A,FALSE,"Monthly report";#N/A,#N/A,FALSE,"M.R. UEM";#N/A,#N/A,FALSE,"M.R. VCM"}</definedName>
    <definedName name="Avance2" localSheetId="6" hidden="1">{#N/A,#N/A,FALSE,"Monthly report";#N/A,#N/A,FALSE,"M.R. UEM";#N/A,#N/A,FALSE,"M.R. VCM"}</definedName>
    <definedName name="Avance2" localSheetId="7" hidden="1">{#N/A,#N/A,FALSE,"Monthly report";#N/A,#N/A,FALSE,"M.R. UEM";#N/A,#N/A,FALSE,"M.R. VCM"}</definedName>
    <definedName name="Avance2" localSheetId="8" hidden="1">{#N/A,#N/A,FALSE,"Monthly report";#N/A,#N/A,FALSE,"M.R. UEM";#N/A,#N/A,FALSE,"M.R. VCM"}</definedName>
    <definedName name="Avance2" localSheetId="9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>#REF!</definedName>
    <definedName name="BASEABELSON">#REF!</definedName>
    <definedName name="BASEINSU" localSheetId="0">L2C1:L372C15</definedName>
    <definedName name="BASEINSU" localSheetId="1">L2C1:L372C15</definedName>
    <definedName name="BASEINSU" localSheetId="2">L2C1:L372C15</definedName>
    <definedName name="BASEINSU" localSheetId="3">L2C1:L372C15</definedName>
    <definedName name="BASEINSU" localSheetId="4">L2C1:L372C15</definedName>
    <definedName name="BASEINSU" localSheetId="5">L2C1:L372C15</definedName>
    <definedName name="BASEINSU" localSheetId="6">L2C1:L372C15</definedName>
    <definedName name="BASEINSU" localSheetId="7">L2C1:L372C15</definedName>
    <definedName name="BASEINSU" localSheetId="8">L2C1:L372C15</definedName>
    <definedName name="BASEINSU" localSheetId="9">L2C1:L372C15</definedName>
    <definedName name="BASEINSU">L2C1:L372C15</definedName>
    <definedName name="baseinsumos" localSheetId="0">L2C1:L372C15</definedName>
    <definedName name="baseinsumos" localSheetId="1">L2C1:L372C15</definedName>
    <definedName name="baseinsumos" localSheetId="2">L2C1:L372C15</definedName>
    <definedName name="baseinsumos" localSheetId="3">L2C1:L372C15</definedName>
    <definedName name="baseinsumos" localSheetId="4">L2C1:L372C15</definedName>
    <definedName name="baseinsumos" localSheetId="5">L2C1:L372C15</definedName>
    <definedName name="baseinsumos" localSheetId="6">L2C1:L372C15</definedName>
    <definedName name="baseinsumos" localSheetId="7">L2C1:L372C15</definedName>
    <definedName name="baseinsumos" localSheetId="8">L2C1:L372C15</definedName>
    <definedName name="baseinsumos" localSheetId="9">L2C1:L372C15</definedName>
    <definedName name="baseinsumos">L2C1:L372C15</definedName>
    <definedName name="be">#REF!</definedName>
    <definedName name="Beg_Bal">#REF!</definedName>
    <definedName name="bene" localSheetId="0">#REF!</definedName>
    <definedName name="bene" localSheetId="1">#REF!</definedName>
    <definedName name="bene" localSheetId="2">#REF!</definedName>
    <definedName name="bene" localSheetId="3">#REF!</definedName>
    <definedName name="bene" localSheetId="4">#REF!</definedName>
    <definedName name="bene" localSheetId="5">#REF!</definedName>
    <definedName name="bene" localSheetId="6">#REF!</definedName>
    <definedName name="bene" localSheetId="7">#REF!</definedName>
    <definedName name="bene" localSheetId="8">#REF!</definedName>
    <definedName name="bene" localSheetId="9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0">L2C1:L372C15</definedName>
    <definedName name="BI" localSheetId="1">L2C1:L372C15</definedName>
    <definedName name="BI" localSheetId="2">L2C1:L372C15</definedName>
    <definedName name="BI" localSheetId="3">L2C1:L372C15</definedName>
    <definedName name="BI" localSheetId="4">L2C1:L372C15</definedName>
    <definedName name="BI" localSheetId="5">L2C1:L372C15</definedName>
    <definedName name="BI" localSheetId="6">L2C1:L372C15</definedName>
    <definedName name="BI" localSheetId="7">L2C1:L372C15</definedName>
    <definedName name="BI" localSheetId="8">L2C1:L372C15</definedName>
    <definedName name="BI" localSheetId="9">L2C1:L372C15</definedName>
    <definedName name="BI">L2C1:L372C15</definedName>
    <definedName name="bloque20x20x40">#REF!</definedName>
    <definedName name="br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>#REF!</definedName>
    <definedName name="CalidadAcero">#REF!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>#REF!</definedName>
    <definedName name="carlosa">#REF!</definedName>
    <definedName name="carlosar">#REF!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>#REF!</definedName>
    <definedName name="CE1_">#REF!</definedName>
    <definedName name="CE2_">#REF!</definedName>
    <definedName name="CE3_">#REF!</definedName>
    <definedName name="CEBE">#REF!</definedName>
    <definedName name="CECF">#REF!</definedName>
    <definedName name="CEGG">#REF!</definedName>
    <definedName name="CEIM">#REF!</definedName>
    <definedName name="ceme">#REF!</definedName>
    <definedName name="cemento">#REF!</definedName>
    <definedName name="CEMR">#REF!</definedName>
    <definedName name="CEo">#REF!</definedName>
    <definedName name="Certificado2" localSheetId="0">#REF!</definedName>
    <definedName name="Certificado2" localSheetId="1">#REF!</definedName>
    <definedName name="Certificado2" localSheetId="2">#REF!</definedName>
    <definedName name="Certificado2" localSheetId="3">#REF!</definedName>
    <definedName name="Certificado2" localSheetId="4">#REF!</definedName>
    <definedName name="Certificado2" localSheetId="5">#REF!</definedName>
    <definedName name="Certificado2" localSheetId="6">#REF!</definedName>
    <definedName name="Certificado2" localSheetId="7">#REF!</definedName>
    <definedName name="Certificado2" localSheetId="8">#REF!</definedName>
    <definedName name="Certificado2" localSheetId="9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>#REF!</definedName>
    <definedName name="CIEA">#REF!</definedName>
    <definedName name="CIEE">#REF!</definedName>
    <definedName name="CIEF">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>#REF!</definedName>
    <definedName name="CM1_">#REF!</definedName>
    <definedName name="CM3_">#REF!</definedName>
    <definedName name="CM4_">#REF!</definedName>
    <definedName name="CMA">#REF!</definedName>
    <definedName name="CMAX">#REF!</definedName>
    <definedName name="CMMO">#REF!</definedName>
    <definedName name="CMO">#REF!</definedName>
    <definedName name="CMOE">#REF!</definedName>
    <definedName name="CMP">#REF!</definedName>
    <definedName name="CMZ">#REF!</definedName>
    <definedName name="codigoanalisis">#REF!</definedName>
    <definedName name="codigoformulas">#REF!</definedName>
    <definedName name="codigoinsumos">#REF!</definedName>
    <definedName name="codigoitems">#REF!</definedName>
    <definedName name="codigomat">#REF!</definedName>
    <definedName name="CodigoParametrico">#REF!</definedName>
    <definedName name="coef" localSheetId="0">#REF!</definedName>
    <definedName name="coef" localSheetId="1">#REF!</definedName>
    <definedName name="coef" localSheetId="2">#REF!</definedName>
    <definedName name="coef" localSheetId="3">#REF!</definedName>
    <definedName name="coef" localSheetId="4">#REF!</definedName>
    <definedName name="coef" localSheetId="5">#REF!</definedName>
    <definedName name="coef" localSheetId="6">#REF!</definedName>
    <definedName name="coef" localSheetId="7">#REF!</definedName>
    <definedName name="coef" localSheetId="8">#REF!</definedName>
    <definedName name="coef" localSheetId="9">#REF!</definedName>
    <definedName name="coef">#REF!</definedName>
    <definedName name="Coef_GG_B_I">#REF!</definedName>
    <definedName name="columna">#REF!</definedName>
    <definedName name="COLUMNAS">#REF!</definedName>
    <definedName name="Comb">#REF!</definedName>
    <definedName name="Combinaciones_cargas">#REF!</definedName>
    <definedName name="COMPANIA">#REF!</definedName>
    <definedName name="COMPUTO">#REF!</definedName>
    <definedName name="COMPUTOS">#REF!</definedName>
    <definedName name="Constante_de_los_Gases">#REF!</definedName>
    <definedName name="constantes">#REF!</definedName>
    <definedName name="Consumo">#REF!</definedName>
    <definedName name="Contribucion_Patronal_s_Decreto_2641">#REF!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>#REF!</definedName>
    <definedName name="coti4">#REF!</definedName>
    <definedName name="Cotizador_automatico_del_pedido.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9">#REF!</definedName>
    <definedName name="d">#REF!</definedName>
    <definedName name="d.10">#REF!</definedName>
    <definedName name="d.12">#REF!</definedName>
    <definedName name="d.16">#REF!</definedName>
    <definedName name="d.20">#REF!</definedName>
    <definedName name="d.25">#REF!</definedName>
    <definedName name="d.6">#REF!</definedName>
    <definedName name="d.8">#REF!</definedName>
    <definedName name="Data">#REF!</definedName>
    <definedName name="_xlnm.Database">#REF!</definedName>
    <definedName name="DATOS">#REF!</definedName>
    <definedName name="DCC">#REF!</definedName>
    <definedName name="ddlim">#REF!</definedName>
    <definedName name="decimal" localSheetId="0" hidden="1">{"DECIMAL",#N/A,FALSE,"02"}</definedName>
    <definedName name="decimal" localSheetId="1" hidden="1">{"DECIMAL",#N/A,FALSE,"02"}</definedName>
    <definedName name="decimal" localSheetId="2" hidden="1">{"DECIMAL",#N/A,FALSE,"02"}</definedName>
    <definedName name="decimal" localSheetId="3" hidden="1">{"DECIMAL",#N/A,FALSE,"02"}</definedName>
    <definedName name="decimal" localSheetId="4" hidden="1">{"DECIMAL",#N/A,FALSE,"02"}</definedName>
    <definedName name="decimal" localSheetId="5" hidden="1">{"DECIMAL",#N/A,FALSE,"02"}</definedName>
    <definedName name="decimal" localSheetId="6" hidden="1">{"DECIMAL",#N/A,FALSE,"02"}</definedName>
    <definedName name="decimal" localSheetId="7" hidden="1">{"DECIMAL",#N/A,FALSE,"02"}</definedName>
    <definedName name="decimal" localSheetId="8" hidden="1">{"DECIMAL",#N/A,FALSE,"02"}</definedName>
    <definedName name="decimal" localSheetId="9" hidden="1">{"DECIMAL",#N/A,FALSE,"02"}</definedName>
    <definedName name="decimal" hidden="1">{"DECIMAL",#N/A,FALSE,"02"}</definedName>
    <definedName name="Decreto_2641_02">#REF!</definedName>
    <definedName name="DEESP">#REF!</definedName>
    <definedName name="DELTA">#N/A</definedName>
    <definedName name="DenominacionAcero">#REF!</definedName>
    <definedName name="DenominacioPerfiles">#REF!</definedName>
    <definedName name="Descuentos">#REF!</definedName>
    <definedName name="Descuentos2">#REF!</definedName>
    <definedName name="Desperdicio_Armadura">#REF!</definedName>
    <definedName name="Destino_Edificio">#REF!</definedName>
    <definedName name="Detalle" localSheetId="0" hidden="1">{"NORMAL",#N/A,FALSE,"02"}</definedName>
    <definedName name="Detalle" localSheetId="1" hidden="1">{"NORMAL",#N/A,FALSE,"02"}</definedName>
    <definedName name="Detalle" localSheetId="2" hidden="1">{"NORMAL",#N/A,FALSE,"02"}</definedName>
    <definedName name="Detalle" localSheetId="3" hidden="1">{"NORMAL",#N/A,FALSE,"02"}</definedName>
    <definedName name="Detalle" localSheetId="4" hidden="1">{"NORMAL",#N/A,FALSE,"02"}</definedName>
    <definedName name="Detalle" localSheetId="5" hidden="1">{"NORMAL",#N/A,FALSE,"02"}</definedName>
    <definedName name="Detalle" localSheetId="6" hidden="1">{"NORMAL",#N/A,FALSE,"02"}</definedName>
    <definedName name="Detalle" localSheetId="7" hidden="1">{"NORMAL",#N/A,FALSE,"02"}</definedName>
    <definedName name="Detalle" localSheetId="8" hidden="1">{"NORMAL",#N/A,FALSE,"02"}</definedName>
    <definedName name="Detalle" localSheetId="9" hidden="1">{"NORMAL",#N/A,FALSE,"02"}</definedName>
    <definedName name="Detalle" hidden="1">{"NORMAL",#N/A,FALSE,"02"}</definedName>
    <definedName name="dF">#REF!</definedName>
    <definedName name="dfgsgsg">#REF!</definedName>
    <definedName name="DHDAM">#REF!</definedName>
    <definedName name="DHDD">#REF!</definedName>
    <definedName name="DHDDA">#REF!</definedName>
    <definedName name="DHDDB">#REF!</definedName>
    <definedName name="DHDDE">#REF!</definedName>
    <definedName name="DHDEM">#REF!</definedName>
    <definedName name="DHDPO">#REF!</definedName>
    <definedName name="DHMPO">#REF!</definedName>
    <definedName name="DIAMETROS">#REF!</definedName>
    <definedName name="Diámetros_y_Espesores_de_P.V.C.">#REF!</definedName>
    <definedName name="Dias_Enfermedad">#REF!</definedName>
    <definedName name="Diesel">#REF!</definedName>
    <definedName name="dil">#REF!</definedName>
    <definedName name="DINTS">#REF!</definedName>
    <definedName name="dlim">#REF!</definedName>
    <definedName name="DMPGR">#REF!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>#REF!</definedName>
    <definedName name="DTHDABM">#REF!</definedName>
    <definedName name="DTHDAPM">#REF!</definedName>
    <definedName name="DTHDBPM">#REF!</definedName>
    <definedName name="DTHPDCO">#REF!</definedName>
    <definedName name="DTHPDDA">#REF!</definedName>
    <definedName name="DTHPDDB">#REF!</definedName>
    <definedName name="DTHPGCO">#REF!</definedName>
    <definedName name="DTHPMBM">#REF!</definedName>
    <definedName name="DVDD">#REF!</definedName>
    <definedName name="DVDEM">#REF!</definedName>
    <definedName name="DVEM">#REF!</definedName>
    <definedName name="E">#N/A</definedName>
    <definedName name="EASP">#REF!</definedName>
    <definedName name="Ee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>#REF!</definedName>
    <definedName name="EncabezadoAnalisis">#REF!</definedName>
    <definedName name="End_Bal">#REF!</definedName>
    <definedName name="ENERGIA">#REF!</definedName>
    <definedName name="ENREUTAB">#REF!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>#REF!</definedName>
    <definedName name="EXAPI">#REF!</definedName>
    <definedName name="EXAS">#REF!</definedName>
    <definedName name="EXAZ">#REF!</definedName>
    <definedName name="EXBE">#REF!</definedName>
    <definedName name="EXCD">#REF!</definedName>
    <definedName name="EXCM">#REF!</definedName>
    <definedName name="EXCT">#REF!</definedName>
    <definedName name="EXESP">#REF!</definedName>
    <definedName name="EXLP">#REF!</definedName>
    <definedName name="EXLS">#REF!</definedName>
    <definedName name="EXNC">#REF!</definedName>
    <definedName name="EXNP">#REF!</definedName>
    <definedName name="EXPOSICION">#REF!</definedName>
    <definedName name="EXPZ">#REF!</definedName>
    <definedName name="EXSP">#REF!</definedName>
    <definedName name="Extra_Pay">#REF!</definedName>
    <definedName name="EY">#N/A</definedName>
    <definedName name="FASES">#N/A</definedName>
    <definedName name="FCT">#REF!</definedName>
    <definedName name="Fe">#REF!</definedName>
    <definedName name="Fecha">#REF!</definedName>
    <definedName name="FF">#REF!</definedName>
    <definedName name="ffdfsd">#REF!</definedName>
    <definedName name="fi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>#REF!</definedName>
    <definedName name="formula_analisis">#REF!</definedName>
    <definedName name="formula_formula">#REF!</definedName>
    <definedName name="Fórmula_General_para_Determinación_de_f">#REF!</definedName>
    <definedName name="formula_insumo">#REF!</definedName>
    <definedName name="formula_presupuesto">#REF!</definedName>
    <definedName name="formula_rubro">#REF!</definedName>
    <definedName name="formulapatron">#REF!</definedName>
    <definedName name="formulas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0" hidden="1">{#N/A,#N/A,TRUE,"Cert.Global";#N/A,#N/A,TRUE,"Cert. M&amp;C";#N/A,#N/A,TRUE,"Cert. Engineering";#N/A,#N/A,TRUE,"Cert. Procurement ";#N/A,#N/A,TRUE,"Cert. Constr. Manag."}</definedName>
    <definedName name="graf" localSheetId="1" hidden="1">{#N/A,#N/A,TRUE,"Cert.Global";#N/A,#N/A,TRUE,"Cert. M&amp;C";#N/A,#N/A,TRUE,"Cert. Engineering";#N/A,#N/A,TRUE,"Cert. Procurement ";#N/A,#N/A,TRUE,"Cert. Constr. Manag."}</definedName>
    <definedName name="graf" localSheetId="2" hidden="1">{#N/A,#N/A,TRUE,"Cert.Global";#N/A,#N/A,TRUE,"Cert. M&amp;C";#N/A,#N/A,TRUE,"Cert. Engineering";#N/A,#N/A,TRUE,"Cert. Procurement ";#N/A,#N/A,TRUE,"Cert. Constr. Manag."}</definedName>
    <definedName name="graf" localSheetId="3" hidden="1">{#N/A,#N/A,TRUE,"Cert.Global";#N/A,#N/A,TRUE,"Cert. M&amp;C";#N/A,#N/A,TRUE,"Cert. Engineering";#N/A,#N/A,TRUE,"Cert. Procurement ";#N/A,#N/A,TRUE,"Cert. Constr. Manag."}</definedName>
    <definedName name="graf" localSheetId="4" hidden="1">{#N/A,#N/A,TRUE,"Cert.Global";#N/A,#N/A,TRUE,"Cert. M&amp;C";#N/A,#N/A,TRUE,"Cert. Engineering";#N/A,#N/A,TRUE,"Cert. Procurement ";#N/A,#N/A,TRUE,"Cert. Constr. Manag."}</definedName>
    <definedName name="graf" localSheetId="5" hidden="1">{#N/A,#N/A,TRUE,"Cert.Global";#N/A,#N/A,TRUE,"Cert. M&amp;C";#N/A,#N/A,TRUE,"Cert. Engineering";#N/A,#N/A,TRUE,"Cert. Procurement ";#N/A,#N/A,TRUE,"Cert. Constr. Manag."}</definedName>
    <definedName name="graf" localSheetId="6" hidden="1">{#N/A,#N/A,TRUE,"Cert.Global";#N/A,#N/A,TRUE,"Cert. M&amp;C";#N/A,#N/A,TRUE,"Cert. Engineering";#N/A,#N/A,TRUE,"Cert. Procurement ";#N/A,#N/A,TRUE,"Cert. Constr. Manag."}</definedName>
    <definedName name="graf" localSheetId="7" hidden="1">{#N/A,#N/A,TRUE,"Cert.Global";#N/A,#N/A,TRUE,"Cert. M&amp;C";#N/A,#N/A,TRUE,"Cert. Engineering";#N/A,#N/A,TRUE,"Cert. Procurement ";#N/A,#N/A,TRUE,"Cert. Constr. Manag."}</definedName>
    <definedName name="graf" localSheetId="8" hidden="1">{#N/A,#N/A,TRUE,"Cert.Global";#N/A,#N/A,TRUE,"Cert. M&amp;C";#N/A,#N/A,TRUE,"Cert. Engineering";#N/A,#N/A,TRUE,"Cert. Procurement ";#N/A,#N/A,TRUE,"Cert. Constr. Manag."}</definedName>
    <definedName name="graf" localSheetId="9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>#REF!</definedName>
    <definedName name="guarderia" localSheetId="0">#REF!</definedName>
    <definedName name="guarderia" localSheetId="1">#REF!</definedName>
    <definedName name="guarderia" localSheetId="2">#REF!</definedName>
    <definedName name="guarderia" localSheetId="3">#REF!</definedName>
    <definedName name="guarderia" localSheetId="4">#REF!</definedName>
    <definedName name="guarderia" localSheetId="5">#REF!</definedName>
    <definedName name="guarderia" localSheetId="6">#REF!</definedName>
    <definedName name="guarderia" localSheetId="7">#REF!</definedName>
    <definedName name="guarderia" localSheetId="8">#REF!</definedName>
    <definedName name="guarderia" localSheetId="9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>#REF!</definedName>
    <definedName name="HAADC">#REF!</definedName>
    <definedName name="HAADE">#REF!</definedName>
    <definedName name="HAADL">#REF!</definedName>
    <definedName name="HAADT">#REF!</definedName>
    <definedName name="HAADV">#REF!</definedName>
    <definedName name="HAAP">#REF!</definedName>
    <definedName name="HAAT">#REF!</definedName>
    <definedName name="HAAV">#REF!</definedName>
    <definedName name="HACAB">#REF!</definedName>
    <definedName name="HACABCP">#REF!</definedName>
    <definedName name="HACABE">#REF!</definedName>
    <definedName name="HACABEE">#REF!</definedName>
    <definedName name="HACABLA">#REF!</definedName>
    <definedName name="HACABLB">#REF!</definedName>
    <definedName name="HACAC">#REF!</definedName>
    <definedName name="HACACT">#REF!</definedName>
    <definedName name="HACAE">#REF!</definedName>
    <definedName name="HACAL">#REF!</definedName>
    <definedName name="HACALF">#REF!</definedName>
    <definedName name="HACAP">#REF!</definedName>
    <definedName name="HACAT">#REF!</definedName>
    <definedName name="HACATS">#REF!</definedName>
    <definedName name="HACAV">#REF!</definedName>
    <definedName name="HACAVF">#REF!</definedName>
    <definedName name="HACHE">#N/A</definedName>
    <definedName name="HACLB">#REF!</definedName>
    <definedName name="HACLD">#REF!</definedName>
    <definedName name="HACTLB">#REF!</definedName>
    <definedName name="HACTLD">#REF!</definedName>
    <definedName name="HAEL">#REF!</definedName>
    <definedName name="HAEMPSA">#REF!</definedName>
    <definedName name="HAEMZA">#REF!</definedName>
    <definedName name="HAET">#REF!</definedName>
    <definedName name="HAETBCP">#REF!</definedName>
    <definedName name="HAETS">#REF!</definedName>
    <definedName name="HAEV">#REF!</definedName>
    <definedName name="HAMH">#REF!</definedName>
    <definedName name="HAPC">#REF!</definedName>
    <definedName name="HAPL">#REF!</definedName>
    <definedName name="HAPV">#REF!</definedName>
    <definedName name="HAREM">#REF!</definedName>
    <definedName name="HARHE">#REF!</definedName>
    <definedName name="HATF">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>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>#REF!</definedName>
    <definedName name="HORM">#REF!</definedName>
    <definedName name="HORMA">#REF!</definedName>
    <definedName name="HP">#REF!</definedName>
    <definedName name="HR">#REF!</definedName>
    <definedName name="Hs">#REF!</definedName>
    <definedName name="HTR">#REF!</definedName>
    <definedName name="Huno">#REF!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>#REF!</definedName>
    <definedName name="Jornal_Basico_Oficial">#REF!</definedName>
    <definedName name="Jornal_Basico_Oficial_Especializado">#REF!</definedName>
    <definedName name="JP">#REF!</definedName>
    <definedName name="JT">#REF!</definedName>
    <definedName name="JUBI">#REF!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8">#REF!</definedName>
    <definedName name="K" localSheetId="9">#REF!</definedName>
    <definedName name="K">#REF!</definedName>
    <definedName name="kh">#REF!</definedName>
    <definedName name="kha">#REF!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8">#REF!</definedName>
    <definedName name="l" localSheetId="9">#REF!</definedName>
    <definedName name="l">#REF!</definedName>
    <definedName name="LA">#N/A</definedName>
    <definedName name="Last_Row">#N/A</definedName>
    <definedName name="LB">#N/A</definedName>
    <definedName name="LCPCB">#REF!</definedName>
    <definedName name="LCPCI06">#REF!</definedName>
    <definedName name="LCPCID12">#REF!</definedName>
    <definedName name="LCPCR">#REF!</definedName>
    <definedName name="LCPCRE">#REF!</definedName>
    <definedName name="LCPCV">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>#REF!</definedName>
    <definedName name="MAABY">#REF!</definedName>
    <definedName name="MAALC">#REF!</definedName>
    <definedName name="MAALH">#REF!</definedName>
    <definedName name="MAALHP">#REF!</definedName>
    <definedName name="MAALV">#REF!</definedName>
    <definedName name="MAAP">#REF!</definedName>
    <definedName name="MAAPY">#REF!</definedName>
    <definedName name="MABBC">#REF!</definedName>
    <definedName name="MABBY">#REF!</definedName>
    <definedName name="MABLC">#REF!</definedName>
    <definedName name="MABLH">#REF!</definedName>
    <definedName name="MABLHP">#REF!</definedName>
    <definedName name="MABLV">#REF!</definedName>
    <definedName name="MABP">#REF!</definedName>
    <definedName name="MABPY">#REF!</definedName>
    <definedName name="MACBC">#REF!</definedName>
    <definedName name="MACBY">#REF!</definedName>
    <definedName name="MACLC">#REF!</definedName>
    <definedName name="MACLH">#REF!</definedName>
    <definedName name="MACLHP">#REF!</definedName>
    <definedName name="MACLV">#REF!</definedName>
    <definedName name="MACPLY">#REF!</definedName>
    <definedName name="MACPY">#REF!</definedName>
    <definedName name="MACV">#REF!</definedName>
    <definedName name="mad">#REF!</definedName>
    <definedName name="MADLH">#REF!</definedName>
    <definedName name="MAEJ">#REF!</definedName>
    <definedName name="MAENM">#REF!</definedName>
    <definedName name="MAMPOSTERIA">#REF!</definedName>
    <definedName name="MANOBRA">#N/A</definedName>
    <definedName name="manodeo">#REF!</definedName>
    <definedName name="manodeobra" localSheetId="0">#REF!</definedName>
    <definedName name="manodeobra" localSheetId="1">#REF!</definedName>
    <definedName name="manodeobra" localSheetId="2">#REF!</definedName>
    <definedName name="manodeobra" localSheetId="3">#REF!</definedName>
    <definedName name="manodeobra" localSheetId="4">#REF!</definedName>
    <definedName name="manodeobra" localSheetId="5">#REF!</definedName>
    <definedName name="manodeobra" localSheetId="6">#REF!</definedName>
    <definedName name="manodeobra" localSheetId="7">#REF!</definedName>
    <definedName name="manodeobra" localSheetId="8">#REF!</definedName>
    <definedName name="manodeobra" localSheetId="9">#REF!</definedName>
    <definedName name="manodeobra">#REF!</definedName>
    <definedName name="MAPBC">#REF!</definedName>
    <definedName name="MAPBY">#REF!</definedName>
    <definedName name="MAPJ">#REF!</definedName>
    <definedName name="MAPLC">#REF!</definedName>
    <definedName name="MAPLH">#REF!</definedName>
    <definedName name="MAPLHP">#REF!</definedName>
    <definedName name="MAPLV">#REF!</definedName>
    <definedName name="MAPPY">#REF!</definedName>
    <definedName name="MAR">#REF!</definedName>
    <definedName name="MARHD">#REF!</definedName>
    <definedName name="MARHH">#REF!</definedName>
    <definedName name="MARHM">#REF!</definedName>
    <definedName name="MARHR">#REF!</definedName>
    <definedName name="MARHT">#REF!</definedName>
    <definedName name="MARLA">#REF!</definedName>
    <definedName name="MARLB">#REF!</definedName>
    <definedName name="MARP">#REF!</definedName>
    <definedName name="mat">#REF!</definedName>
    <definedName name="materiales">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>#REF!</definedName>
    <definedName name="MMCCA">#REF!</definedName>
    <definedName name="MMCDE">#REF!</definedName>
    <definedName name="MMDMA">#REF!</definedName>
    <definedName name="MMDMC">#REF!</definedName>
    <definedName name="MMDMD">#REF!</definedName>
    <definedName name="MMDME">#REF!</definedName>
    <definedName name="MMDMP">#REF!</definedName>
    <definedName name="MMDMT">#REF!</definedName>
    <definedName name="MMDMV">#REF!</definedName>
    <definedName name="mmm">#REF!</definedName>
    <definedName name="MMRC">#REF!</definedName>
    <definedName name="MMVC">#REF!</definedName>
    <definedName name="Monto_Certif.">#REF!</definedName>
    <definedName name="MOREGAS">#REF!</definedName>
    <definedName name="mov">#REF!</definedName>
    <definedName name="movilizacion">#REF!</definedName>
    <definedName name="MQ">#REF!</definedName>
    <definedName name="MSAP">#REF!</definedName>
    <definedName name="MSAS">#REF!</definedName>
    <definedName name="MSLS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>#REF!</definedName>
    <definedName name="nago">#REF!</definedName>
    <definedName name="NEW">#REF!</definedName>
    <definedName name="NEW_E1">#REF!</definedName>
    <definedName name="Normal">#REF!</definedName>
    <definedName name="NRO">#REF!</definedName>
    <definedName name="Nro_Pisos">#REF!</definedName>
    <definedName name="NUEVAHOJA">#REF!</definedName>
    <definedName name="Num_Pmt_Per_Year">#REF!</definedName>
    <definedName name="Number_of_Payments" localSheetId="0">MATCH(0.01,End_Bal,-1)+1</definedName>
    <definedName name="Number_of_Payments" localSheetId="1">MATCH(0.01,[0]!End_Bal,-1)+1</definedName>
    <definedName name="Number_of_Payments" localSheetId="2">MATCH(0.01,[0]!End_Bal,-1)+1</definedName>
    <definedName name="Number_of_Payments" localSheetId="3">MATCH(0.01,[0]!End_Bal,-1)+1</definedName>
    <definedName name="Number_of_Payments" localSheetId="4">MATCH(0.01,[0]!End_Bal,-1)+1</definedName>
    <definedName name="Number_of_Payments" localSheetId="5">MATCH(0.01,[0]!End_Bal,-1)+1</definedName>
    <definedName name="Number_of_Payments" localSheetId="6">MATCH(0.01,[0]!End_Bal,-1)+1</definedName>
    <definedName name="Number_of_Payments" localSheetId="7">MATCH(0.01,[0]!End_Bal,-1)+1</definedName>
    <definedName name="Number_of_Payments" localSheetId="8">MATCH(0.01,[0]!End_Bal,-1)+1</definedName>
    <definedName name="Number_of_Payments" localSheetId="9">MATCH(0.01,[0]!End_Bal,-1)+1</definedName>
    <definedName name="Number_of_Payments">MATCH(0.01,End_Bal,-1)+1</definedName>
    <definedName name="Numero_Unidades_Funcionales">#REF!</definedName>
    <definedName name="OBR">#REF!</definedName>
    <definedName name="Obra">#REF!</definedName>
    <definedName name="OBRA__CASA_LOUZAN" localSheetId="0">#REF!</definedName>
    <definedName name="OBRA__CASA_LOUZAN" localSheetId="1">#REF!</definedName>
    <definedName name="OBRA__CASA_LOUZAN" localSheetId="2">#REF!</definedName>
    <definedName name="OBRA__CASA_LOUZAN" localSheetId="3">#REF!</definedName>
    <definedName name="OBRA__CASA_LOUZAN" localSheetId="4">#REF!</definedName>
    <definedName name="OBRA__CASA_LOUZAN" localSheetId="5">#REF!</definedName>
    <definedName name="OBRA__CASA_LOUZAN" localSheetId="6">#REF!</definedName>
    <definedName name="OBRA__CASA_LOUZAN" localSheetId="7">#REF!</definedName>
    <definedName name="OBRA__CASA_LOUZAN" localSheetId="8">#REF!</definedName>
    <definedName name="OBRA__CASA_LOUZAN" localSheetId="9">#REF!</definedName>
    <definedName name="OBRA__CASA_LOUZAN">#REF!</definedName>
    <definedName name="OBRA_DE_TOMA">#REF!</definedName>
    <definedName name="OFER">#REF!</definedName>
    <definedName name="ofEspecial">#REF!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0">#REF!</definedName>
    <definedName name="PASE" localSheetId="1">#REF!</definedName>
    <definedName name="PASE" localSheetId="2">#REF!</definedName>
    <definedName name="PASE" localSheetId="3">#REF!</definedName>
    <definedName name="PASE" localSheetId="4">#REF!</definedName>
    <definedName name="PASE" localSheetId="5">#REF!</definedName>
    <definedName name="PASE" localSheetId="6">#REF!</definedName>
    <definedName name="PASE" localSheetId="7">#REF!</definedName>
    <definedName name="PASE" localSheetId="8">#REF!</definedName>
    <definedName name="PASE" localSheetId="9">#REF!</definedName>
    <definedName name="PASE">#REF!</definedName>
    <definedName name="paso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>DATE(YEAR(Loan_Start),MONTH(Loan_Start)+Payment_Number,DAY(Loan_Start))</definedName>
    <definedName name="PEESC">#REF!</definedName>
    <definedName name="pepe">#REF!</definedName>
    <definedName name="PerfilC" comment="PERFIL C">#REF!</definedName>
    <definedName name="perfiles">#REF!</definedName>
    <definedName name="Pern.">#REF!</definedName>
    <definedName name="pf">#REF!</definedName>
    <definedName name="PIAM">#REF!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>#REF!</definedName>
    <definedName name="Plazo_de_obra">#REF!</definedName>
    <definedName name="Plazo_Obra">#REF!</definedName>
    <definedName name="Plus">#REF!</definedName>
    <definedName name="Plus_No_Remunerativo">#REF!</definedName>
    <definedName name="Plus_No_Remunerativo_Ayudante">#REF!</definedName>
    <definedName name="Plus_No_Remunerativo_Oficial">#REF!</definedName>
    <definedName name="Plus_No_Remunerativo_Oficial_Especializado">#REF!</definedName>
    <definedName name="Pmax">#REF!</definedName>
    <definedName name="PNA">#REF!</definedName>
    <definedName name="PNAV">#REF!</definedName>
    <definedName name="PNL">#REF!</definedName>
    <definedName name="PNP">#REF!</definedName>
    <definedName name="POficial">#REF!</definedName>
    <definedName name="Pp">#REF!</definedName>
    <definedName name="PPA">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>#REF!</definedName>
    <definedName name="PRECIO">#REF!</definedName>
    <definedName name="PRECIO_TOTAL">#REF!</definedName>
    <definedName name="premerreadec">#REF!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0">#REF!</definedName>
    <definedName name="PRESUP" localSheetId="1">#REF!</definedName>
    <definedName name="PRESUP" localSheetId="2">#REF!</definedName>
    <definedName name="PRESUP" localSheetId="3">#REF!</definedName>
    <definedName name="PRESUP" localSheetId="4">#REF!</definedName>
    <definedName name="PRESUP" localSheetId="5">#REF!</definedName>
    <definedName name="PRESUP" localSheetId="6">#REF!</definedName>
    <definedName name="PRESUP" localSheetId="7">#REF!</definedName>
    <definedName name="PRESUP" localSheetId="8">#REF!</definedName>
    <definedName name="PRESUP" localSheetId="9">#REF!</definedName>
    <definedName name="PRESUP">#REF!</definedName>
    <definedName name="presuporcentaje" localSheetId="0">#REF!</definedName>
    <definedName name="presuporcentaje" localSheetId="1">#REF!</definedName>
    <definedName name="presuporcentaje" localSheetId="2">#REF!</definedName>
    <definedName name="presuporcentaje" localSheetId="3">#REF!</definedName>
    <definedName name="presuporcentaje" localSheetId="4">#REF!</definedName>
    <definedName name="presuporcentaje" localSheetId="5">#REF!</definedName>
    <definedName name="presuporcentaje" localSheetId="6">#REF!</definedName>
    <definedName name="presuporcentaje" localSheetId="7">#REF!</definedName>
    <definedName name="presuporcentaje" localSheetId="8">#REF!</definedName>
    <definedName name="presuporcentaje" localSheetId="9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_xlnm.Print_Area" localSheetId="0">'GDR 3760_Pto. 01_Cert. 01'!$A$1:$H$50</definedName>
    <definedName name="_xlnm.Print_Area" localSheetId="1">'GDR 3760_Pto. 01_Cert. 02'!$A$1:$H$50</definedName>
    <definedName name="_xlnm.Print_Area" localSheetId="2">'GDR 3760_Pto. 01_Cert. 03'!$A$1:$H$50</definedName>
    <definedName name="_xlnm.Print_Area" localSheetId="3">'GDR 3760_Pto. 01_Cert. 04'!$A$1:$H$50</definedName>
    <definedName name="_xlnm.Print_Area" localSheetId="4">'GDR 3760_Pto. 01_Cert. 05'!$A$1:$H$50</definedName>
    <definedName name="_xlnm.Print_Area" localSheetId="5">'GDR 3760_Pto. 01_Cert. 06'!$A$1:$H$50</definedName>
    <definedName name="_xlnm.Print_Area" localSheetId="6">'GDR 3760_Pto. 01_Cert. 07'!$A$1:$H$50</definedName>
    <definedName name="_xlnm.Print_Area" localSheetId="7">'GDR 3760_Pto. 01_Cert. 08'!$A$1:$H$50</definedName>
    <definedName name="_xlnm.Print_Area" localSheetId="8">'GDR 3760_Pto. 01_Cert. 09'!$A$1:$H$50</definedName>
    <definedName name="_xlnm.Print_Area" localSheetId="9">'GDR 3760_Pto. 01_Cert. 09 (2)'!$A$1:$H$56</definedName>
    <definedName name="_xlnm.Print_Area">#REF!</definedName>
    <definedName name="PRINT_AREA_MI">#REF!</definedName>
    <definedName name="Print_Area_Reset" localSheetId="0">OFFSET(Full_Print,0,0,Last_Row)</definedName>
    <definedName name="Print_Area_Reset" localSheetId="1">OFFSET([0]!Full_Print,0,0,[0]!Last_Row)</definedName>
    <definedName name="Print_Area_Reset" localSheetId="2">OFFSET([0]!Full_Print,0,0,[0]!Last_Row)</definedName>
    <definedName name="Print_Area_Reset" localSheetId="3">OFFSET([0]!Full_Print,0,0,[0]!Last_Row)</definedName>
    <definedName name="Print_Area_Reset" localSheetId="4">OFFSET([0]!Full_Print,0,0,[0]!Last_Row)</definedName>
    <definedName name="Print_Area_Reset" localSheetId="5">OFFSET([0]!Full_Print,0,0,[0]!Last_Row)</definedName>
    <definedName name="Print_Area_Reset" localSheetId="6">OFFSET([0]!Full_Print,0,0,[0]!Last_Row)</definedName>
    <definedName name="Print_Area_Reset" localSheetId="7">OFFSET([0]!Full_Print,0,0,[0]!Last_Row)</definedName>
    <definedName name="Print_Area_Reset" localSheetId="8">OFFSET([0]!Full_Print,0,0,[0]!Last_Row)</definedName>
    <definedName name="Print_Area_Reset" localSheetId="9">OFFSET([0]!Full_Print,0,0,[0]!Last_Row)</definedName>
    <definedName name="Print_Area_Reset">OFFSET(Full_Print,0,0,Last_Row)</definedName>
    <definedName name="_xlnm.Print_Titles" localSheetId="0">'GDR 3760_Pto. 01_Cert. 01'!$7:$7</definedName>
    <definedName name="_xlnm.Print_Titles" localSheetId="1">'GDR 3760_Pto. 01_Cert. 02'!$7:$7</definedName>
    <definedName name="_xlnm.Print_Titles" localSheetId="2">'GDR 3760_Pto. 01_Cert. 03'!$7:$7</definedName>
    <definedName name="_xlnm.Print_Titles" localSheetId="3">'GDR 3760_Pto. 01_Cert. 04'!$7:$7</definedName>
    <definedName name="_xlnm.Print_Titles" localSheetId="4">'GDR 3760_Pto. 01_Cert. 05'!$7:$7</definedName>
    <definedName name="_xlnm.Print_Titles" localSheetId="5">'GDR 3760_Pto. 01_Cert. 06'!$7:$7</definedName>
    <definedName name="_xlnm.Print_Titles" localSheetId="6">'GDR 3760_Pto. 01_Cert. 07'!$7:$7</definedName>
    <definedName name="_xlnm.Print_Titles" localSheetId="7">'GDR 3760_Pto. 01_Cert. 08'!$7:$7</definedName>
    <definedName name="_xlnm.Print_Titles" localSheetId="8">'GDR 3760_Pto. 01_Cert. 09'!$7:$7</definedName>
    <definedName name="_xlnm.Print_Titles" localSheetId="9">'GDR 3760_Pto. 01_Cert. 09 (2)'!$7:$7</definedName>
    <definedName name="_xlnm.Print_Titles">#REF!</definedName>
    <definedName name="printercanal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localSheetId="0" hidden="1">{"DECIMAL",#N/A,FALSE,"02"}</definedName>
    <definedName name="pro" localSheetId="1" hidden="1">{"DECIMAL",#N/A,FALSE,"02"}</definedName>
    <definedName name="pro" localSheetId="2" hidden="1">{"DECIMAL",#N/A,FALSE,"02"}</definedName>
    <definedName name="pro" localSheetId="3" hidden="1">{"DECIMAL",#N/A,FALSE,"02"}</definedName>
    <definedName name="pro" localSheetId="4" hidden="1">{"DECIMAL",#N/A,FALSE,"02"}</definedName>
    <definedName name="pro" localSheetId="5" hidden="1">{"DECIMAL",#N/A,FALSE,"02"}</definedName>
    <definedName name="pro" localSheetId="6" hidden="1">{"DECIMAL",#N/A,FALSE,"02"}</definedName>
    <definedName name="pro" localSheetId="7" hidden="1">{"DECIMAL",#N/A,FALSE,"02"}</definedName>
    <definedName name="pro" localSheetId="8" hidden="1">{"DECIMAL",#N/A,FALSE,"02"}</definedName>
    <definedName name="pro" localSheetId="9" hidden="1">{"DECIMAL",#N/A,FALSE,"02"}</definedName>
    <definedName name="pro" hidden="1">{"DECIMAL",#N/A,FALSE,"02"}</definedName>
    <definedName name="Prof_fund">#REF!</definedName>
    <definedName name="Prof_Tensor">#REF!</definedName>
    <definedName name="Progress" localSheetId="0" hidden="1">{#N/A,#N/A,FALSE,"Monthly report";#N/A,#N/A,FALSE,"M.R. UEM";#N/A,#N/A,FALSE,"M.R. VCM"}</definedName>
    <definedName name="Progress" localSheetId="1" hidden="1">{#N/A,#N/A,FALSE,"Monthly report";#N/A,#N/A,FALSE,"M.R. UEM";#N/A,#N/A,FALSE,"M.R. VCM"}</definedName>
    <definedName name="Progress" localSheetId="2" hidden="1">{#N/A,#N/A,FALSE,"Monthly report";#N/A,#N/A,FALSE,"M.R. UEM";#N/A,#N/A,FALSE,"M.R. VCM"}</definedName>
    <definedName name="Progress" localSheetId="3" hidden="1">{#N/A,#N/A,FALSE,"Monthly report";#N/A,#N/A,FALSE,"M.R. UEM";#N/A,#N/A,FALSE,"M.R. VCM"}</definedName>
    <definedName name="Progress" localSheetId="4" hidden="1">{#N/A,#N/A,FALSE,"Monthly report";#N/A,#N/A,FALSE,"M.R. UEM";#N/A,#N/A,FALSE,"M.R. VCM"}</definedName>
    <definedName name="Progress" localSheetId="5" hidden="1">{#N/A,#N/A,FALSE,"Monthly report";#N/A,#N/A,FALSE,"M.R. UEM";#N/A,#N/A,FALSE,"M.R. VCM"}</definedName>
    <definedName name="Progress" localSheetId="6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0">L2C1:L372C15</definedName>
    <definedName name="rangobase" localSheetId="1">L2C1:L372C15</definedName>
    <definedName name="rangobase" localSheetId="2">L2C1:L372C15</definedName>
    <definedName name="rangobase" localSheetId="3">L2C1:L372C15</definedName>
    <definedName name="rangobase" localSheetId="4">L2C1:L372C15</definedName>
    <definedName name="rangobase" localSheetId="5">L2C1:L372C15</definedName>
    <definedName name="rangobase" localSheetId="6">L2C1:L372C15</definedName>
    <definedName name="rangobase" localSheetId="7">L2C1:L372C15</definedName>
    <definedName name="rangobase" localSheetId="8">L2C1:L372C15</definedName>
    <definedName name="rangobase" localSheetId="9">L2C1:L372C15</definedName>
    <definedName name="rangobase">L2C1:L372C15</definedName>
    <definedName name="rangoformulas">#REF!</definedName>
    <definedName name="RB" localSheetId="0">L2C1:L372C15</definedName>
    <definedName name="RB" localSheetId="1">L2C1:L372C15</definedName>
    <definedName name="RB" localSheetId="2">L2C1:L372C15</definedName>
    <definedName name="RB" localSheetId="3">L2C1:L372C15</definedName>
    <definedName name="RB" localSheetId="4">L2C1:L372C15</definedName>
    <definedName name="RB" localSheetId="5">L2C1:L372C15</definedName>
    <definedName name="RB" localSheetId="6">L2C1:L372C15</definedName>
    <definedName name="RB" localSheetId="7">L2C1:L372C15</definedName>
    <definedName name="RB" localSheetId="8">L2C1:L372C15</definedName>
    <definedName name="RB" localSheetId="9">L2C1:L372C15</definedName>
    <definedName name="RB">L2C1:L372C15</definedName>
    <definedName name="RBASE" localSheetId="0">L2C1:L372C15</definedName>
    <definedName name="RBASE" localSheetId="1">L2C1:L372C15</definedName>
    <definedName name="RBASE" localSheetId="2">L2C1:L372C15</definedName>
    <definedName name="RBASE" localSheetId="3">L2C1:L372C15</definedName>
    <definedName name="RBASE" localSheetId="4">L2C1:L372C15</definedName>
    <definedName name="RBASE" localSheetId="5">L2C1:L372C15</definedName>
    <definedName name="RBASE" localSheetId="6">L2C1:L372C15</definedName>
    <definedName name="RBASE" localSheetId="7">L2C1:L372C15</definedName>
    <definedName name="RBASE" localSheetId="8">L2C1:L372C15</definedName>
    <definedName name="RBASE" localSheetId="9">L2C1:L372C15</definedName>
    <definedName name="RBASE">L2C1:L372C15</definedName>
    <definedName name="re" localSheetId="0" hidden="1">{#N/A,#N/A,FALSE,"Monthly report";#N/A,#N/A,FALSE,"M.R. UEM";#N/A,#N/A,FALSE,"M.R. VCM"}</definedName>
    <definedName name="re" localSheetId="1" hidden="1">{#N/A,#N/A,FALSE,"Monthly report";#N/A,#N/A,FALSE,"M.R. UEM";#N/A,#N/A,FALSE,"M.R. VCM"}</definedName>
    <definedName name="re" localSheetId="2" hidden="1">{#N/A,#N/A,FALSE,"Monthly report";#N/A,#N/A,FALSE,"M.R. UEM";#N/A,#N/A,FALSE,"M.R. VCM"}</definedName>
    <definedName name="re" localSheetId="3" hidden="1">{#N/A,#N/A,FALSE,"Monthly report";#N/A,#N/A,FALSE,"M.R. UEM";#N/A,#N/A,FALSE,"M.R. VCM"}</definedName>
    <definedName name="re" localSheetId="4" hidden="1">{#N/A,#N/A,FALSE,"Monthly report";#N/A,#N/A,FALSE,"M.R. UEM";#N/A,#N/A,FALSE,"M.R. VCM"}</definedName>
    <definedName name="re" localSheetId="5" hidden="1">{#N/A,#N/A,FALSE,"Monthly report";#N/A,#N/A,FALSE,"M.R. UEM";#N/A,#N/A,FALSE,"M.R. VCM"}</definedName>
    <definedName name="re" localSheetId="6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>#REF!</definedName>
    <definedName name="RSARL">#REF!</definedName>
    <definedName name="RSAZCE">#REF!</definedName>
    <definedName name="RSAZM">#REF!</definedName>
    <definedName name="RSCOL">#REF!</definedName>
    <definedName name="RSLD">#REF!</definedName>
    <definedName name="RSPD">#REF!</definedName>
    <definedName name="RSPZM">#REF!</definedName>
    <definedName name="ryrc">#REF!</definedName>
    <definedName name="ryrr">#REF!</definedName>
    <definedName name="S">#REF!</definedName>
    <definedName name="sa" localSheetId="0" hidden="1">#REF!</definedName>
    <definedName name="sa" localSheetId="1" hidden="1">#REF!</definedName>
    <definedName name="sa" localSheetId="2" hidden="1">#REF!</definedName>
    <definedName name="sa" localSheetId="3" hidden="1">#REF!</definedName>
    <definedName name="sa" localSheetId="4" hidden="1">#REF!</definedName>
    <definedName name="sa" localSheetId="5" hidden="1">#REF!</definedName>
    <definedName name="sa" localSheetId="6" hidden="1">#REF!</definedName>
    <definedName name="sa" localSheetId="7" hidden="1">#REF!</definedName>
    <definedName name="sa" localSheetId="8" hidden="1">#REF!</definedName>
    <definedName name="sa" localSheetId="9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>#REF!</definedName>
    <definedName name="SECCIONES_DIV">#REF!</definedName>
    <definedName name="SEG">#REF!</definedName>
    <definedName name="SEGUNDA">#REF!</definedName>
    <definedName name="Seguro_de_Vida_Obligatorio">#REF!</definedName>
    <definedName name="SIG__">#N/A</definedName>
    <definedName name="SIG2__">#N/A</definedName>
    <definedName name="sigmabk">#REF!</definedName>
    <definedName name="sigmabk_c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ssssssssss">#REF!</definedName>
    <definedName name="ssssssssssssssssssss">#REF!</definedName>
    <definedName name="SUBTOTAL">#REF!</definedName>
    <definedName name="Sueldo_Anual_Complementario">#REF!</definedName>
    <definedName name="Suelo">#REF!</definedName>
    <definedName name="SumaItems">#REF!</definedName>
    <definedName name="Summary">#REF!</definedName>
    <definedName name="Sup_Cubierta">#REF!</definedName>
    <definedName name="Sup_Lote">#REF!</definedName>
    <definedName name="Sup_Proyecto">#REF!</definedName>
    <definedName name="Sup_Terreno">#REF!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>#REF!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>#REF!</definedName>
    <definedName name="TITULOS">#REF!</definedName>
    <definedName name="TITULOS_A_IMPRIMIR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 localSheetId="4">#REF!</definedName>
    <definedName name="Títulos_a_imprimir_IM" localSheetId="5">#REF!</definedName>
    <definedName name="Títulos_a_imprimir_IM" localSheetId="6">#REF!</definedName>
    <definedName name="Títulos_a_imprimir_IM" localSheetId="7">#REF!</definedName>
    <definedName name="Títulos_a_imprimir_IM" localSheetId="8">#REF!</definedName>
    <definedName name="Títulos_a_imprimir_IM" localSheetId="9">#REF!</definedName>
    <definedName name="Títulos_a_imprimir_IM">#REF!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4">Scheduled_Payment+Extra_Payment</definedName>
    <definedName name="Total_Payment" localSheetId="5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>Scheduled_Payment+Extra_Payment</definedName>
    <definedName name="TOTAL_SISTEMA_DE_ACUEDUCTOS_A_PRECIO_FINAL">#REF!</definedName>
    <definedName name="totalcert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>#REF!</definedName>
    <definedName name="UOCRA">#REF!</definedName>
    <definedName name="UOCRA_Cargo_Fijo">#REF!</definedName>
    <definedName name="UPN">#REF!</definedName>
    <definedName name="USD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0">#REF!</definedName>
    <definedName name="valoresequipo" localSheetId="1">#REF!</definedName>
    <definedName name="valoresequipo" localSheetId="2">#REF!</definedName>
    <definedName name="valoresequipo" localSheetId="3">#REF!</definedName>
    <definedName name="valoresequipo" localSheetId="4">#REF!</definedName>
    <definedName name="valoresequipo" localSheetId="5">#REF!</definedName>
    <definedName name="valoresequipo" localSheetId="6">#REF!</definedName>
    <definedName name="valoresequipo" localSheetId="7">#REF!</definedName>
    <definedName name="valoresequipo" localSheetId="8">#REF!</definedName>
    <definedName name="valoresequipo" localSheetId="9">#REF!</definedName>
    <definedName name="valoresequipo">#REF!</definedName>
    <definedName name="Values_Entered" localSheetId="0">IF(Loan_Amount*Interest_Rate*Loan_Years*Loan_Start&gt;0,1,0)</definedName>
    <definedName name="Values_Entered" localSheetId="1">IF([0]!Loan_Amount*[0]!Interest_Rate*[0]!Loan_Years*[0]!Loan_Start&gt;0,1,0)</definedName>
    <definedName name="Values_Entered" localSheetId="2">IF([0]!Loan_Amount*[0]!Interest_Rate*[0]!Loan_Years*[0]!Loan_Start&gt;0,1,0)</definedName>
    <definedName name="Values_Entered" localSheetId="3">IF([0]!Loan_Amount*[0]!Interest_Rate*[0]!Loan_Years*[0]!Loan_Start&gt;0,1,0)</definedName>
    <definedName name="Values_Entered" localSheetId="4">IF([0]!Loan_Amount*[0]!Interest_Rate*[0]!Loan_Years*[0]!Loan_Start&gt;0,1,0)</definedName>
    <definedName name="Values_Entered" localSheetId="5">IF([0]!Loan_Amount*[0]!Interest_Rate*[0]!Loan_Years*[0]!Loan_Start&gt;0,1,0)</definedName>
    <definedName name="Values_Entered" localSheetId="6">IF([0]!Loan_Amount*[0]!Interest_Rate*[0]!Loan_Years*[0]!Loan_Start&gt;0,1,0)</definedName>
    <definedName name="Values_Entered" localSheetId="7">IF([0]!Loan_Amount*[0]!Interest_Rate*[0]!Loan_Years*[0]!Loan_Start&gt;0,1,0)</definedName>
    <definedName name="Values_Entered" localSheetId="8">IF([0]!Loan_Amount*[0]!Interest_Rate*[0]!Loan_Years*[0]!Loan_Start&gt;0,1,0)</definedName>
    <definedName name="Values_Entered" localSheetId="9">IF([0]!Loan_Amount*[0]!Interest_Rate*[0]!Loan_Years*[0]!Loan_Start&gt;0,1,0)</definedName>
    <definedName name="Values_Entered">IF(Loan_Amount*Interest_Rate*Loan_Years*Loan_Start&gt;0,1,0)</definedName>
    <definedName name="vaponeo">#REF!</definedName>
    <definedName name="varmco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localSheetId="0" hidden="1">{"NORMAL",#N/A,FALSE,"02"}</definedName>
    <definedName name="W" localSheetId="1" hidden="1">{"NORMAL",#N/A,FALSE,"02"}</definedName>
    <definedName name="W" localSheetId="2" hidden="1">{"NORMAL",#N/A,FALSE,"02"}</definedName>
    <definedName name="W" localSheetId="3" hidden="1">{"NORMAL",#N/A,FALSE,"02"}</definedName>
    <definedName name="W" localSheetId="4" hidden="1">{"NORMAL",#N/A,FALSE,"02"}</definedName>
    <definedName name="W" localSheetId="5" hidden="1">{"NORMAL",#N/A,FALSE,"02"}</definedName>
    <definedName name="W" localSheetId="6" hidden="1">{"NORMAL",#N/A,FALSE,"02"}</definedName>
    <definedName name="W" localSheetId="7" hidden="1">{"NORMAL",#N/A,FALSE,"02"}</definedName>
    <definedName name="W" localSheetId="8" hidden="1">{"NORMAL",#N/A,FALSE,"02"}</definedName>
    <definedName name="W" localSheetId="9" hidden="1">{"NORMAL",#N/A,FALSE,"02"}</definedName>
    <definedName name="W" hidden="1">{"NORMAL",#N/A,FALSE,"02"}</definedName>
    <definedName name="we" localSheetId="0">#REF!</definedName>
    <definedName name="we" localSheetId="1">#REF!</definedName>
    <definedName name="we" localSheetId="2">#REF!</definedName>
    <definedName name="we" localSheetId="3">#REF!</definedName>
    <definedName name="we" localSheetId="4">#REF!</definedName>
    <definedName name="we" localSheetId="5">#REF!</definedName>
    <definedName name="we" localSheetId="6">#REF!</definedName>
    <definedName name="we" localSheetId="7">#REF!</definedName>
    <definedName name="we" localSheetId="8">#REF!</definedName>
    <definedName name="we" localSheetId="9">#REF!</definedName>
    <definedName name="we">#REF!</definedName>
    <definedName name="wrn.02INFORME." localSheetId="0" hidden="1">{"NORMAL",#N/A,FALSE,"02"}</definedName>
    <definedName name="wrn.02INFORME." localSheetId="1" hidden="1">{"NORMAL",#N/A,FALSE,"02"}</definedName>
    <definedName name="wrn.02INFORME." localSheetId="2" hidden="1">{"NORMAL",#N/A,FALSE,"02"}</definedName>
    <definedName name="wrn.02INFORME." localSheetId="3" hidden="1">{"NORMAL",#N/A,FALSE,"02"}</definedName>
    <definedName name="wrn.02INFORME." localSheetId="4" hidden="1">{"NORMAL",#N/A,FALSE,"02"}</definedName>
    <definedName name="wrn.02INFORME." localSheetId="5" hidden="1">{"NORMAL",#N/A,FALSE,"02"}</definedName>
    <definedName name="wrn.02INFORME." localSheetId="6" hidden="1">{"NORMAL",#N/A,FALSE,"02"}</definedName>
    <definedName name="wrn.02INFORME." localSheetId="7" hidden="1">{"NORMAL",#N/A,FALSE,"02"}</definedName>
    <definedName name="wrn.02INFORME." localSheetId="8" hidden="1">{"NORMAL",#N/A,FALSE,"02"}</definedName>
    <definedName name="wrn.02INFORME." localSheetId="9" hidden="1">{"NORMAL",#N/A,FALSE,"02"}</definedName>
    <definedName name="wrn.02INFORME." hidden="1">{"NORMAL",#N/A,FALSE,"02"}</definedName>
    <definedName name="wrn.DECIMAL." localSheetId="0" hidden="1">{"DECIMAL",#N/A,FALSE,"02"}</definedName>
    <definedName name="wrn.DECIMAL." localSheetId="1" hidden="1">{"DECIMAL",#N/A,FALSE,"02"}</definedName>
    <definedName name="wrn.DECIMAL." localSheetId="2" hidden="1">{"DECIMAL",#N/A,FALSE,"02"}</definedName>
    <definedName name="wrn.DECIMAL." localSheetId="3" hidden="1">{"DECIMAL",#N/A,FALSE,"02"}</definedName>
    <definedName name="wrn.DECIMAL." localSheetId="4" hidden="1">{"DECIMAL",#N/A,FALSE,"02"}</definedName>
    <definedName name="wrn.DECIMAL." localSheetId="5" hidden="1">{"DECIMAL",#N/A,FALSE,"02"}</definedName>
    <definedName name="wrn.DECIMAL." localSheetId="6" hidden="1">{"DECIMAL",#N/A,FALSE,"02"}</definedName>
    <definedName name="wrn.DECIMAL." localSheetId="7" hidden="1">{"DECIMAL",#N/A,FALSE,"02"}</definedName>
    <definedName name="wrn.DECIMAL." localSheetId="8" hidden="1">{"DECIMAL",#N/A,FALSE,"02"}</definedName>
    <definedName name="wrn.DECIMAL." localSheetId="9" hidden="1">{"DECIMAL",#N/A,FALSE,"02"}</definedName>
    <definedName name="wrn.DECIMAL." hidden="1">{"DECIMAL",#N/A,FALSE,"02"}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3" hidden="1">{#N/A,#N/A,TRUE,"Cert.Global";#N/A,#N/A,TRUE,"Cert. M&amp;C";#N/A,#N/A,TRUE,"Cert. Engineering";#N/A,#N/A,TRUE,"Cert. Procurement ";#N/A,#N/A,TRUE,"Cert. Constr. Manag."}</definedName>
    <definedName name="wrn.Graficos._.CG." localSheetId="4" hidden="1">{#N/A,#N/A,TRUE,"Cert.Global";#N/A,#N/A,TRUE,"Cert. M&amp;C";#N/A,#N/A,TRUE,"Cert. Engineering";#N/A,#N/A,TRUE,"Cert. Procurement ";#N/A,#N/A,TRUE,"Cert. Constr. Manag."}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0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localSheetId="3" hidden="1">{#N/A,#N/A,FALSE,"Monthly report";#N/A,#N/A,FALSE,"M.R. UEM";#N/A,#N/A,FALSE,"M.R. VCM"}</definedName>
    <definedName name="wrn.Report._.Mensual." localSheetId="4" hidden="1">{#N/A,#N/A,FALSE,"Monthly report";#N/A,#N/A,FALSE,"M.R. UEM";#N/A,#N/A,FALSE,"M.R. VCM"}</definedName>
    <definedName name="wrn.Report._.Mensual." localSheetId="5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0" hidden="1">{"DECIMAL",#N/A,FALSE,"02"}</definedName>
    <definedName name="x" localSheetId="1" hidden="1">{"DECIMAL",#N/A,FALSE,"02"}</definedName>
    <definedName name="x" localSheetId="2" hidden="1">{"DECIMAL",#N/A,FALSE,"02"}</definedName>
    <definedName name="x" localSheetId="3" hidden="1">{"DECIMAL",#N/A,FALSE,"02"}</definedName>
    <definedName name="x" localSheetId="4" hidden="1">{"DECIMAL",#N/A,FALSE,"02"}</definedName>
    <definedName name="x" localSheetId="5" hidden="1">{"DECIMAL",#N/A,FALSE,"02"}</definedName>
    <definedName name="x" localSheetId="6" hidden="1">{"DECIMAL",#N/A,FALSE,"02"}</definedName>
    <definedName name="x" localSheetId="7" hidden="1">{"DECIMAL",#N/A,FALSE,"02"}</definedName>
    <definedName name="x" localSheetId="8" hidden="1">{"DECIMAL",#N/A,FALSE,"02"}</definedName>
    <definedName name="x" localSheetId="9" hidden="1">{"DECIMAL",#N/A,FALSE,"02"}</definedName>
    <definedName name="x" hidden="1">{"DECIMAL",#N/A,FALSE,"02"}</definedName>
    <definedName name="XXX" localSheetId="0" hidden="1">{"NORMAL",#N/A,FALSE,"02"}</definedName>
    <definedName name="XXX" localSheetId="1" hidden="1">{"NORMAL",#N/A,FALSE,"02"}</definedName>
    <definedName name="XXX" localSheetId="2" hidden="1">{"NORMAL",#N/A,FALSE,"02"}</definedName>
    <definedName name="XXX" localSheetId="3" hidden="1">{"NORMAL",#N/A,FALSE,"02"}</definedName>
    <definedName name="XXX" localSheetId="4" hidden="1">{"NORMAL",#N/A,FALSE,"02"}</definedName>
    <definedName name="XXX" localSheetId="5" hidden="1">{"NORMAL",#N/A,FALSE,"02"}</definedName>
    <definedName name="XXX" localSheetId="6" hidden="1">{"NORMAL",#N/A,FALSE,"02"}</definedName>
    <definedName name="XXX" localSheetId="7" hidden="1">{"NORMAL",#N/A,FALSE,"02"}</definedName>
    <definedName name="XXX" localSheetId="8" hidden="1">{"NORMAL",#N/A,FALSE,"02"}</definedName>
    <definedName name="XXX" localSheetId="9" hidden="1">{"NORMAL",#N/A,FALSE,"02"}</definedName>
    <definedName name="XXX" hidden="1">{"NORMAL",#N/A,FALSE,"02"}</definedName>
    <definedName name="z">#REF!</definedName>
    <definedName name="Z_3EF0D3E3_8069_11D6_A032_005004A43871_.wvu.PrintTitles" hidden="1">#REF!</definedName>
  </definedName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13" l="1"/>
  <c r="N60" i="13"/>
  <c r="P51" i="13"/>
  <c r="P49" i="13"/>
  <c r="P48" i="13"/>
  <c r="T47" i="13" l="1"/>
  <c r="T41" i="13"/>
  <c r="T35" i="13"/>
  <c r="T33" i="13"/>
  <c r="A49" i="13" l="1"/>
  <c r="E49" i="13"/>
  <c r="B49" i="13"/>
  <c r="K49" i="13"/>
  <c r="K45" i="13"/>
  <c r="K44" i="13"/>
  <c r="K39" i="13"/>
  <c r="K36" i="13"/>
  <c r="J33" i="13"/>
  <c r="K33" i="13" s="1"/>
  <c r="O33" i="13" s="1"/>
  <c r="P33" i="13" s="1"/>
  <c r="K32" i="13"/>
  <c r="K29" i="13"/>
  <c r="K27" i="13"/>
  <c r="K21" i="13"/>
  <c r="K20" i="13"/>
  <c r="K19" i="13"/>
  <c r="K15" i="13"/>
  <c r="K13" i="13"/>
  <c r="E52" i="13"/>
  <c r="E51" i="13"/>
  <c r="E50" i="13"/>
  <c r="C52" i="13"/>
  <c r="A52" i="13"/>
  <c r="B52" i="13"/>
  <c r="C51" i="13"/>
  <c r="A51" i="13"/>
  <c r="B51" i="13"/>
  <c r="A50" i="13"/>
  <c r="B50" i="13"/>
  <c r="K52" i="13"/>
  <c r="K51" i="13"/>
  <c r="K50" i="13"/>
  <c r="J41" i="13"/>
  <c r="K41" i="13" s="1"/>
  <c r="O41" i="13" s="1"/>
  <c r="P41" i="13" s="1"/>
  <c r="J35" i="13"/>
  <c r="K35" i="13" s="1"/>
  <c r="O35" i="13" s="1"/>
  <c r="P35" i="13" s="1"/>
  <c r="H68" i="13"/>
  <c r="M61" i="13"/>
  <c r="N56" i="13"/>
  <c r="L56" i="13"/>
  <c r="F45" i="13"/>
  <c r="F44" i="13"/>
  <c r="K43" i="13"/>
  <c r="F43" i="13"/>
  <c r="M43" i="13" s="1"/>
  <c r="K42" i="13"/>
  <c r="F42" i="13"/>
  <c r="F41" i="13"/>
  <c r="K40" i="13"/>
  <c r="F40" i="13"/>
  <c r="F39" i="13"/>
  <c r="L39" i="13" s="1"/>
  <c r="K38" i="13"/>
  <c r="F38" i="13"/>
  <c r="L38" i="13" s="1"/>
  <c r="K37" i="13"/>
  <c r="F37" i="13"/>
  <c r="M37" i="13" s="1"/>
  <c r="F36" i="13"/>
  <c r="F35" i="13"/>
  <c r="K34" i="13"/>
  <c r="F34" i="13"/>
  <c r="F33" i="13"/>
  <c r="F32" i="13"/>
  <c r="K31" i="13"/>
  <c r="F31" i="13"/>
  <c r="K30" i="13"/>
  <c r="F30" i="13"/>
  <c r="L30" i="13" s="1"/>
  <c r="F29" i="13"/>
  <c r="M29" i="13" s="1"/>
  <c r="K28" i="13"/>
  <c r="F28" i="13"/>
  <c r="F27" i="13"/>
  <c r="K26" i="13"/>
  <c r="F26" i="13"/>
  <c r="K25" i="13"/>
  <c r="F25" i="13"/>
  <c r="L25" i="13" s="1"/>
  <c r="K23" i="13"/>
  <c r="F23" i="13"/>
  <c r="K22" i="13"/>
  <c r="F22" i="13"/>
  <c r="L22" i="13" s="1"/>
  <c r="F21" i="13"/>
  <c r="F20" i="13"/>
  <c r="F19" i="13"/>
  <c r="K17" i="13"/>
  <c r="F17" i="13"/>
  <c r="K16" i="13"/>
  <c r="F16" i="13"/>
  <c r="L16" i="13" s="1"/>
  <c r="F15" i="13"/>
  <c r="M15" i="13" s="1"/>
  <c r="K14" i="13"/>
  <c r="F14" i="13"/>
  <c r="M14" i="13" s="1"/>
  <c r="F13" i="13"/>
  <c r="K12" i="13"/>
  <c r="F12" i="13"/>
  <c r="K11" i="13"/>
  <c r="F11" i="13"/>
  <c r="M11" i="13" s="1"/>
  <c r="K10" i="13"/>
  <c r="F10" i="13"/>
  <c r="K9" i="13"/>
  <c r="F9" i="13"/>
  <c r="N9" i="13" s="1"/>
  <c r="H62" i="12"/>
  <c r="N42" i="13" l="1"/>
  <c r="N17" i="13"/>
  <c r="M35" i="13"/>
  <c r="N31" i="13"/>
  <c r="N28" i="13"/>
  <c r="L44" i="13"/>
  <c r="L19" i="13"/>
  <c r="L45" i="13"/>
  <c r="N27" i="13"/>
  <c r="L33" i="13"/>
  <c r="L34" i="13"/>
  <c r="N40" i="13"/>
  <c r="N21" i="13"/>
  <c r="M41" i="13"/>
  <c r="L36" i="13"/>
  <c r="N23" i="13"/>
  <c r="N43" i="13"/>
  <c r="N12" i="13"/>
  <c r="N25" i="13"/>
  <c r="M36" i="13"/>
  <c r="M25" i="13"/>
  <c r="G18" i="13"/>
  <c r="N26" i="13"/>
  <c r="N32" i="13"/>
  <c r="N19" i="13"/>
  <c r="N36" i="13"/>
  <c r="N14" i="13"/>
  <c r="L43" i="13"/>
  <c r="N45" i="13"/>
  <c r="M16" i="13"/>
  <c r="M34" i="13"/>
  <c r="N13" i="13"/>
  <c r="N16" i="13"/>
  <c r="N22" i="13"/>
  <c r="N34" i="13"/>
  <c r="Q34" i="13" s="1"/>
  <c r="R34" i="13" s="1"/>
  <c r="M38" i="13"/>
  <c r="N11" i="13"/>
  <c r="M45" i="13"/>
  <c r="N38" i="13"/>
  <c r="L41" i="13"/>
  <c r="M22" i="13"/>
  <c r="N29" i="13"/>
  <c r="L27" i="13"/>
  <c r="L9" i="13"/>
  <c r="M27" i="13"/>
  <c r="M9" i="13"/>
  <c r="L32" i="13"/>
  <c r="L14" i="13"/>
  <c r="M32" i="13"/>
  <c r="N10" i="13"/>
  <c r="M19" i="13"/>
  <c r="G24" i="13"/>
  <c r="L17" i="13"/>
  <c r="M17" i="13"/>
  <c r="N30" i="13"/>
  <c r="M39" i="13"/>
  <c r="L35" i="13"/>
  <c r="L23" i="13"/>
  <c r="M33" i="13"/>
  <c r="N15" i="13"/>
  <c r="M23" i="13"/>
  <c r="M26" i="13"/>
  <c r="L31" i="13"/>
  <c r="N33" i="13"/>
  <c r="N35" i="13"/>
  <c r="N37" i="13"/>
  <c r="M44" i="13"/>
  <c r="L12" i="13"/>
  <c r="L20" i="13"/>
  <c r="M30" i="13"/>
  <c r="N41" i="13"/>
  <c r="L10" i="13"/>
  <c r="M20" i="13"/>
  <c r="L28" i="13"/>
  <c r="L15" i="13"/>
  <c r="N20" i="13"/>
  <c r="M28" i="13"/>
  <c r="N39" i="13"/>
  <c r="L26" i="13"/>
  <c r="G8" i="13"/>
  <c r="L13" i="13"/>
  <c r="M13" i="13"/>
  <c r="L21" i="13"/>
  <c r="M31" i="13"/>
  <c r="L40" i="13"/>
  <c r="L42" i="13"/>
  <c r="N44" i="13"/>
  <c r="F46" i="13"/>
  <c r="M12" i="13"/>
  <c r="M10" i="13"/>
  <c r="L37" i="13"/>
  <c r="L11" i="13"/>
  <c r="M21" i="13"/>
  <c r="L29" i="13"/>
  <c r="M40" i="13"/>
  <c r="M42" i="13"/>
  <c r="M47" i="2"/>
  <c r="M47" i="3"/>
  <c r="M47" i="5"/>
  <c r="M47" i="6"/>
  <c r="M55" i="12"/>
  <c r="N50" i="12"/>
  <c r="L50" i="12"/>
  <c r="K45" i="12"/>
  <c r="F45" i="12"/>
  <c r="L45" i="12" s="1"/>
  <c r="K44" i="12"/>
  <c r="F44" i="12"/>
  <c r="K43" i="12"/>
  <c r="F43" i="12"/>
  <c r="L43" i="12" s="1"/>
  <c r="K42" i="12"/>
  <c r="F42" i="12"/>
  <c r="K41" i="12"/>
  <c r="O41" i="12" s="1"/>
  <c r="P41" i="12" s="1"/>
  <c r="D52" i="13" s="1"/>
  <c r="F52" i="13" s="1"/>
  <c r="N52" i="13" s="1"/>
  <c r="F41" i="12"/>
  <c r="M41" i="12" s="1"/>
  <c r="K40" i="12"/>
  <c r="F40" i="12"/>
  <c r="K39" i="12"/>
  <c r="F39" i="12"/>
  <c r="M39" i="12" s="1"/>
  <c r="K38" i="12"/>
  <c r="F38" i="12"/>
  <c r="L38" i="12" s="1"/>
  <c r="K37" i="12"/>
  <c r="F37" i="12"/>
  <c r="M37" i="12" s="1"/>
  <c r="K36" i="12"/>
  <c r="F36" i="12"/>
  <c r="M36" i="12" s="1"/>
  <c r="K35" i="12"/>
  <c r="O35" i="12" s="1"/>
  <c r="P35" i="12" s="1"/>
  <c r="D51" i="13" s="1"/>
  <c r="F51" i="13" s="1"/>
  <c r="L51" i="13" s="1"/>
  <c r="F35" i="12"/>
  <c r="L35" i="12" s="1"/>
  <c r="F34" i="12"/>
  <c r="K33" i="12"/>
  <c r="O33" i="12" s="1"/>
  <c r="P33" i="12" s="1"/>
  <c r="D50" i="13" s="1"/>
  <c r="F50" i="13" s="1"/>
  <c r="F33" i="12"/>
  <c r="M33" i="12" s="1"/>
  <c r="K32" i="12"/>
  <c r="F32" i="12"/>
  <c r="L32" i="12" s="1"/>
  <c r="K31" i="12"/>
  <c r="F31" i="12"/>
  <c r="M31" i="12" s="1"/>
  <c r="K30" i="12"/>
  <c r="F30" i="12"/>
  <c r="M30" i="12" s="1"/>
  <c r="K29" i="12"/>
  <c r="N29" i="12" s="1"/>
  <c r="F29" i="12"/>
  <c r="M29" i="12" s="1"/>
  <c r="K28" i="12"/>
  <c r="F28" i="12"/>
  <c r="K27" i="12"/>
  <c r="F27" i="12"/>
  <c r="M27" i="12" s="1"/>
  <c r="K26" i="12"/>
  <c r="F26" i="12"/>
  <c r="L26" i="12" s="1"/>
  <c r="K25" i="12"/>
  <c r="F25" i="12"/>
  <c r="M23" i="12"/>
  <c r="K23" i="12"/>
  <c r="N23" i="12" s="1"/>
  <c r="F23" i="12"/>
  <c r="L23" i="12" s="1"/>
  <c r="M22" i="12"/>
  <c r="K22" i="12"/>
  <c r="F22" i="12"/>
  <c r="M21" i="12"/>
  <c r="L21" i="12"/>
  <c r="K21" i="12"/>
  <c r="N21" i="12" s="1"/>
  <c r="F21" i="12"/>
  <c r="L20" i="12"/>
  <c r="K20" i="12"/>
  <c r="F20" i="12"/>
  <c r="N20" i="12" s="1"/>
  <c r="K19" i="12"/>
  <c r="F19" i="12"/>
  <c r="L17" i="12"/>
  <c r="K17" i="12"/>
  <c r="F17" i="12"/>
  <c r="K16" i="12"/>
  <c r="F16" i="12"/>
  <c r="K15" i="12"/>
  <c r="N15" i="12" s="1"/>
  <c r="F15" i="12"/>
  <c r="M15" i="12" s="1"/>
  <c r="K14" i="12"/>
  <c r="N14" i="12" s="1"/>
  <c r="F14" i="12"/>
  <c r="L14" i="12" s="1"/>
  <c r="M13" i="12"/>
  <c r="L13" i="12"/>
  <c r="K13" i="12"/>
  <c r="N13" i="12" s="1"/>
  <c r="F13" i="12"/>
  <c r="L12" i="12"/>
  <c r="K12" i="12"/>
  <c r="F12" i="12"/>
  <c r="L11" i="12"/>
  <c r="K11" i="12"/>
  <c r="N11" i="12" s="1"/>
  <c r="F11" i="12"/>
  <c r="M11" i="12" s="1"/>
  <c r="K10" i="12"/>
  <c r="F10" i="12"/>
  <c r="K9" i="12"/>
  <c r="F9" i="12"/>
  <c r="O41" i="11"/>
  <c r="P34" i="13" l="1"/>
  <c r="D49" i="13" s="1"/>
  <c r="F49" i="13" s="1"/>
  <c r="J34" i="12"/>
  <c r="K34" i="12" s="1"/>
  <c r="N22" i="12"/>
  <c r="N28" i="12"/>
  <c r="N51" i="13"/>
  <c r="M52" i="13"/>
  <c r="M51" i="13"/>
  <c r="L52" i="13"/>
  <c r="N25" i="12"/>
  <c r="M50" i="13"/>
  <c r="L50" i="13"/>
  <c r="L53" i="13" s="1"/>
  <c r="N50" i="13"/>
  <c r="M46" i="13"/>
  <c r="O60" i="13" s="1"/>
  <c r="N46" i="13"/>
  <c r="G46" i="13"/>
  <c r="L46" i="13"/>
  <c r="M43" i="12"/>
  <c r="L30" i="12"/>
  <c r="M26" i="12"/>
  <c r="N44" i="12"/>
  <c r="M44" i="12"/>
  <c r="N45" i="12"/>
  <c r="M38" i="12"/>
  <c r="M45" i="12"/>
  <c r="L29" i="12"/>
  <c r="N30" i="12"/>
  <c r="N41" i="12"/>
  <c r="F46" i="12"/>
  <c r="L41" i="12"/>
  <c r="N36" i="12"/>
  <c r="N33" i="12"/>
  <c r="N32" i="12"/>
  <c r="G24" i="12"/>
  <c r="L36" i="12"/>
  <c r="M25" i="12"/>
  <c r="N31" i="12"/>
  <c r="N38" i="12"/>
  <c r="L31" i="12"/>
  <c r="N26" i="12"/>
  <c r="N16" i="12"/>
  <c r="N17" i="12"/>
  <c r="N37" i="12"/>
  <c r="N40" i="12"/>
  <c r="N12" i="12"/>
  <c r="N34" i="12"/>
  <c r="N42" i="12"/>
  <c r="N10" i="12"/>
  <c r="N19" i="12"/>
  <c r="N35" i="12"/>
  <c r="N43" i="12"/>
  <c r="L9" i="12"/>
  <c r="M16" i="12"/>
  <c r="L27" i="12"/>
  <c r="L39" i="12"/>
  <c r="M9" i="12"/>
  <c r="N9" i="12"/>
  <c r="M14" i="12"/>
  <c r="L22" i="12"/>
  <c r="L25" i="12"/>
  <c r="N27" i="12"/>
  <c r="M32" i="12"/>
  <c r="L37" i="12"/>
  <c r="N39" i="12"/>
  <c r="L44" i="12"/>
  <c r="L42" i="12"/>
  <c r="M12" i="12"/>
  <c r="L10" i="12"/>
  <c r="M17" i="12"/>
  <c r="M20" i="12"/>
  <c r="L28" i="12"/>
  <c r="M35" i="12"/>
  <c r="L40" i="12"/>
  <c r="M42" i="12"/>
  <c r="M10" i="12"/>
  <c r="L15" i="12"/>
  <c r="M28" i="12"/>
  <c r="L33" i="12"/>
  <c r="M40" i="12"/>
  <c r="G18" i="12"/>
  <c r="G8" i="12"/>
  <c r="L16" i="12"/>
  <c r="L19" i="12"/>
  <c r="L34" i="12"/>
  <c r="M19" i="12"/>
  <c r="M34" i="12"/>
  <c r="M55" i="11"/>
  <c r="N50" i="11"/>
  <c r="L50" i="11"/>
  <c r="M45" i="11"/>
  <c r="K45" i="11"/>
  <c r="N45" i="11" s="1"/>
  <c r="F45" i="11"/>
  <c r="L45" i="11" s="1"/>
  <c r="K44" i="11"/>
  <c r="F44" i="11"/>
  <c r="N44" i="11" s="1"/>
  <c r="L43" i="11"/>
  <c r="K43" i="11"/>
  <c r="F43" i="11"/>
  <c r="N43" i="11" s="1"/>
  <c r="M42" i="11"/>
  <c r="K42" i="11"/>
  <c r="F42" i="11"/>
  <c r="K41" i="11"/>
  <c r="N41" i="11" s="1"/>
  <c r="F41" i="11"/>
  <c r="M41" i="11" s="1"/>
  <c r="M40" i="11"/>
  <c r="L40" i="11"/>
  <c r="K40" i="11"/>
  <c r="N40" i="11" s="1"/>
  <c r="F40" i="11"/>
  <c r="M39" i="11"/>
  <c r="L39" i="11"/>
  <c r="K39" i="11"/>
  <c r="N39" i="11" s="1"/>
  <c r="F39" i="11"/>
  <c r="M38" i="11"/>
  <c r="L38" i="11"/>
  <c r="K38" i="11"/>
  <c r="F38" i="11"/>
  <c r="K37" i="11"/>
  <c r="F37" i="11"/>
  <c r="N37" i="11" s="1"/>
  <c r="K36" i="11"/>
  <c r="F36" i="11"/>
  <c r="M35" i="11"/>
  <c r="L35" i="11"/>
  <c r="K35" i="11"/>
  <c r="N35" i="11" s="1"/>
  <c r="F35" i="11"/>
  <c r="M34" i="11"/>
  <c r="L34" i="11"/>
  <c r="K34" i="11"/>
  <c r="N34" i="11" s="1"/>
  <c r="F34" i="11"/>
  <c r="M33" i="11"/>
  <c r="K33" i="11"/>
  <c r="N33" i="11" s="1"/>
  <c r="F33" i="11"/>
  <c r="L33" i="11" s="1"/>
  <c r="K32" i="11"/>
  <c r="F32" i="11"/>
  <c r="N32" i="11" s="1"/>
  <c r="L31" i="11"/>
  <c r="K31" i="11"/>
  <c r="F31" i="11"/>
  <c r="N31" i="11" s="1"/>
  <c r="M30" i="11"/>
  <c r="K30" i="11"/>
  <c r="N30" i="11" s="1"/>
  <c r="F30" i="11"/>
  <c r="L30" i="11" s="1"/>
  <c r="K29" i="11"/>
  <c r="N29" i="11" s="1"/>
  <c r="F29" i="11"/>
  <c r="M29" i="11" s="1"/>
  <c r="M28" i="11"/>
  <c r="L28" i="11"/>
  <c r="K28" i="11"/>
  <c r="N28" i="11" s="1"/>
  <c r="F28" i="11"/>
  <c r="M27" i="11"/>
  <c r="L27" i="11"/>
  <c r="K27" i="11"/>
  <c r="N27" i="11" s="1"/>
  <c r="F27" i="11"/>
  <c r="M26" i="11"/>
  <c r="L26" i="11"/>
  <c r="K26" i="11"/>
  <c r="N26" i="11" s="1"/>
  <c r="F26" i="11"/>
  <c r="N25" i="11"/>
  <c r="L25" i="11"/>
  <c r="K25" i="11"/>
  <c r="F25" i="11"/>
  <c r="G24" i="11" s="1"/>
  <c r="M23" i="11"/>
  <c r="L23" i="11"/>
  <c r="K23" i="11"/>
  <c r="N23" i="11" s="1"/>
  <c r="F23" i="11"/>
  <c r="L22" i="11"/>
  <c r="K22" i="11"/>
  <c r="N22" i="11" s="1"/>
  <c r="F22" i="11"/>
  <c r="M22" i="11" s="1"/>
  <c r="K21" i="11"/>
  <c r="F21" i="11"/>
  <c r="M21" i="11" s="1"/>
  <c r="K20" i="11"/>
  <c r="F20" i="11"/>
  <c r="M20" i="11" s="1"/>
  <c r="K19" i="11"/>
  <c r="F19" i="11"/>
  <c r="N19" i="11" s="1"/>
  <c r="K17" i="11"/>
  <c r="F17" i="11"/>
  <c r="L17" i="11" s="1"/>
  <c r="K16" i="11"/>
  <c r="F16" i="11"/>
  <c r="N16" i="11" s="1"/>
  <c r="K15" i="11"/>
  <c r="F15" i="11"/>
  <c r="M15" i="11" s="1"/>
  <c r="N14" i="11"/>
  <c r="M14" i="11"/>
  <c r="K14" i="11"/>
  <c r="F14" i="11"/>
  <c r="L14" i="11" s="1"/>
  <c r="K13" i="11"/>
  <c r="F13" i="11"/>
  <c r="M13" i="11" s="1"/>
  <c r="M12" i="11"/>
  <c r="L12" i="11"/>
  <c r="K12" i="11"/>
  <c r="N12" i="11" s="1"/>
  <c r="F12" i="11"/>
  <c r="K11" i="11"/>
  <c r="F11" i="11"/>
  <c r="N11" i="11" s="1"/>
  <c r="K10" i="11"/>
  <c r="F10" i="11"/>
  <c r="K9" i="11"/>
  <c r="N9" i="11" s="1"/>
  <c r="F9" i="11"/>
  <c r="F46" i="11" s="1"/>
  <c r="K41" i="10"/>
  <c r="N41" i="10" s="1"/>
  <c r="K38" i="10"/>
  <c r="K37" i="10"/>
  <c r="K36" i="10"/>
  <c r="N36" i="10" s="1"/>
  <c r="L34" i="10"/>
  <c r="L31" i="10"/>
  <c r="L27" i="10"/>
  <c r="L23" i="10"/>
  <c r="K22" i="10"/>
  <c r="N22" i="10" s="1"/>
  <c r="K21" i="10"/>
  <c r="L14" i="10"/>
  <c r="K13" i="10"/>
  <c r="N13" i="10" s="1"/>
  <c r="K10" i="10"/>
  <c r="N10" i="10" s="1"/>
  <c r="K9" i="10"/>
  <c r="N9" i="10" s="1"/>
  <c r="M55" i="10"/>
  <c r="N50" i="10"/>
  <c r="L50" i="10"/>
  <c r="K45" i="10"/>
  <c r="F45" i="10"/>
  <c r="M44" i="10"/>
  <c r="L44" i="10"/>
  <c r="K44" i="10"/>
  <c r="F44" i="10"/>
  <c r="M43" i="10"/>
  <c r="K43" i="10"/>
  <c r="F43" i="10"/>
  <c r="K42" i="10"/>
  <c r="F42" i="10"/>
  <c r="M41" i="10"/>
  <c r="F41" i="10"/>
  <c r="L41" i="10" s="1"/>
  <c r="L40" i="10"/>
  <c r="K40" i="10"/>
  <c r="F40" i="10"/>
  <c r="M39" i="10"/>
  <c r="L39" i="10"/>
  <c r="K39" i="10"/>
  <c r="N39" i="10" s="1"/>
  <c r="F39" i="10"/>
  <c r="F38" i="10"/>
  <c r="F37" i="10"/>
  <c r="F36" i="10"/>
  <c r="M36" i="10" s="1"/>
  <c r="K35" i="10"/>
  <c r="F35" i="10"/>
  <c r="M34" i="10"/>
  <c r="F34" i="10"/>
  <c r="K33" i="10"/>
  <c r="F33" i="10"/>
  <c r="M32" i="10"/>
  <c r="L32" i="10"/>
  <c r="K32" i="10"/>
  <c r="F32" i="10"/>
  <c r="M31" i="10"/>
  <c r="F31" i="10"/>
  <c r="K30" i="10"/>
  <c r="F30" i="10"/>
  <c r="M29" i="10"/>
  <c r="K29" i="10"/>
  <c r="N29" i="10" s="1"/>
  <c r="F29" i="10"/>
  <c r="L29" i="10" s="1"/>
  <c r="L28" i="10"/>
  <c r="K28" i="10"/>
  <c r="N28" i="10" s="1"/>
  <c r="F28" i="10"/>
  <c r="M28" i="10" s="1"/>
  <c r="M27" i="10"/>
  <c r="F27" i="10"/>
  <c r="L26" i="10"/>
  <c r="K26" i="10"/>
  <c r="N26" i="10" s="1"/>
  <c r="F26" i="10"/>
  <c r="M26" i="10" s="1"/>
  <c r="L25" i="10"/>
  <c r="K25" i="10"/>
  <c r="N25" i="10" s="1"/>
  <c r="F25" i="10"/>
  <c r="G24" i="10" s="1"/>
  <c r="F23" i="10"/>
  <c r="M23" i="10" s="1"/>
  <c r="F22" i="10"/>
  <c r="M22" i="10" s="1"/>
  <c r="F21" i="10"/>
  <c r="K20" i="10"/>
  <c r="F20" i="10"/>
  <c r="K19" i="10"/>
  <c r="F19" i="10"/>
  <c r="M19" i="10" s="1"/>
  <c r="G18" i="10"/>
  <c r="K17" i="10"/>
  <c r="F17" i="10"/>
  <c r="K16" i="10"/>
  <c r="F16" i="10"/>
  <c r="M16" i="10" s="1"/>
  <c r="M15" i="10"/>
  <c r="K15" i="10"/>
  <c r="N15" i="10" s="1"/>
  <c r="F15" i="10"/>
  <c r="L15" i="10" s="1"/>
  <c r="M14" i="10"/>
  <c r="F14" i="10"/>
  <c r="M13" i="10"/>
  <c r="F13" i="10"/>
  <c r="K12" i="10"/>
  <c r="F12" i="10"/>
  <c r="L12" i="10" s="1"/>
  <c r="K11" i="10"/>
  <c r="F11" i="10"/>
  <c r="N11" i="10" s="1"/>
  <c r="F10" i="10"/>
  <c r="M10" i="10" s="1"/>
  <c r="M9" i="10"/>
  <c r="F9" i="10"/>
  <c r="G8" i="10"/>
  <c r="M33" i="9"/>
  <c r="M55" i="9"/>
  <c r="N50" i="9"/>
  <c r="L50" i="9"/>
  <c r="K45" i="9"/>
  <c r="F45" i="9"/>
  <c r="K44" i="9"/>
  <c r="F44" i="9"/>
  <c r="K43" i="9"/>
  <c r="F43" i="9"/>
  <c r="L43" i="9" s="1"/>
  <c r="K42" i="9"/>
  <c r="F42" i="9"/>
  <c r="M42" i="9" s="1"/>
  <c r="K41" i="9"/>
  <c r="F41" i="9"/>
  <c r="M41" i="9" s="1"/>
  <c r="K40" i="9"/>
  <c r="F40" i="9"/>
  <c r="L40" i="9" s="1"/>
  <c r="K39" i="9"/>
  <c r="F39" i="9"/>
  <c r="M39" i="9" s="1"/>
  <c r="K38" i="9"/>
  <c r="F38" i="9"/>
  <c r="K37" i="9"/>
  <c r="F37" i="9"/>
  <c r="L37" i="9" s="1"/>
  <c r="K36" i="9"/>
  <c r="F36" i="9"/>
  <c r="L36" i="9" s="1"/>
  <c r="K35" i="9"/>
  <c r="F35" i="9"/>
  <c r="M35" i="9" s="1"/>
  <c r="K34" i="9"/>
  <c r="F34" i="9"/>
  <c r="M34" i="9" s="1"/>
  <c r="K33" i="9"/>
  <c r="N33" i="9" s="1"/>
  <c r="F33" i="9"/>
  <c r="K32" i="9"/>
  <c r="F32" i="9"/>
  <c r="L32" i="9" s="1"/>
  <c r="K31" i="9"/>
  <c r="F31" i="9"/>
  <c r="M30" i="9"/>
  <c r="K30" i="9"/>
  <c r="F30" i="9"/>
  <c r="L30" i="9" s="1"/>
  <c r="K29" i="9"/>
  <c r="F29" i="9"/>
  <c r="N29" i="9" s="1"/>
  <c r="K28" i="9"/>
  <c r="F28" i="9"/>
  <c r="K27" i="9"/>
  <c r="F27" i="9"/>
  <c r="N27" i="9" s="1"/>
  <c r="K26" i="9"/>
  <c r="F26" i="9"/>
  <c r="N26" i="9" s="1"/>
  <c r="K25" i="9"/>
  <c r="F25" i="9"/>
  <c r="M25" i="9" s="1"/>
  <c r="M23" i="9"/>
  <c r="K23" i="9"/>
  <c r="F23" i="9"/>
  <c r="K22" i="9"/>
  <c r="F22" i="9"/>
  <c r="L22" i="9" s="1"/>
  <c r="K21" i="9"/>
  <c r="F21" i="9"/>
  <c r="K20" i="9"/>
  <c r="F20" i="9"/>
  <c r="N20" i="9" s="1"/>
  <c r="K19" i="9"/>
  <c r="F19" i="9"/>
  <c r="N19" i="9" s="1"/>
  <c r="K17" i="9"/>
  <c r="F17" i="9"/>
  <c r="K16" i="9"/>
  <c r="F16" i="9"/>
  <c r="M16" i="9" s="1"/>
  <c r="K15" i="9"/>
  <c r="F15" i="9"/>
  <c r="K14" i="9"/>
  <c r="F14" i="9"/>
  <c r="K13" i="9"/>
  <c r="F13" i="9"/>
  <c r="N13" i="9" s="1"/>
  <c r="K12" i="9"/>
  <c r="F12" i="9"/>
  <c r="K11" i="9"/>
  <c r="F11" i="9"/>
  <c r="M11" i="9" s="1"/>
  <c r="K10" i="9"/>
  <c r="F10" i="9"/>
  <c r="M10" i="9" s="1"/>
  <c r="K9" i="9"/>
  <c r="F9" i="9"/>
  <c r="N58" i="8"/>
  <c r="O61" i="13" l="1"/>
  <c r="O62" i="13" s="1"/>
  <c r="O64" i="13" s="1"/>
  <c r="G48" i="13"/>
  <c r="G53" i="13" s="1"/>
  <c r="N49" i="13"/>
  <c r="N53" i="13" s="1"/>
  <c r="N54" i="13" s="1"/>
  <c r="L49" i="13"/>
  <c r="M49" i="13"/>
  <c r="M53" i="13" s="1"/>
  <c r="O63" i="13" s="1"/>
  <c r="O46" i="13"/>
  <c r="H8" i="13"/>
  <c r="M47" i="13"/>
  <c r="G67" i="13"/>
  <c r="H46" i="13"/>
  <c r="N58" i="13"/>
  <c r="N59" i="13" s="1"/>
  <c r="H18" i="13"/>
  <c r="H24" i="13"/>
  <c r="N47" i="13"/>
  <c r="G46" i="12"/>
  <c r="G61" i="12" s="1"/>
  <c r="H8" i="12"/>
  <c r="H18" i="12"/>
  <c r="N46" i="12"/>
  <c r="N47" i="12" s="1"/>
  <c r="L46" i="12"/>
  <c r="M46" i="12"/>
  <c r="N36" i="11"/>
  <c r="N42" i="11"/>
  <c r="N38" i="11"/>
  <c r="N10" i="11"/>
  <c r="L20" i="11"/>
  <c r="L10" i="11"/>
  <c r="N17" i="11"/>
  <c r="N20" i="11"/>
  <c r="G18" i="11"/>
  <c r="G8" i="11"/>
  <c r="L13" i="11"/>
  <c r="N15" i="11"/>
  <c r="L11" i="11"/>
  <c r="N13" i="11"/>
  <c r="M11" i="11"/>
  <c r="L16" i="11"/>
  <c r="L19" i="11"/>
  <c r="N21" i="11"/>
  <c r="L9" i="11"/>
  <c r="M16" i="11"/>
  <c r="M19" i="11"/>
  <c r="M9" i="11"/>
  <c r="L32" i="11"/>
  <c r="L44" i="11"/>
  <c r="M32" i="11"/>
  <c r="L37" i="11"/>
  <c r="M44" i="11"/>
  <c r="M25" i="11"/>
  <c r="M37" i="11"/>
  <c r="L42" i="11"/>
  <c r="M17" i="11"/>
  <c r="M10" i="11"/>
  <c r="L15" i="11"/>
  <c r="L21" i="11"/>
  <c r="M31" i="11"/>
  <c r="L36" i="11"/>
  <c r="M43" i="11"/>
  <c r="L29" i="11"/>
  <c r="M36" i="11"/>
  <c r="L41" i="11"/>
  <c r="N44" i="10"/>
  <c r="N33" i="10"/>
  <c r="N43" i="10"/>
  <c r="N45" i="10"/>
  <c r="N32" i="10"/>
  <c r="N40" i="10"/>
  <c r="N28" i="9"/>
  <c r="N23" i="9"/>
  <c r="N17" i="10"/>
  <c r="N30" i="10"/>
  <c r="N20" i="10"/>
  <c r="N35" i="10"/>
  <c r="N21" i="10"/>
  <c r="L36" i="10"/>
  <c r="L9" i="10"/>
  <c r="N37" i="10"/>
  <c r="L13" i="10"/>
  <c r="L22" i="10"/>
  <c r="L37" i="10"/>
  <c r="K23" i="10"/>
  <c r="N23" i="10" s="1"/>
  <c r="N38" i="10"/>
  <c r="K14" i="10"/>
  <c r="N14" i="10" s="1"/>
  <c r="K31" i="10"/>
  <c r="N31" i="10" s="1"/>
  <c r="K27" i="10"/>
  <c r="N27" i="10" s="1"/>
  <c r="K34" i="10"/>
  <c r="N34" i="10" s="1"/>
  <c r="N42" i="10"/>
  <c r="N16" i="10"/>
  <c r="N19" i="10"/>
  <c r="M25" i="10"/>
  <c r="L30" i="10"/>
  <c r="M37" i="10"/>
  <c r="L42" i="10"/>
  <c r="M12" i="10"/>
  <c r="L17" i="10"/>
  <c r="L20" i="10"/>
  <c r="M30" i="10"/>
  <c r="L35" i="10"/>
  <c r="M42" i="10"/>
  <c r="L10" i="10"/>
  <c r="N12" i="10"/>
  <c r="M17" i="10"/>
  <c r="M20" i="10"/>
  <c r="M35" i="10"/>
  <c r="L33" i="10"/>
  <c r="M40" i="10"/>
  <c r="L45" i="10"/>
  <c r="M33" i="10"/>
  <c r="L38" i="10"/>
  <c r="M45" i="10"/>
  <c r="M38" i="10"/>
  <c r="L43" i="10"/>
  <c r="F46" i="10"/>
  <c r="M21" i="10"/>
  <c r="G46" i="10"/>
  <c r="L21" i="10"/>
  <c r="M11" i="10"/>
  <c r="L16" i="10"/>
  <c r="L19" i="10"/>
  <c r="L11" i="10"/>
  <c r="N11" i="9"/>
  <c r="N41" i="9"/>
  <c r="N42" i="9"/>
  <c r="M37" i="9"/>
  <c r="N34" i="9"/>
  <c r="L34" i="9"/>
  <c r="F46" i="9"/>
  <c r="M32" i="9"/>
  <c r="N40" i="9"/>
  <c r="L16" i="9"/>
  <c r="L33" i="9"/>
  <c r="N43" i="9"/>
  <c r="L35" i="9"/>
  <c r="M43" i="9"/>
  <c r="N32" i="9"/>
  <c r="N25" i="9"/>
  <c r="N35" i="9"/>
  <c r="M40" i="9"/>
  <c r="N12" i="9"/>
  <c r="L23" i="9"/>
  <c r="N44" i="9"/>
  <c r="N39" i="9"/>
  <c r="N37" i="9"/>
  <c r="N36" i="9"/>
  <c r="N17" i="9"/>
  <c r="N38" i="9"/>
  <c r="N21" i="9"/>
  <c r="N14" i="9"/>
  <c r="N45" i="9"/>
  <c r="N15" i="9"/>
  <c r="N31" i="9"/>
  <c r="N16" i="9"/>
  <c r="L10" i="9"/>
  <c r="M13" i="9"/>
  <c r="M20" i="9"/>
  <c r="M27" i="9"/>
  <c r="N30" i="9"/>
  <c r="L15" i="9"/>
  <c r="L13" i="9"/>
  <c r="L20" i="9"/>
  <c r="L27" i="9"/>
  <c r="N10" i="9"/>
  <c r="G8" i="9"/>
  <c r="N9" i="9"/>
  <c r="G24" i="9"/>
  <c r="L17" i="9"/>
  <c r="L31" i="9"/>
  <c r="L44" i="9"/>
  <c r="L14" i="9"/>
  <c r="M17" i="9"/>
  <c r="L21" i="9"/>
  <c r="L28" i="9"/>
  <c r="M31" i="9"/>
  <c r="L11" i="9"/>
  <c r="M14" i="9"/>
  <c r="M21" i="9"/>
  <c r="L25" i="9"/>
  <c r="M28" i="9"/>
  <c r="L41" i="9"/>
  <c r="M44" i="9"/>
  <c r="G18" i="9"/>
  <c r="L38" i="9"/>
  <c r="M38" i="9"/>
  <c r="L45" i="9"/>
  <c r="L19" i="9"/>
  <c r="M22" i="9"/>
  <c r="L26" i="9"/>
  <c r="M29" i="9"/>
  <c r="L42" i="9"/>
  <c r="M45" i="9"/>
  <c r="L29" i="9"/>
  <c r="L12" i="9"/>
  <c r="M15" i="9"/>
  <c r="L9" i="9"/>
  <c r="M12" i="9"/>
  <c r="M19" i="9"/>
  <c r="N22" i="9"/>
  <c r="M26" i="9"/>
  <c r="L39" i="9"/>
  <c r="M9" i="9"/>
  <c r="M36" i="9"/>
  <c r="N57" i="8"/>
  <c r="L57" i="8"/>
  <c r="M57" i="8" s="1"/>
  <c r="N61" i="13" l="1"/>
  <c r="N62" i="13" s="1"/>
  <c r="M54" i="13"/>
  <c r="P46" i="13"/>
  <c r="H48" i="13"/>
  <c r="G69" i="13"/>
  <c r="I67" i="13"/>
  <c r="I69" i="13" s="1"/>
  <c r="G63" i="12"/>
  <c r="I61" i="12"/>
  <c r="I63" i="12" s="1"/>
  <c r="H63" i="12" s="1"/>
  <c r="N54" i="12"/>
  <c r="M47" i="12"/>
  <c r="H46" i="12"/>
  <c r="N52" i="12"/>
  <c r="N53" i="12" s="1"/>
  <c r="H24" i="12"/>
  <c r="N46" i="11"/>
  <c r="N47" i="11" s="1"/>
  <c r="M46" i="11"/>
  <c r="G46" i="11"/>
  <c r="H8" i="11"/>
  <c r="H18" i="11"/>
  <c r="L46" i="11"/>
  <c r="M46" i="10"/>
  <c r="N54" i="10" s="1"/>
  <c r="N46" i="10"/>
  <c r="N47" i="10" s="1"/>
  <c r="L46" i="10"/>
  <c r="H46" i="10"/>
  <c r="N52" i="10"/>
  <c r="N53" i="10" s="1"/>
  <c r="H24" i="10"/>
  <c r="H18" i="10"/>
  <c r="H8" i="10"/>
  <c r="M46" i="9"/>
  <c r="N46" i="9"/>
  <c r="L46" i="9"/>
  <c r="G46" i="9"/>
  <c r="H24" i="9" s="1"/>
  <c r="N47" i="8"/>
  <c r="M47" i="8"/>
  <c r="K25" i="8"/>
  <c r="K26" i="8"/>
  <c r="M55" i="8"/>
  <c r="N50" i="8"/>
  <c r="L50" i="8"/>
  <c r="K45" i="8"/>
  <c r="F45" i="8"/>
  <c r="M45" i="8" s="1"/>
  <c r="K44" i="8"/>
  <c r="F44" i="8"/>
  <c r="M44" i="8" s="1"/>
  <c r="K43" i="8"/>
  <c r="F43" i="8"/>
  <c r="M43" i="8" s="1"/>
  <c r="K42" i="8"/>
  <c r="F42" i="8"/>
  <c r="N41" i="8"/>
  <c r="M41" i="8"/>
  <c r="K41" i="8"/>
  <c r="F41" i="8"/>
  <c r="L41" i="8" s="1"/>
  <c r="K40" i="8"/>
  <c r="F40" i="8"/>
  <c r="L40" i="8" s="1"/>
  <c r="K39" i="8"/>
  <c r="F39" i="8"/>
  <c r="K38" i="8"/>
  <c r="F38" i="8"/>
  <c r="M38" i="8" s="1"/>
  <c r="K37" i="8"/>
  <c r="F37" i="8"/>
  <c r="L37" i="8" s="1"/>
  <c r="K36" i="8"/>
  <c r="F36" i="8"/>
  <c r="M36" i="8" s="1"/>
  <c r="K35" i="8"/>
  <c r="F35" i="8"/>
  <c r="K34" i="8"/>
  <c r="F34" i="8"/>
  <c r="K33" i="8"/>
  <c r="F33" i="8"/>
  <c r="L33" i="8" s="1"/>
  <c r="K32" i="8"/>
  <c r="F32" i="8"/>
  <c r="N32" i="8" s="1"/>
  <c r="K31" i="8"/>
  <c r="F31" i="8"/>
  <c r="N31" i="8" s="1"/>
  <c r="K30" i="8"/>
  <c r="F30" i="8"/>
  <c r="L30" i="8" s="1"/>
  <c r="K29" i="8"/>
  <c r="F29" i="8"/>
  <c r="L29" i="8" s="1"/>
  <c r="K28" i="8"/>
  <c r="F28" i="8"/>
  <c r="N28" i="8" s="1"/>
  <c r="K27" i="8"/>
  <c r="F27" i="8"/>
  <c r="M27" i="8" s="1"/>
  <c r="F26" i="8"/>
  <c r="N26" i="8" s="1"/>
  <c r="F25" i="8"/>
  <c r="N25" i="8" s="1"/>
  <c r="M23" i="8"/>
  <c r="L23" i="8"/>
  <c r="K23" i="8"/>
  <c r="N23" i="8" s="1"/>
  <c r="F23" i="8"/>
  <c r="K22" i="8"/>
  <c r="F22" i="8"/>
  <c r="L22" i="8" s="1"/>
  <c r="K21" i="8"/>
  <c r="F21" i="8"/>
  <c r="M21" i="8" s="1"/>
  <c r="K20" i="8"/>
  <c r="F20" i="8"/>
  <c r="L20" i="8" s="1"/>
  <c r="K19" i="8"/>
  <c r="F19" i="8"/>
  <c r="N19" i="8" s="1"/>
  <c r="K17" i="8"/>
  <c r="F17" i="8"/>
  <c r="M16" i="8"/>
  <c r="L16" i="8"/>
  <c r="K16" i="8"/>
  <c r="N16" i="8" s="1"/>
  <c r="F16" i="8"/>
  <c r="K15" i="8"/>
  <c r="F15" i="8"/>
  <c r="M15" i="8" s="1"/>
  <c r="K14" i="8"/>
  <c r="F14" i="8"/>
  <c r="K13" i="8"/>
  <c r="F13" i="8"/>
  <c r="M13" i="8" s="1"/>
  <c r="K12" i="8"/>
  <c r="F12" i="8"/>
  <c r="N12" i="8" s="1"/>
  <c r="K11" i="8"/>
  <c r="F11" i="8"/>
  <c r="M11" i="8" s="1"/>
  <c r="K10" i="8"/>
  <c r="F10" i="8"/>
  <c r="K9" i="8"/>
  <c r="F9" i="8"/>
  <c r="N9" i="8" s="1"/>
  <c r="L57" i="6"/>
  <c r="M57" i="6" s="1"/>
  <c r="M55" i="6"/>
  <c r="N50" i="6"/>
  <c r="L50" i="6"/>
  <c r="K45" i="6"/>
  <c r="F45" i="6"/>
  <c r="M45" i="6" s="1"/>
  <c r="K44" i="6"/>
  <c r="F44" i="6"/>
  <c r="M44" i="6" s="1"/>
  <c r="K43" i="6"/>
  <c r="F43" i="6"/>
  <c r="K42" i="6"/>
  <c r="F42" i="6"/>
  <c r="K41" i="6"/>
  <c r="F41" i="6"/>
  <c r="M41" i="6" s="1"/>
  <c r="K40" i="6"/>
  <c r="F40" i="6"/>
  <c r="K39" i="6"/>
  <c r="F39" i="6"/>
  <c r="M39" i="6" s="1"/>
  <c r="K38" i="6"/>
  <c r="F38" i="6"/>
  <c r="K37" i="6"/>
  <c r="F37" i="6"/>
  <c r="M36" i="6"/>
  <c r="K36" i="6"/>
  <c r="F36" i="6"/>
  <c r="L36" i="6" s="1"/>
  <c r="K35" i="6"/>
  <c r="F35" i="6"/>
  <c r="M35" i="6" s="1"/>
  <c r="K34" i="6"/>
  <c r="F34" i="6"/>
  <c r="L34" i="6" s="1"/>
  <c r="K33" i="6"/>
  <c r="F33" i="6"/>
  <c r="M33" i="6" s="1"/>
  <c r="K32" i="6"/>
  <c r="F32" i="6"/>
  <c r="K31" i="6"/>
  <c r="F31" i="6"/>
  <c r="M31" i="6" s="1"/>
  <c r="L30" i="6"/>
  <c r="K30" i="6"/>
  <c r="F30" i="6"/>
  <c r="M30" i="6" s="1"/>
  <c r="K29" i="6"/>
  <c r="F29" i="6"/>
  <c r="K28" i="6"/>
  <c r="F28" i="6"/>
  <c r="M28" i="6" s="1"/>
  <c r="K27" i="6"/>
  <c r="F27" i="6"/>
  <c r="L27" i="6" s="1"/>
  <c r="K26" i="6"/>
  <c r="F26" i="6"/>
  <c r="K25" i="6"/>
  <c r="F25" i="6"/>
  <c r="M25" i="6" s="1"/>
  <c r="K23" i="6"/>
  <c r="F23" i="6"/>
  <c r="K22" i="6"/>
  <c r="F22" i="6"/>
  <c r="K21" i="6"/>
  <c r="F21" i="6"/>
  <c r="M21" i="6" s="1"/>
  <c r="K20" i="6"/>
  <c r="F20" i="6"/>
  <c r="K19" i="6"/>
  <c r="F19" i="6"/>
  <c r="K17" i="6"/>
  <c r="F17" i="6"/>
  <c r="M17" i="6" s="1"/>
  <c r="K16" i="6"/>
  <c r="F16" i="6"/>
  <c r="K15" i="6"/>
  <c r="F15" i="6"/>
  <c r="K14" i="6"/>
  <c r="F14" i="6"/>
  <c r="M14" i="6" s="1"/>
  <c r="K13" i="6"/>
  <c r="F13" i="6"/>
  <c r="K12" i="6"/>
  <c r="F12" i="6"/>
  <c r="K11" i="6"/>
  <c r="F11" i="6"/>
  <c r="M11" i="6" s="1"/>
  <c r="K10" i="6"/>
  <c r="F10" i="6"/>
  <c r="K9" i="6"/>
  <c r="F9" i="6"/>
  <c r="M9" i="6" s="1"/>
  <c r="L57" i="5"/>
  <c r="H69" i="13" l="1"/>
  <c r="N54" i="9"/>
  <c r="N55" i="12"/>
  <c r="N56" i="12" s="1"/>
  <c r="N12" i="6"/>
  <c r="N16" i="6"/>
  <c r="N23" i="6"/>
  <c r="N26" i="6"/>
  <c r="N38" i="6"/>
  <c r="N40" i="6"/>
  <c r="N42" i="6"/>
  <c r="L31" i="6"/>
  <c r="L14" i="6"/>
  <c r="N9" i="6"/>
  <c r="N15" i="6"/>
  <c r="N22" i="6"/>
  <c r="N29" i="6"/>
  <c r="N36" i="6"/>
  <c r="N43" i="6"/>
  <c r="L23" i="6"/>
  <c r="L41" i="6"/>
  <c r="L44" i="6"/>
  <c r="L45" i="6"/>
  <c r="N17" i="6"/>
  <c r="N21" i="6"/>
  <c r="M23" i="6"/>
  <c r="N28" i="6"/>
  <c r="N33" i="6"/>
  <c r="N34" i="6"/>
  <c r="L16" i="6"/>
  <c r="L17" i="6"/>
  <c r="G18" i="6"/>
  <c r="L21" i="6"/>
  <c r="L33" i="6"/>
  <c r="G8" i="6"/>
  <c r="L28" i="6"/>
  <c r="M34" i="6"/>
  <c r="F46" i="6"/>
  <c r="N14" i="6"/>
  <c r="M16" i="6"/>
  <c r="N31" i="6"/>
  <c r="N39" i="6"/>
  <c r="N41" i="6"/>
  <c r="N44" i="6"/>
  <c r="N45" i="6"/>
  <c r="H46" i="11"/>
  <c r="N52" i="11"/>
  <c r="N53" i="11" s="1"/>
  <c r="H24" i="11"/>
  <c r="N54" i="11"/>
  <c r="M47" i="11"/>
  <c r="M47" i="10"/>
  <c r="N55" i="10"/>
  <c r="N56" i="10" s="1"/>
  <c r="M47" i="9"/>
  <c r="H8" i="9"/>
  <c r="H46" i="9"/>
  <c r="N52" i="9"/>
  <c r="N53" i="9" s="1"/>
  <c r="N55" i="9"/>
  <c r="N56" i="9" s="1"/>
  <c r="H18" i="9"/>
  <c r="N47" i="9"/>
  <c r="L38" i="8"/>
  <c r="L27" i="8"/>
  <c r="M33" i="8"/>
  <c r="N36" i="8"/>
  <c r="L11" i="8"/>
  <c r="N30" i="8"/>
  <c r="M30" i="8"/>
  <c r="L43" i="8"/>
  <c r="M25" i="8"/>
  <c r="N13" i="8"/>
  <c r="L13" i="8"/>
  <c r="M20" i="8"/>
  <c r="N27" i="8"/>
  <c r="N43" i="8"/>
  <c r="L25" i="8"/>
  <c r="N20" i="8"/>
  <c r="N33" i="8"/>
  <c r="G8" i="8"/>
  <c r="N14" i="8"/>
  <c r="N44" i="8"/>
  <c r="N42" i="8"/>
  <c r="N39" i="8"/>
  <c r="N38" i="8"/>
  <c r="N34" i="8"/>
  <c r="N11" i="8"/>
  <c r="N35" i="8"/>
  <c r="N17" i="8"/>
  <c r="L34" i="8"/>
  <c r="N40" i="8"/>
  <c r="L17" i="8"/>
  <c r="L31" i="8"/>
  <c r="M34" i="8"/>
  <c r="N37" i="8"/>
  <c r="G24" i="8"/>
  <c r="N10" i="8"/>
  <c r="M37" i="8"/>
  <c r="L14" i="8"/>
  <c r="M17" i="8"/>
  <c r="L21" i="8"/>
  <c r="L28" i="8"/>
  <c r="M31" i="8"/>
  <c r="L44" i="8"/>
  <c r="M32" i="8"/>
  <c r="M40" i="8"/>
  <c r="L10" i="8"/>
  <c r="M10" i="8"/>
  <c r="M14" i="8"/>
  <c r="M28" i="8"/>
  <c r="L35" i="8"/>
  <c r="L12" i="8"/>
  <c r="M22" i="8"/>
  <c r="M29" i="8"/>
  <c r="L9" i="8"/>
  <c r="M12" i="8"/>
  <c r="N15" i="8"/>
  <c r="M19" i="8"/>
  <c r="N22" i="8"/>
  <c r="M26" i="8"/>
  <c r="N29" i="8"/>
  <c r="L39" i="8"/>
  <c r="M42" i="8"/>
  <c r="N45" i="8"/>
  <c r="G18" i="8"/>
  <c r="N21" i="8"/>
  <c r="L19" i="8"/>
  <c r="L26" i="8"/>
  <c r="L42" i="8"/>
  <c r="M9" i="8"/>
  <c r="L36" i="8"/>
  <c r="M39" i="8"/>
  <c r="F46" i="8"/>
  <c r="L32" i="8"/>
  <c r="M35" i="8"/>
  <c r="L15" i="8"/>
  <c r="L45" i="8"/>
  <c r="N32" i="6"/>
  <c r="N30" i="6"/>
  <c r="N19" i="6"/>
  <c r="N37" i="6"/>
  <c r="N13" i="6"/>
  <c r="L13" i="6"/>
  <c r="L43" i="6"/>
  <c r="L10" i="6"/>
  <c r="M13" i="6"/>
  <c r="M20" i="6"/>
  <c r="M27" i="6"/>
  <c r="L40" i="6"/>
  <c r="M43" i="6"/>
  <c r="M10" i="6"/>
  <c r="N20" i="6"/>
  <c r="G24" i="6"/>
  <c r="N27" i="6"/>
  <c r="L37" i="6"/>
  <c r="M40" i="6"/>
  <c r="L20" i="6"/>
  <c r="N10" i="6"/>
  <c r="M37" i="6"/>
  <c r="L11" i="6"/>
  <c r="L25" i="6"/>
  <c r="N11" i="6"/>
  <c r="N25" i="6"/>
  <c r="L35" i="6"/>
  <c r="M38" i="6"/>
  <c r="L38" i="6"/>
  <c r="L32" i="6"/>
  <c r="L22" i="6"/>
  <c r="L29" i="6"/>
  <c r="M32" i="6"/>
  <c r="N35" i="6"/>
  <c r="L12" i="6"/>
  <c r="M15" i="6"/>
  <c r="L19" i="6"/>
  <c r="M22" i="6"/>
  <c r="L26" i="6"/>
  <c r="M29" i="6"/>
  <c r="L42" i="6"/>
  <c r="L15" i="6"/>
  <c r="L9" i="6"/>
  <c r="M12" i="6"/>
  <c r="M19" i="6"/>
  <c r="M26" i="6"/>
  <c r="L39" i="6"/>
  <c r="M42" i="6"/>
  <c r="M57" i="5"/>
  <c r="M55" i="5"/>
  <c r="N50" i="5"/>
  <c r="L50" i="5"/>
  <c r="K45" i="5"/>
  <c r="F45" i="5"/>
  <c r="K44" i="5"/>
  <c r="F44" i="5"/>
  <c r="M44" i="5" s="1"/>
  <c r="M43" i="5"/>
  <c r="K43" i="5"/>
  <c r="N43" i="5" s="1"/>
  <c r="F43" i="5"/>
  <c r="L43" i="5" s="1"/>
  <c r="K42" i="5"/>
  <c r="F42" i="5"/>
  <c r="M42" i="5" s="1"/>
  <c r="K41" i="5"/>
  <c r="F41" i="5"/>
  <c r="N41" i="5" s="1"/>
  <c r="K40" i="5"/>
  <c r="F40" i="5"/>
  <c r="K39" i="5"/>
  <c r="F39" i="5"/>
  <c r="L39" i="5" s="1"/>
  <c r="M38" i="5"/>
  <c r="L38" i="5"/>
  <c r="K38" i="5"/>
  <c r="N38" i="5" s="1"/>
  <c r="F38" i="5"/>
  <c r="K37" i="5"/>
  <c r="F37" i="5"/>
  <c r="L37" i="5" s="1"/>
  <c r="K36" i="5"/>
  <c r="F36" i="5"/>
  <c r="M36" i="5" s="1"/>
  <c r="M35" i="5"/>
  <c r="K35" i="5"/>
  <c r="N35" i="5" s="1"/>
  <c r="F35" i="5"/>
  <c r="L35" i="5" s="1"/>
  <c r="K34" i="5"/>
  <c r="F34" i="5"/>
  <c r="M34" i="5" s="1"/>
  <c r="K33" i="5"/>
  <c r="F33" i="5"/>
  <c r="K32" i="5"/>
  <c r="F32" i="5"/>
  <c r="K31" i="5"/>
  <c r="F31" i="5"/>
  <c r="M30" i="5"/>
  <c r="L30" i="5"/>
  <c r="K30" i="5"/>
  <c r="N30" i="5" s="1"/>
  <c r="F30" i="5"/>
  <c r="K29" i="5"/>
  <c r="F29" i="5"/>
  <c r="M29" i="5" s="1"/>
  <c r="K28" i="5"/>
  <c r="F28" i="5"/>
  <c r="M28" i="5" s="1"/>
  <c r="N27" i="5"/>
  <c r="M27" i="5"/>
  <c r="K27" i="5"/>
  <c r="F27" i="5"/>
  <c r="L27" i="5" s="1"/>
  <c r="K26" i="5"/>
  <c r="F26" i="5"/>
  <c r="M26" i="5" s="1"/>
  <c r="K25" i="5"/>
  <c r="F25" i="5"/>
  <c r="L25" i="5" s="1"/>
  <c r="K23" i="5"/>
  <c r="F23" i="5"/>
  <c r="M23" i="5" s="1"/>
  <c r="K22" i="5"/>
  <c r="F22" i="5"/>
  <c r="L22" i="5" s="1"/>
  <c r="M21" i="5"/>
  <c r="K21" i="5"/>
  <c r="N21" i="5" s="1"/>
  <c r="F21" i="5"/>
  <c r="L21" i="5" s="1"/>
  <c r="K20" i="5"/>
  <c r="F20" i="5"/>
  <c r="K19" i="5"/>
  <c r="F19" i="5"/>
  <c r="L19" i="5" s="1"/>
  <c r="K17" i="5"/>
  <c r="F17" i="5"/>
  <c r="L17" i="5" s="1"/>
  <c r="K16" i="5"/>
  <c r="F16" i="5"/>
  <c r="N16" i="5" s="1"/>
  <c r="M15" i="5"/>
  <c r="K15" i="5"/>
  <c r="N15" i="5" s="1"/>
  <c r="F15" i="5"/>
  <c r="L15" i="5" s="1"/>
  <c r="K14" i="5"/>
  <c r="F14" i="5"/>
  <c r="M14" i="5" s="1"/>
  <c r="K13" i="5"/>
  <c r="F13" i="5"/>
  <c r="N13" i="5" s="1"/>
  <c r="K12" i="5"/>
  <c r="F12" i="5"/>
  <c r="K11" i="5"/>
  <c r="F11" i="5"/>
  <c r="G8" i="5" s="1"/>
  <c r="M10" i="5"/>
  <c r="L10" i="5"/>
  <c r="K10" i="5"/>
  <c r="N10" i="5" s="1"/>
  <c r="F10" i="5"/>
  <c r="K9" i="5"/>
  <c r="F9" i="5"/>
  <c r="F46" i="5" s="1"/>
  <c r="I10" i="3"/>
  <c r="I11" i="3"/>
  <c r="I12" i="3"/>
  <c r="I13" i="3"/>
  <c r="I14" i="3"/>
  <c r="I15" i="3"/>
  <c r="K15" i="3" s="1"/>
  <c r="N15" i="3" s="1"/>
  <c r="I16" i="3"/>
  <c r="L16" i="3" s="1"/>
  <c r="I17" i="3"/>
  <c r="I19" i="3"/>
  <c r="L19" i="3" s="1"/>
  <c r="I20" i="3"/>
  <c r="K20" i="3" s="1"/>
  <c r="I21" i="3"/>
  <c r="K21" i="3" s="1"/>
  <c r="N21" i="3" s="1"/>
  <c r="I22" i="3"/>
  <c r="I23" i="3"/>
  <c r="I25" i="3"/>
  <c r="I26" i="3"/>
  <c r="I27" i="3"/>
  <c r="I28" i="3"/>
  <c r="L28" i="3" s="1"/>
  <c r="I29" i="3"/>
  <c r="K29" i="3" s="1"/>
  <c r="N29" i="3" s="1"/>
  <c r="I30" i="3"/>
  <c r="K30" i="3" s="1"/>
  <c r="I31" i="3"/>
  <c r="K31" i="3" s="1"/>
  <c r="N31" i="3" s="1"/>
  <c r="I32" i="3"/>
  <c r="I33" i="3"/>
  <c r="I34" i="3"/>
  <c r="I35" i="3"/>
  <c r="I36" i="3"/>
  <c r="I37" i="3"/>
  <c r="I38" i="3"/>
  <c r="I39" i="3"/>
  <c r="I40" i="3"/>
  <c r="L40" i="3" s="1"/>
  <c r="I41" i="3"/>
  <c r="L41" i="3" s="1"/>
  <c r="I42" i="3"/>
  <c r="K42" i="3" s="1"/>
  <c r="I43" i="3"/>
  <c r="I44" i="3"/>
  <c r="K44" i="3" s="1"/>
  <c r="I45" i="3"/>
  <c r="K45" i="3" s="1"/>
  <c r="N45" i="3" s="1"/>
  <c r="K25" i="3"/>
  <c r="K26" i="3"/>
  <c r="K32" i="3"/>
  <c r="L33" i="3"/>
  <c r="K38" i="3"/>
  <c r="I9" i="3"/>
  <c r="L57" i="3"/>
  <c r="M57" i="3" s="1"/>
  <c r="M55" i="3"/>
  <c r="N50" i="3"/>
  <c r="L50" i="3"/>
  <c r="F45" i="3"/>
  <c r="M45" i="3" s="1"/>
  <c r="F44" i="3"/>
  <c r="K43" i="3"/>
  <c r="N43" i="3" s="1"/>
  <c r="F43" i="3"/>
  <c r="M43" i="3" s="1"/>
  <c r="F42" i="3"/>
  <c r="M41" i="3"/>
  <c r="F41" i="3"/>
  <c r="F40" i="3"/>
  <c r="K39" i="3"/>
  <c r="F39" i="3"/>
  <c r="M39" i="3" s="1"/>
  <c r="F38" i="3"/>
  <c r="K37" i="3"/>
  <c r="F37" i="3"/>
  <c r="N37" i="3" s="1"/>
  <c r="M36" i="3"/>
  <c r="K36" i="3"/>
  <c r="N36" i="3" s="1"/>
  <c r="F36" i="3"/>
  <c r="K35" i="3"/>
  <c r="F35" i="3"/>
  <c r="M34" i="3"/>
  <c r="L34" i="3"/>
  <c r="K34" i="3"/>
  <c r="N34" i="3" s="1"/>
  <c r="F34" i="3"/>
  <c r="M33" i="3"/>
  <c r="F33" i="3"/>
  <c r="F32" i="3"/>
  <c r="F31" i="3"/>
  <c r="M31" i="3" s="1"/>
  <c r="F30" i="3"/>
  <c r="M29" i="3"/>
  <c r="F29" i="3"/>
  <c r="F28" i="3"/>
  <c r="M28" i="3" s="1"/>
  <c r="K27" i="3"/>
  <c r="F27" i="3"/>
  <c r="M27" i="3" s="1"/>
  <c r="F26" i="3"/>
  <c r="F25" i="3"/>
  <c r="L25" i="3" s="1"/>
  <c r="G24" i="3"/>
  <c r="K23" i="3"/>
  <c r="F23" i="3"/>
  <c r="K22" i="3"/>
  <c r="F22" i="3"/>
  <c r="L22" i="3" s="1"/>
  <c r="M21" i="3"/>
  <c r="F21" i="3"/>
  <c r="F20" i="3"/>
  <c r="M20" i="3" s="1"/>
  <c r="M19" i="3"/>
  <c r="F19" i="3"/>
  <c r="K17" i="3"/>
  <c r="F17" i="3"/>
  <c r="M16" i="3"/>
  <c r="F16" i="3"/>
  <c r="M15" i="3"/>
  <c r="F15" i="3"/>
  <c r="K14" i="3"/>
  <c r="F14" i="3"/>
  <c r="L14" i="3" s="1"/>
  <c r="K13" i="3"/>
  <c r="N13" i="3" s="1"/>
  <c r="F13" i="3"/>
  <c r="M13" i="3" s="1"/>
  <c r="K12" i="3"/>
  <c r="F12" i="3"/>
  <c r="M11" i="3"/>
  <c r="L11" i="3"/>
  <c r="K11" i="3"/>
  <c r="N11" i="3" s="1"/>
  <c r="F11" i="3"/>
  <c r="L10" i="3"/>
  <c r="K10" i="3"/>
  <c r="F10" i="3"/>
  <c r="M10" i="3" s="1"/>
  <c r="K9" i="3"/>
  <c r="F9" i="3"/>
  <c r="F46" i="3" s="1"/>
  <c r="N50" i="2"/>
  <c r="L50" i="2"/>
  <c r="N52" i="2"/>
  <c r="N53" i="2" s="1"/>
  <c r="M55" i="2"/>
  <c r="L57" i="2"/>
  <c r="M57" i="2" s="1"/>
  <c r="K40" i="2"/>
  <c r="K41" i="2"/>
  <c r="K42" i="2"/>
  <c r="K43" i="2"/>
  <c r="K44" i="2"/>
  <c r="K45" i="2"/>
  <c r="K23" i="2"/>
  <c r="K19" i="2"/>
  <c r="K9" i="2"/>
  <c r="K10" i="2"/>
  <c r="K11" i="2"/>
  <c r="K12" i="2"/>
  <c r="K13" i="2"/>
  <c r="K14" i="2"/>
  <c r="K15" i="2"/>
  <c r="K16" i="2"/>
  <c r="K17" i="2"/>
  <c r="K20" i="2"/>
  <c r="K21" i="2"/>
  <c r="K22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G46" i="6" l="1"/>
  <c r="H46" i="6" s="1"/>
  <c r="M46" i="6"/>
  <c r="N54" i="6" s="1"/>
  <c r="N55" i="6" s="1"/>
  <c r="N56" i="6" s="1"/>
  <c r="N55" i="11"/>
  <c r="N56" i="11" s="1"/>
  <c r="N46" i="8"/>
  <c r="L46" i="8"/>
  <c r="M46" i="8"/>
  <c r="N54" i="8" s="1"/>
  <c r="G46" i="8"/>
  <c r="N46" i="6"/>
  <c r="N52" i="6"/>
  <c r="N53" i="6" s="1"/>
  <c r="H8" i="6"/>
  <c r="L46" i="6"/>
  <c r="N32" i="5"/>
  <c r="N31" i="5"/>
  <c r="N45" i="5"/>
  <c r="N33" i="5"/>
  <c r="N12" i="5"/>
  <c r="N20" i="5"/>
  <c r="N40" i="5"/>
  <c r="L33" i="5"/>
  <c r="L41" i="5"/>
  <c r="M13" i="5"/>
  <c r="M25" i="5"/>
  <c r="M33" i="5"/>
  <c r="M41" i="5"/>
  <c r="N19" i="5"/>
  <c r="L36" i="5"/>
  <c r="M16" i="5"/>
  <c r="M22" i="5"/>
  <c r="N28" i="5"/>
  <c r="N36" i="5"/>
  <c r="N44" i="5"/>
  <c r="M11" i="5"/>
  <c r="M39" i="5"/>
  <c r="N11" i="5"/>
  <c r="L34" i="5"/>
  <c r="N14" i="5"/>
  <c r="L23" i="5"/>
  <c r="L29" i="5"/>
  <c r="L45" i="5"/>
  <c r="M9" i="5"/>
  <c r="M17" i="5"/>
  <c r="M37" i="5"/>
  <c r="M45" i="5"/>
  <c r="N9" i="5"/>
  <c r="L12" i="5"/>
  <c r="N17" i="5"/>
  <c r="N23" i="5"/>
  <c r="N29" i="5"/>
  <c r="L32" i="5"/>
  <c r="N37" i="5"/>
  <c r="L40" i="5"/>
  <c r="L13" i="5"/>
  <c r="M19" i="5"/>
  <c r="N25" i="5"/>
  <c r="L44" i="5"/>
  <c r="L11" i="5"/>
  <c r="N22" i="5"/>
  <c r="L31" i="5"/>
  <c r="M31" i="5"/>
  <c r="N39" i="5"/>
  <c r="L42" i="5"/>
  <c r="M20" i="5"/>
  <c r="L9" i="5"/>
  <c r="N26" i="5"/>
  <c r="N34" i="5"/>
  <c r="N42" i="5"/>
  <c r="M12" i="5"/>
  <c r="G18" i="5"/>
  <c r="G24" i="5"/>
  <c r="M32" i="5"/>
  <c r="M40" i="5"/>
  <c r="L16" i="5"/>
  <c r="L28" i="5"/>
  <c r="L14" i="5"/>
  <c r="L20" i="5"/>
  <c r="L26" i="5"/>
  <c r="N12" i="3"/>
  <c r="N17" i="3"/>
  <c r="K28" i="3"/>
  <c r="N28" i="3" s="1"/>
  <c r="K40" i="3"/>
  <c r="K16" i="3"/>
  <c r="N16" i="3" s="1"/>
  <c r="N40" i="3"/>
  <c r="L36" i="3"/>
  <c r="N35" i="3"/>
  <c r="N23" i="3"/>
  <c r="K41" i="3"/>
  <c r="N41" i="3" s="1"/>
  <c r="K19" i="3"/>
  <c r="N19" i="3" s="1"/>
  <c r="K33" i="3"/>
  <c r="N33" i="3" s="1"/>
  <c r="L45" i="3"/>
  <c r="L29" i="3"/>
  <c r="L32" i="3"/>
  <c r="L15" i="3"/>
  <c r="N38" i="3"/>
  <c r="N42" i="3"/>
  <c r="N26" i="3"/>
  <c r="N30" i="3"/>
  <c r="N44" i="3"/>
  <c r="L21" i="3"/>
  <c r="L9" i="3"/>
  <c r="L39" i="3"/>
  <c r="N27" i="3"/>
  <c r="M44" i="3"/>
  <c r="N14" i="3"/>
  <c r="L30" i="3"/>
  <c r="L44" i="3"/>
  <c r="N9" i="3"/>
  <c r="L37" i="3"/>
  <c r="L12" i="3"/>
  <c r="M22" i="3"/>
  <c r="M25" i="3"/>
  <c r="N32" i="3"/>
  <c r="M37" i="3"/>
  <c r="L42" i="3"/>
  <c r="M12" i="3"/>
  <c r="L17" i="3"/>
  <c r="L20" i="3"/>
  <c r="N22" i="3"/>
  <c r="N25" i="3"/>
  <c r="M30" i="3"/>
  <c r="L35" i="3"/>
  <c r="M42" i="3"/>
  <c r="M14" i="3"/>
  <c r="M32" i="3"/>
  <c r="M17" i="3"/>
  <c r="M35" i="3"/>
  <c r="N20" i="3"/>
  <c r="M40" i="3"/>
  <c r="N10" i="3"/>
  <c r="G18" i="3"/>
  <c r="L23" i="3"/>
  <c r="L26" i="3"/>
  <c r="L38" i="3"/>
  <c r="L27" i="3"/>
  <c r="M9" i="3"/>
  <c r="N39" i="3"/>
  <c r="G8" i="3"/>
  <c r="L13" i="3"/>
  <c r="M23" i="3"/>
  <c r="M26" i="3"/>
  <c r="L31" i="3"/>
  <c r="M38" i="3"/>
  <c r="L43" i="3"/>
  <c r="F22" i="2"/>
  <c r="F23" i="2"/>
  <c r="F9" i="2"/>
  <c r="H18" i="6" l="1"/>
  <c r="H24" i="6"/>
  <c r="H46" i="8"/>
  <c r="N52" i="8"/>
  <c r="N53" i="8" s="1"/>
  <c r="H8" i="8"/>
  <c r="H24" i="8"/>
  <c r="H18" i="8"/>
  <c r="N55" i="8"/>
  <c r="N56" i="8" s="1"/>
  <c r="N57" i="6"/>
  <c r="N58" i="6" s="1"/>
  <c r="N46" i="5"/>
  <c r="M46" i="5"/>
  <c r="N54" i="5" s="1"/>
  <c r="L46" i="5"/>
  <c r="G46" i="5"/>
  <c r="M46" i="3"/>
  <c r="N54" i="3" s="1"/>
  <c r="N46" i="3"/>
  <c r="G46" i="3"/>
  <c r="L46" i="3"/>
  <c r="L22" i="2"/>
  <c r="N22" i="2"/>
  <c r="M22" i="2"/>
  <c r="L9" i="2"/>
  <c r="M9" i="2"/>
  <c r="N9" i="2"/>
  <c r="M23" i="2"/>
  <c r="L23" i="2"/>
  <c r="N23" i="2"/>
  <c r="F43" i="2"/>
  <c r="F28" i="2"/>
  <c r="F31" i="2"/>
  <c r="F11" i="2"/>
  <c r="F38" i="2"/>
  <c r="F19" i="2"/>
  <c r="F17" i="2"/>
  <c r="F14" i="2"/>
  <c r="F41" i="2"/>
  <c r="F44" i="2"/>
  <c r="F42" i="2"/>
  <c r="N52" i="5" l="1"/>
  <c r="N53" i="5" s="1"/>
  <c r="H46" i="5"/>
  <c r="H8" i="5"/>
  <c r="H24" i="5"/>
  <c r="N55" i="5"/>
  <c r="N56" i="5" s="1"/>
  <c r="H18" i="5"/>
  <c r="H46" i="3"/>
  <c r="N52" i="3"/>
  <c r="N53" i="3" s="1"/>
  <c r="H24" i="3"/>
  <c r="H8" i="3"/>
  <c r="H18" i="3"/>
  <c r="N55" i="3"/>
  <c r="N56" i="3" s="1"/>
  <c r="L28" i="2"/>
  <c r="M28" i="2"/>
  <c r="N28" i="2"/>
  <c r="M42" i="2"/>
  <c r="L42" i="2"/>
  <c r="N42" i="2"/>
  <c r="L43" i="2"/>
  <c r="M43" i="2"/>
  <c r="N43" i="2"/>
  <c r="L44" i="2"/>
  <c r="M44" i="2"/>
  <c r="N44" i="2"/>
  <c r="L41" i="2"/>
  <c r="M41" i="2"/>
  <c r="N41" i="2"/>
  <c r="L14" i="2"/>
  <c r="M14" i="2"/>
  <c r="N14" i="2"/>
  <c r="M17" i="2"/>
  <c r="L17" i="2"/>
  <c r="N17" i="2"/>
  <c r="M19" i="2"/>
  <c r="L19" i="2"/>
  <c r="N19" i="2"/>
  <c r="L38" i="2"/>
  <c r="M38" i="2"/>
  <c r="N38" i="2"/>
  <c r="L11" i="2"/>
  <c r="M11" i="2"/>
  <c r="N11" i="2"/>
  <c r="M31" i="2"/>
  <c r="L31" i="2"/>
  <c r="N31" i="2"/>
  <c r="F21" i="2"/>
  <c r="F10" i="2"/>
  <c r="F26" i="2"/>
  <c r="F25" i="2"/>
  <c r="F16" i="2"/>
  <c r="F37" i="2"/>
  <c r="F12" i="2"/>
  <c r="F45" i="2"/>
  <c r="F35" i="2"/>
  <c r="F39" i="2"/>
  <c r="F15" i="2"/>
  <c r="F13" i="2"/>
  <c r="F36" i="2"/>
  <c r="F32" i="2"/>
  <c r="N57" i="5" l="1"/>
  <c r="N58" i="5" s="1"/>
  <c r="N57" i="3"/>
  <c r="N58" i="3" s="1"/>
  <c r="L36" i="2"/>
  <c r="M36" i="2"/>
  <c r="N36" i="2"/>
  <c r="L39" i="2"/>
  <c r="M39" i="2"/>
  <c r="N39" i="2"/>
  <c r="L21" i="2"/>
  <c r="M21" i="2"/>
  <c r="N21" i="2"/>
  <c r="N13" i="2"/>
  <c r="M13" i="2"/>
  <c r="L13" i="2"/>
  <c r="M37" i="2"/>
  <c r="L37" i="2"/>
  <c r="N37" i="2"/>
  <c r="M16" i="2"/>
  <c r="N16" i="2"/>
  <c r="L16" i="2"/>
  <c r="L15" i="2"/>
  <c r="M15" i="2"/>
  <c r="N15" i="2"/>
  <c r="L35" i="2"/>
  <c r="M35" i="2"/>
  <c r="N35" i="2"/>
  <c r="M45" i="2"/>
  <c r="L45" i="2"/>
  <c r="N45" i="2"/>
  <c r="L12" i="2"/>
  <c r="M12" i="2"/>
  <c r="N12" i="2"/>
  <c r="L25" i="2"/>
  <c r="M25" i="2"/>
  <c r="N25" i="2"/>
  <c r="L26" i="2"/>
  <c r="M26" i="2"/>
  <c r="N26" i="2"/>
  <c r="L32" i="2"/>
  <c r="M32" i="2"/>
  <c r="N32" i="2"/>
  <c r="N10" i="2"/>
  <c r="L10" i="2"/>
  <c r="M10" i="2"/>
  <c r="F40" i="2"/>
  <c r="F20" i="2"/>
  <c r="F33" i="2"/>
  <c r="F29" i="2"/>
  <c r="G8" i="2"/>
  <c r="F30" i="2"/>
  <c r="F27" i="2"/>
  <c r="L29" i="2" l="1"/>
  <c r="M29" i="2"/>
  <c r="N29" i="2"/>
  <c r="L33" i="2"/>
  <c r="M33" i="2"/>
  <c r="N33" i="2"/>
  <c r="G18" i="2"/>
  <c r="L20" i="2"/>
  <c r="M20" i="2"/>
  <c r="N20" i="2"/>
  <c r="L40" i="2"/>
  <c r="M40" i="2"/>
  <c r="N40" i="2"/>
  <c r="N27" i="2"/>
  <c r="L27" i="2"/>
  <c r="M27" i="2"/>
  <c r="N30" i="2"/>
  <c r="M30" i="2"/>
  <c r="L30" i="2"/>
  <c r="F34" i="2"/>
  <c r="L46" i="2" l="1"/>
  <c r="M34" i="2"/>
  <c r="M46" i="2" s="1"/>
  <c r="N54" i="2" s="1"/>
  <c r="N55" i="2" s="1"/>
  <c r="N56" i="2" s="1"/>
  <c r="N57" i="2" s="1"/>
  <c r="N58" i="2" s="1"/>
  <c r="L34" i="2"/>
  <c r="N34" i="2"/>
  <c r="N46" i="2" s="1"/>
  <c r="F46" i="2"/>
  <c r="G24" i="2"/>
  <c r="G46" i="2" l="1"/>
  <c r="H46" i="2" l="1"/>
  <c r="H18" i="2"/>
  <c r="H8" i="2"/>
  <c r="H24" i="2"/>
</calcChain>
</file>

<file path=xl/sharedStrings.xml><?xml version="1.0" encoding="utf-8"?>
<sst xmlns="http://schemas.openxmlformats.org/spreadsheetml/2006/main" count="1126" uniqueCount="92">
  <si>
    <t>DÓLAR BNA</t>
  </si>
  <si>
    <t>DÓLAR MEP</t>
  </si>
  <si>
    <t>C</t>
  </si>
  <si>
    <t>OBRA: EDIFICIO GDR 3760</t>
  </si>
  <si>
    <t xml:space="preserve"> </t>
  </si>
  <si>
    <t>E</t>
  </si>
  <si>
    <t>Descripción</t>
  </si>
  <si>
    <t>U</t>
  </si>
  <si>
    <t>Cant</t>
  </si>
  <si>
    <t>Subtotal</t>
  </si>
  <si>
    <t xml:space="preserve">P unit </t>
  </si>
  <si>
    <t>TAREAS PRELIMINARES</t>
  </si>
  <si>
    <t>gl</t>
  </si>
  <si>
    <t>Topógrafo - Visita de obra replanteo</t>
  </si>
  <si>
    <t>ml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</si>
  <si>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</si>
  <si>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</si>
  <si>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</si>
  <si>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</si>
  <si>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</si>
  <si>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</si>
  <si>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Excavación a maquina para submuración, subsuelo y fundaciones</t>
  </si>
  <si>
    <t>m3</t>
  </si>
  <si>
    <t>Perfilado manual de bases. Relleno y compactación de pozos</t>
  </si>
  <si>
    <t>Excavación manual para vigas de fundación</t>
  </si>
  <si>
    <t>m2</t>
  </si>
  <si>
    <t>ESTRUCTURA RESISTENTE</t>
  </si>
  <si>
    <t>Hormigón de limpieza - e: 10 cm</t>
  </si>
  <si>
    <t>Pilotes de tracción Ø 20 cm - (120 kg/m3 de hierro)</t>
  </si>
  <si>
    <t>u</t>
  </si>
  <si>
    <t>Tabique submuración - H35 (95 kg/m3 de hierro)</t>
  </si>
  <si>
    <t>Zapata corrida tabique - H35 (120 kg/m3 de hierro)</t>
  </si>
  <si>
    <t>Platea - H35 (95 kg/m3 de hierro)</t>
  </si>
  <si>
    <t>Bases aisladas - (60 kg/m3 de hierro)</t>
  </si>
  <si>
    <t>Troncos de columnas - H35 (240 kg/m3 de hierro)</t>
  </si>
  <si>
    <t>Viga de encadenado - H35 (180 kg/m3 de hierro)</t>
  </si>
  <si>
    <t>Losa maciza - H35 (100 kg/m3 de hierro)</t>
  </si>
  <si>
    <t xml:space="preserve">Losa maciza de Hº visto - H35 (100 kg/m3 de hierro) </t>
  </si>
  <si>
    <t>Vigas - H35 (180 kg/m3 de hierro)</t>
  </si>
  <si>
    <t xml:space="preserve">Vigas de H° visto - H35 (180 kg/m3 de hierro) </t>
  </si>
  <si>
    <t>Tabiques - H35 (100 kg/m3 de hierro)</t>
  </si>
  <si>
    <t>Columna - H35 (180 Kg/m3 de hierro)</t>
  </si>
  <si>
    <t>Columna vista- H35 (180 Kg/m3 de hierro)</t>
  </si>
  <si>
    <t>Escaleras de Hº visto - H35 (105 kg/m3 de hierro)</t>
  </si>
  <si>
    <t>Sistema de apuntalamiento y reapuntalamiento</t>
  </si>
  <si>
    <t xml:space="preserve">Ensayos de hormigon por etapas de hormigonado </t>
  </si>
  <si>
    <t>Permiso de estacionamiento de bomba de hormigón a contramano</t>
  </si>
  <si>
    <t>Anticipo</t>
  </si>
  <si>
    <t>SUB TOTAL OBRA GRIS</t>
  </si>
  <si>
    <r>
      <t xml:space="preserve">Limpieza y preparación del terreno </t>
    </r>
    <r>
      <rPr>
        <i/>
        <sz val="10"/>
        <color rgb="FFFF0000"/>
        <rFont val="Calibri"/>
        <family val="2"/>
      </rPr>
      <t>- No cotiza</t>
    </r>
  </si>
  <si>
    <r>
      <t xml:space="preserve">Cartel de Obra </t>
    </r>
    <r>
      <rPr>
        <i/>
        <sz val="10"/>
        <color rgb="FFFF0000"/>
        <rFont val="Calibri"/>
        <family val="2"/>
      </rPr>
      <t>- No cotiza</t>
    </r>
  </si>
  <si>
    <r>
      <t>Cerco de obra perimetral</t>
    </r>
    <r>
      <rPr>
        <i/>
        <sz val="10"/>
        <color rgb="FFFF0000"/>
        <rFont val="Calibri"/>
        <family val="2"/>
      </rPr>
      <t xml:space="preserve"> - En chapa C25 + Concertina + Porton corredizo </t>
    </r>
  </si>
  <si>
    <r>
      <t>Obrador, pañol y ducha</t>
    </r>
    <r>
      <rPr>
        <i/>
        <sz val="10"/>
        <rFont val="Calibri"/>
        <family val="2"/>
      </rPr>
      <t>.</t>
    </r>
  </si>
  <si>
    <r>
      <t xml:space="preserve">Aporte y compactación de suelo seleccionado, e: 40 cm (2 capas de 20 cm) </t>
    </r>
    <r>
      <rPr>
        <i/>
        <sz val="10"/>
        <color rgb="FFFF0000"/>
        <rFont val="Calibri"/>
        <family val="2"/>
      </rPr>
      <t>- Cotizado Hº Pobre en item 8,02</t>
    </r>
  </si>
  <si>
    <r>
      <t xml:space="preserve">Demolición de bases existentes </t>
    </r>
    <r>
      <rPr>
        <i/>
        <sz val="10"/>
        <color rgb="FFFF0000"/>
        <rFont val="Calibri"/>
        <family val="2"/>
      </rPr>
      <t>- No cotiza</t>
    </r>
  </si>
  <si>
    <r>
      <t xml:space="preserve">Tanques de HºAº - H35 (100 kg/m3 de hierro) </t>
    </r>
    <r>
      <rPr>
        <i/>
        <sz val="10"/>
        <color rgb="FFFF0000"/>
        <rFont val="Calibri"/>
        <family val="2"/>
      </rPr>
      <t>- Tanque de reserva</t>
    </r>
  </si>
  <si>
    <r>
      <t xml:space="preserve">Picado de medianeras para columnas y vigas </t>
    </r>
    <r>
      <rPr>
        <i/>
        <sz val="10"/>
        <color rgb="FFFF0000"/>
        <rFont val="Calibri"/>
        <family val="2"/>
      </rPr>
      <t>- Cotizado para PB y 1P</t>
    </r>
  </si>
  <si>
    <t xml:space="preserve">Certificado </t>
  </si>
  <si>
    <t>Avance</t>
  </si>
  <si>
    <t>Importe</t>
  </si>
  <si>
    <t>Anterior</t>
  </si>
  <si>
    <t>Actual</t>
  </si>
  <si>
    <t>Acumulado</t>
  </si>
  <si>
    <t>RESUMEN CERTIFICADO</t>
  </si>
  <si>
    <t xml:space="preserve">CERT. N° </t>
  </si>
  <si>
    <t>%</t>
  </si>
  <si>
    <t>IMPORTE</t>
  </si>
  <si>
    <t>A</t>
  </si>
  <si>
    <t>Presupuesto aprobado</t>
  </si>
  <si>
    <t>B</t>
  </si>
  <si>
    <t>Certificado actual</t>
  </si>
  <si>
    <t>D</t>
  </si>
  <si>
    <t xml:space="preserve">Desacopio </t>
  </si>
  <si>
    <t>Subtotal certificacion actual completa (SIN IVA)</t>
  </si>
  <si>
    <t>Act. 02-2025</t>
  </si>
  <si>
    <t>F</t>
  </si>
  <si>
    <t>Actualizacion CAC</t>
  </si>
  <si>
    <t>G</t>
  </si>
  <si>
    <t>Subtotal certificacion con actualización (SIN IVA)</t>
  </si>
  <si>
    <t>Base 12-2024</t>
  </si>
  <si>
    <t>PRESUPUESTO OBRA CIVIL 01</t>
  </si>
  <si>
    <t>Act. 03-2025</t>
  </si>
  <si>
    <t>Act. 04-2025</t>
  </si>
  <si>
    <t>Act. 05-2025</t>
  </si>
  <si>
    <t>Act. 06-2025</t>
  </si>
  <si>
    <t>#1</t>
  </si>
  <si>
    <t>Pto</t>
  </si>
  <si>
    <t>Cert.</t>
  </si>
  <si>
    <t># 2</t>
  </si>
  <si>
    <t>GDR</t>
  </si>
  <si>
    <t>DEDUCTIVOS</t>
  </si>
  <si>
    <t>SUBTOTAL DEDUCTIVOS PTO#1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</si>
</sst>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-* #,##0.00\ _$_-;\-* #,##0.00\ _$_-;_-* &quot;-&quot;??\ _$_-;_-@_-"/>
    <numFmt numFmtId="168" formatCode="_-* #,##0.0_-;\-* #,##0.0_-;_-* &quot;-&quot;??_-;_-@_-"/>
    <numFmt numFmtId="169" formatCode="_(* #,##0.0000_);_(* \(#,##0.0000\);_(* &quot;-&quot;??_);_(@_)"/>
    <numFmt numFmtId="170" formatCode="_-* #,##0.0_-;\-* #,##0.0_-;_-* &quot;-&quot;?_-;_-@_-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i/>
      <sz val="10"/>
      <color rgb="FFFF0000"/>
      <name val="Calibri"/>
      <family val="2"/>
    </font>
    <font>
      <i/>
      <sz val="10"/>
      <name val="Calibri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23">
    <xf numFmtId="0" fontId="0" fillId="0" borderId="14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75">
    <xf numFmtId="0" fontId="0" fillId="0" borderId="14" xfId="0"/>
    <xf numFmtId="0" fontId="6" fillId="0" borderId="0" xfId="2" applyFont="1"/>
    <xf numFmtId="43" fontId="6" fillId="0" borderId="0" xfId="1" applyFont="1" applyFill="1" applyAlignment="1">
      <alignment horizontal="center" vertical="center"/>
    </xf>
    <xf numFmtId="0" fontId="6" fillId="0" borderId="0" xfId="1" applyNumberFormat="1" applyFont="1"/>
    <xf numFmtId="0" fontId="6" fillId="0" borderId="0" xfId="13" applyFont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0" fontId="6" fillId="0" borderId="0" xfId="13" applyFont="1"/>
    <xf numFmtId="164" fontId="6" fillId="0" borderId="0" xfId="13" applyNumberFormat="1" applyFont="1"/>
    <xf numFmtId="43" fontId="5" fillId="0" borderId="0" xfId="1" applyFont="1" applyFill="1" applyAlignment="1">
      <alignment horizontal="center" vertical="center"/>
    </xf>
    <xf numFmtId="0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164" fontId="5" fillId="0" borderId="0" xfId="3" applyNumberFormat="1" applyFont="1" applyAlignment="1">
      <alignment vertical="center" wrapText="1"/>
    </xf>
    <xf numFmtId="14" fontId="8" fillId="0" borderId="0" xfId="1" applyNumberFormat="1" applyFont="1" applyFill="1" applyBorder="1" applyAlignment="1">
      <alignment horizontal="center" vertical="center" wrapText="1"/>
    </xf>
    <xf numFmtId="0" fontId="8" fillId="0" borderId="0" xfId="1" applyNumberFormat="1" applyFont="1" applyAlignment="1">
      <alignment vertical="center"/>
    </xf>
    <xf numFmtId="0" fontId="5" fillId="0" borderId="8" xfId="3" applyFont="1" applyBorder="1" applyAlignment="1">
      <alignment horizontal="center" vertical="center" wrapText="1"/>
    </xf>
    <xf numFmtId="165" fontId="5" fillId="0" borderId="8" xfId="1" applyNumberFormat="1" applyFont="1" applyFill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/>
    </xf>
    <xf numFmtId="0" fontId="8" fillId="0" borderId="7" xfId="1" applyNumberFormat="1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165" fontId="8" fillId="0" borderId="2" xfId="1" applyNumberFormat="1" applyFont="1" applyFill="1" applyBorder="1" applyAlignment="1">
      <alignment horizontal="center" vertical="center"/>
    </xf>
    <xf numFmtId="0" fontId="8" fillId="0" borderId="6" xfId="1" applyNumberFormat="1" applyFont="1" applyFill="1" applyBorder="1" applyAlignment="1">
      <alignment vertical="center" wrapText="1"/>
    </xf>
    <xf numFmtId="0" fontId="5" fillId="0" borderId="6" xfId="3" applyFont="1" applyBorder="1" applyAlignment="1">
      <alignment horizontal="center" vertical="center" wrapText="1"/>
    </xf>
    <xf numFmtId="165" fontId="5" fillId="0" borderId="6" xfId="1" applyNumberFormat="1" applyFont="1" applyFill="1" applyBorder="1" applyAlignment="1">
      <alignment horizontal="center" vertical="center" wrapText="1"/>
    </xf>
    <xf numFmtId="9" fontId="6" fillId="0" borderId="0" xfId="15" applyFont="1" applyFill="1"/>
    <xf numFmtId="0" fontId="5" fillId="0" borderId="0" xfId="13" applyFont="1"/>
    <xf numFmtId="43" fontId="6" fillId="0" borderId="1" xfId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vertical="top" wrapText="1"/>
    </xf>
    <xf numFmtId="49" fontId="5" fillId="0" borderId="1" xfId="13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9" fontId="6" fillId="0" borderId="0" xfId="15" applyFont="1"/>
    <xf numFmtId="43" fontId="6" fillId="0" borderId="3" xfId="1" applyFont="1" applyFill="1" applyBorder="1" applyAlignment="1">
      <alignment horizontal="center" vertical="center"/>
    </xf>
    <xf numFmtId="0" fontId="5" fillId="0" borderId="3" xfId="1" applyNumberFormat="1" applyFont="1" applyBorder="1" applyAlignment="1">
      <alignment vertical="top" wrapText="1"/>
    </xf>
    <xf numFmtId="49" fontId="5" fillId="0" borderId="3" xfId="13" applyNumberFormat="1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0" fontId="5" fillId="0" borderId="10" xfId="1" applyNumberFormat="1" applyFont="1" applyBorder="1" applyAlignment="1">
      <alignment horizontal="left"/>
    </xf>
    <xf numFmtId="49" fontId="5" fillId="0" borderId="3" xfId="5" applyNumberFormat="1" applyFont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 vertical="center"/>
    </xf>
    <xf numFmtId="43" fontId="6" fillId="0" borderId="11" xfId="1" applyFont="1" applyFill="1" applyBorder="1" applyAlignment="1">
      <alignment horizontal="center" vertical="center"/>
    </xf>
    <xf numFmtId="49" fontId="5" fillId="0" borderId="11" xfId="5" applyNumberFormat="1" applyFont="1" applyBorder="1" applyAlignment="1">
      <alignment horizontal="center" vertical="center"/>
    </xf>
    <xf numFmtId="165" fontId="5" fillId="0" borderId="11" xfId="1" applyNumberFormat="1" applyFont="1" applyFill="1" applyBorder="1" applyAlignment="1">
      <alignment horizontal="center" vertical="center"/>
    </xf>
    <xf numFmtId="43" fontId="6" fillId="0" borderId="4" xfId="1" applyFont="1" applyFill="1" applyBorder="1" applyAlignment="1">
      <alignment horizontal="center" vertical="center"/>
    </xf>
    <xf numFmtId="0" fontId="5" fillId="0" borderId="4" xfId="1" applyNumberFormat="1" applyFont="1" applyBorder="1" applyAlignment="1">
      <alignment horizontal="left"/>
    </xf>
    <xf numFmtId="49" fontId="5" fillId="0" borderId="4" xfId="5" applyNumberFormat="1" applyFont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0" fontId="6" fillId="0" borderId="3" xfId="1" applyNumberFormat="1" applyFont="1" applyBorder="1" applyAlignment="1">
      <alignment vertical="center" wrapText="1"/>
    </xf>
    <xf numFmtId="0" fontId="5" fillId="0" borderId="3" xfId="1" applyNumberFormat="1" applyFont="1" applyBorder="1" applyAlignment="1">
      <alignment horizontal="left"/>
    </xf>
    <xf numFmtId="165" fontId="5" fillId="0" borderId="3" xfId="1" applyNumberFormat="1" applyFont="1" applyFill="1" applyBorder="1" applyAlignment="1">
      <alignment horizontal="right" vertical="center"/>
    </xf>
    <xf numFmtId="0" fontId="5" fillId="0" borderId="11" xfId="1" applyNumberFormat="1" applyFont="1" applyBorder="1" applyAlignment="1">
      <alignment horizontal="left"/>
    </xf>
    <xf numFmtId="0" fontId="5" fillId="0" borderId="4" xfId="1" applyNumberFormat="1" applyFont="1" applyBorder="1" applyAlignment="1">
      <alignment vertical="top" wrapText="1"/>
    </xf>
    <xf numFmtId="49" fontId="5" fillId="0" borderId="4" xfId="13" applyNumberFormat="1" applyFont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0" fontId="8" fillId="0" borderId="6" xfId="1" applyNumberFormat="1" applyFont="1" applyBorder="1" applyAlignment="1">
      <alignment vertical="center" wrapText="1"/>
    </xf>
    <xf numFmtId="43" fontId="6" fillId="0" borderId="0" xfId="17" applyFont="1" applyFill="1"/>
    <xf numFmtId="43" fontId="8" fillId="0" borderId="0" xfId="1" applyFont="1" applyFill="1" applyBorder="1" applyAlignment="1">
      <alignment horizontal="center" vertical="center"/>
    </xf>
    <xf numFmtId="43" fontId="8" fillId="0" borderId="15" xfId="1" applyFont="1" applyFill="1" applyBorder="1" applyAlignment="1">
      <alignment horizontal="center" vertical="center"/>
    </xf>
    <xf numFmtId="0" fontId="9" fillId="0" borderId="15" xfId="1" applyNumberFormat="1" applyFont="1" applyFill="1" applyBorder="1" applyAlignment="1">
      <alignment vertical="center" wrapText="1"/>
    </xf>
    <xf numFmtId="43" fontId="5" fillId="0" borderId="15" xfId="17" applyFont="1" applyFill="1" applyBorder="1" applyAlignment="1">
      <alignment horizontal="center" vertical="center" wrapText="1"/>
    </xf>
    <xf numFmtId="165" fontId="5" fillId="0" borderId="15" xfId="1" applyNumberFormat="1" applyFont="1" applyFill="1" applyBorder="1" applyAlignment="1">
      <alignment horizontal="center" vertical="center" wrapText="1"/>
    </xf>
    <xf numFmtId="0" fontId="5" fillId="0" borderId="12" xfId="1" applyNumberFormat="1" applyFont="1" applyBorder="1" applyAlignment="1">
      <alignment horizontal="left" vertical="center" wrapText="1"/>
    </xf>
    <xf numFmtId="0" fontId="5" fillId="0" borderId="0" xfId="1" applyNumberFormat="1" applyFont="1" applyBorder="1" applyAlignment="1">
      <alignment horizontal="left" vertical="top" wrapText="1"/>
    </xf>
    <xf numFmtId="165" fontId="6" fillId="0" borderId="0" xfId="1" applyNumberFormat="1" applyFont="1" applyFill="1" applyBorder="1" applyAlignment="1">
      <alignment horizontal="center" vertical="center"/>
    </xf>
    <xf numFmtId="168" fontId="9" fillId="0" borderId="8" xfId="8" applyNumberFormat="1" applyFont="1" applyBorder="1" applyAlignment="1">
      <alignment horizontal="left"/>
    </xf>
    <xf numFmtId="166" fontId="9" fillId="0" borderId="8" xfId="8" applyNumberFormat="1" applyFont="1" applyFill="1" applyBorder="1" applyAlignment="1">
      <alignment horizontal="center"/>
    </xf>
    <xf numFmtId="168" fontId="6" fillId="0" borderId="0" xfId="8" applyNumberFormat="1" applyFont="1"/>
    <xf numFmtId="43" fontId="6" fillId="0" borderId="0" xfId="8" applyFont="1"/>
    <xf numFmtId="43" fontId="9" fillId="0" borderId="0" xfId="8" applyFont="1" applyAlignment="1">
      <alignment horizontal="right"/>
    </xf>
    <xf numFmtId="14" fontId="9" fillId="0" borderId="0" xfId="8" applyNumberFormat="1" applyFont="1" applyFill="1" applyAlignment="1">
      <alignment horizontal="right"/>
    </xf>
    <xf numFmtId="168" fontId="5" fillId="0" borderId="0" xfId="8" applyNumberFormat="1" applyFont="1" applyAlignment="1">
      <alignment vertical="center" wrapText="1"/>
    </xf>
    <xf numFmtId="168" fontId="5" fillId="0" borderId="0" xfId="8" applyNumberFormat="1" applyFont="1" applyAlignment="1">
      <alignment horizontal="center" vertical="center" wrapText="1"/>
    </xf>
    <xf numFmtId="43" fontId="5" fillId="0" borderId="0" xfId="8" applyFont="1" applyAlignment="1">
      <alignment vertical="center" wrapText="1"/>
    </xf>
    <xf numFmtId="168" fontId="9" fillId="0" borderId="2" xfId="8" applyNumberFormat="1" applyFont="1" applyBorder="1" applyAlignment="1">
      <alignment horizontal="center" vertical="center"/>
    </xf>
    <xf numFmtId="43" fontId="9" fillId="0" borderId="2" xfId="8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9" fontId="6" fillId="0" borderId="1" xfId="16" applyFont="1" applyBorder="1" applyAlignment="1">
      <alignment horizontal="center" vertical="center"/>
    </xf>
    <xf numFmtId="9" fontId="5" fillId="0" borderId="1" xfId="19" applyFont="1" applyFill="1" applyBorder="1" applyAlignment="1">
      <alignment horizontal="center" vertical="center" wrapText="1"/>
    </xf>
    <xf numFmtId="165" fontId="6" fillId="0" borderId="13" xfId="20" applyNumberFormat="1" applyFont="1" applyBorder="1" applyAlignment="1">
      <alignment vertical="center"/>
    </xf>
    <xf numFmtId="9" fontId="6" fillId="0" borderId="3" xfId="16" applyFont="1" applyBorder="1" applyAlignment="1">
      <alignment horizontal="center" vertical="center"/>
    </xf>
    <xf numFmtId="9" fontId="5" fillId="0" borderId="3" xfId="19" applyFont="1" applyFill="1" applyBorder="1" applyAlignment="1">
      <alignment horizontal="center" vertical="center" wrapText="1"/>
    </xf>
    <xf numFmtId="9" fontId="6" fillId="0" borderId="4" xfId="16" applyFont="1" applyBorder="1" applyAlignment="1">
      <alignment horizontal="center" vertical="center"/>
    </xf>
    <xf numFmtId="9" fontId="5" fillId="0" borderId="4" xfId="19" applyFont="1" applyFill="1" applyBorder="1" applyAlignment="1">
      <alignment horizontal="center" vertical="center" wrapText="1"/>
    </xf>
    <xf numFmtId="165" fontId="9" fillId="0" borderId="5" xfId="1" applyNumberFormat="1" applyFont="1" applyBorder="1"/>
    <xf numFmtId="165" fontId="9" fillId="0" borderId="6" xfId="1" applyNumberFormat="1" applyFont="1" applyBorder="1"/>
    <xf numFmtId="165" fontId="9" fillId="0" borderId="7" xfId="1" applyNumberFormat="1" applyFont="1" applyBorder="1"/>
    <xf numFmtId="9" fontId="6" fillId="0" borderId="0" xfId="16" applyFont="1" applyFill="1" applyBorder="1" applyAlignment="1">
      <alignment horizontal="center" vertical="center"/>
    </xf>
    <xf numFmtId="165" fontId="6" fillId="0" borderId="0" xfId="20" applyNumberFormat="1" applyFont="1" applyFill="1" applyBorder="1" applyAlignment="1">
      <alignment vertical="center"/>
    </xf>
    <xf numFmtId="43" fontId="6" fillId="0" borderId="5" xfId="8" applyFont="1" applyFill="1" applyBorder="1" applyAlignment="1">
      <alignment horizontal="center"/>
    </xf>
    <xf numFmtId="43" fontId="9" fillId="0" borderId="6" xfId="8" applyFont="1" applyBorder="1"/>
    <xf numFmtId="43" fontId="6" fillId="0" borderId="6" xfId="8" applyFont="1" applyBorder="1" applyAlignment="1">
      <alignment horizontal="center" vertical="center"/>
    </xf>
    <xf numFmtId="43" fontId="5" fillId="0" borderId="6" xfId="8" applyFont="1" applyBorder="1"/>
    <xf numFmtId="166" fontId="9" fillId="0" borderId="6" xfId="8" applyNumberFormat="1" applyFont="1" applyBorder="1"/>
    <xf numFmtId="168" fontId="6" fillId="0" borderId="6" xfId="8" applyNumberFormat="1" applyFont="1" applyBorder="1"/>
    <xf numFmtId="168" fontId="6" fillId="0" borderId="6" xfId="8" applyNumberFormat="1" applyFont="1" applyBorder="1" applyAlignment="1">
      <alignment horizontal="center" vertical="center"/>
    </xf>
    <xf numFmtId="168" fontId="9" fillId="0" borderId="6" xfId="8" applyNumberFormat="1" applyFont="1" applyBorder="1" applyAlignment="1">
      <alignment horizontal="right" vertical="center"/>
    </xf>
    <xf numFmtId="166" fontId="9" fillId="0" borderId="6" xfId="8" applyNumberFormat="1" applyFont="1" applyBorder="1" applyAlignment="1">
      <alignment horizontal="left" vertical="center"/>
    </xf>
    <xf numFmtId="43" fontId="9" fillId="0" borderId="6" xfId="8" applyFont="1" applyBorder="1" applyAlignment="1">
      <alignment horizontal="center" vertical="center"/>
    </xf>
    <xf numFmtId="14" fontId="9" fillId="0" borderId="7" xfId="8" applyNumberFormat="1" applyFont="1" applyBorder="1" applyAlignment="1">
      <alignment horizontal="center" vertical="center"/>
    </xf>
    <xf numFmtId="43" fontId="9" fillId="0" borderId="5" xfId="8" applyFont="1" applyFill="1" applyBorder="1" applyAlignment="1">
      <alignment horizontal="center"/>
    </xf>
    <xf numFmtId="43" fontId="8" fillId="0" borderId="6" xfId="8" applyFont="1" applyBorder="1"/>
    <xf numFmtId="168" fontId="9" fillId="0" borderId="6" xfId="8" applyNumberFormat="1" applyFont="1" applyBorder="1"/>
    <xf numFmtId="168" fontId="9" fillId="0" borderId="6" xfId="8" applyNumberFormat="1" applyFont="1" applyBorder="1" applyAlignment="1">
      <alignment horizontal="center" vertical="center"/>
    </xf>
    <xf numFmtId="43" fontId="9" fillId="0" borderId="7" xfId="8" applyFont="1" applyBorder="1" applyAlignment="1">
      <alignment horizontal="center" vertical="center"/>
    </xf>
    <xf numFmtId="43" fontId="6" fillId="4" borderId="16" xfId="8" applyFont="1" applyFill="1" applyBorder="1" applyAlignment="1">
      <alignment horizontal="center" vertical="center"/>
    </xf>
    <xf numFmtId="43" fontId="6" fillId="4" borderId="17" xfId="8" applyFont="1" applyFill="1" applyBorder="1"/>
    <xf numFmtId="43" fontId="5" fillId="4" borderId="16" xfId="8" applyFont="1" applyFill="1" applyBorder="1"/>
    <xf numFmtId="166" fontId="9" fillId="4" borderId="16" xfId="8" applyNumberFormat="1" applyFont="1" applyFill="1" applyBorder="1"/>
    <xf numFmtId="168" fontId="6" fillId="4" borderId="16" xfId="8" applyNumberFormat="1" applyFont="1" applyFill="1" applyBorder="1"/>
    <xf numFmtId="168" fontId="6" fillId="4" borderId="16" xfId="8" applyNumberFormat="1" applyFont="1" applyFill="1" applyBorder="1" applyAlignment="1">
      <alignment horizontal="center" vertical="center"/>
    </xf>
    <xf numFmtId="43" fontId="6" fillId="4" borderId="16" xfId="8" applyFont="1" applyFill="1" applyBorder="1"/>
    <xf numFmtId="165" fontId="6" fillId="4" borderId="18" xfId="8" applyNumberFormat="1" applyFont="1" applyFill="1" applyBorder="1"/>
    <xf numFmtId="43" fontId="6" fillId="0" borderId="3" xfId="8" applyFont="1" applyFill="1" applyBorder="1" applyAlignment="1">
      <alignment horizontal="center"/>
    </xf>
    <xf numFmtId="43" fontId="6" fillId="0" borderId="10" xfId="8" applyFont="1" applyBorder="1"/>
    <xf numFmtId="43" fontId="6" fillId="0" borderId="19" xfId="8" applyFont="1" applyBorder="1" applyAlignment="1">
      <alignment horizontal="center" vertical="center"/>
    </xf>
    <xf numFmtId="43" fontId="5" fillId="0" borderId="19" xfId="8" applyFont="1" applyBorder="1"/>
    <xf numFmtId="166" fontId="6" fillId="0" borderId="19" xfId="8" applyNumberFormat="1" applyFont="1" applyBorder="1"/>
    <xf numFmtId="166" fontId="9" fillId="0" borderId="19" xfId="8" applyNumberFormat="1" applyFont="1" applyBorder="1"/>
    <xf numFmtId="168" fontId="6" fillId="0" borderId="19" xfId="8" applyNumberFormat="1" applyFont="1" applyBorder="1" applyAlignment="1">
      <alignment horizontal="center" vertical="center"/>
    </xf>
    <xf numFmtId="168" fontId="6" fillId="0" borderId="19" xfId="8" applyNumberFormat="1" applyFont="1" applyBorder="1"/>
    <xf numFmtId="43" fontId="6" fillId="0" borderId="19" xfId="8" applyFont="1" applyBorder="1"/>
    <xf numFmtId="10" fontId="6" fillId="0" borderId="19" xfId="8" applyNumberFormat="1" applyFont="1" applyBorder="1"/>
    <xf numFmtId="166" fontId="6" fillId="0" borderId="20" xfId="8" applyNumberFormat="1" applyFont="1" applyBorder="1"/>
    <xf numFmtId="166" fontId="6" fillId="4" borderId="19" xfId="8" applyNumberFormat="1" applyFont="1" applyFill="1" applyBorder="1" applyAlignment="1">
      <alignment horizontal="center" vertical="center"/>
    </xf>
    <xf numFmtId="43" fontId="6" fillId="4" borderId="10" xfId="8" applyFont="1" applyFill="1" applyBorder="1"/>
    <xf numFmtId="43" fontId="6" fillId="4" borderId="19" xfId="8" applyFont="1" applyFill="1" applyBorder="1" applyAlignment="1">
      <alignment horizontal="center" vertical="center"/>
    </xf>
    <xf numFmtId="43" fontId="5" fillId="4" borderId="19" xfId="8" applyFont="1" applyFill="1" applyBorder="1"/>
    <xf numFmtId="166" fontId="9" fillId="4" borderId="19" xfId="8" applyNumberFormat="1" applyFont="1" applyFill="1" applyBorder="1"/>
    <xf numFmtId="168" fontId="6" fillId="4" borderId="19" xfId="8" applyNumberFormat="1" applyFont="1" applyFill="1" applyBorder="1"/>
    <xf numFmtId="168" fontId="6" fillId="4" borderId="19" xfId="8" applyNumberFormat="1" applyFont="1" applyFill="1" applyBorder="1" applyAlignment="1">
      <alignment horizontal="center" vertical="center"/>
    </xf>
    <xf numFmtId="43" fontId="6" fillId="4" borderId="19" xfId="8" applyFont="1" applyFill="1" applyBorder="1"/>
    <xf numFmtId="166" fontId="6" fillId="4" borderId="20" xfId="8" applyNumberFormat="1" applyFont="1" applyFill="1" applyBorder="1"/>
    <xf numFmtId="166" fontId="9" fillId="4" borderId="19" xfId="8" applyNumberFormat="1" applyFont="1" applyFill="1" applyBorder="1" applyAlignment="1">
      <alignment horizontal="center" vertical="center"/>
    </xf>
    <xf numFmtId="43" fontId="9" fillId="4" borderId="10" xfId="8" applyFont="1" applyFill="1" applyBorder="1"/>
    <xf numFmtId="43" fontId="9" fillId="4" borderId="19" xfId="8" applyFont="1" applyFill="1" applyBorder="1" applyAlignment="1">
      <alignment horizontal="center" vertical="center"/>
    </xf>
    <xf numFmtId="43" fontId="8" fillId="4" borderId="19" xfId="8" applyFont="1" applyFill="1" applyBorder="1"/>
    <xf numFmtId="166" fontId="9" fillId="4" borderId="19" xfId="8" applyNumberFormat="1" applyFont="1" applyFill="1" applyBorder="1" applyAlignment="1">
      <alignment horizontal="right" vertical="center"/>
    </xf>
    <xf numFmtId="168" fontId="9" fillId="4" borderId="19" xfId="8" applyNumberFormat="1" applyFont="1" applyFill="1" applyBorder="1"/>
    <xf numFmtId="43" fontId="9" fillId="4" borderId="19" xfId="8" applyFont="1" applyFill="1" applyBorder="1"/>
    <xf numFmtId="166" fontId="9" fillId="4" borderId="20" xfId="8" applyNumberFormat="1" applyFont="1" applyFill="1" applyBorder="1"/>
    <xf numFmtId="164" fontId="6" fillId="0" borderId="4" xfId="21" applyFont="1" applyFill="1" applyBorder="1" applyAlignment="1">
      <alignment horizontal="center"/>
    </xf>
    <xf numFmtId="164" fontId="6" fillId="0" borderId="21" xfId="21" applyFont="1" applyBorder="1"/>
    <xf numFmtId="164" fontId="6" fillId="0" borderId="22" xfId="21" applyFont="1" applyBorder="1" applyAlignment="1">
      <alignment horizontal="center" vertical="center"/>
    </xf>
    <xf numFmtId="164" fontId="5" fillId="0" borderId="22" xfId="21" applyFont="1" applyBorder="1"/>
    <xf numFmtId="168" fontId="6" fillId="0" borderId="22" xfId="21" applyNumberFormat="1" applyFont="1" applyBorder="1"/>
    <xf numFmtId="166" fontId="9" fillId="0" borderId="22" xfId="21" applyNumberFormat="1" applyFont="1" applyBorder="1"/>
    <xf numFmtId="43" fontId="6" fillId="0" borderId="22" xfId="1" applyFont="1" applyBorder="1"/>
    <xf numFmtId="164" fontId="6" fillId="0" borderId="22" xfId="21" applyFont="1" applyBorder="1"/>
    <xf numFmtId="9" fontId="6" fillId="0" borderId="22" xfId="16" applyFont="1" applyBorder="1"/>
    <xf numFmtId="166" fontId="6" fillId="0" borderId="23" xfId="21" applyNumberFormat="1" applyFont="1" applyBorder="1"/>
    <xf numFmtId="166" fontId="9" fillId="4" borderId="6" xfId="21" applyNumberFormat="1" applyFont="1" applyFill="1" applyBorder="1" applyAlignment="1">
      <alignment horizontal="center" vertical="center"/>
    </xf>
    <xf numFmtId="164" fontId="9" fillId="4" borderId="5" xfId="21" applyFont="1" applyFill="1" applyBorder="1"/>
    <xf numFmtId="164" fontId="9" fillId="4" borderId="6" xfId="21" applyFont="1" applyFill="1" applyBorder="1" applyAlignment="1">
      <alignment horizontal="center" vertical="center"/>
    </xf>
    <xf numFmtId="164" fontId="8" fillId="4" borderId="6" xfId="21" applyFont="1" applyFill="1" applyBorder="1"/>
    <xf numFmtId="166" fontId="9" fillId="4" borderId="6" xfId="21" applyNumberFormat="1" applyFont="1" applyFill="1" applyBorder="1"/>
    <xf numFmtId="168" fontId="9" fillId="4" borderId="6" xfId="21" applyNumberFormat="1" applyFont="1" applyFill="1" applyBorder="1"/>
    <xf numFmtId="168" fontId="9" fillId="4" borderId="6" xfId="21" applyNumberFormat="1" applyFont="1" applyFill="1" applyBorder="1" applyAlignment="1">
      <alignment horizontal="center" vertical="center"/>
    </xf>
    <xf numFmtId="164" fontId="9" fillId="4" borderId="6" xfId="21" applyFont="1" applyFill="1" applyBorder="1"/>
    <xf numFmtId="166" fontId="9" fillId="4" borderId="7" xfId="21" applyNumberFormat="1" applyFont="1" applyFill="1" applyBorder="1"/>
    <xf numFmtId="0" fontId="6" fillId="0" borderId="0" xfId="2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9" fillId="0" borderId="0" xfId="1" applyNumberFormat="1" applyFont="1" applyFill="1" applyBorder="1" applyAlignment="1">
      <alignment vertical="center" wrapText="1"/>
    </xf>
    <xf numFmtId="43" fontId="5" fillId="0" borderId="0" xfId="17" applyFont="1" applyFill="1" applyBorder="1" applyAlignment="1">
      <alignment horizontal="center" vertical="center" wrapText="1"/>
    </xf>
    <xf numFmtId="10" fontId="6" fillId="3" borderId="19" xfId="8" applyNumberFormat="1" applyFont="1" applyFill="1" applyBorder="1"/>
    <xf numFmtId="165" fontId="6" fillId="0" borderId="1" xfId="20" applyNumberFormat="1" applyFont="1" applyBorder="1" applyAlignment="1">
      <alignment vertical="center"/>
    </xf>
    <xf numFmtId="165" fontId="6" fillId="0" borderId="3" xfId="20" applyNumberFormat="1" applyFont="1" applyBorder="1" applyAlignment="1">
      <alignment vertical="center"/>
    </xf>
    <xf numFmtId="165" fontId="6" fillId="0" borderId="4" xfId="20" applyNumberFormat="1" applyFont="1" applyBorder="1" applyAlignment="1">
      <alignment vertical="center"/>
    </xf>
    <xf numFmtId="165" fontId="8" fillId="0" borderId="2" xfId="1" applyNumberFormat="1" applyFont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Alignment="1">
      <alignment horizontal="center" vertical="center" wrapText="1"/>
    </xf>
    <xf numFmtId="165" fontId="8" fillId="0" borderId="0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 wrapText="1"/>
    </xf>
    <xf numFmtId="165" fontId="8" fillId="0" borderId="9" xfId="1" applyNumberFormat="1" applyFont="1" applyFill="1" applyBorder="1" applyAlignment="1">
      <alignment horizontal="center" vertical="center"/>
    </xf>
    <xf numFmtId="165" fontId="8" fillId="0" borderId="7" xfId="1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65" fontId="8" fillId="0" borderId="6" xfId="1" applyNumberFormat="1" applyFont="1" applyFill="1" applyBorder="1" applyAlignment="1">
      <alignment horizontal="center" vertical="center" wrapText="1"/>
    </xf>
    <xf numFmtId="165" fontId="8" fillId="0" borderId="7" xfId="1" applyNumberFormat="1" applyFont="1" applyFill="1" applyBorder="1" applyAlignment="1">
      <alignment horizontal="center" vertical="center" wrapText="1"/>
    </xf>
    <xf numFmtId="165" fontId="6" fillId="0" borderId="15" xfId="1" applyNumberFormat="1" applyFont="1" applyBorder="1" applyAlignment="1">
      <alignment horizontal="center" vertical="center"/>
    </xf>
    <xf numFmtId="165" fontId="8" fillId="0" borderId="15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5" fillId="0" borderId="6" xfId="8" applyNumberFormat="1" applyFont="1" applyBorder="1"/>
    <xf numFmtId="165" fontId="6" fillId="0" borderId="6" xfId="8" applyNumberFormat="1" applyFont="1" applyBorder="1"/>
    <xf numFmtId="165" fontId="9" fillId="0" borderId="6" xfId="8" applyNumberFormat="1" applyFont="1" applyBorder="1"/>
    <xf numFmtId="165" fontId="8" fillId="0" borderId="6" xfId="8" applyNumberFormat="1" applyFont="1" applyBorder="1"/>
    <xf numFmtId="165" fontId="5" fillId="4" borderId="16" xfId="8" applyNumberFormat="1" applyFont="1" applyFill="1" applyBorder="1"/>
    <xf numFmtId="165" fontId="6" fillId="4" borderId="16" xfId="8" applyNumberFormat="1" applyFont="1" applyFill="1" applyBorder="1"/>
    <xf numFmtId="165" fontId="9" fillId="4" borderId="16" xfId="8" applyNumberFormat="1" applyFont="1" applyFill="1" applyBorder="1"/>
    <xf numFmtId="165" fontId="5" fillId="0" borderId="19" xfId="8" applyNumberFormat="1" applyFont="1" applyBorder="1"/>
    <xf numFmtId="165" fontId="6" fillId="0" borderId="19" xfId="8" applyNumberFormat="1" applyFont="1" applyBorder="1"/>
    <xf numFmtId="165" fontId="9" fillId="0" borderId="19" xfId="8" applyNumberFormat="1" applyFont="1" applyBorder="1"/>
    <xf numFmtId="165" fontId="5" fillId="4" borderId="19" xfId="8" applyNumberFormat="1" applyFont="1" applyFill="1" applyBorder="1"/>
    <xf numFmtId="165" fontId="6" fillId="4" borderId="19" xfId="8" applyNumberFormat="1" applyFont="1" applyFill="1" applyBorder="1"/>
    <xf numFmtId="165" fontId="9" fillId="4" borderId="19" xfId="8" applyNumberFormat="1" applyFont="1" applyFill="1" applyBorder="1"/>
    <xf numFmtId="165" fontId="8" fillId="4" borderId="19" xfId="8" applyNumberFormat="1" applyFont="1" applyFill="1" applyBorder="1"/>
    <xf numFmtId="165" fontId="5" fillId="0" borderId="22" xfId="21" applyNumberFormat="1" applyFont="1" applyBorder="1"/>
    <xf numFmtId="165" fontId="9" fillId="0" borderId="22" xfId="21" applyNumberFormat="1" applyFont="1" applyBorder="1"/>
    <xf numFmtId="165" fontId="6" fillId="0" borderId="22" xfId="21" applyNumberFormat="1" applyFont="1" applyBorder="1"/>
    <xf numFmtId="165" fontId="8" fillId="4" borderId="6" xfId="21" applyNumberFormat="1" applyFont="1" applyFill="1" applyBorder="1"/>
    <xf numFmtId="165" fontId="9" fillId="4" borderId="6" xfId="21" applyNumberFormat="1" applyFont="1" applyFill="1" applyBorder="1"/>
    <xf numFmtId="166" fontId="9" fillId="3" borderId="19" xfId="8" applyNumberFormat="1" applyFont="1" applyFill="1" applyBorder="1"/>
    <xf numFmtId="43" fontId="6" fillId="3" borderId="22" xfId="1" applyFont="1" applyFill="1" applyBorder="1"/>
    <xf numFmtId="9" fontId="6" fillId="0" borderId="3" xfId="16" applyFont="1" applyFill="1" applyBorder="1" applyAlignment="1">
      <alignment horizontal="center" vertical="center"/>
    </xf>
    <xf numFmtId="9" fontId="5" fillId="3" borderId="3" xfId="19" applyFont="1" applyFill="1" applyBorder="1" applyAlignment="1">
      <alignment horizontal="center" vertical="center" wrapText="1"/>
    </xf>
    <xf numFmtId="9" fontId="6" fillId="0" borderId="0" xfId="22" applyFont="1"/>
    <xf numFmtId="9" fontId="6" fillId="0" borderId="0" xfId="13" applyNumberFormat="1" applyFont="1"/>
    <xf numFmtId="43" fontId="6" fillId="0" borderId="0" xfId="1" applyFont="1"/>
    <xf numFmtId="165" fontId="6" fillId="0" borderId="0" xfId="13" applyNumberFormat="1" applyFont="1"/>
    <xf numFmtId="0" fontId="5" fillId="0" borderId="3" xfId="1" applyNumberFormat="1" applyFont="1" applyBorder="1" applyAlignment="1">
      <alignment vertical="top"/>
    </xf>
    <xf numFmtId="43" fontId="6" fillId="4" borderId="17" xfId="8" applyFont="1" applyFill="1" applyBorder="1" applyAlignment="1">
      <alignment horizontal="center" vertical="center"/>
    </xf>
    <xf numFmtId="166" fontId="6" fillId="4" borderId="10" xfId="8" applyNumberFormat="1" applyFont="1" applyFill="1" applyBorder="1" applyAlignment="1">
      <alignment horizontal="center" vertical="center"/>
    </xf>
    <xf numFmtId="9" fontId="6" fillId="0" borderId="0" xfId="22" applyFont="1" applyFill="1" applyBorder="1" applyAlignment="1">
      <alignment vertical="center"/>
    </xf>
    <xf numFmtId="0" fontId="6" fillId="0" borderId="22" xfId="2" applyFont="1" applyBorder="1"/>
    <xf numFmtId="168" fontId="9" fillId="4" borderId="7" xfId="2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6" fillId="0" borderId="0" xfId="1" applyNumberFormat="1" applyFont="1" applyFill="1" applyBorder="1"/>
    <xf numFmtId="165" fontId="9" fillId="0" borderId="0" xfId="1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 wrapText="1"/>
    </xf>
    <xf numFmtId="166" fontId="9" fillId="4" borderId="21" xfId="8" applyNumberFormat="1" applyFont="1" applyFill="1" applyBorder="1" applyAlignment="1">
      <alignment horizontal="center" vertical="center"/>
    </xf>
    <xf numFmtId="43" fontId="9" fillId="4" borderId="21" xfId="8" applyFont="1" applyFill="1" applyBorder="1"/>
    <xf numFmtId="43" fontId="9" fillId="4" borderId="22" xfId="8" applyFont="1" applyFill="1" applyBorder="1" applyAlignment="1">
      <alignment horizontal="center" vertical="center"/>
    </xf>
    <xf numFmtId="43" fontId="8" fillId="4" borderId="22" xfId="8" applyFont="1" applyFill="1" applyBorder="1"/>
    <xf numFmtId="165" fontId="8" fillId="4" borderId="22" xfId="8" applyNumberFormat="1" applyFont="1" applyFill="1" applyBorder="1"/>
    <xf numFmtId="165" fontId="9" fillId="4" borderId="22" xfId="8" applyNumberFormat="1" applyFont="1" applyFill="1" applyBorder="1"/>
    <xf numFmtId="166" fontId="9" fillId="4" borderId="22" xfId="8" applyNumberFormat="1" applyFont="1" applyFill="1" applyBorder="1"/>
    <xf numFmtId="43" fontId="9" fillId="4" borderId="22" xfId="8" applyFont="1" applyFill="1" applyBorder="1"/>
    <xf numFmtId="166" fontId="9" fillId="4" borderId="23" xfId="8" applyNumberFormat="1" applyFont="1" applyFill="1" applyBorder="1"/>
    <xf numFmtId="10" fontId="6" fillId="0" borderId="0" xfId="22" applyNumberFormat="1" applyFont="1"/>
    <xf numFmtId="10" fontId="5" fillId="0" borderId="0" xfId="22" applyNumberFormat="1" applyFont="1" applyAlignment="1">
      <alignment vertical="center" wrapText="1"/>
    </xf>
    <xf numFmtId="10" fontId="9" fillId="0" borderId="2" xfId="22" applyNumberFormat="1" applyFont="1" applyBorder="1" applyAlignment="1">
      <alignment horizontal="center" vertical="center"/>
    </xf>
    <xf numFmtId="10" fontId="6" fillId="0" borderId="6" xfId="22" applyNumberFormat="1" applyFont="1" applyBorder="1"/>
    <xf numFmtId="10" fontId="5" fillId="0" borderId="3" xfId="22" applyNumberFormat="1" applyFont="1" applyFill="1" applyBorder="1" applyAlignment="1">
      <alignment horizontal="center" vertical="center" wrapText="1"/>
    </xf>
    <xf numFmtId="10" fontId="9" fillId="0" borderId="6" xfId="22" applyNumberFormat="1" applyFont="1" applyBorder="1"/>
    <xf numFmtId="10" fontId="6" fillId="0" borderId="0" xfId="22" applyNumberFormat="1" applyFont="1" applyFill="1" applyBorder="1" applyAlignment="1">
      <alignment horizontal="center" vertical="center"/>
    </xf>
    <xf numFmtId="10" fontId="9" fillId="0" borderId="6" xfId="22" applyNumberFormat="1" applyFont="1" applyBorder="1" applyAlignment="1">
      <alignment horizontal="right" vertical="center"/>
    </xf>
    <xf numFmtId="10" fontId="6" fillId="4" borderId="16" xfId="22" applyNumberFormat="1" applyFont="1" applyFill="1" applyBorder="1"/>
    <xf numFmtId="10" fontId="6" fillId="0" borderId="19" xfId="22" applyNumberFormat="1" applyFont="1" applyBorder="1"/>
    <xf numFmtId="10" fontId="6" fillId="4" borderId="19" xfId="22" applyNumberFormat="1" applyFont="1" applyFill="1" applyBorder="1"/>
    <xf numFmtId="10" fontId="9" fillId="4" borderId="22" xfId="22" applyNumberFormat="1" applyFont="1" applyFill="1" applyBorder="1"/>
    <xf numFmtId="43" fontId="6" fillId="0" borderId="0" xfId="1" applyFont="1" applyFill="1"/>
    <xf numFmtId="9" fontId="6" fillId="0" borderId="0" xfId="22" applyFont="1" applyFill="1"/>
    <xf numFmtId="10" fontId="6" fillId="0" borderId="3" xfId="16" applyNumberFormat="1" applyFont="1" applyBorder="1" applyAlignment="1">
      <alignment horizontal="center" vertical="center"/>
    </xf>
    <xf numFmtId="10" fontId="6" fillId="5" borderId="3" xfId="16" applyNumberFormat="1" applyFont="1" applyFill="1" applyBorder="1" applyAlignment="1">
      <alignment horizontal="center" vertical="center"/>
    </xf>
    <xf numFmtId="10" fontId="6" fillId="0" borderId="3" xfId="16" applyNumberFormat="1" applyFont="1" applyFill="1" applyBorder="1" applyAlignment="1">
      <alignment horizontal="center" vertical="center"/>
    </xf>
    <xf numFmtId="43" fontId="6" fillId="0" borderId="0" xfId="20" applyFont="1" applyFill="1" applyBorder="1" applyAlignment="1">
      <alignment vertical="center"/>
    </xf>
    <xf numFmtId="43" fontId="9" fillId="0" borderId="6" xfId="1" applyFont="1" applyBorder="1"/>
    <xf numFmtId="169" fontId="6" fillId="0" borderId="0" xfId="20" applyNumberFormat="1" applyFont="1" applyFill="1" applyBorder="1" applyAlignment="1">
      <alignment vertical="center"/>
    </xf>
    <xf numFmtId="10" fontId="6" fillId="0" borderId="0" xfId="22" applyNumberFormat="1" applyFont="1" applyFill="1" applyBorder="1" applyAlignment="1">
      <alignment vertical="center"/>
    </xf>
    <xf numFmtId="10" fontId="14" fillId="0" borderId="3" xfId="16" applyNumberFormat="1" applyFont="1" applyFill="1" applyBorder="1" applyAlignment="1">
      <alignment horizontal="center" vertical="center"/>
    </xf>
    <xf numFmtId="10" fontId="5" fillId="0" borderId="3" xfId="16" applyNumberFormat="1" applyFont="1" applyFill="1" applyBorder="1" applyAlignment="1">
      <alignment horizontal="center" vertical="center"/>
    </xf>
    <xf numFmtId="0" fontId="6" fillId="0" borderId="0" xfId="13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43" fontId="6" fillId="0" borderId="0" xfId="13" applyNumberFormat="1" applyFont="1"/>
    <xf numFmtId="9" fontId="6" fillId="3" borderId="0" xfId="22" applyFont="1" applyFill="1"/>
    <xf numFmtId="165" fontId="6" fillId="0" borderId="3" xfId="1" applyNumberFormat="1" applyFont="1" applyBorder="1" applyAlignment="1">
      <alignment vertical="center" wrapText="1"/>
    </xf>
    <xf numFmtId="9" fontId="5" fillId="0" borderId="1" xfId="22" applyFont="1" applyFill="1" applyBorder="1" applyAlignment="1">
      <alignment horizontal="center" vertical="center" wrapText="1"/>
    </xf>
    <xf numFmtId="9" fontId="5" fillId="0" borderId="3" xfId="22" applyFont="1" applyFill="1" applyBorder="1" applyAlignment="1">
      <alignment horizontal="center" vertical="center" wrapText="1"/>
    </xf>
    <xf numFmtId="9" fontId="6" fillId="0" borderId="6" xfId="22" applyFont="1" applyBorder="1"/>
    <xf numFmtId="9" fontId="5" fillId="0" borderId="4" xfId="22" applyFont="1" applyFill="1" applyBorder="1" applyAlignment="1">
      <alignment horizontal="center" vertical="center" wrapText="1"/>
    </xf>
    <xf numFmtId="165" fontId="6" fillId="0" borderId="0" xfId="22" applyNumberFormat="1" applyFont="1" applyFill="1"/>
    <xf numFmtId="10" fontId="6" fillId="0" borderId="0" xfId="13" applyNumberFormat="1" applyFont="1"/>
    <xf numFmtId="43" fontId="6" fillId="0" borderId="3" xfId="1" applyFont="1" applyBorder="1" applyAlignment="1">
      <alignment vertical="center" wrapText="1"/>
    </xf>
    <xf numFmtId="170" fontId="6" fillId="0" borderId="0" xfId="13" applyNumberFormat="1" applyFont="1"/>
    <xf numFmtId="165" fontId="5" fillId="0" borderId="0" xfId="13" applyNumberFormat="1" applyFont="1"/>
    <xf numFmtId="3" fontId="6" fillId="0" borderId="0" xfId="13" applyNumberFormat="1" applyFont="1"/>
    <xf numFmtId="168" fontId="9" fillId="0" borderId="2" xfId="8" applyNumberFormat="1" applyFont="1" applyBorder="1" applyAlignment="1">
      <alignment horizontal="center" vertical="center"/>
    </xf>
    <xf numFmtId="43" fontId="9" fillId="0" borderId="2" xfId="8" applyFont="1" applyBorder="1" applyAlignment="1">
      <alignment horizontal="center" vertical="center"/>
    </xf>
  </cellXfs>
  <cellStyles count="23">
    <cellStyle name="Comma" xfId="1" builtinId="3"/>
    <cellStyle name="Millares 10" xfId="6" xr:uid="{804B22F7-197F-49DB-B319-DAFD2C6DCE5E}"/>
    <cellStyle name="Millares 10 2" xfId="17" xr:uid="{3B7D3359-A1B3-42CF-9C34-987D3FB55DE0}"/>
    <cellStyle name="Millares 12 2" xfId="8" xr:uid="{53FEBB58-259D-454D-9D04-FC413F6B90DE}"/>
    <cellStyle name="Millares 12 2 2" xfId="21" xr:uid="{95BD7490-A196-474A-8B18-C009B882DE9A}"/>
    <cellStyle name="Millares 2" xfId="20" xr:uid="{A6FF7238-A9AB-44A8-8A00-83DA05CE29AA}"/>
    <cellStyle name="Millares 3 2" xfId="11" xr:uid="{824F02ED-6AE6-49B4-82AD-D53D982066B4}"/>
    <cellStyle name="Millares 3 2 2" xfId="14" xr:uid="{D0B85086-D3A1-42A3-9145-83F7FD18C3AF}"/>
    <cellStyle name="Millares 7" xfId="9" xr:uid="{A05EE1F2-1FE8-4977-89C0-057B9C8A21E1}"/>
    <cellStyle name="Normal" xfId="0" builtinId="0"/>
    <cellStyle name="Normal 12" xfId="5" xr:uid="{8F76F462-7E95-49A2-8B7F-11530A7468E3}"/>
    <cellStyle name="Normal 2" xfId="2" xr:uid="{2550D01F-833B-43AC-90F4-06899CA0A571}"/>
    <cellStyle name="Normal 2 2" xfId="3" xr:uid="{4A6E4377-8A1E-4B86-B424-13A46A02CE17}"/>
    <cellStyle name="Normal 2 3" xfId="13" xr:uid="{F3740502-818F-4575-8FA8-87AF78E748C4}"/>
    <cellStyle name="Normal 2 5" xfId="7" xr:uid="{E1FC2C82-0317-4234-9E15-1777C7D0DB1A}"/>
    <cellStyle name="Normal 2 5 2" xfId="18" xr:uid="{99A3F76D-1C42-4700-ACF1-66E3B524727D}"/>
    <cellStyle name="Normal 4 2" xfId="12" xr:uid="{4BD0B669-9F11-4017-B234-6F01A6A2DC62}"/>
    <cellStyle name="Percent" xfId="22" builtinId="5"/>
    <cellStyle name="Porcentaje 2 2" xfId="10" xr:uid="{44EF45F1-FCBF-4D54-9C9A-397AA7E1EB7E}"/>
    <cellStyle name="Porcentaje 2 2 2" xfId="16" xr:uid="{B70FAB79-76B6-4DF6-A812-40E8CE9E623D}"/>
    <cellStyle name="Porcentaje 5" xfId="4" xr:uid="{3D0A2745-CD79-4D44-8C07-D676152F6112}"/>
    <cellStyle name="Porcentaje 5 2" xfId="15" xr:uid="{E35A1E54-21B3-4D9A-A685-8248C79F3B30}"/>
    <cellStyle name="Porcentual 2" xfId="19" xr:uid="{237C300D-AD9F-4AE2-B675-61542C9C5709}"/>
  </cellStyles>
  <dxfs count="3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BA1479D-EB26-4C9E-ADF8-CE2C5499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" y="85725"/>
          <a:ext cx="2403804" cy="516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1260CE2-673E-4FA7-9863-FFBCF3716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AC3029D-66FF-41D2-BFEB-0F4222D8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CD7CD95-20C7-4F76-922B-3670F8C84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85725"/>
          <a:ext cx="2399994" cy="539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DE0AF15B-A36E-4E60-9CB7-87B6FC1C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85725"/>
          <a:ext cx="2399994" cy="5391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B88D8FB5-375B-4E82-B036-CAB04EEB4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1E3B18B5-AFE1-4ABA-BA97-D1EB6D698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B1633AE-ACA4-4E20-B828-614B0D829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B4E99407-9EE8-46B7-9977-227813E4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575890A-E072-4D82-AE87-95DCDD25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85725"/>
          <a:ext cx="2403804" cy="539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A3AB-38A9-4950-9371-A21B577523E5}">
  <dimension ref="A1:N59"/>
  <sheetViews>
    <sheetView zoomScaleNormal="100" workbookViewId="0"/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5" width="11" style="164" bestFit="1" customWidth="1"/>
    <col min="6" max="6" width="11.6328125" style="164" bestFit="1" customWidth="1"/>
    <col min="7" max="7" width="12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2" width="8.90625" style="6" bestFit="1" customWidth="1"/>
    <col min="13" max="13" width="11" style="6" bestFit="1" customWidth="1"/>
    <col min="14" max="14" width="12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1</v>
      </c>
      <c r="K4" s="67"/>
      <c r="L4" s="68"/>
      <c r="M4" s="69"/>
      <c r="N4" s="70">
        <v>45747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/>
      <c r="J9" s="80"/>
      <c r="K9" s="81">
        <f t="shared" ref="K9:K39" si="1">+I9+J9</f>
        <v>0</v>
      </c>
      <c r="L9" s="82">
        <f t="shared" ref="L9:L39" si="2">+F9*I9</f>
        <v>0</v>
      </c>
      <c r="M9" s="82">
        <f t="shared" ref="M9:M39" si="3">+F9*J9</f>
        <v>0</v>
      </c>
      <c r="N9" s="82">
        <f t="shared" ref="N9:N39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/>
      <c r="J10" s="83">
        <v>0.33</v>
      </c>
      <c r="K10" s="84">
        <f t="shared" si="1"/>
        <v>0.33</v>
      </c>
      <c r="L10" s="82">
        <f t="shared" si="2"/>
        <v>0</v>
      </c>
      <c r="M10" s="82">
        <f t="shared" si="3"/>
        <v>381131.19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/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33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/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/>
      <c r="J13" s="83">
        <v>0.7</v>
      </c>
      <c r="K13" s="84">
        <f t="shared" si="1"/>
        <v>0.7</v>
      </c>
      <c r="L13" s="82">
        <f t="shared" si="2"/>
        <v>0</v>
      </c>
      <c r="M13" s="82">
        <f t="shared" si="3"/>
        <v>6868632.3999999994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/>
      <c r="J14" s="83">
        <v>0.25</v>
      </c>
      <c r="K14" s="84">
        <f t="shared" si="1"/>
        <v>0.25</v>
      </c>
      <c r="L14" s="82">
        <f t="shared" si="2"/>
        <v>0</v>
      </c>
      <c r="M14" s="82">
        <f t="shared" si="3"/>
        <v>442847</v>
      </c>
      <c r="N14" s="82">
        <f t="shared" si="4"/>
        <v>442847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/>
      <c r="J15" s="83">
        <v>0.5</v>
      </c>
      <c r="K15" s="84">
        <f t="shared" si="1"/>
        <v>0.5</v>
      </c>
      <c r="L15" s="82">
        <f t="shared" si="2"/>
        <v>0</v>
      </c>
      <c r="M15" s="82">
        <f t="shared" si="3"/>
        <v>1143991</v>
      </c>
      <c r="N15" s="82">
        <f t="shared" si="4"/>
        <v>1143991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/>
      <c r="J16" s="83">
        <v>0.2</v>
      </c>
      <c r="K16" s="84">
        <f t="shared" si="1"/>
        <v>0.2</v>
      </c>
      <c r="L16" s="82">
        <f t="shared" si="2"/>
        <v>0</v>
      </c>
      <c r="M16" s="82">
        <f t="shared" si="3"/>
        <v>361643.60000000003</v>
      </c>
      <c r="N16" s="82">
        <f t="shared" si="4"/>
        <v>361643.60000000003</v>
      </c>
    </row>
    <row r="17" spans="1:14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/>
      <c r="J17" s="83">
        <v>0.6</v>
      </c>
      <c r="K17" s="84">
        <f t="shared" si="1"/>
        <v>0.6</v>
      </c>
      <c r="L17" s="82">
        <f t="shared" si="2"/>
        <v>0</v>
      </c>
      <c r="M17" s="82">
        <f t="shared" si="3"/>
        <v>290021.39999999997</v>
      </c>
      <c r="N17" s="82">
        <f t="shared" si="4"/>
        <v>290021.39999999997</v>
      </c>
    </row>
    <row r="18" spans="1:14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4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/>
      <c r="J19" s="80">
        <v>0.35</v>
      </c>
      <c r="K19" s="81">
        <f t="shared" ref="K19" si="5">+I19+J19</f>
        <v>0.35</v>
      </c>
      <c r="L19" s="169">
        <f t="shared" ref="L19" si="6">+F19*I19</f>
        <v>0</v>
      </c>
      <c r="M19" s="169">
        <f t="shared" ref="M19" si="7">+F19*J19</f>
        <v>5691947.7999999998</v>
      </c>
      <c r="N19" s="169">
        <f t="shared" ref="N19" si="8">+F19*K19</f>
        <v>5691947.7999999998</v>
      </c>
    </row>
    <row r="20" spans="1:14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/>
      <c r="J20" s="83">
        <v>0.15</v>
      </c>
      <c r="K20" s="84">
        <f t="shared" si="1"/>
        <v>0.15</v>
      </c>
      <c r="L20" s="170">
        <f t="shared" si="2"/>
        <v>0</v>
      </c>
      <c r="M20" s="170">
        <f t="shared" si="3"/>
        <v>1743707.4</v>
      </c>
      <c r="N20" s="170">
        <f t="shared" si="4"/>
        <v>1743707.4</v>
      </c>
    </row>
    <row r="21" spans="1:14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/>
      <c r="J21" s="83"/>
      <c r="K21" s="84">
        <f t="shared" si="1"/>
        <v>0</v>
      </c>
      <c r="L21" s="170">
        <f t="shared" si="2"/>
        <v>0</v>
      </c>
      <c r="M21" s="170">
        <f t="shared" si="3"/>
        <v>0</v>
      </c>
      <c r="N21" s="170">
        <f t="shared" si="4"/>
        <v>0</v>
      </c>
    </row>
    <row r="22" spans="1:14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/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4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/>
      <c r="J23" s="85"/>
      <c r="K23" s="86">
        <f t="shared" ref="K23" si="9">+I23+J23</f>
        <v>0</v>
      </c>
      <c r="L23" s="171">
        <f t="shared" ref="L23" si="10">+F23*I23</f>
        <v>0</v>
      </c>
      <c r="M23" s="171">
        <f t="shared" ref="M23" si="11">+F23*J23</f>
        <v>0</v>
      </c>
      <c r="N23" s="171">
        <f t="shared" ref="N23" si="12">+F23*K23</f>
        <v>0</v>
      </c>
    </row>
    <row r="24" spans="1:14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4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13">+E25*D25</f>
        <v>3810807</v>
      </c>
      <c r="H25" s="31"/>
      <c r="I25" s="83"/>
      <c r="J25" s="83"/>
      <c r="K25" s="84">
        <f t="shared" si="1"/>
        <v>0</v>
      </c>
      <c r="L25" s="82">
        <f t="shared" si="2"/>
        <v>0</v>
      </c>
      <c r="M25" s="82">
        <f t="shared" si="3"/>
        <v>0</v>
      </c>
      <c r="N25" s="82">
        <f t="shared" si="4"/>
        <v>0</v>
      </c>
    </row>
    <row r="26" spans="1:14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13"/>
        <v>8292546</v>
      </c>
      <c r="H26" s="31"/>
      <c r="I26" s="83"/>
      <c r="J26" s="83">
        <v>1</v>
      </c>
      <c r="K26" s="210">
        <f t="shared" si="1"/>
        <v>1</v>
      </c>
      <c r="L26" s="82">
        <f t="shared" si="2"/>
        <v>0</v>
      </c>
      <c r="M26" s="82">
        <f t="shared" si="3"/>
        <v>8292546</v>
      </c>
      <c r="N26" s="82">
        <f t="shared" si="4"/>
        <v>8292546</v>
      </c>
    </row>
    <row r="27" spans="1:14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13"/>
        <v>12332148</v>
      </c>
      <c r="H27" s="31"/>
      <c r="I27" s="83"/>
      <c r="J27" s="209">
        <v>0.35</v>
      </c>
      <c r="K27" s="84">
        <f t="shared" si="1"/>
        <v>0.35</v>
      </c>
      <c r="L27" s="82">
        <f t="shared" si="2"/>
        <v>0</v>
      </c>
      <c r="M27" s="82">
        <f t="shared" si="3"/>
        <v>4316251.8</v>
      </c>
      <c r="N27" s="82">
        <f t="shared" si="4"/>
        <v>4316251.8</v>
      </c>
    </row>
    <row r="28" spans="1:14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13"/>
        <v>6721407</v>
      </c>
      <c r="H28" s="31"/>
      <c r="I28" s="83"/>
      <c r="J28" s="209">
        <v>0.35</v>
      </c>
      <c r="K28" s="84">
        <f t="shared" si="1"/>
        <v>0.35</v>
      </c>
      <c r="L28" s="82">
        <f t="shared" si="2"/>
        <v>0</v>
      </c>
      <c r="M28" s="82">
        <f t="shared" si="3"/>
        <v>2352492.4499999997</v>
      </c>
      <c r="N28" s="82">
        <f t="shared" si="4"/>
        <v>2352492.4499999997</v>
      </c>
    </row>
    <row r="29" spans="1:14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13"/>
        <v>27142412</v>
      </c>
      <c r="H29" s="31"/>
      <c r="I29" s="83"/>
      <c r="J29" s="83"/>
      <c r="K29" s="84">
        <f t="shared" si="1"/>
        <v>0</v>
      </c>
      <c r="L29" s="82">
        <f t="shared" si="2"/>
        <v>0</v>
      </c>
      <c r="M29" s="82">
        <f t="shared" si="3"/>
        <v>0</v>
      </c>
      <c r="N29" s="82">
        <f t="shared" si="4"/>
        <v>0</v>
      </c>
    </row>
    <row r="30" spans="1:14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13"/>
        <v>32381226</v>
      </c>
      <c r="H30" s="31"/>
      <c r="I30" s="83"/>
      <c r="J30" s="83"/>
      <c r="K30" s="84">
        <f t="shared" si="1"/>
        <v>0</v>
      </c>
      <c r="L30" s="82">
        <f t="shared" si="2"/>
        <v>0</v>
      </c>
      <c r="M30" s="82">
        <f t="shared" si="3"/>
        <v>0</v>
      </c>
      <c r="N30" s="82">
        <f t="shared" si="4"/>
        <v>0</v>
      </c>
    </row>
    <row r="31" spans="1:14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13"/>
        <v>20628560</v>
      </c>
      <c r="H31" s="31"/>
      <c r="I31" s="83"/>
      <c r="J31" s="83"/>
      <c r="K31" s="84">
        <f t="shared" si="1"/>
        <v>0</v>
      </c>
      <c r="L31" s="82">
        <f t="shared" si="2"/>
        <v>0</v>
      </c>
      <c r="M31" s="82">
        <f t="shared" si="3"/>
        <v>0</v>
      </c>
      <c r="N31" s="82">
        <f t="shared" si="4"/>
        <v>0</v>
      </c>
    </row>
    <row r="32" spans="1:14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13"/>
        <v>7673582</v>
      </c>
      <c r="H32" s="31"/>
      <c r="I32" s="83"/>
      <c r="J32" s="83"/>
      <c r="K32" s="84">
        <f t="shared" si="1"/>
        <v>0</v>
      </c>
      <c r="L32" s="82">
        <f t="shared" si="2"/>
        <v>0</v>
      </c>
      <c r="M32" s="82">
        <f t="shared" si="3"/>
        <v>0</v>
      </c>
      <c r="N32" s="82">
        <f t="shared" si="4"/>
        <v>0</v>
      </c>
    </row>
    <row r="33" spans="1:14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13"/>
        <v>72362070</v>
      </c>
      <c r="H33" s="31"/>
      <c r="I33" s="83"/>
      <c r="J33" s="83"/>
      <c r="K33" s="84">
        <f t="shared" si="1"/>
        <v>0</v>
      </c>
      <c r="L33" s="82">
        <f t="shared" si="2"/>
        <v>0</v>
      </c>
      <c r="M33" s="82">
        <f t="shared" si="3"/>
        <v>0</v>
      </c>
      <c r="N33" s="82">
        <f t="shared" si="4"/>
        <v>0</v>
      </c>
    </row>
    <row r="34" spans="1:14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13"/>
        <v>28439456</v>
      </c>
      <c r="H34" s="31"/>
      <c r="I34" s="83"/>
      <c r="J34" s="83"/>
      <c r="K34" s="84">
        <f t="shared" si="1"/>
        <v>0</v>
      </c>
      <c r="L34" s="82">
        <f t="shared" si="2"/>
        <v>0</v>
      </c>
      <c r="M34" s="82">
        <f t="shared" si="3"/>
        <v>0</v>
      </c>
      <c r="N34" s="82">
        <f t="shared" si="4"/>
        <v>0</v>
      </c>
    </row>
    <row r="35" spans="1:14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13"/>
        <v>68755602</v>
      </c>
      <c r="H35" s="31"/>
      <c r="I35" s="83"/>
      <c r="J35" s="83"/>
      <c r="K35" s="84">
        <f t="shared" si="1"/>
        <v>0</v>
      </c>
      <c r="L35" s="82">
        <f t="shared" si="2"/>
        <v>0</v>
      </c>
      <c r="M35" s="82">
        <f t="shared" si="3"/>
        <v>0</v>
      </c>
      <c r="N35" s="82">
        <f t="shared" si="4"/>
        <v>0</v>
      </c>
    </row>
    <row r="36" spans="1:14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13"/>
        <v>51874935</v>
      </c>
      <c r="H36" s="31"/>
      <c r="I36" s="83"/>
      <c r="J36" s="83"/>
      <c r="K36" s="84">
        <f t="shared" si="1"/>
        <v>0</v>
      </c>
      <c r="L36" s="82">
        <f t="shared" si="2"/>
        <v>0</v>
      </c>
      <c r="M36" s="82">
        <f t="shared" si="3"/>
        <v>0</v>
      </c>
      <c r="N36" s="82">
        <f t="shared" si="4"/>
        <v>0</v>
      </c>
    </row>
    <row r="37" spans="1:14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13"/>
        <v>24936336</v>
      </c>
      <c r="H37" s="31"/>
      <c r="I37" s="83"/>
      <c r="J37" s="83"/>
      <c r="K37" s="84">
        <f t="shared" si="1"/>
        <v>0</v>
      </c>
      <c r="L37" s="82">
        <f t="shared" si="2"/>
        <v>0</v>
      </c>
      <c r="M37" s="82">
        <f t="shared" si="3"/>
        <v>0</v>
      </c>
      <c r="N37" s="82">
        <f t="shared" si="4"/>
        <v>0</v>
      </c>
    </row>
    <row r="38" spans="1:14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13"/>
        <v>44977140</v>
      </c>
      <c r="H38" s="31"/>
      <c r="I38" s="83"/>
      <c r="J38" s="83"/>
      <c r="K38" s="84">
        <f t="shared" si="1"/>
        <v>0</v>
      </c>
      <c r="L38" s="82">
        <f t="shared" si="2"/>
        <v>0</v>
      </c>
      <c r="M38" s="82">
        <f t="shared" si="3"/>
        <v>0</v>
      </c>
      <c r="N38" s="82">
        <f t="shared" si="4"/>
        <v>0</v>
      </c>
    </row>
    <row r="39" spans="1:14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13"/>
        <v>5016656</v>
      </c>
      <c r="H39" s="31"/>
      <c r="I39" s="83"/>
      <c r="J39" s="83"/>
      <c r="K39" s="84">
        <f t="shared" si="1"/>
        <v>0</v>
      </c>
      <c r="L39" s="82">
        <f t="shared" si="2"/>
        <v>0</v>
      </c>
      <c r="M39" s="82">
        <f t="shared" si="3"/>
        <v>0</v>
      </c>
      <c r="N39" s="82">
        <f t="shared" si="4"/>
        <v>0</v>
      </c>
    </row>
    <row r="40" spans="1:14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13"/>
        <v>11115350</v>
      </c>
      <c r="H40" s="31"/>
      <c r="I40" s="83"/>
      <c r="J40" s="83"/>
      <c r="K40" s="84">
        <f t="shared" ref="K40:K45" si="14">+I40+J40</f>
        <v>0</v>
      </c>
      <c r="L40" s="82">
        <f t="shared" ref="L40:L45" si="15">+F40*I40</f>
        <v>0</v>
      </c>
      <c r="M40" s="82">
        <f t="shared" ref="M40:M45" si="16">+F40*J40</f>
        <v>0</v>
      </c>
      <c r="N40" s="82">
        <f t="shared" ref="N40:N45" si="17">+F40*K40</f>
        <v>0</v>
      </c>
    </row>
    <row r="41" spans="1:14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13"/>
        <v>6234084</v>
      </c>
      <c r="H41" s="31"/>
      <c r="I41" s="83"/>
      <c r="J41" s="83"/>
      <c r="K41" s="84">
        <f t="shared" si="14"/>
        <v>0</v>
      </c>
      <c r="L41" s="82">
        <f t="shared" si="15"/>
        <v>0</v>
      </c>
      <c r="M41" s="82">
        <f t="shared" si="16"/>
        <v>0</v>
      </c>
      <c r="N41" s="82">
        <f t="shared" si="17"/>
        <v>0</v>
      </c>
    </row>
    <row r="42" spans="1:14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13"/>
        <v>11272951</v>
      </c>
      <c r="H42" s="31"/>
      <c r="I42" s="83"/>
      <c r="J42" s="83"/>
      <c r="K42" s="84">
        <f t="shared" si="14"/>
        <v>0</v>
      </c>
      <c r="L42" s="82">
        <f t="shared" si="15"/>
        <v>0</v>
      </c>
      <c r="M42" s="82">
        <f t="shared" si="16"/>
        <v>0</v>
      </c>
      <c r="N42" s="82">
        <f t="shared" si="17"/>
        <v>0</v>
      </c>
    </row>
    <row r="43" spans="1:14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13"/>
        <v>4572165</v>
      </c>
      <c r="H43" s="31"/>
      <c r="I43" s="83"/>
      <c r="J43" s="83"/>
      <c r="K43" s="84">
        <f t="shared" si="14"/>
        <v>0</v>
      </c>
      <c r="L43" s="82">
        <f t="shared" si="15"/>
        <v>0</v>
      </c>
      <c r="M43" s="82">
        <f t="shared" si="16"/>
        <v>0</v>
      </c>
      <c r="N43" s="82">
        <f t="shared" si="17"/>
        <v>0</v>
      </c>
    </row>
    <row r="44" spans="1:14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13"/>
        <v>204867</v>
      </c>
      <c r="H44" s="31"/>
      <c r="I44" s="83"/>
      <c r="J44" s="209"/>
      <c r="K44" s="84">
        <f t="shared" si="14"/>
        <v>0</v>
      </c>
      <c r="L44" s="82">
        <f t="shared" si="15"/>
        <v>0</v>
      </c>
      <c r="M44" s="82">
        <f t="shared" si="16"/>
        <v>0</v>
      </c>
      <c r="N44" s="82">
        <f t="shared" si="17"/>
        <v>0</v>
      </c>
    </row>
    <row r="45" spans="1:14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13"/>
        <v>2625324</v>
      </c>
      <c r="H45" s="31"/>
      <c r="I45" s="83"/>
      <c r="J45" s="209">
        <v>0.3</v>
      </c>
      <c r="K45" s="84">
        <f t="shared" si="14"/>
        <v>0.3</v>
      </c>
      <c r="L45" s="82">
        <f t="shared" si="15"/>
        <v>0</v>
      </c>
      <c r="M45" s="82">
        <f t="shared" si="16"/>
        <v>787597.2</v>
      </c>
      <c r="N45" s="82">
        <f t="shared" si="17"/>
        <v>787597.2</v>
      </c>
    </row>
    <row r="46" spans="1:14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0</v>
      </c>
      <c r="M46" s="88">
        <f t="shared" ref="M46" si="18">+SUM(M8:M45)</f>
        <v>32672809.239999998</v>
      </c>
      <c r="N46" s="89">
        <f>+SUM(N8:N45)</f>
        <v>32672809.239999998</v>
      </c>
    </row>
    <row r="47" spans="1:14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M46/G46</f>
        <v>6.5227202407661028E-2</v>
      </c>
      <c r="N47" s="91"/>
    </row>
    <row r="48" spans="1:14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91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1</v>
      </c>
      <c r="M50" s="101"/>
      <c r="N50" s="102">
        <f>+N4</f>
        <v>45747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108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12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32672809.239999998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-13069123.696</v>
      </c>
    </row>
    <row r="56" spans="1:14" ht="12.75" customHeight="1" x14ac:dyDescent="0.3">
      <c r="A56" s="136" t="s">
        <v>5</v>
      </c>
      <c r="B56" s="137" t="s">
        <v>73</v>
      </c>
      <c r="C56" s="138"/>
      <c r="D56" s="139"/>
      <c r="E56" s="201"/>
      <c r="F56" s="200"/>
      <c r="G56" s="200"/>
      <c r="H56" s="131"/>
      <c r="I56" s="207" t="s">
        <v>79</v>
      </c>
      <c r="J56" s="140" t="s">
        <v>74</v>
      </c>
      <c r="K56" s="141"/>
      <c r="L56" s="142"/>
      <c r="M56" s="142"/>
      <c r="N56" s="143">
        <f>+N54+N55</f>
        <v>19603685.544</v>
      </c>
    </row>
    <row r="57" spans="1:14" ht="12.75" customHeight="1" x14ac:dyDescent="0.3">
      <c r="A57" s="144" t="s">
        <v>75</v>
      </c>
      <c r="B57" s="145" t="s">
        <v>76</v>
      </c>
      <c r="C57" s="146"/>
      <c r="D57" s="147"/>
      <c r="E57" s="202"/>
      <c r="F57" s="203"/>
      <c r="G57" s="204"/>
      <c r="H57" s="149"/>
      <c r="I57" s="208">
        <v>15356.4</v>
      </c>
      <c r="J57" s="150">
        <v>15852.4</v>
      </c>
      <c r="K57" s="148"/>
      <c r="L57" s="151">
        <f>J57/I57</f>
        <v>1.0322992368002917</v>
      </c>
      <c r="M57" s="152">
        <f>L57-1</f>
        <v>3.2299236800291675E-2</v>
      </c>
      <c r="N57" s="153">
        <f>N56*M57</f>
        <v>633184.08154411067</v>
      </c>
    </row>
    <row r="58" spans="1:14" ht="12.75" customHeight="1" x14ac:dyDescent="0.3">
      <c r="A58" s="154" t="s">
        <v>77</v>
      </c>
      <c r="B58" s="155" t="s">
        <v>78</v>
      </c>
      <c r="C58" s="156"/>
      <c r="D58" s="157"/>
      <c r="E58" s="205"/>
      <c r="F58" s="206"/>
      <c r="G58" s="206"/>
      <c r="H58" s="158"/>
      <c r="I58" s="159"/>
      <c r="J58" s="160"/>
      <c r="K58" s="159"/>
      <c r="L58" s="161"/>
      <c r="M58" s="161"/>
      <c r="N58" s="162">
        <f>N56+N57</f>
        <v>20236869.625544112</v>
      </c>
    </row>
    <row r="59" spans="1:14" ht="12.75" customHeight="1" x14ac:dyDescent="0.3">
      <c r="C59" s="163"/>
      <c r="H59" s="1"/>
      <c r="I59" s="1"/>
      <c r="J59" s="1"/>
      <c r="K59" s="1"/>
      <c r="L59" s="1"/>
      <c r="M59" s="1"/>
      <c r="N59" s="1"/>
    </row>
  </sheetData>
  <mergeCells count="2">
    <mergeCell ref="I6:K6"/>
    <mergeCell ref="L6:N6"/>
  </mergeCells>
  <conditionalFormatting sqref="C3:C11 C18:C32">
    <cfRule type="cellIs" dxfId="31" priority="3" operator="equal">
      <formula>"x"</formula>
    </cfRule>
  </conditionalFormatting>
  <conditionalFormatting sqref="C46:C48">
    <cfRule type="cellIs" dxfId="30" priority="13" operator="equal">
      <formula>"x"</formula>
    </cfRule>
  </conditionalFormatting>
  <conditionalFormatting sqref="K9:K17 K19:K23 K25:K45">
    <cfRule type="cellIs" dxfId="29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D2B-6510-4801-80F0-C0B4403E9746}">
  <dimension ref="A1:N59"/>
  <sheetViews>
    <sheetView topLeftCell="A20" zoomScaleNormal="100" workbookViewId="0">
      <selection activeCell="N56" sqref="N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5" width="11" style="164" bestFit="1" customWidth="1"/>
    <col min="6" max="6" width="11.6328125" style="164" bestFit="1" customWidth="1"/>
    <col min="7" max="7" width="12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3" width="11" style="6" bestFit="1" customWidth="1"/>
    <col min="14" max="14" width="12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2</v>
      </c>
      <c r="K4" s="67"/>
      <c r="L4" s="68"/>
      <c r="M4" s="69"/>
      <c r="N4" s="70">
        <v>45777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f>'GDR 3760_Pto. 01_Cert. 01'!K9</f>
        <v>0</v>
      </c>
      <c r="J9" s="80"/>
      <c r="K9" s="81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f>'GDR 3760_Pto. 01_Cert. 01'!K10</f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f>'GDR 3760_Pto. 01_Cert. 01'!K11</f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33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f>'GDR 3760_Pto. 01_Cert. 01'!K12</f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f>'GDR 3760_Pto. 01_Cert. 01'!K13</f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f>'GDR 3760_Pto. 01_Cert. 01'!K14</f>
        <v>0.25</v>
      </c>
      <c r="J14" s="83">
        <v>0.2</v>
      </c>
      <c r="K14" s="84">
        <f t="shared" si="1"/>
        <v>0.45</v>
      </c>
      <c r="L14" s="82">
        <f t="shared" si="2"/>
        <v>442847</v>
      </c>
      <c r="M14" s="82">
        <f t="shared" si="3"/>
        <v>354277.60000000003</v>
      </c>
      <c r="N14" s="82">
        <f t="shared" si="4"/>
        <v>797124.6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f>'GDR 3760_Pto. 01_Cert. 01'!K15</f>
        <v>0.5</v>
      </c>
      <c r="J15" s="83"/>
      <c r="K15" s="84">
        <f t="shared" si="1"/>
        <v>0.5</v>
      </c>
      <c r="L15" s="82">
        <f t="shared" si="2"/>
        <v>1143991</v>
      </c>
      <c r="M15" s="82">
        <f t="shared" si="3"/>
        <v>0</v>
      </c>
      <c r="N15" s="82">
        <f t="shared" si="4"/>
        <v>1143991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f>'GDR 3760_Pto. 01_Cert. 01'!K16</f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4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f>'GDR 3760_Pto. 01_Cert. 01'!K17</f>
        <v>0.6</v>
      </c>
      <c r="J17" s="83"/>
      <c r="K17" s="84">
        <f t="shared" si="1"/>
        <v>0.6</v>
      </c>
      <c r="L17" s="82">
        <f t="shared" si="2"/>
        <v>290021.39999999997</v>
      </c>
      <c r="M17" s="82">
        <f t="shared" si="3"/>
        <v>0</v>
      </c>
      <c r="N17" s="82">
        <f t="shared" si="4"/>
        <v>290021.39999999997</v>
      </c>
    </row>
    <row r="18" spans="1:14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4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f>'GDR 3760_Pto. 01_Cert. 01'!K19</f>
        <v>0.35</v>
      </c>
      <c r="J19" s="80">
        <v>0.15</v>
      </c>
      <c r="K19" s="81">
        <f t="shared" ref="K19" si="5">+I19+J19</f>
        <v>0.5</v>
      </c>
      <c r="L19" s="169">
        <f t="shared" ref="L19" si="6">+F19*I19</f>
        <v>5691947.7999999998</v>
      </c>
      <c r="M19" s="169">
        <f t="shared" ref="M19" si="7">+F19*J19</f>
        <v>2439406.1999999997</v>
      </c>
      <c r="N19" s="169">
        <f t="shared" ref="N19" si="8">+F19*K19</f>
        <v>8131354</v>
      </c>
    </row>
    <row r="20" spans="1:14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f>'GDR 3760_Pto. 01_Cert. 01'!K20</f>
        <v>0.15</v>
      </c>
      <c r="J20" s="83">
        <v>0.25</v>
      </c>
      <c r="K20" s="84">
        <f t="shared" si="1"/>
        <v>0.4</v>
      </c>
      <c r="L20" s="170">
        <f t="shared" si="2"/>
        <v>1743707.4</v>
      </c>
      <c r="M20" s="170">
        <f t="shared" si="3"/>
        <v>2906179</v>
      </c>
      <c r="N20" s="170">
        <f t="shared" si="4"/>
        <v>4649886.4000000004</v>
      </c>
    </row>
    <row r="21" spans="1:14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f>'GDR 3760_Pto. 01_Cert. 01'!K21</f>
        <v>0</v>
      </c>
      <c r="J21" s="83"/>
      <c r="K21" s="84">
        <f t="shared" si="1"/>
        <v>0</v>
      </c>
      <c r="L21" s="170">
        <f t="shared" si="2"/>
        <v>0</v>
      </c>
      <c r="M21" s="170">
        <f t="shared" si="3"/>
        <v>0</v>
      </c>
      <c r="N21" s="170">
        <f t="shared" si="4"/>
        <v>0</v>
      </c>
    </row>
    <row r="22" spans="1:14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f>'GDR 3760_Pto. 01_Cert. 01'!K22</f>
        <v>0</v>
      </c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4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f>'GDR 3760_Pto. 01_Cert. 01'!K23</f>
        <v>0</v>
      </c>
      <c r="J23" s="85"/>
      <c r="K23" s="8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4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4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f>'GDR 3760_Pto. 01_Cert. 01'!K25</f>
        <v>0</v>
      </c>
      <c r="J25" s="83">
        <v>0.33</v>
      </c>
      <c r="K25" s="84">
        <f t="shared" si="1"/>
        <v>0.33</v>
      </c>
      <c r="L25" s="82">
        <f t="shared" si="2"/>
        <v>0</v>
      </c>
      <c r="M25" s="82">
        <f t="shared" si="3"/>
        <v>1257566.31</v>
      </c>
      <c r="N25" s="82">
        <f t="shared" si="4"/>
        <v>1257566.31</v>
      </c>
    </row>
    <row r="26" spans="1:14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f>'GDR 3760_Pto. 01_Cert. 01'!K26</f>
        <v>1</v>
      </c>
      <c r="J26" s="83"/>
      <c r="K26" s="210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</row>
    <row r="27" spans="1:14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f>'GDR 3760_Pto. 01_Cert. 01'!K27</f>
        <v>0.35</v>
      </c>
      <c r="J27" s="209">
        <v>0.15</v>
      </c>
      <c r="K27" s="84">
        <f t="shared" si="1"/>
        <v>0.5</v>
      </c>
      <c r="L27" s="82">
        <f t="shared" si="2"/>
        <v>4316251.8</v>
      </c>
      <c r="M27" s="82">
        <f t="shared" si="3"/>
        <v>1849822.2</v>
      </c>
      <c r="N27" s="82">
        <f t="shared" si="4"/>
        <v>6166074</v>
      </c>
    </row>
    <row r="28" spans="1:14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f>'GDR 3760_Pto. 01_Cert. 01'!K28</f>
        <v>0.35</v>
      </c>
      <c r="J28" s="209">
        <v>0.15</v>
      </c>
      <c r="K28" s="84">
        <f t="shared" si="1"/>
        <v>0.5</v>
      </c>
      <c r="L28" s="82">
        <f t="shared" si="2"/>
        <v>2352492.4499999997</v>
      </c>
      <c r="M28" s="82">
        <f t="shared" si="3"/>
        <v>1008211.0499999999</v>
      </c>
      <c r="N28" s="82">
        <f t="shared" si="4"/>
        <v>3360703.5</v>
      </c>
    </row>
    <row r="29" spans="1:14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f>'GDR 3760_Pto. 01_Cert. 01'!K29</f>
        <v>0</v>
      </c>
      <c r="J29" s="83"/>
      <c r="K29" s="84">
        <f t="shared" si="1"/>
        <v>0</v>
      </c>
      <c r="L29" s="82">
        <f t="shared" si="2"/>
        <v>0</v>
      </c>
      <c r="M29" s="82">
        <f t="shared" si="3"/>
        <v>0</v>
      </c>
      <c r="N29" s="82">
        <f t="shared" si="4"/>
        <v>0</v>
      </c>
    </row>
    <row r="30" spans="1:14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f>'GDR 3760_Pto. 01_Cert. 01'!K30</f>
        <v>0</v>
      </c>
      <c r="J30" s="83">
        <v>0.33</v>
      </c>
      <c r="K30" s="84">
        <f t="shared" si="1"/>
        <v>0.33</v>
      </c>
      <c r="L30" s="82">
        <f t="shared" si="2"/>
        <v>0</v>
      </c>
      <c r="M30" s="82">
        <f t="shared" si="3"/>
        <v>10685804.58</v>
      </c>
      <c r="N30" s="82">
        <f t="shared" si="4"/>
        <v>10685804.58</v>
      </c>
    </row>
    <row r="31" spans="1:14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f>'GDR 3760_Pto. 01_Cert. 01'!K31</f>
        <v>0</v>
      </c>
      <c r="J31" s="83">
        <v>0.3</v>
      </c>
      <c r="K31" s="84">
        <f t="shared" si="1"/>
        <v>0.3</v>
      </c>
      <c r="L31" s="82">
        <f t="shared" si="2"/>
        <v>0</v>
      </c>
      <c r="M31" s="82">
        <f t="shared" si="3"/>
        <v>6188568</v>
      </c>
      <c r="N31" s="82">
        <f t="shared" si="4"/>
        <v>6188568</v>
      </c>
    </row>
    <row r="32" spans="1:14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f>'GDR 3760_Pto. 01_Cert. 01'!K32</f>
        <v>0</v>
      </c>
      <c r="J32" s="83"/>
      <c r="K32" s="84">
        <f t="shared" si="1"/>
        <v>0</v>
      </c>
      <c r="L32" s="82">
        <f t="shared" si="2"/>
        <v>0</v>
      </c>
      <c r="M32" s="82">
        <f t="shared" si="3"/>
        <v>0</v>
      </c>
      <c r="N32" s="82">
        <f t="shared" si="4"/>
        <v>0</v>
      </c>
    </row>
    <row r="33" spans="1:14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f>'GDR 3760_Pto. 01_Cert. 01'!K33</f>
        <v>0</v>
      </c>
      <c r="J33" s="83"/>
      <c r="K33" s="84">
        <f t="shared" si="1"/>
        <v>0</v>
      </c>
      <c r="L33" s="82">
        <f t="shared" si="2"/>
        <v>0</v>
      </c>
      <c r="M33" s="82">
        <f t="shared" si="3"/>
        <v>0</v>
      </c>
      <c r="N33" s="82">
        <f t="shared" si="4"/>
        <v>0</v>
      </c>
    </row>
    <row r="34" spans="1:14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f>'GDR 3760_Pto. 01_Cert. 01'!K34</f>
        <v>0</v>
      </c>
      <c r="J34" s="83"/>
      <c r="K34" s="84">
        <f t="shared" si="1"/>
        <v>0</v>
      </c>
      <c r="L34" s="82">
        <f t="shared" si="2"/>
        <v>0</v>
      </c>
      <c r="M34" s="82">
        <f t="shared" si="3"/>
        <v>0</v>
      </c>
      <c r="N34" s="82">
        <f t="shared" si="4"/>
        <v>0</v>
      </c>
    </row>
    <row r="35" spans="1:14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f>'GDR 3760_Pto. 01_Cert. 01'!K35</f>
        <v>0</v>
      </c>
      <c r="J35" s="83"/>
      <c r="K35" s="84">
        <f t="shared" si="1"/>
        <v>0</v>
      </c>
      <c r="L35" s="82">
        <f t="shared" si="2"/>
        <v>0</v>
      </c>
      <c r="M35" s="82">
        <f t="shared" si="3"/>
        <v>0</v>
      </c>
      <c r="N35" s="82">
        <f t="shared" si="4"/>
        <v>0</v>
      </c>
    </row>
    <row r="36" spans="1:14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f>'GDR 3760_Pto. 01_Cert. 01'!K36</f>
        <v>0</v>
      </c>
      <c r="J36" s="83"/>
      <c r="K36" s="84">
        <f t="shared" si="1"/>
        <v>0</v>
      </c>
      <c r="L36" s="82">
        <f t="shared" si="2"/>
        <v>0</v>
      </c>
      <c r="M36" s="82">
        <f t="shared" si="3"/>
        <v>0</v>
      </c>
      <c r="N36" s="82">
        <f t="shared" si="4"/>
        <v>0</v>
      </c>
    </row>
    <row r="37" spans="1:14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f>'GDR 3760_Pto. 01_Cert. 01'!K37</f>
        <v>0</v>
      </c>
      <c r="J37" s="83"/>
      <c r="K37" s="84">
        <f t="shared" si="1"/>
        <v>0</v>
      </c>
      <c r="L37" s="82">
        <f t="shared" si="2"/>
        <v>0</v>
      </c>
      <c r="M37" s="82">
        <f t="shared" si="3"/>
        <v>0</v>
      </c>
      <c r="N37" s="82">
        <f t="shared" si="4"/>
        <v>0</v>
      </c>
    </row>
    <row r="38" spans="1:14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f>'GDR 3760_Pto. 01_Cert. 01'!K38</f>
        <v>0</v>
      </c>
      <c r="J38" s="83"/>
      <c r="K38" s="84">
        <f t="shared" si="1"/>
        <v>0</v>
      </c>
      <c r="L38" s="82">
        <f t="shared" si="2"/>
        <v>0</v>
      </c>
      <c r="M38" s="82">
        <f t="shared" si="3"/>
        <v>0</v>
      </c>
      <c r="N38" s="82">
        <f t="shared" si="4"/>
        <v>0</v>
      </c>
    </row>
    <row r="39" spans="1:14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f>'GDR 3760_Pto. 01_Cert. 01'!K39</f>
        <v>0</v>
      </c>
      <c r="J39" s="83"/>
      <c r="K39" s="84">
        <f t="shared" si="1"/>
        <v>0</v>
      </c>
      <c r="L39" s="82">
        <f t="shared" si="2"/>
        <v>0</v>
      </c>
      <c r="M39" s="82">
        <f t="shared" si="3"/>
        <v>0</v>
      </c>
      <c r="N39" s="82">
        <f t="shared" si="4"/>
        <v>0</v>
      </c>
    </row>
    <row r="40" spans="1:14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f>'GDR 3760_Pto. 01_Cert. 01'!K40</f>
        <v>0</v>
      </c>
      <c r="J40" s="83"/>
      <c r="K40" s="84">
        <f t="shared" si="1"/>
        <v>0</v>
      </c>
      <c r="L40" s="82">
        <f t="shared" si="2"/>
        <v>0</v>
      </c>
      <c r="M40" s="82">
        <f t="shared" si="3"/>
        <v>0</v>
      </c>
      <c r="N40" s="82">
        <f t="shared" si="4"/>
        <v>0</v>
      </c>
    </row>
    <row r="41" spans="1:14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f>'GDR 3760_Pto. 01_Cert. 01'!K41</f>
        <v>0</v>
      </c>
      <c r="J41" s="83"/>
      <c r="K41" s="8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</row>
    <row r="42" spans="1:14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f>'GDR 3760_Pto. 01_Cert. 01'!K42</f>
        <v>0</v>
      </c>
      <c r="J42" s="83"/>
      <c r="K42" s="84">
        <f t="shared" si="1"/>
        <v>0</v>
      </c>
      <c r="L42" s="82">
        <f t="shared" si="2"/>
        <v>0</v>
      </c>
      <c r="M42" s="82">
        <f t="shared" si="3"/>
        <v>0</v>
      </c>
      <c r="N42" s="82">
        <f t="shared" si="4"/>
        <v>0</v>
      </c>
    </row>
    <row r="43" spans="1:14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f>'GDR 3760_Pto. 01_Cert. 01'!K43</f>
        <v>0</v>
      </c>
      <c r="J43" s="83">
        <v>0.15</v>
      </c>
      <c r="K43" s="84">
        <f t="shared" si="1"/>
        <v>0.15</v>
      </c>
      <c r="L43" s="82">
        <f t="shared" si="2"/>
        <v>0</v>
      </c>
      <c r="M43" s="82">
        <f t="shared" si="3"/>
        <v>685824.75</v>
      </c>
      <c r="N43" s="82">
        <f t="shared" si="4"/>
        <v>685824.75</v>
      </c>
    </row>
    <row r="44" spans="1:14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f>'GDR 3760_Pto. 01_Cert. 01'!K44</f>
        <v>0</v>
      </c>
      <c r="J44" s="209">
        <v>0.33</v>
      </c>
      <c r="K44" s="84">
        <f t="shared" si="1"/>
        <v>0.33</v>
      </c>
      <c r="L44" s="82">
        <f t="shared" si="2"/>
        <v>0</v>
      </c>
      <c r="M44" s="82">
        <f t="shared" si="3"/>
        <v>67606.11</v>
      </c>
      <c r="N44" s="82">
        <f t="shared" si="4"/>
        <v>67606.11</v>
      </c>
    </row>
    <row r="45" spans="1:14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f>'GDR 3760_Pto. 01_Cert. 01'!K45</f>
        <v>0.3</v>
      </c>
      <c r="J45" s="209"/>
      <c r="K45" s="84">
        <f t="shared" si="1"/>
        <v>0.3</v>
      </c>
      <c r="L45" s="82">
        <f t="shared" si="2"/>
        <v>787597.2</v>
      </c>
      <c r="M45" s="82">
        <f t="shared" si="3"/>
        <v>0</v>
      </c>
      <c r="N45" s="82">
        <f t="shared" si="4"/>
        <v>787597.2</v>
      </c>
    </row>
    <row r="46" spans="1:14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32672809.239999998</v>
      </c>
      <c r="M46" s="88">
        <f t="shared" ref="M46" si="10">+SUM(M8:M45)</f>
        <v>27443265.799999997</v>
      </c>
      <c r="N46" s="89">
        <f>+SUM(N8:N45)</f>
        <v>60116075.039999992</v>
      </c>
    </row>
    <row r="47" spans="1:14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M46/G46</f>
        <v>5.4787068963520862E-2</v>
      </c>
      <c r="N47" s="91"/>
    </row>
    <row r="48" spans="1:14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91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2</v>
      </c>
      <c r="M50" s="101"/>
      <c r="N50" s="102">
        <f>+N4</f>
        <v>45777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108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12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27443265.799999997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-10977306.32</v>
      </c>
    </row>
    <row r="56" spans="1:14" ht="12.75" customHeight="1" x14ac:dyDescent="0.3">
      <c r="A56" s="136" t="s">
        <v>5</v>
      </c>
      <c r="B56" s="137" t="s">
        <v>73</v>
      </c>
      <c r="C56" s="138"/>
      <c r="D56" s="139"/>
      <c r="E56" s="201"/>
      <c r="F56" s="200"/>
      <c r="G56" s="200"/>
      <c r="H56" s="131"/>
      <c r="I56" s="207" t="s">
        <v>79</v>
      </c>
      <c r="J56" s="140" t="s">
        <v>81</v>
      </c>
      <c r="K56" s="141"/>
      <c r="L56" s="142"/>
      <c r="M56" s="142"/>
      <c r="N56" s="143">
        <f>+N54+N55</f>
        <v>16465959.479999997</v>
      </c>
    </row>
    <row r="57" spans="1:14" ht="12.75" customHeight="1" x14ac:dyDescent="0.3">
      <c r="A57" s="144" t="s">
        <v>75</v>
      </c>
      <c r="B57" s="145" t="s">
        <v>76</v>
      </c>
      <c r="C57" s="146"/>
      <c r="D57" s="147"/>
      <c r="E57" s="202"/>
      <c r="F57" s="203"/>
      <c r="G57" s="204"/>
      <c r="H57" s="149"/>
      <c r="I57" s="208">
        <v>15356.4</v>
      </c>
      <c r="J57" s="150">
        <v>15995.4</v>
      </c>
      <c r="K57" s="148"/>
      <c r="L57" s="151">
        <f>J57/I57</f>
        <v>1.0416113151519888</v>
      </c>
      <c r="M57" s="152">
        <f>L57-1</f>
        <v>4.1611315151988792E-2</v>
      </c>
      <c r="N57" s="153">
        <f>N56*M57</f>
        <v>685170.22920215735</v>
      </c>
    </row>
    <row r="58" spans="1:14" ht="12.75" customHeight="1" x14ac:dyDescent="0.3">
      <c r="A58" s="154" t="s">
        <v>77</v>
      </c>
      <c r="B58" s="155" t="s">
        <v>78</v>
      </c>
      <c r="C58" s="156"/>
      <c r="D58" s="157"/>
      <c r="E58" s="205"/>
      <c r="F58" s="206"/>
      <c r="G58" s="206"/>
      <c r="H58" s="158"/>
      <c r="I58" s="159"/>
      <c r="J58" s="160"/>
      <c r="K58" s="159"/>
      <c r="L58" s="161"/>
      <c r="M58" s="161"/>
      <c r="N58" s="162">
        <f>N56+N57</f>
        <v>17151129.709202155</v>
      </c>
    </row>
    <row r="59" spans="1:14" ht="12.75" customHeight="1" x14ac:dyDescent="0.3">
      <c r="C59" s="163"/>
      <c r="H59" s="1"/>
      <c r="I59" s="1"/>
      <c r="J59" s="1"/>
      <c r="K59" s="1"/>
      <c r="L59" s="1"/>
      <c r="M59" s="1"/>
      <c r="N59" s="1"/>
    </row>
  </sheetData>
  <mergeCells count="2">
    <mergeCell ref="I6:K6"/>
    <mergeCell ref="L6:N6"/>
  </mergeCells>
  <conditionalFormatting sqref="C3:C11 C18:C32">
    <cfRule type="cellIs" dxfId="28" priority="2" operator="equal">
      <formula>"x"</formula>
    </cfRule>
  </conditionalFormatting>
  <conditionalFormatting sqref="C46:C48">
    <cfRule type="cellIs" dxfId="27" priority="3" operator="equal">
      <formula>"x"</formula>
    </cfRule>
  </conditionalFormatting>
  <conditionalFormatting sqref="K9:K17 K19:K23 K25:K45">
    <cfRule type="cellIs" dxfId="26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8F42-FD79-480B-94B3-DE09CADB98F3}">
  <dimension ref="A1:S59"/>
  <sheetViews>
    <sheetView topLeftCell="A21" zoomScaleNormal="100" workbookViewId="0">
      <selection activeCell="N56" sqref="N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5" width="11" style="164" bestFit="1" customWidth="1"/>
    <col min="6" max="6" width="12.6328125" style="164" customWidth="1"/>
    <col min="7" max="7" width="12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3" width="11" style="6" bestFit="1" customWidth="1"/>
    <col min="14" max="14" width="12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3</v>
      </c>
      <c r="K4" s="67"/>
      <c r="L4" s="68"/>
      <c r="M4" s="69"/>
      <c r="N4" s="70">
        <v>45808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81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33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0.45</v>
      </c>
      <c r="J14" s="83">
        <v>0.25</v>
      </c>
      <c r="K14" s="84">
        <f t="shared" si="1"/>
        <v>0.7</v>
      </c>
      <c r="L14" s="82">
        <f t="shared" si="2"/>
        <v>797124.6</v>
      </c>
      <c r="M14" s="82">
        <f t="shared" si="3"/>
        <v>442847</v>
      </c>
      <c r="N14" s="82">
        <f t="shared" si="4"/>
        <v>1239971.5999999999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0.5</v>
      </c>
      <c r="J15" s="83"/>
      <c r="K15" s="84">
        <f t="shared" si="1"/>
        <v>0.5</v>
      </c>
      <c r="L15" s="82">
        <f t="shared" si="2"/>
        <v>1143991</v>
      </c>
      <c r="M15" s="82">
        <f t="shared" si="3"/>
        <v>0</v>
      </c>
      <c r="N15" s="82">
        <f t="shared" si="4"/>
        <v>1143991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0.6</v>
      </c>
      <c r="J17" s="83"/>
      <c r="K17" s="84">
        <f t="shared" si="1"/>
        <v>0.6</v>
      </c>
      <c r="L17" s="82">
        <f t="shared" si="2"/>
        <v>290021.39999999997</v>
      </c>
      <c r="M17" s="82">
        <f t="shared" si="3"/>
        <v>0</v>
      </c>
      <c r="N17" s="82">
        <f t="shared" si="4"/>
        <v>290021.39999999997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0.5</v>
      </c>
      <c r="J19" s="80">
        <v>0.3</v>
      </c>
      <c r="K19" s="81">
        <f t="shared" ref="K19" si="5">+I19+J19</f>
        <v>0.8</v>
      </c>
      <c r="L19" s="169">
        <f t="shared" ref="L19" si="6">+F19*I19</f>
        <v>8131354</v>
      </c>
      <c r="M19" s="169">
        <f t="shared" ref="M19" si="7">+F19*J19</f>
        <v>4878812.3999999994</v>
      </c>
      <c r="N19" s="169">
        <f t="shared" ref="N19" si="8">+F19*K19</f>
        <v>13010166.4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0.4</v>
      </c>
      <c r="J20" s="83">
        <v>0.25</v>
      </c>
      <c r="K20" s="84">
        <f t="shared" si="1"/>
        <v>0.65</v>
      </c>
      <c r="L20" s="170">
        <f t="shared" si="2"/>
        <v>4649886.4000000004</v>
      </c>
      <c r="M20" s="170">
        <f t="shared" si="3"/>
        <v>2906179</v>
      </c>
      <c r="N20" s="170">
        <f t="shared" si="4"/>
        <v>7556065.4000000004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0</v>
      </c>
      <c r="J21" s="83">
        <v>0.3</v>
      </c>
      <c r="K21" s="84">
        <f t="shared" si="1"/>
        <v>0.3</v>
      </c>
      <c r="L21" s="170">
        <f t="shared" si="2"/>
        <v>0</v>
      </c>
      <c r="M21" s="170">
        <f t="shared" si="3"/>
        <v>528741</v>
      </c>
      <c r="N21" s="170">
        <f t="shared" si="4"/>
        <v>528741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8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0.33</v>
      </c>
      <c r="J25" s="83">
        <v>0.5</v>
      </c>
      <c r="K25" s="84">
        <f t="shared" si="1"/>
        <v>0.83000000000000007</v>
      </c>
      <c r="L25" s="82">
        <f t="shared" si="2"/>
        <v>1257566.31</v>
      </c>
      <c r="M25" s="82">
        <f t="shared" si="3"/>
        <v>1905403.5</v>
      </c>
      <c r="N25" s="82">
        <f t="shared" si="4"/>
        <v>3162969.81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210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0.5</v>
      </c>
      <c r="J27" s="209">
        <v>0.4</v>
      </c>
      <c r="K27" s="84">
        <f t="shared" si="1"/>
        <v>0.9</v>
      </c>
      <c r="L27" s="82">
        <f t="shared" si="2"/>
        <v>6166074</v>
      </c>
      <c r="M27" s="82">
        <f t="shared" si="3"/>
        <v>4932859.2</v>
      </c>
      <c r="N27" s="82">
        <f t="shared" si="4"/>
        <v>11098933.200000001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0.5</v>
      </c>
      <c r="J28" s="209">
        <v>0.4</v>
      </c>
      <c r="K28" s="84">
        <f t="shared" si="1"/>
        <v>0.9</v>
      </c>
      <c r="L28" s="82">
        <f t="shared" si="2"/>
        <v>3360703.5</v>
      </c>
      <c r="M28" s="82">
        <f t="shared" si="3"/>
        <v>2688562.8000000003</v>
      </c>
      <c r="N28" s="82">
        <f t="shared" si="4"/>
        <v>6049266.2999999998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0</v>
      </c>
      <c r="J29" s="83">
        <v>1</v>
      </c>
      <c r="K29" s="84">
        <f t="shared" si="1"/>
        <v>1</v>
      </c>
      <c r="L29" s="82">
        <f t="shared" si="2"/>
        <v>0</v>
      </c>
      <c r="M29" s="82">
        <f t="shared" si="3"/>
        <v>27142412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0.33</v>
      </c>
      <c r="J30" s="83">
        <v>0.33</v>
      </c>
      <c r="K30" s="84">
        <f t="shared" si="1"/>
        <v>0.66</v>
      </c>
      <c r="L30" s="82">
        <f t="shared" si="2"/>
        <v>10685804.58</v>
      </c>
      <c r="M30" s="82">
        <f t="shared" si="3"/>
        <v>10685804.58</v>
      </c>
      <c r="N30" s="82">
        <f t="shared" si="4"/>
        <v>21371609.16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0.3</v>
      </c>
      <c r="J31" s="83">
        <v>0.3</v>
      </c>
      <c r="K31" s="84">
        <f t="shared" si="1"/>
        <v>0.6</v>
      </c>
      <c r="L31" s="82">
        <f t="shared" si="2"/>
        <v>6188568</v>
      </c>
      <c r="M31" s="82">
        <f t="shared" si="3"/>
        <v>6188568</v>
      </c>
      <c r="N31" s="82">
        <f t="shared" si="4"/>
        <v>12377136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0</v>
      </c>
      <c r="J32" s="83">
        <v>0.3</v>
      </c>
      <c r="K32" s="84">
        <f t="shared" si="1"/>
        <v>0.3</v>
      </c>
      <c r="L32" s="82">
        <f t="shared" si="2"/>
        <v>0</v>
      </c>
      <c r="M32" s="82">
        <f t="shared" si="3"/>
        <v>2302074.6</v>
      </c>
      <c r="N32" s="82">
        <f t="shared" si="4"/>
        <v>2302074.6</v>
      </c>
      <c r="S32" s="211"/>
    </row>
    <row r="33" spans="1:14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</v>
      </c>
      <c r="J33" s="83"/>
      <c r="K33" s="84">
        <f t="shared" si="1"/>
        <v>0</v>
      </c>
      <c r="L33" s="82">
        <f t="shared" si="2"/>
        <v>0</v>
      </c>
      <c r="M33" s="82">
        <f t="shared" si="3"/>
        <v>0</v>
      </c>
      <c r="N33" s="82">
        <f t="shared" si="4"/>
        <v>0</v>
      </c>
    </row>
    <row r="34" spans="1:14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0</v>
      </c>
      <c r="J34" s="83"/>
      <c r="K34" s="84">
        <f t="shared" si="1"/>
        <v>0</v>
      </c>
      <c r="L34" s="82">
        <f t="shared" si="2"/>
        <v>0</v>
      </c>
      <c r="M34" s="82">
        <f t="shared" si="3"/>
        <v>0</v>
      </c>
      <c r="N34" s="82">
        <f t="shared" si="4"/>
        <v>0</v>
      </c>
    </row>
    <row r="35" spans="1:14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</v>
      </c>
      <c r="J35" s="83"/>
      <c r="K35" s="84">
        <f t="shared" si="1"/>
        <v>0</v>
      </c>
      <c r="L35" s="82">
        <f t="shared" si="2"/>
        <v>0</v>
      </c>
      <c r="M35" s="82">
        <f t="shared" si="3"/>
        <v>0</v>
      </c>
      <c r="N35" s="82">
        <f t="shared" si="4"/>
        <v>0</v>
      </c>
    </row>
    <row r="36" spans="1:14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0</v>
      </c>
      <c r="J36" s="83"/>
      <c r="K36" s="84">
        <f t="shared" si="1"/>
        <v>0</v>
      </c>
      <c r="L36" s="82">
        <f t="shared" si="2"/>
        <v>0</v>
      </c>
      <c r="M36" s="82">
        <f t="shared" si="3"/>
        <v>0</v>
      </c>
      <c r="N36" s="82">
        <f t="shared" si="4"/>
        <v>0</v>
      </c>
    </row>
    <row r="37" spans="1:14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</v>
      </c>
      <c r="J37" s="83"/>
      <c r="K37" s="84">
        <f t="shared" si="1"/>
        <v>0</v>
      </c>
      <c r="L37" s="82">
        <f t="shared" si="2"/>
        <v>0</v>
      </c>
      <c r="M37" s="82">
        <f t="shared" si="3"/>
        <v>0</v>
      </c>
      <c r="N37" s="82">
        <f t="shared" si="4"/>
        <v>0</v>
      </c>
    </row>
    <row r="38" spans="1:14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</v>
      </c>
      <c r="J38" s="83"/>
      <c r="K38" s="84">
        <f t="shared" si="1"/>
        <v>0</v>
      </c>
      <c r="L38" s="82">
        <f t="shared" si="2"/>
        <v>0</v>
      </c>
      <c r="M38" s="82">
        <f t="shared" si="3"/>
        <v>0</v>
      </c>
      <c r="N38" s="82">
        <f t="shared" si="4"/>
        <v>0</v>
      </c>
    </row>
    <row r="39" spans="1:14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</v>
      </c>
      <c r="J39" s="83"/>
      <c r="K39" s="84">
        <f t="shared" si="1"/>
        <v>0</v>
      </c>
      <c r="L39" s="82">
        <f t="shared" si="2"/>
        <v>0</v>
      </c>
      <c r="M39" s="82">
        <f t="shared" si="3"/>
        <v>0</v>
      </c>
      <c r="N39" s="82">
        <f t="shared" si="4"/>
        <v>0</v>
      </c>
    </row>
    <row r="40" spans="1:14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</v>
      </c>
      <c r="J40" s="83"/>
      <c r="K40" s="84">
        <f t="shared" si="1"/>
        <v>0</v>
      </c>
      <c r="L40" s="82">
        <f t="shared" si="2"/>
        <v>0</v>
      </c>
      <c r="M40" s="82">
        <f t="shared" si="3"/>
        <v>0</v>
      </c>
      <c r="N40" s="82">
        <f t="shared" si="4"/>
        <v>0</v>
      </c>
    </row>
    <row r="41" spans="1:14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83"/>
      <c r="K41" s="8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</row>
    <row r="42" spans="1:14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</v>
      </c>
      <c r="J42" s="83"/>
      <c r="K42" s="84">
        <f t="shared" si="1"/>
        <v>0</v>
      </c>
      <c r="L42" s="82">
        <f t="shared" si="2"/>
        <v>0</v>
      </c>
      <c r="M42" s="82">
        <f t="shared" si="3"/>
        <v>0</v>
      </c>
      <c r="N42" s="82">
        <f t="shared" si="4"/>
        <v>0</v>
      </c>
    </row>
    <row r="43" spans="1:14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0.15</v>
      </c>
      <c r="J43" s="83">
        <v>0.05</v>
      </c>
      <c r="K43" s="84">
        <f t="shared" si="1"/>
        <v>0.2</v>
      </c>
      <c r="L43" s="82">
        <f t="shared" si="2"/>
        <v>685824.75</v>
      </c>
      <c r="M43" s="82">
        <f t="shared" si="3"/>
        <v>228608.25</v>
      </c>
      <c r="N43" s="82">
        <f t="shared" si="4"/>
        <v>914433</v>
      </c>
    </row>
    <row r="44" spans="1:14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0.33</v>
      </c>
      <c r="J44" s="209"/>
      <c r="K44" s="84">
        <f t="shared" si="1"/>
        <v>0.33</v>
      </c>
      <c r="L44" s="82">
        <f t="shared" si="2"/>
        <v>67606.11</v>
      </c>
      <c r="M44" s="82">
        <f t="shared" si="3"/>
        <v>0</v>
      </c>
      <c r="N44" s="82">
        <f t="shared" si="4"/>
        <v>67606.11</v>
      </c>
    </row>
    <row r="45" spans="1:14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0.3</v>
      </c>
      <c r="J45" s="209"/>
      <c r="K45" s="84">
        <f t="shared" si="1"/>
        <v>0.3</v>
      </c>
      <c r="L45" s="82">
        <f t="shared" si="2"/>
        <v>787597.2</v>
      </c>
      <c r="M45" s="82">
        <f t="shared" si="3"/>
        <v>0</v>
      </c>
      <c r="N45" s="82">
        <f t="shared" si="4"/>
        <v>787597.2</v>
      </c>
    </row>
    <row r="46" spans="1:14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60116075.039999992</v>
      </c>
      <c r="M46" s="88">
        <f t="shared" ref="M46" si="10">+SUM(M8:M45)</f>
        <v>64830872.329999998</v>
      </c>
      <c r="N46" s="89">
        <f>+SUM(N8:N45)</f>
        <v>124946947.37</v>
      </c>
    </row>
    <row r="47" spans="1:14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M46/G46</f>
        <v>0.12942677810994807</v>
      </c>
      <c r="N47" s="91"/>
    </row>
    <row r="48" spans="1:14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91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3</v>
      </c>
      <c r="M50" s="101"/>
      <c r="N50" s="102">
        <f>+N4</f>
        <v>45808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108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12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64830872.329999998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-25932348.932</v>
      </c>
    </row>
    <row r="56" spans="1:14" ht="12.75" customHeight="1" x14ac:dyDescent="0.3">
      <c r="A56" s="136" t="s">
        <v>5</v>
      </c>
      <c r="B56" s="137" t="s">
        <v>73</v>
      </c>
      <c r="C56" s="138"/>
      <c r="D56" s="139"/>
      <c r="E56" s="201"/>
      <c r="F56" s="200"/>
      <c r="G56" s="200"/>
      <c r="H56" s="131"/>
      <c r="I56" s="207" t="s">
        <v>79</v>
      </c>
      <c r="J56" s="140" t="s">
        <v>82</v>
      </c>
      <c r="K56" s="141"/>
      <c r="L56" s="142"/>
      <c r="M56" s="142"/>
      <c r="N56" s="143">
        <f>+N54+N55</f>
        <v>38898523.398000002</v>
      </c>
    </row>
    <row r="57" spans="1:14" ht="12.75" customHeight="1" x14ac:dyDescent="0.3">
      <c r="A57" s="144" t="s">
        <v>75</v>
      </c>
      <c r="B57" s="145" t="s">
        <v>76</v>
      </c>
      <c r="C57" s="146"/>
      <c r="D57" s="147"/>
      <c r="E57" s="202"/>
      <c r="F57" s="203"/>
      <c r="G57" s="204"/>
      <c r="H57" s="149"/>
      <c r="I57" s="208">
        <v>15356.4</v>
      </c>
      <c r="J57" s="150">
        <v>16253.5</v>
      </c>
      <c r="K57" s="148"/>
      <c r="L57" s="151">
        <f>J57/I57</f>
        <v>1.0584186397853663</v>
      </c>
      <c r="M57" s="152">
        <f>L57-1</f>
        <v>5.8418639785366322E-2</v>
      </c>
      <c r="N57" s="153">
        <f>N56*M57</f>
        <v>2272398.8265704056</v>
      </c>
    </row>
    <row r="58" spans="1:14" ht="12.75" customHeight="1" x14ac:dyDescent="0.3">
      <c r="A58" s="154" t="s">
        <v>77</v>
      </c>
      <c r="B58" s="155" t="s">
        <v>78</v>
      </c>
      <c r="C58" s="156"/>
      <c r="D58" s="157"/>
      <c r="E58" s="205"/>
      <c r="F58" s="206"/>
      <c r="G58" s="206"/>
      <c r="H58" s="158"/>
      <c r="I58" s="159"/>
      <c r="J58" s="160"/>
      <c r="K58" s="159"/>
      <c r="L58" s="161"/>
      <c r="M58" s="161"/>
      <c r="N58" s="162">
        <f>N56+N57</f>
        <v>41170922.224570408</v>
      </c>
    </row>
    <row r="59" spans="1:14" ht="12.75" customHeight="1" x14ac:dyDescent="0.3">
      <c r="C59" s="163"/>
      <c r="H59" s="1"/>
      <c r="I59" s="1"/>
      <c r="J59" s="1"/>
      <c r="K59" s="1"/>
      <c r="L59" s="1"/>
      <c r="M59" s="1"/>
      <c r="N59" s="1"/>
    </row>
  </sheetData>
  <mergeCells count="2">
    <mergeCell ref="I6:K6"/>
    <mergeCell ref="L6:N6"/>
  </mergeCells>
  <conditionalFormatting sqref="C3:C11 C18:C32">
    <cfRule type="cellIs" dxfId="25" priority="2" operator="equal">
      <formula>"x"</formula>
    </cfRule>
  </conditionalFormatting>
  <conditionalFormatting sqref="C46:C48">
    <cfRule type="cellIs" dxfId="24" priority="3" operator="equal">
      <formula>"x"</formula>
    </cfRule>
  </conditionalFormatting>
  <conditionalFormatting sqref="K9:K17 K19:K23 K25:K45">
    <cfRule type="cellIs" dxfId="23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C542-43BC-4DA3-8E48-BA7DAE3430C1}">
  <dimension ref="A1:S59"/>
  <sheetViews>
    <sheetView topLeftCell="A19" zoomScaleNormal="100" workbookViewId="0">
      <selection activeCell="M56" sqref="M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5" width="11" style="164" bestFit="1" customWidth="1"/>
    <col min="6" max="6" width="12.6328125" style="164" customWidth="1"/>
    <col min="7" max="7" width="12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2" width="13.6328125" style="6" customWidth="1"/>
    <col min="13" max="13" width="11" style="6" bestFit="1" customWidth="1"/>
    <col min="14" max="14" width="12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4</v>
      </c>
      <c r="K4" s="67"/>
      <c r="L4" s="68"/>
      <c r="M4" s="69"/>
      <c r="N4" s="70">
        <v>45838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81">
        <f t="shared" ref="K9:K17" si="1">+I9+J9</f>
        <v>0</v>
      </c>
      <c r="L9" s="82">
        <f t="shared" ref="L9:L17" si="2">+F9*I9</f>
        <v>0</v>
      </c>
      <c r="M9" s="82">
        <f t="shared" ref="M9:M17" si="3">+F9*J9</f>
        <v>0</v>
      </c>
      <c r="N9" s="82">
        <f t="shared" ref="N9:N17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33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0.7</v>
      </c>
      <c r="J14" s="83">
        <v>0.2</v>
      </c>
      <c r="K14" s="84">
        <f t="shared" si="1"/>
        <v>0.89999999999999991</v>
      </c>
      <c r="L14" s="82">
        <f t="shared" si="2"/>
        <v>1239971.5999999999</v>
      </c>
      <c r="M14" s="82">
        <f t="shared" si="3"/>
        <v>354277.60000000003</v>
      </c>
      <c r="N14" s="82">
        <f t="shared" si="4"/>
        <v>1594249.2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0.5</v>
      </c>
      <c r="J15" s="83"/>
      <c r="K15" s="84">
        <f t="shared" si="1"/>
        <v>0.5</v>
      </c>
      <c r="L15" s="82">
        <f t="shared" si="2"/>
        <v>1143991</v>
      </c>
      <c r="M15" s="82">
        <f t="shared" si="3"/>
        <v>0</v>
      </c>
      <c r="N15" s="82">
        <f t="shared" si="4"/>
        <v>1143991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0.6</v>
      </c>
      <c r="J17" s="83"/>
      <c r="K17" s="84">
        <f t="shared" si="1"/>
        <v>0.6</v>
      </c>
      <c r="L17" s="82">
        <f t="shared" si="2"/>
        <v>290021.39999999997</v>
      </c>
      <c r="M17" s="82">
        <f t="shared" si="3"/>
        <v>0</v>
      </c>
      <c r="N17" s="82">
        <f t="shared" si="4"/>
        <v>290021.39999999997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0.8</v>
      </c>
      <c r="J19" s="80">
        <v>0.2</v>
      </c>
      <c r="K19" s="81">
        <f>+I19+J19</f>
        <v>1</v>
      </c>
      <c r="L19" s="169">
        <f>+F19*I19</f>
        <v>13010166.4</v>
      </c>
      <c r="M19" s="169">
        <f>+F19*J19</f>
        <v>3252541.6</v>
      </c>
      <c r="N19" s="169">
        <f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0.65</v>
      </c>
      <c r="J20" s="83">
        <v>0.35</v>
      </c>
      <c r="K20" s="84">
        <f>+I20+J20</f>
        <v>1</v>
      </c>
      <c r="L20" s="170">
        <f>+F20*I20</f>
        <v>7556065.4000000004</v>
      </c>
      <c r="M20" s="170">
        <f>+F20*J20</f>
        <v>4068650.5999999996</v>
      </c>
      <c r="N20" s="170">
        <f>+F20*K20</f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0.3</v>
      </c>
      <c r="J21" s="83">
        <v>0.4</v>
      </c>
      <c r="K21" s="84">
        <f>+I21+J21</f>
        <v>0.7</v>
      </c>
      <c r="L21" s="170">
        <f>+F21*I21</f>
        <v>528741</v>
      </c>
      <c r="M21" s="170">
        <f>+F21*J21</f>
        <v>704988</v>
      </c>
      <c r="N21" s="170">
        <f>+F21*K21</f>
        <v>1233729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84">
        <f>+I22+J22</f>
        <v>0</v>
      </c>
      <c r="L22" s="170">
        <f>+F22*I22</f>
        <v>0</v>
      </c>
      <c r="M22" s="170">
        <f>+F22*J22</f>
        <v>0</v>
      </c>
      <c r="N22" s="170">
        <f>+F22*K22</f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86">
        <f>+I23+J23</f>
        <v>0</v>
      </c>
      <c r="L23" s="171">
        <f>+F23*I23</f>
        <v>0</v>
      </c>
      <c r="M23" s="171">
        <f>+F23*J23</f>
        <v>0</v>
      </c>
      <c r="N23" s="171">
        <f>+F23*K23</f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5">+E25*D25</f>
        <v>3810807</v>
      </c>
      <c r="H25" s="31"/>
      <c r="I25" s="83">
        <v>0.83000000000000007</v>
      </c>
      <c r="J25" s="83">
        <v>0.17</v>
      </c>
      <c r="K25" s="84">
        <f t="shared" ref="K25:K45" si="6">+I25+J25</f>
        <v>1</v>
      </c>
      <c r="L25" s="82">
        <f t="shared" ref="L25:L45" si="7">+F25*I25</f>
        <v>3162969.81</v>
      </c>
      <c r="M25" s="82">
        <f t="shared" ref="M25:M45" si="8">+F25*J25</f>
        <v>647837.19000000006</v>
      </c>
      <c r="N25" s="82">
        <f t="shared" ref="N25:N45" si="9">+F25*K25</f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5"/>
        <v>8292546</v>
      </c>
      <c r="H26" s="31"/>
      <c r="I26" s="83">
        <v>1</v>
      </c>
      <c r="J26" s="83"/>
      <c r="K26" s="210">
        <f t="shared" si="6"/>
        <v>1</v>
      </c>
      <c r="L26" s="82">
        <f t="shared" si="7"/>
        <v>8292546</v>
      </c>
      <c r="M26" s="82">
        <f t="shared" si="8"/>
        <v>0</v>
      </c>
      <c r="N26" s="82">
        <f t="shared" si="9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5"/>
        <v>12332148</v>
      </c>
      <c r="H27" s="31"/>
      <c r="I27" s="83">
        <v>0.9</v>
      </c>
      <c r="J27" s="209">
        <v>0.1</v>
      </c>
      <c r="K27" s="84">
        <f t="shared" si="6"/>
        <v>1</v>
      </c>
      <c r="L27" s="82">
        <f t="shared" si="7"/>
        <v>11098933.200000001</v>
      </c>
      <c r="M27" s="82">
        <f t="shared" si="8"/>
        <v>1233214.8</v>
      </c>
      <c r="N27" s="82">
        <f t="shared" si="9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5"/>
        <v>6721407</v>
      </c>
      <c r="H28" s="31"/>
      <c r="I28" s="83">
        <v>0.9</v>
      </c>
      <c r="J28" s="209">
        <v>0.1</v>
      </c>
      <c r="K28" s="84">
        <f t="shared" si="6"/>
        <v>1</v>
      </c>
      <c r="L28" s="82">
        <f t="shared" si="7"/>
        <v>6049266.2999999998</v>
      </c>
      <c r="M28" s="82">
        <f t="shared" si="8"/>
        <v>672140.70000000007</v>
      </c>
      <c r="N28" s="82">
        <f t="shared" si="9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5"/>
        <v>27142412</v>
      </c>
      <c r="H29" s="31"/>
      <c r="I29" s="83">
        <v>1</v>
      </c>
      <c r="J29" s="83"/>
      <c r="K29" s="84">
        <f t="shared" si="6"/>
        <v>1</v>
      </c>
      <c r="L29" s="82">
        <f t="shared" si="7"/>
        <v>27142412</v>
      </c>
      <c r="M29" s="82">
        <f t="shared" si="8"/>
        <v>0</v>
      </c>
      <c r="N29" s="82">
        <f t="shared" si="9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5"/>
        <v>32381226</v>
      </c>
      <c r="H30" s="31"/>
      <c r="I30" s="83">
        <v>0.66</v>
      </c>
      <c r="J30" s="83">
        <v>0.34</v>
      </c>
      <c r="K30" s="84">
        <f t="shared" si="6"/>
        <v>1</v>
      </c>
      <c r="L30" s="82">
        <f t="shared" si="7"/>
        <v>21371609.16</v>
      </c>
      <c r="M30" s="82">
        <f t="shared" si="8"/>
        <v>11009616.840000002</v>
      </c>
      <c r="N30" s="82">
        <f t="shared" si="9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5"/>
        <v>20628560</v>
      </c>
      <c r="H31" s="31"/>
      <c r="I31" s="83">
        <v>0.6</v>
      </c>
      <c r="J31" s="83">
        <v>0.4</v>
      </c>
      <c r="K31" s="84">
        <f t="shared" si="6"/>
        <v>1</v>
      </c>
      <c r="L31" s="82">
        <f t="shared" si="7"/>
        <v>12377136</v>
      </c>
      <c r="M31" s="82">
        <f t="shared" si="8"/>
        <v>8251424</v>
      </c>
      <c r="N31" s="82">
        <f t="shared" si="9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5"/>
        <v>7673582</v>
      </c>
      <c r="H32" s="31"/>
      <c r="I32" s="83">
        <v>0.3</v>
      </c>
      <c r="J32" s="83">
        <v>0.7</v>
      </c>
      <c r="K32" s="84">
        <f t="shared" si="6"/>
        <v>1</v>
      </c>
      <c r="L32" s="82">
        <f t="shared" si="7"/>
        <v>2302074.6</v>
      </c>
      <c r="M32" s="82">
        <f t="shared" si="8"/>
        <v>5371507.3999999994</v>
      </c>
      <c r="N32" s="82">
        <f t="shared" si="9"/>
        <v>7673582</v>
      </c>
      <c r="S32" s="211"/>
    </row>
    <row r="33" spans="1:14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5"/>
        <v>72362070</v>
      </c>
      <c r="H33" s="31"/>
      <c r="I33" s="83">
        <v>0</v>
      </c>
      <c r="J33" s="83"/>
      <c r="K33" s="84">
        <f t="shared" si="6"/>
        <v>0</v>
      </c>
      <c r="L33" s="82">
        <f t="shared" si="7"/>
        <v>0</v>
      </c>
      <c r="M33" s="82">
        <f t="shared" si="8"/>
        <v>0</v>
      </c>
      <c r="N33" s="82">
        <f t="shared" si="9"/>
        <v>0</v>
      </c>
    </row>
    <row r="34" spans="1:14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5"/>
        <v>28439456</v>
      </c>
      <c r="H34" s="31"/>
      <c r="I34" s="83">
        <v>0</v>
      </c>
      <c r="J34" s="83"/>
      <c r="K34" s="84">
        <f t="shared" si="6"/>
        <v>0</v>
      </c>
      <c r="L34" s="82">
        <f t="shared" si="7"/>
        <v>0</v>
      </c>
      <c r="M34" s="82">
        <f t="shared" si="8"/>
        <v>0</v>
      </c>
      <c r="N34" s="82">
        <f t="shared" si="9"/>
        <v>0</v>
      </c>
    </row>
    <row r="35" spans="1:14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5"/>
        <v>68755602</v>
      </c>
      <c r="H35" s="31"/>
      <c r="I35" s="83">
        <v>0</v>
      </c>
      <c r="J35" s="83"/>
      <c r="K35" s="84">
        <f t="shared" si="6"/>
        <v>0</v>
      </c>
      <c r="L35" s="82">
        <f t="shared" si="7"/>
        <v>0</v>
      </c>
      <c r="M35" s="82">
        <f t="shared" si="8"/>
        <v>0</v>
      </c>
      <c r="N35" s="82">
        <f t="shared" si="9"/>
        <v>0</v>
      </c>
    </row>
    <row r="36" spans="1:14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5"/>
        <v>51874935</v>
      </c>
      <c r="H36" s="31"/>
      <c r="I36" s="83">
        <v>0</v>
      </c>
      <c r="J36" s="83"/>
      <c r="K36" s="84">
        <f t="shared" si="6"/>
        <v>0</v>
      </c>
      <c r="L36" s="82">
        <f t="shared" si="7"/>
        <v>0</v>
      </c>
      <c r="M36" s="82">
        <f t="shared" si="8"/>
        <v>0</v>
      </c>
      <c r="N36" s="82">
        <f t="shared" si="9"/>
        <v>0</v>
      </c>
    </row>
    <row r="37" spans="1:14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5"/>
        <v>24936336</v>
      </c>
      <c r="H37" s="31"/>
      <c r="I37" s="83">
        <v>0</v>
      </c>
      <c r="J37" s="83"/>
      <c r="K37" s="84">
        <f t="shared" si="6"/>
        <v>0</v>
      </c>
      <c r="L37" s="82">
        <f t="shared" si="7"/>
        <v>0</v>
      </c>
      <c r="M37" s="82">
        <f t="shared" si="8"/>
        <v>0</v>
      </c>
      <c r="N37" s="82">
        <f t="shared" si="9"/>
        <v>0</v>
      </c>
    </row>
    <row r="38" spans="1:14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5"/>
        <v>44977140</v>
      </c>
      <c r="H38" s="31"/>
      <c r="I38" s="83">
        <v>0</v>
      </c>
      <c r="J38" s="83"/>
      <c r="K38" s="84">
        <f t="shared" si="6"/>
        <v>0</v>
      </c>
      <c r="L38" s="82">
        <f t="shared" si="7"/>
        <v>0</v>
      </c>
      <c r="M38" s="82">
        <f t="shared" si="8"/>
        <v>0</v>
      </c>
      <c r="N38" s="82">
        <f t="shared" si="9"/>
        <v>0</v>
      </c>
    </row>
    <row r="39" spans="1:14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5"/>
        <v>5016656</v>
      </c>
      <c r="H39" s="31"/>
      <c r="I39" s="83">
        <v>0</v>
      </c>
      <c r="J39" s="83"/>
      <c r="K39" s="84">
        <f t="shared" si="6"/>
        <v>0</v>
      </c>
      <c r="L39" s="82">
        <f t="shared" si="7"/>
        <v>0</v>
      </c>
      <c r="M39" s="82">
        <f t="shared" si="8"/>
        <v>0</v>
      </c>
      <c r="N39" s="82">
        <f t="shared" si="9"/>
        <v>0</v>
      </c>
    </row>
    <row r="40" spans="1:14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5"/>
        <v>11115350</v>
      </c>
      <c r="H40" s="31"/>
      <c r="I40" s="83">
        <v>0</v>
      </c>
      <c r="J40" s="83"/>
      <c r="K40" s="84">
        <f t="shared" si="6"/>
        <v>0</v>
      </c>
      <c r="L40" s="82">
        <f t="shared" si="7"/>
        <v>0</v>
      </c>
      <c r="M40" s="82">
        <f t="shared" si="8"/>
        <v>0</v>
      </c>
      <c r="N40" s="82">
        <f t="shared" si="9"/>
        <v>0</v>
      </c>
    </row>
    <row r="41" spans="1:14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5"/>
        <v>6234084</v>
      </c>
      <c r="H41" s="31"/>
      <c r="I41" s="83">
        <v>0</v>
      </c>
      <c r="J41" s="83"/>
      <c r="K41" s="84">
        <f t="shared" si="6"/>
        <v>0</v>
      </c>
      <c r="L41" s="82">
        <f t="shared" si="7"/>
        <v>0</v>
      </c>
      <c r="M41" s="82">
        <f t="shared" si="8"/>
        <v>0</v>
      </c>
      <c r="N41" s="82">
        <f t="shared" si="9"/>
        <v>0</v>
      </c>
    </row>
    <row r="42" spans="1:14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5"/>
        <v>11272951</v>
      </c>
      <c r="H42" s="31"/>
      <c r="I42" s="83">
        <v>0</v>
      </c>
      <c r="J42" s="83"/>
      <c r="K42" s="84">
        <f t="shared" si="6"/>
        <v>0</v>
      </c>
      <c r="L42" s="82">
        <f t="shared" si="7"/>
        <v>0</v>
      </c>
      <c r="M42" s="82">
        <f t="shared" si="8"/>
        <v>0</v>
      </c>
      <c r="N42" s="82">
        <f t="shared" si="9"/>
        <v>0</v>
      </c>
    </row>
    <row r="43" spans="1:14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5"/>
        <v>4572165</v>
      </c>
      <c r="H43" s="31"/>
      <c r="I43" s="83">
        <v>0.2</v>
      </c>
      <c r="J43" s="83">
        <v>0.05</v>
      </c>
      <c r="K43" s="84">
        <f t="shared" si="6"/>
        <v>0.25</v>
      </c>
      <c r="L43" s="82">
        <f t="shared" si="7"/>
        <v>914433</v>
      </c>
      <c r="M43" s="82">
        <f t="shared" si="8"/>
        <v>228608.25</v>
      </c>
      <c r="N43" s="82">
        <f t="shared" si="9"/>
        <v>1143041.25</v>
      </c>
    </row>
    <row r="44" spans="1:14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5"/>
        <v>204867</v>
      </c>
      <c r="H44" s="31"/>
      <c r="I44" s="83">
        <v>0.33</v>
      </c>
      <c r="J44" s="209"/>
      <c r="K44" s="84">
        <f t="shared" si="6"/>
        <v>0.33</v>
      </c>
      <c r="L44" s="82">
        <f t="shared" si="7"/>
        <v>67606.11</v>
      </c>
      <c r="M44" s="82">
        <f t="shared" si="8"/>
        <v>0</v>
      </c>
      <c r="N44" s="82">
        <f t="shared" si="9"/>
        <v>67606.11</v>
      </c>
    </row>
    <row r="45" spans="1:14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5"/>
        <v>2625324</v>
      </c>
      <c r="H45" s="31"/>
      <c r="I45" s="83">
        <v>0.3</v>
      </c>
      <c r="J45" s="209">
        <v>0.1</v>
      </c>
      <c r="K45" s="84">
        <f t="shared" si="6"/>
        <v>0.4</v>
      </c>
      <c r="L45" s="82">
        <f t="shared" si="7"/>
        <v>787597.2</v>
      </c>
      <c r="M45" s="82">
        <f t="shared" si="8"/>
        <v>262532.40000000002</v>
      </c>
      <c r="N45" s="82">
        <f t="shared" si="9"/>
        <v>1050129.6000000001</v>
      </c>
    </row>
    <row r="46" spans="1:14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124946947.37</v>
      </c>
      <c r="M46" s="88">
        <f t="shared" ref="M46" si="10">+SUM(M8:M45)</f>
        <v>36057339.380000003</v>
      </c>
      <c r="N46" s="89">
        <f>+SUM(N8:N45)</f>
        <v>161004286.75</v>
      </c>
    </row>
    <row r="47" spans="1:14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M46/G46</f>
        <v>7.1983996134058384E-2</v>
      </c>
      <c r="N47" s="91"/>
    </row>
    <row r="48" spans="1:14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91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4</v>
      </c>
      <c r="M50" s="101"/>
      <c r="N50" s="102">
        <f>+N4</f>
        <v>45838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108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12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36057339.380000003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-14422935.752000002</v>
      </c>
    </row>
    <row r="56" spans="1:14" ht="12.75" customHeight="1" x14ac:dyDescent="0.3">
      <c r="A56" s="136" t="s">
        <v>5</v>
      </c>
      <c r="B56" s="137" t="s">
        <v>73</v>
      </c>
      <c r="C56" s="138"/>
      <c r="D56" s="139"/>
      <c r="E56" s="201"/>
      <c r="F56" s="200"/>
      <c r="G56" s="200"/>
      <c r="H56" s="131"/>
      <c r="I56" s="207" t="s">
        <v>79</v>
      </c>
      <c r="J56" s="140" t="s">
        <v>83</v>
      </c>
      <c r="K56" s="141"/>
      <c r="L56" s="142"/>
      <c r="M56" s="142"/>
      <c r="N56" s="143">
        <f>+N54+N55</f>
        <v>21634403.627999999</v>
      </c>
    </row>
    <row r="57" spans="1:14" ht="12.75" customHeight="1" x14ac:dyDescent="0.3">
      <c r="A57" s="144" t="s">
        <v>75</v>
      </c>
      <c r="B57" s="145" t="s">
        <v>76</v>
      </c>
      <c r="C57" s="146"/>
      <c r="D57" s="147"/>
      <c r="E57" s="202"/>
      <c r="F57" s="203"/>
      <c r="G57" s="204"/>
      <c r="H57" s="149"/>
      <c r="I57" s="208">
        <v>15356.4</v>
      </c>
      <c r="J57" s="150">
        <v>16521.3</v>
      </c>
      <c r="K57" s="148"/>
      <c r="L57" s="151">
        <f>J57/I57</f>
        <v>1.0758576228803625</v>
      </c>
      <c r="M57" s="152">
        <f>L57-1</f>
        <v>7.5857622880362463E-2</v>
      </c>
      <c r="N57" s="153">
        <f>N56*M57</f>
        <v>1641134.4316543695</v>
      </c>
    </row>
    <row r="58" spans="1:14" ht="12.75" customHeight="1" x14ac:dyDescent="0.3">
      <c r="A58" s="154" t="s">
        <v>77</v>
      </c>
      <c r="B58" s="155" t="s">
        <v>78</v>
      </c>
      <c r="C58" s="156"/>
      <c r="D58" s="157"/>
      <c r="E58" s="205"/>
      <c r="F58" s="206"/>
      <c r="G58" s="206"/>
      <c r="H58" s="158"/>
      <c r="I58" s="159"/>
      <c r="J58" s="160"/>
      <c r="K58" s="159"/>
      <c r="L58" s="161"/>
      <c r="M58" s="161"/>
      <c r="N58" s="162">
        <f>N56+N57</f>
        <v>23275538.05965437</v>
      </c>
    </row>
    <row r="59" spans="1:14" ht="12.75" customHeight="1" x14ac:dyDescent="0.3">
      <c r="C59" s="163"/>
      <c r="H59" s="1"/>
      <c r="I59" s="1"/>
      <c r="J59" s="1"/>
      <c r="K59" s="1"/>
      <c r="L59" s="1"/>
      <c r="M59" s="1"/>
      <c r="N59" s="1"/>
    </row>
  </sheetData>
  <mergeCells count="2">
    <mergeCell ref="I6:K6"/>
    <mergeCell ref="L6:N6"/>
  </mergeCells>
  <conditionalFormatting sqref="C3:C11 C18:C32">
    <cfRule type="cellIs" dxfId="22" priority="2" operator="equal">
      <formula>"x"</formula>
    </cfRule>
  </conditionalFormatting>
  <conditionalFormatting sqref="C46:C48">
    <cfRule type="cellIs" dxfId="21" priority="3" operator="equal">
      <formula>"x"</formula>
    </cfRule>
  </conditionalFormatting>
  <conditionalFormatting sqref="K9:K17 K19:K23 K25:K45">
    <cfRule type="cellIs" dxfId="2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4032-BCD9-4C9E-BEAC-C217AD8E4D8D}">
  <dimension ref="A1:S58"/>
  <sheetViews>
    <sheetView topLeftCell="A19" zoomScaleNormal="100" workbookViewId="0">
      <selection activeCell="M56" sqref="M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5" width="11" style="164" bestFit="1" customWidth="1"/>
    <col min="6" max="6" width="12.6328125" style="164" customWidth="1"/>
    <col min="7" max="7" width="12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2" width="13.6328125" style="6" customWidth="1"/>
    <col min="13" max="13" width="11.36328125" style="6" bestFit="1" customWidth="1"/>
    <col min="14" max="14" width="12.6328125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5</v>
      </c>
      <c r="K4" s="67"/>
      <c r="L4" s="68"/>
      <c r="M4" s="69"/>
      <c r="N4" s="70">
        <v>45869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81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0.89999999999999991</v>
      </c>
      <c r="J14" s="83">
        <v>0.1</v>
      </c>
      <c r="K14" s="84">
        <f t="shared" si="1"/>
        <v>0.99999999999999989</v>
      </c>
      <c r="L14" s="82">
        <f t="shared" si="2"/>
        <v>1594249.2</v>
      </c>
      <c r="M14" s="82">
        <f t="shared" si="3"/>
        <v>177138.80000000002</v>
      </c>
      <c r="N14" s="82">
        <f t="shared" si="4"/>
        <v>1771387.9999999998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0.5</v>
      </c>
      <c r="J15" s="83">
        <v>0.3</v>
      </c>
      <c r="K15" s="84">
        <f t="shared" si="1"/>
        <v>0.8</v>
      </c>
      <c r="L15" s="82">
        <f t="shared" si="2"/>
        <v>1143991</v>
      </c>
      <c r="M15" s="82">
        <f t="shared" si="3"/>
        <v>686394.6</v>
      </c>
      <c r="N15" s="82">
        <f t="shared" si="4"/>
        <v>1830385.6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0.6</v>
      </c>
      <c r="J17" s="83">
        <v>0.1</v>
      </c>
      <c r="K17" s="84">
        <f t="shared" si="1"/>
        <v>0.7</v>
      </c>
      <c r="L17" s="82">
        <f t="shared" si="2"/>
        <v>290021.39999999997</v>
      </c>
      <c r="M17" s="82">
        <f t="shared" si="3"/>
        <v>48336.9</v>
      </c>
      <c r="N17" s="82">
        <f t="shared" si="4"/>
        <v>338358.3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81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8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0.7</v>
      </c>
      <c r="J21" s="83">
        <v>0.3</v>
      </c>
      <c r="K21" s="84">
        <f t="shared" si="1"/>
        <v>1</v>
      </c>
      <c r="L21" s="170">
        <f t="shared" si="2"/>
        <v>1233729</v>
      </c>
      <c r="M21" s="170">
        <f t="shared" si="3"/>
        <v>528741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8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84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84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84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84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84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84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83"/>
      <c r="K31" s="84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83"/>
      <c r="K32" s="84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18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</v>
      </c>
      <c r="J33" s="83">
        <v>0.1333</v>
      </c>
      <c r="K33" s="84">
        <f t="shared" si="1"/>
        <v>0.1333</v>
      </c>
      <c r="L33" s="82">
        <f t="shared" si="2"/>
        <v>0</v>
      </c>
      <c r="M33" s="82">
        <f t="shared" si="3"/>
        <v>9645863.9309999999</v>
      </c>
      <c r="N33" s="82">
        <f t="shared" si="4"/>
        <v>9645863.9309999999</v>
      </c>
      <c r="Q33" s="211"/>
    </row>
    <row r="34" spans="1:18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0</v>
      </c>
      <c r="J34" s="83">
        <v>0.23280000000000001</v>
      </c>
      <c r="K34" s="84">
        <f t="shared" si="1"/>
        <v>0.23280000000000001</v>
      </c>
      <c r="L34" s="82">
        <f t="shared" si="2"/>
        <v>0</v>
      </c>
      <c r="M34" s="82">
        <f t="shared" si="3"/>
        <v>6620705.3568000002</v>
      </c>
      <c r="N34" s="82">
        <f t="shared" si="4"/>
        <v>6620705.3568000002</v>
      </c>
      <c r="Q34" s="211"/>
    </row>
    <row r="35" spans="1:18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</v>
      </c>
      <c r="J35" s="83">
        <v>0.37440000000000001</v>
      </c>
      <c r="K35" s="84">
        <f t="shared" si="1"/>
        <v>0.37440000000000001</v>
      </c>
      <c r="L35" s="82">
        <f t="shared" si="2"/>
        <v>0</v>
      </c>
      <c r="M35" s="82">
        <f t="shared" si="3"/>
        <v>25742097.388799999</v>
      </c>
      <c r="N35" s="82">
        <f t="shared" si="4"/>
        <v>25742097.388799999</v>
      </c>
      <c r="Q35" s="211"/>
    </row>
    <row r="36" spans="1:18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0</v>
      </c>
      <c r="J36" s="83">
        <v>0.51380000000000003</v>
      </c>
      <c r="K36" s="84">
        <f t="shared" si="1"/>
        <v>0.51380000000000003</v>
      </c>
      <c r="L36" s="82">
        <f t="shared" si="2"/>
        <v>0</v>
      </c>
      <c r="M36" s="82">
        <f t="shared" si="3"/>
        <v>26653341.603</v>
      </c>
      <c r="N36" s="82">
        <f t="shared" si="4"/>
        <v>26653341.603</v>
      </c>
      <c r="Q36" s="211"/>
    </row>
    <row r="37" spans="1:18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</v>
      </c>
      <c r="J37" s="83">
        <v>0.26290000000000002</v>
      </c>
      <c r="K37" s="84">
        <f t="shared" si="1"/>
        <v>0.26290000000000002</v>
      </c>
      <c r="L37" s="82">
        <f t="shared" si="2"/>
        <v>0</v>
      </c>
      <c r="M37" s="82">
        <f t="shared" si="3"/>
        <v>6555762.7344000004</v>
      </c>
      <c r="N37" s="82">
        <f t="shared" si="4"/>
        <v>6555762.7344000004</v>
      </c>
      <c r="Q37" s="211"/>
    </row>
    <row r="38" spans="1:18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</v>
      </c>
      <c r="J38" s="83">
        <v>0.26719999999999999</v>
      </c>
      <c r="K38" s="84">
        <f t="shared" si="1"/>
        <v>0.26719999999999999</v>
      </c>
      <c r="L38" s="82">
        <f t="shared" si="2"/>
        <v>0</v>
      </c>
      <c r="M38" s="82">
        <f t="shared" si="3"/>
        <v>12017891.808</v>
      </c>
      <c r="N38" s="82">
        <f t="shared" si="4"/>
        <v>12017891.808</v>
      </c>
      <c r="Q38" s="211"/>
    </row>
    <row r="39" spans="1:18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</v>
      </c>
      <c r="J39" s="83">
        <v>0.1925</v>
      </c>
      <c r="K39" s="84">
        <f t="shared" si="1"/>
        <v>0.1925</v>
      </c>
      <c r="L39" s="82">
        <f t="shared" si="2"/>
        <v>0</v>
      </c>
      <c r="M39" s="82">
        <f t="shared" si="3"/>
        <v>965706.28</v>
      </c>
      <c r="N39" s="82">
        <f t="shared" si="4"/>
        <v>965706.28</v>
      </c>
      <c r="Q39" s="211"/>
    </row>
    <row r="40" spans="1:18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</v>
      </c>
      <c r="J40" s="83"/>
      <c r="K40" s="84">
        <f t="shared" si="1"/>
        <v>0</v>
      </c>
      <c r="L40" s="82">
        <f t="shared" si="2"/>
        <v>0</v>
      </c>
      <c r="M40" s="82">
        <f t="shared" si="3"/>
        <v>0</v>
      </c>
      <c r="N40" s="82">
        <f t="shared" si="4"/>
        <v>0</v>
      </c>
    </row>
    <row r="41" spans="1:18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83"/>
      <c r="K41" s="8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</row>
    <row r="42" spans="1:18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</v>
      </c>
      <c r="J42" s="83">
        <v>0.2</v>
      </c>
      <c r="K42" s="84">
        <f t="shared" si="1"/>
        <v>0.2</v>
      </c>
      <c r="L42" s="82">
        <f t="shared" si="2"/>
        <v>0</v>
      </c>
      <c r="M42" s="82">
        <f t="shared" si="3"/>
        <v>2254590.2000000002</v>
      </c>
      <c r="N42" s="82">
        <f t="shared" si="4"/>
        <v>2254590.2000000002</v>
      </c>
    </row>
    <row r="43" spans="1:18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0.25</v>
      </c>
      <c r="J43" s="83">
        <v>0.35</v>
      </c>
      <c r="K43" s="84">
        <f t="shared" si="1"/>
        <v>0.6</v>
      </c>
      <c r="L43" s="82">
        <f t="shared" si="2"/>
        <v>1143041.25</v>
      </c>
      <c r="M43" s="82">
        <f t="shared" si="3"/>
        <v>1600257.75</v>
      </c>
      <c r="N43" s="82">
        <f t="shared" si="4"/>
        <v>2743299</v>
      </c>
      <c r="Q43" s="214"/>
      <c r="R43" s="214"/>
    </row>
    <row r="44" spans="1:18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0.33</v>
      </c>
      <c r="J44" s="209">
        <v>0.33</v>
      </c>
      <c r="K44" s="84">
        <f t="shared" si="1"/>
        <v>0.66</v>
      </c>
      <c r="L44" s="82">
        <f t="shared" si="2"/>
        <v>67606.11</v>
      </c>
      <c r="M44" s="82">
        <f t="shared" si="3"/>
        <v>67606.11</v>
      </c>
      <c r="N44" s="82">
        <f t="shared" si="4"/>
        <v>135212.22</v>
      </c>
    </row>
    <row r="45" spans="1:18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0.4</v>
      </c>
      <c r="J45" s="209">
        <v>0.15</v>
      </c>
      <c r="K45" s="84">
        <f t="shared" si="1"/>
        <v>0.55000000000000004</v>
      </c>
      <c r="L45" s="82">
        <f t="shared" si="2"/>
        <v>1050129.6000000001</v>
      </c>
      <c r="M45" s="82">
        <f t="shared" si="3"/>
        <v>393798.6</v>
      </c>
      <c r="N45" s="82">
        <f t="shared" si="4"/>
        <v>1443928.2000000002</v>
      </c>
    </row>
    <row r="46" spans="1:18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161004286.75</v>
      </c>
      <c r="M46" s="88">
        <f t="shared" ref="M46" si="10">+SUM(M8:M45)</f>
        <v>93958233.062000006</v>
      </c>
      <c r="N46" s="89">
        <f>+SUM(N8:N45)</f>
        <v>254962519.81199998</v>
      </c>
    </row>
    <row r="47" spans="1:18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+M46/G46</f>
        <v>0.18757593327170125</v>
      </c>
      <c r="N47" s="218">
        <f>+N46/G46</f>
        <v>0.50900097888688955</v>
      </c>
    </row>
    <row r="48" spans="1:18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91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5</v>
      </c>
      <c r="M50" s="101"/>
      <c r="N50" s="102">
        <f>+N4</f>
        <v>45869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216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21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93958233.062000006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-37583293.224800006</v>
      </c>
    </row>
    <row r="56" spans="1:14" ht="12.75" customHeight="1" x14ac:dyDescent="0.3">
      <c r="A56" s="136" t="s">
        <v>5</v>
      </c>
      <c r="B56" s="137" t="s">
        <v>73</v>
      </c>
      <c r="C56" s="138"/>
      <c r="D56" s="139"/>
      <c r="E56" s="201"/>
      <c r="F56" s="200"/>
      <c r="G56" s="200"/>
      <c r="H56" s="131"/>
      <c r="I56" s="207" t="s">
        <v>79</v>
      </c>
      <c r="J56" s="140" t="s">
        <v>84</v>
      </c>
      <c r="K56" s="141"/>
      <c r="L56" s="142"/>
      <c r="M56" s="142"/>
      <c r="N56" s="143">
        <f>+N54+N55</f>
        <v>56374939.837200001</v>
      </c>
    </row>
    <row r="57" spans="1:14" ht="12.75" customHeight="1" x14ac:dyDescent="0.3">
      <c r="A57" s="144" t="s">
        <v>75</v>
      </c>
      <c r="B57" s="145" t="s">
        <v>76</v>
      </c>
      <c r="C57" s="146"/>
      <c r="D57" s="147"/>
      <c r="E57" s="202"/>
      <c r="F57" s="203"/>
      <c r="G57" s="204"/>
      <c r="H57" s="149"/>
      <c r="I57" s="208">
        <v>15356.4</v>
      </c>
      <c r="J57" s="150">
        <v>16643.400000000001</v>
      </c>
      <c r="K57" s="219"/>
      <c r="L57" s="151">
        <f>J57/I57</f>
        <v>1.0838087051652732</v>
      </c>
      <c r="M57" s="152">
        <f>L57-1</f>
        <v>8.3808705165273167E-2</v>
      </c>
      <c r="N57" s="153">
        <f>N56*M57</f>
        <v>4724710.7115259077</v>
      </c>
    </row>
    <row r="58" spans="1:14" ht="12.75" customHeight="1" x14ac:dyDescent="0.3">
      <c r="A58" s="154" t="s">
        <v>77</v>
      </c>
      <c r="B58" s="155" t="s">
        <v>78</v>
      </c>
      <c r="C58" s="156"/>
      <c r="D58" s="157"/>
      <c r="E58" s="205"/>
      <c r="F58" s="206"/>
      <c r="G58" s="206"/>
      <c r="H58" s="158"/>
      <c r="I58" s="159"/>
      <c r="J58" s="160"/>
      <c r="K58" s="160"/>
      <c r="L58" s="160"/>
      <c r="M58" s="160"/>
      <c r="N58" s="220">
        <f>N56+N57</f>
        <v>61099650.54872591</v>
      </c>
    </row>
  </sheetData>
  <mergeCells count="2">
    <mergeCell ref="I6:K6"/>
    <mergeCell ref="L6:N6"/>
  </mergeCells>
  <conditionalFormatting sqref="C3:C11 C18:C32">
    <cfRule type="cellIs" dxfId="19" priority="2" operator="equal">
      <formula>"x"</formula>
    </cfRule>
  </conditionalFormatting>
  <conditionalFormatting sqref="C46:C48">
    <cfRule type="cellIs" dxfId="18" priority="3" operator="equal">
      <formula>"x"</formula>
    </cfRule>
  </conditionalFormatting>
  <conditionalFormatting sqref="K9:K17 K19:K23 K25:K45">
    <cfRule type="cellIs" dxfId="17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C85B-4E6F-47FA-BE46-9179D8FFEBDE}">
  <dimension ref="A1:S65"/>
  <sheetViews>
    <sheetView topLeftCell="A24" zoomScaleNormal="100" workbookViewId="0">
      <selection activeCell="N56" sqref="N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6" width="13.453125" style="164" bestFit="1" customWidth="1"/>
    <col min="7" max="7" width="13.453125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2" width="13.6328125" style="6" customWidth="1"/>
    <col min="13" max="13" width="14.453125" style="6" bestFit="1" customWidth="1"/>
    <col min="14" max="14" width="12.6328125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6</v>
      </c>
      <c r="K4" s="67"/>
      <c r="L4" s="68"/>
      <c r="M4" s="69"/>
      <c r="N4" s="70">
        <v>45900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81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0.99999999999999989</v>
      </c>
      <c r="J14" s="83"/>
      <c r="K14" s="84">
        <f t="shared" si="1"/>
        <v>0.99999999999999989</v>
      </c>
      <c r="L14" s="82">
        <f t="shared" si="2"/>
        <v>1771387.9999999998</v>
      </c>
      <c r="M14" s="82">
        <f t="shared" si="3"/>
        <v>0</v>
      </c>
      <c r="N14" s="82">
        <f t="shared" si="4"/>
        <v>1771387.9999999998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0.8</v>
      </c>
      <c r="J15" s="83"/>
      <c r="K15" s="84">
        <f t="shared" si="1"/>
        <v>0.8</v>
      </c>
      <c r="L15" s="82">
        <f t="shared" si="2"/>
        <v>1830385.6</v>
      </c>
      <c r="M15" s="82">
        <f t="shared" si="3"/>
        <v>0</v>
      </c>
      <c r="N15" s="82">
        <f t="shared" si="4"/>
        <v>1830385.6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0.7</v>
      </c>
      <c r="J17" s="83"/>
      <c r="K17" s="84">
        <f t="shared" si="1"/>
        <v>0.7</v>
      </c>
      <c r="L17" s="82">
        <f t="shared" si="2"/>
        <v>338358.3</v>
      </c>
      <c r="M17" s="82">
        <f t="shared" si="3"/>
        <v>0</v>
      </c>
      <c r="N17" s="82">
        <f t="shared" si="4"/>
        <v>338358.3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81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8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1</v>
      </c>
      <c r="J21" s="83"/>
      <c r="K21" s="84">
        <f t="shared" si="1"/>
        <v>1</v>
      </c>
      <c r="L21" s="170">
        <f t="shared" si="2"/>
        <v>1762470</v>
      </c>
      <c r="M21" s="170">
        <f t="shared" si="3"/>
        <v>0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8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84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84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84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84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84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84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83"/>
      <c r="K31" s="84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83"/>
      <c r="K32" s="84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19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0.1333</v>
      </c>
      <c r="J33" s="249">
        <v>0</v>
      </c>
      <c r="K33" s="84">
        <f t="shared" si="1"/>
        <v>0.1333</v>
      </c>
      <c r="L33" s="82">
        <f t="shared" si="2"/>
        <v>9645863.9309999999</v>
      </c>
      <c r="M33" s="82">
        <f>+F33*J33</f>
        <v>0</v>
      </c>
      <c r="N33" s="82">
        <f>+F33*K33</f>
        <v>9645863.9309999999</v>
      </c>
      <c r="P33" s="213"/>
      <c r="Q33" s="211"/>
    </row>
    <row r="34" spans="1:19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249">
        <v>0.23280000000000001</v>
      </c>
      <c r="J34" s="250">
        <v>0.76719999999999999</v>
      </c>
      <c r="K34" s="84">
        <f t="shared" si="1"/>
        <v>1</v>
      </c>
      <c r="L34" s="82">
        <f t="shared" si="2"/>
        <v>6620705.3568000002</v>
      </c>
      <c r="M34" s="82">
        <f t="shared" si="3"/>
        <v>21818750.643199999</v>
      </c>
      <c r="N34" s="82">
        <f t="shared" si="4"/>
        <v>28439456</v>
      </c>
      <c r="P34" s="213"/>
      <c r="Q34" s="211"/>
      <c r="R34" s="212"/>
      <c r="S34" s="213"/>
    </row>
    <row r="35" spans="1:19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0.37440000000000001</v>
      </c>
      <c r="J35" s="249">
        <v>6.9000000000000006E-2</v>
      </c>
      <c r="K35" s="84">
        <f t="shared" si="1"/>
        <v>0.44340000000000002</v>
      </c>
      <c r="L35" s="82">
        <f t="shared" si="2"/>
        <v>25742097.388799999</v>
      </c>
      <c r="M35" s="82">
        <f t="shared" si="3"/>
        <v>4744136.5380000006</v>
      </c>
      <c r="N35" s="82">
        <f t="shared" si="4"/>
        <v>30486233.926800001</v>
      </c>
      <c r="P35" s="213"/>
      <c r="Q35" s="211"/>
    </row>
    <row r="36" spans="1:19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0.51380000000000003</v>
      </c>
      <c r="J36" s="249">
        <v>0.23580000000000001</v>
      </c>
      <c r="K36" s="84">
        <f t="shared" si="1"/>
        <v>0.74960000000000004</v>
      </c>
      <c r="L36" s="82">
        <f t="shared" si="2"/>
        <v>26653341.603</v>
      </c>
      <c r="M36" s="82">
        <f t="shared" si="3"/>
        <v>12232109.673</v>
      </c>
      <c r="N36" s="82">
        <f t="shared" si="4"/>
        <v>38885451.276000001</v>
      </c>
      <c r="Q36" s="211"/>
    </row>
    <row r="37" spans="1:19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0.26290000000000002</v>
      </c>
      <c r="J37" s="249">
        <v>0.1295</v>
      </c>
      <c r="K37" s="84">
        <f t="shared" si="1"/>
        <v>0.39240000000000003</v>
      </c>
      <c r="L37" s="82">
        <f t="shared" si="2"/>
        <v>6555762.7344000004</v>
      </c>
      <c r="M37" s="82">
        <f t="shared" si="3"/>
        <v>3229255.5120000001</v>
      </c>
      <c r="N37" s="82">
        <f t="shared" si="4"/>
        <v>9785018.2464000005</v>
      </c>
      <c r="Q37" s="211"/>
    </row>
    <row r="38" spans="1:19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0.26719999999999999</v>
      </c>
      <c r="J38" s="249">
        <v>0.18590000000000001</v>
      </c>
      <c r="K38" s="84">
        <f t="shared" si="1"/>
        <v>0.4531</v>
      </c>
      <c r="L38" s="82">
        <f t="shared" si="2"/>
        <v>12017891.808</v>
      </c>
      <c r="M38" s="82">
        <f t="shared" si="3"/>
        <v>8361250.3260000004</v>
      </c>
      <c r="N38" s="82">
        <f t="shared" si="4"/>
        <v>20379142.134</v>
      </c>
      <c r="Q38" s="211"/>
    </row>
    <row r="39" spans="1:19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0.1925</v>
      </c>
      <c r="J39" s="249">
        <v>0.14499999999999999</v>
      </c>
      <c r="K39" s="84">
        <f t="shared" si="1"/>
        <v>0.33750000000000002</v>
      </c>
      <c r="L39" s="82">
        <f t="shared" si="2"/>
        <v>965706.28</v>
      </c>
      <c r="M39" s="82">
        <f t="shared" si="3"/>
        <v>727415.12</v>
      </c>
      <c r="N39" s="82">
        <f t="shared" si="4"/>
        <v>1693121.4000000001</v>
      </c>
      <c r="Q39" s="211"/>
    </row>
    <row r="40" spans="1:19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</v>
      </c>
      <c r="J40" s="249">
        <v>0.184</v>
      </c>
      <c r="K40" s="84">
        <f t="shared" si="1"/>
        <v>0.184</v>
      </c>
      <c r="L40" s="82">
        <f t="shared" si="2"/>
        <v>0</v>
      </c>
      <c r="M40" s="82">
        <f t="shared" si="3"/>
        <v>2045224.4</v>
      </c>
      <c r="N40" s="82">
        <f t="shared" si="4"/>
        <v>2045224.4</v>
      </c>
    </row>
    <row r="41" spans="1:19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249">
        <v>0</v>
      </c>
      <c r="K41" s="8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</row>
    <row r="42" spans="1:19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0.2</v>
      </c>
      <c r="J42" s="249">
        <v>0.15</v>
      </c>
      <c r="K42" s="84">
        <f t="shared" si="1"/>
        <v>0.35</v>
      </c>
      <c r="L42" s="82">
        <f t="shared" si="2"/>
        <v>2254590.2000000002</v>
      </c>
      <c r="M42" s="82">
        <f t="shared" si="3"/>
        <v>1690942.65</v>
      </c>
      <c r="N42" s="82">
        <f t="shared" si="4"/>
        <v>3945532.8499999996</v>
      </c>
    </row>
    <row r="43" spans="1:19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0.6</v>
      </c>
      <c r="J43" s="249">
        <v>0.05</v>
      </c>
      <c r="K43" s="84">
        <f t="shared" si="1"/>
        <v>0.65</v>
      </c>
      <c r="L43" s="82">
        <f t="shared" si="2"/>
        <v>2743299</v>
      </c>
      <c r="M43" s="82">
        <f t="shared" si="3"/>
        <v>228608.25</v>
      </c>
      <c r="N43" s="82">
        <f t="shared" si="4"/>
        <v>2971907.25</v>
      </c>
      <c r="Q43" s="214"/>
      <c r="R43" s="214"/>
    </row>
    <row r="44" spans="1:19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0.66</v>
      </c>
      <c r="J44" s="251"/>
      <c r="K44" s="84">
        <f t="shared" si="1"/>
        <v>0.66</v>
      </c>
      <c r="L44" s="82">
        <f t="shared" si="2"/>
        <v>135212.22</v>
      </c>
      <c r="M44" s="82">
        <f t="shared" si="3"/>
        <v>0</v>
      </c>
      <c r="N44" s="82">
        <f t="shared" si="4"/>
        <v>135212.22</v>
      </c>
    </row>
    <row r="45" spans="1:19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0.55000000000000004</v>
      </c>
      <c r="J45" s="251">
        <v>0.3</v>
      </c>
      <c r="K45" s="84">
        <f t="shared" si="1"/>
        <v>0.85000000000000009</v>
      </c>
      <c r="L45" s="82">
        <f t="shared" si="2"/>
        <v>1443928.2000000002</v>
      </c>
      <c r="M45" s="82">
        <f t="shared" si="3"/>
        <v>787597.2</v>
      </c>
      <c r="N45" s="82">
        <f t="shared" si="4"/>
        <v>2231525.4000000004</v>
      </c>
      <c r="O45" s="56"/>
    </row>
    <row r="46" spans="1:19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254962519.81199998</v>
      </c>
      <c r="M46" s="253">
        <f t="shared" ref="M46" si="10">+SUM(M8:M45)</f>
        <v>55865290.312199995</v>
      </c>
      <c r="N46" s="89">
        <f>+SUM(N8:N45)</f>
        <v>310827810.12419999</v>
      </c>
    </row>
    <row r="47" spans="1:19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+M46/G46</f>
        <v>0.1115281080359472</v>
      </c>
      <c r="N47" s="218">
        <f>+N46/G46</f>
        <v>0.62052908692283681</v>
      </c>
    </row>
    <row r="48" spans="1:19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252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6</v>
      </c>
      <c r="M50" s="101"/>
      <c r="N50" s="102">
        <f>+N4</f>
        <v>45900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216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21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55865290.312199995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-22346116.124880001</v>
      </c>
    </row>
    <row r="56" spans="1:14" ht="12.75" customHeight="1" x14ac:dyDescent="0.3">
      <c r="A56" s="226" t="s">
        <v>5</v>
      </c>
      <c r="B56" s="227" t="s">
        <v>73</v>
      </c>
      <c r="C56" s="228"/>
      <c r="D56" s="229"/>
      <c r="E56" s="230"/>
      <c r="F56" s="231"/>
      <c r="G56" s="231"/>
      <c r="H56" s="232"/>
      <c r="I56" s="232"/>
      <c r="J56" s="232"/>
      <c r="K56" s="232"/>
      <c r="L56" s="233"/>
      <c r="M56" s="233"/>
      <c r="N56" s="234">
        <f>+N54+N55</f>
        <v>33519174.187319994</v>
      </c>
    </row>
    <row r="59" spans="1:14" ht="12.75" customHeight="1" x14ac:dyDescent="0.3">
      <c r="A59" s="222"/>
      <c r="B59" s="223"/>
      <c r="D59" s="221"/>
      <c r="E59" s="64"/>
      <c r="F59" s="64"/>
      <c r="G59" s="224"/>
    </row>
    <row r="60" spans="1:14" ht="12.75" customHeight="1" x14ac:dyDescent="0.3">
      <c r="A60" s="222"/>
      <c r="B60" s="223"/>
      <c r="D60" s="221"/>
      <c r="E60" s="64"/>
      <c r="F60" s="64"/>
      <c r="G60" s="224"/>
    </row>
    <row r="61" spans="1:14" ht="12.75" customHeight="1" x14ac:dyDescent="0.3">
      <c r="A61" s="222"/>
      <c r="B61" s="223"/>
      <c r="D61" s="221"/>
      <c r="E61" s="64"/>
      <c r="F61" s="64"/>
      <c r="G61" s="224"/>
    </row>
    <row r="62" spans="1:14" ht="12.75" customHeight="1" x14ac:dyDescent="0.3">
      <c r="A62" s="222"/>
      <c r="B62" s="223"/>
      <c r="D62" s="221"/>
      <c r="E62" s="64"/>
      <c r="F62" s="64"/>
      <c r="G62" s="224"/>
    </row>
    <row r="63" spans="1:14" ht="12.75" customHeight="1" x14ac:dyDescent="0.3">
      <c r="A63" s="222"/>
      <c r="B63" s="225"/>
      <c r="D63" s="221"/>
      <c r="E63" s="64"/>
      <c r="F63" s="64"/>
      <c r="G63" s="224"/>
    </row>
    <row r="64" spans="1:14" ht="12.75" customHeight="1" x14ac:dyDescent="0.3">
      <c r="A64" s="222"/>
      <c r="B64" s="223"/>
      <c r="D64" s="221"/>
      <c r="E64" s="64"/>
      <c r="F64" s="64"/>
      <c r="G64" s="224"/>
    </row>
    <row r="65" spans="1:7" ht="12.75" customHeight="1" x14ac:dyDescent="0.3">
      <c r="A65" s="222"/>
      <c r="B65" s="223"/>
      <c r="D65" s="221"/>
      <c r="E65" s="64"/>
      <c r="F65" s="64"/>
      <c r="G65" s="224"/>
    </row>
  </sheetData>
  <mergeCells count="2">
    <mergeCell ref="I6:K6"/>
    <mergeCell ref="L6:N6"/>
  </mergeCells>
  <conditionalFormatting sqref="C3:C11 C18:C32">
    <cfRule type="cellIs" dxfId="16" priority="2" operator="equal">
      <formula>"x"</formula>
    </cfRule>
  </conditionalFormatting>
  <conditionalFormatting sqref="C46:C48">
    <cfRule type="cellIs" dxfId="15" priority="3" operator="equal">
      <formula>"x"</formula>
    </cfRule>
  </conditionalFormatting>
  <conditionalFormatting sqref="K9:K17 K19:K23 K25:K45">
    <cfRule type="cellIs" dxfId="14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E95F-3473-49BD-9BCB-F6163BE0CAB5}">
  <dimension ref="A1:S65"/>
  <sheetViews>
    <sheetView topLeftCell="A26" zoomScaleNormal="100" workbookViewId="0">
      <selection activeCell="N56" sqref="N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6" width="13.453125" style="164" bestFit="1" customWidth="1"/>
    <col min="7" max="7" width="13.453125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6" bestFit="1" customWidth="1"/>
    <col min="12" max="12" width="13.6328125" style="6" customWidth="1"/>
    <col min="13" max="13" width="13.54296875" style="6" customWidth="1"/>
    <col min="14" max="14" width="12.6328125" style="6" bestFit="1" customWidth="1"/>
    <col min="15" max="15" width="12.08984375" style="6" customWidth="1"/>
    <col min="16" max="16384" width="11.54296875" style="6"/>
  </cols>
  <sheetData>
    <row r="1" spans="1:14" ht="12.75" customHeight="1" x14ac:dyDescent="0.3">
      <c r="F1" s="172" t="s">
        <v>0</v>
      </c>
      <c r="G1" s="172" t="s">
        <v>1</v>
      </c>
    </row>
    <row r="2" spans="1:14" ht="13" x14ac:dyDescent="0.3">
      <c r="F2" s="173">
        <v>1066.5</v>
      </c>
      <c r="G2" s="173">
        <v>1170</v>
      </c>
    </row>
    <row r="3" spans="1:14" s="12" customFormat="1" ht="13" x14ac:dyDescent="0.25">
      <c r="A3" s="8"/>
      <c r="B3" s="9"/>
      <c r="C3" s="10"/>
      <c r="D3" s="11"/>
      <c r="E3" s="11"/>
      <c r="F3" s="11"/>
      <c r="G3" s="174"/>
      <c r="J3" s="13"/>
    </row>
    <row r="4" spans="1:14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7</v>
      </c>
      <c r="K4" s="67"/>
      <c r="L4" s="68"/>
      <c r="M4" s="69"/>
      <c r="N4" s="70">
        <v>45930</v>
      </c>
    </row>
    <row r="5" spans="1:14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71"/>
      <c r="L5" s="73"/>
      <c r="M5" s="73"/>
      <c r="N5" s="73"/>
    </row>
    <row r="6" spans="1:14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4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74" t="s">
        <v>62</v>
      </c>
      <c r="L7" s="75" t="s">
        <v>60</v>
      </c>
      <c r="M7" s="75" t="s">
        <v>61</v>
      </c>
      <c r="N7" s="75" t="s">
        <v>62</v>
      </c>
    </row>
    <row r="8" spans="1:14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78"/>
      <c r="L8" s="78"/>
      <c r="M8" s="78"/>
      <c r="N8" s="79"/>
    </row>
    <row r="9" spans="1:14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81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4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8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4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83"/>
      <c r="K11" s="8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4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09"/>
      <c r="K12" s="84">
        <f t="shared" si="1"/>
        <v>0</v>
      </c>
      <c r="L12" s="82">
        <f t="shared" si="2"/>
        <v>0</v>
      </c>
      <c r="M12" s="82">
        <f t="shared" si="3"/>
        <v>0</v>
      </c>
      <c r="N12" s="82">
        <f t="shared" si="4"/>
        <v>0</v>
      </c>
    </row>
    <row r="13" spans="1:14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83"/>
      <c r="K13" s="84">
        <f t="shared" si="1"/>
        <v>0.7</v>
      </c>
      <c r="L13" s="82">
        <f t="shared" si="2"/>
        <v>6868632.3999999994</v>
      </c>
      <c r="M13" s="82">
        <f t="shared" si="3"/>
        <v>0</v>
      </c>
      <c r="N13" s="82">
        <f t="shared" si="4"/>
        <v>6868632.3999999994</v>
      </c>
    </row>
    <row r="14" spans="1:14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0.99999999999999989</v>
      </c>
      <c r="J14" s="83"/>
      <c r="K14" s="84">
        <f t="shared" si="1"/>
        <v>0.99999999999999989</v>
      </c>
      <c r="L14" s="82">
        <f t="shared" si="2"/>
        <v>1771387.9999999998</v>
      </c>
      <c r="M14" s="82">
        <f t="shared" si="3"/>
        <v>0</v>
      </c>
      <c r="N14" s="82">
        <f t="shared" si="4"/>
        <v>1771387.9999999998</v>
      </c>
    </row>
    <row r="15" spans="1:14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0.8</v>
      </c>
      <c r="J15" s="83"/>
      <c r="K15" s="84">
        <f t="shared" si="1"/>
        <v>0.8</v>
      </c>
      <c r="L15" s="82">
        <f t="shared" si="2"/>
        <v>1830385.6</v>
      </c>
      <c r="M15" s="82">
        <f t="shared" si="3"/>
        <v>0</v>
      </c>
      <c r="N15" s="82">
        <f t="shared" si="4"/>
        <v>1830385.6</v>
      </c>
    </row>
    <row r="16" spans="1:14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8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0.7</v>
      </c>
      <c r="J17" s="83"/>
      <c r="K17" s="84">
        <f t="shared" si="1"/>
        <v>0.7</v>
      </c>
      <c r="L17" s="82">
        <f t="shared" si="2"/>
        <v>338358.3</v>
      </c>
      <c r="M17" s="82">
        <f t="shared" si="3"/>
        <v>0</v>
      </c>
      <c r="N17" s="82">
        <f t="shared" si="4"/>
        <v>338358.3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78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81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8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1</v>
      </c>
      <c r="J21" s="83"/>
      <c r="K21" s="84">
        <f t="shared" si="1"/>
        <v>1</v>
      </c>
      <c r="L21" s="170">
        <f t="shared" si="2"/>
        <v>1762470</v>
      </c>
      <c r="M21" s="170">
        <f t="shared" si="3"/>
        <v>0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8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8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78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84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84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84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84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84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84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83"/>
      <c r="K31" s="84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83"/>
      <c r="K32" s="84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19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0.1333</v>
      </c>
      <c r="J33" s="251">
        <v>0</v>
      </c>
      <c r="K33" s="84">
        <f t="shared" si="1"/>
        <v>0.1333</v>
      </c>
      <c r="L33" s="82">
        <f t="shared" si="2"/>
        <v>9645863.9309999999</v>
      </c>
      <c r="M33" s="82">
        <f>+F33*J33</f>
        <v>0</v>
      </c>
      <c r="N33" s="82">
        <f>+F33*K33</f>
        <v>9645863.9309999999</v>
      </c>
      <c r="P33" s="213"/>
      <c r="Q33" s="211"/>
    </row>
    <row r="34" spans="1:19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1.0028000000000001</v>
      </c>
      <c r="J34" s="251">
        <v>0</v>
      </c>
      <c r="K34" s="84">
        <f t="shared" si="1"/>
        <v>1.0028000000000001</v>
      </c>
      <c r="L34" s="82">
        <f t="shared" si="2"/>
        <v>28519086.476800002</v>
      </c>
      <c r="M34" s="82">
        <f t="shared" si="3"/>
        <v>0</v>
      </c>
      <c r="N34" s="82">
        <f t="shared" si="4"/>
        <v>28519086.476800002</v>
      </c>
      <c r="P34" s="213"/>
      <c r="Q34" s="211"/>
      <c r="R34" s="212"/>
      <c r="S34" s="213"/>
    </row>
    <row r="35" spans="1:19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0.44340000000000002</v>
      </c>
      <c r="J35" s="251">
        <v>6.9000000000000006E-2</v>
      </c>
      <c r="K35" s="84">
        <f t="shared" si="1"/>
        <v>0.51239999999999997</v>
      </c>
      <c r="L35" s="82">
        <f t="shared" si="2"/>
        <v>30486233.926800001</v>
      </c>
      <c r="M35" s="82">
        <f t="shared" si="3"/>
        <v>4744136.5380000006</v>
      </c>
      <c r="N35" s="82">
        <f t="shared" si="4"/>
        <v>35230370.4648</v>
      </c>
      <c r="P35" s="213"/>
      <c r="Q35" s="211"/>
    </row>
    <row r="36" spans="1:19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0.74960000000000004</v>
      </c>
      <c r="J36" s="251">
        <v>0.23499999999999999</v>
      </c>
      <c r="K36" s="84">
        <f t="shared" si="1"/>
        <v>0.98460000000000003</v>
      </c>
      <c r="L36" s="82">
        <f t="shared" si="2"/>
        <v>38885451.276000001</v>
      </c>
      <c r="M36" s="82">
        <f t="shared" si="3"/>
        <v>12190609.725</v>
      </c>
      <c r="N36" s="82">
        <f t="shared" si="4"/>
        <v>51076061.001000002</v>
      </c>
      <c r="P36" s="213"/>
      <c r="Q36" s="211"/>
    </row>
    <row r="37" spans="1:19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0.39240000000000003</v>
      </c>
      <c r="J37" s="251">
        <v>0.1295</v>
      </c>
      <c r="K37" s="84">
        <f t="shared" si="1"/>
        <v>0.52190000000000003</v>
      </c>
      <c r="L37" s="82">
        <f t="shared" si="2"/>
        <v>9785018.2464000005</v>
      </c>
      <c r="M37" s="82">
        <f t="shared" si="3"/>
        <v>3229255.5120000001</v>
      </c>
      <c r="N37" s="82">
        <f t="shared" si="4"/>
        <v>13014273.758400001</v>
      </c>
      <c r="P37" s="213"/>
      <c r="Q37" s="211"/>
    </row>
    <row r="38" spans="1:19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0.4531</v>
      </c>
      <c r="J38" s="251">
        <v>0.18579999999999999</v>
      </c>
      <c r="K38" s="84">
        <f t="shared" si="1"/>
        <v>0.63890000000000002</v>
      </c>
      <c r="L38" s="82">
        <f t="shared" si="2"/>
        <v>20379142.134</v>
      </c>
      <c r="M38" s="82">
        <f t="shared" si="3"/>
        <v>8356752.6119999997</v>
      </c>
      <c r="N38" s="82">
        <f t="shared" si="4"/>
        <v>28735894.745999999</v>
      </c>
      <c r="P38" s="213"/>
      <c r="Q38" s="211"/>
    </row>
    <row r="39" spans="1:19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0.33750000000000002</v>
      </c>
      <c r="J39" s="251">
        <v>0.14499999999999999</v>
      </c>
      <c r="K39" s="84">
        <f t="shared" si="1"/>
        <v>0.48250000000000004</v>
      </c>
      <c r="L39" s="82">
        <f t="shared" si="2"/>
        <v>1693121.4000000001</v>
      </c>
      <c r="M39" s="82">
        <f t="shared" si="3"/>
        <v>727415.12</v>
      </c>
      <c r="N39" s="82">
        <f t="shared" si="4"/>
        <v>2420536.52</v>
      </c>
      <c r="P39" s="213"/>
      <c r="Q39" s="211"/>
    </row>
    <row r="40" spans="1:19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0.184</v>
      </c>
      <c r="J40" s="251">
        <v>0.2</v>
      </c>
      <c r="K40" s="84">
        <f t="shared" si="1"/>
        <v>0.38400000000000001</v>
      </c>
      <c r="L40" s="82">
        <f t="shared" si="2"/>
        <v>2045224.4</v>
      </c>
      <c r="M40" s="82">
        <f t="shared" si="3"/>
        <v>2223070</v>
      </c>
      <c r="N40" s="82">
        <f t="shared" si="4"/>
        <v>4268294.4000000004</v>
      </c>
      <c r="P40" s="213"/>
    </row>
    <row r="41" spans="1:19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251">
        <v>0</v>
      </c>
      <c r="K41" s="8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  <c r="P41" s="213"/>
    </row>
    <row r="42" spans="1:19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0.35</v>
      </c>
      <c r="J42" s="249">
        <v>0.15</v>
      </c>
      <c r="K42" s="84">
        <f t="shared" si="1"/>
        <v>0.5</v>
      </c>
      <c r="L42" s="82">
        <f t="shared" si="2"/>
        <v>3945532.8499999996</v>
      </c>
      <c r="M42" s="82">
        <f t="shared" si="3"/>
        <v>1690942.65</v>
      </c>
      <c r="N42" s="82">
        <f t="shared" si="4"/>
        <v>5636475.5</v>
      </c>
      <c r="P42" s="213"/>
    </row>
    <row r="43" spans="1:19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0.65</v>
      </c>
      <c r="J43" s="249">
        <v>0.05</v>
      </c>
      <c r="K43" s="84">
        <f t="shared" si="1"/>
        <v>0.70000000000000007</v>
      </c>
      <c r="L43" s="82">
        <f t="shared" si="2"/>
        <v>2971907.25</v>
      </c>
      <c r="M43" s="82">
        <f t="shared" si="3"/>
        <v>228608.25</v>
      </c>
      <c r="N43" s="82">
        <f t="shared" si="4"/>
        <v>3200515.5000000005</v>
      </c>
      <c r="P43" s="213"/>
      <c r="Q43" s="214"/>
      <c r="R43" s="214"/>
    </row>
    <row r="44" spans="1:19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0.66</v>
      </c>
      <c r="J44" s="251"/>
      <c r="K44" s="84">
        <f t="shared" si="1"/>
        <v>0.66</v>
      </c>
      <c r="L44" s="82">
        <f t="shared" si="2"/>
        <v>135212.22</v>
      </c>
      <c r="M44" s="82">
        <f t="shared" si="3"/>
        <v>0</v>
      </c>
      <c r="N44" s="82">
        <f t="shared" si="4"/>
        <v>135212.22</v>
      </c>
      <c r="P44" s="213"/>
    </row>
    <row r="45" spans="1:19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0.85000000000000009</v>
      </c>
      <c r="J45" s="251">
        <v>0.15</v>
      </c>
      <c r="K45" s="84">
        <f t="shared" si="1"/>
        <v>1</v>
      </c>
      <c r="L45" s="82">
        <f t="shared" si="2"/>
        <v>2231525.4000000004</v>
      </c>
      <c r="M45" s="82">
        <f t="shared" si="3"/>
        <v>393798.6</v>
      </c>
      <c r="N45" s="82">
        <f t="shared" si="4"/>
        <v>2625324</v>
      </c>
      <c r="P45" s="213"/>
    </row>
    <row r="46" spans="1:19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88"/>
      <c r="L46" s="88">
        <f>+SUM(L8:L45)</f>
        <v>310907440.60100001</v>
      </c>
      <c r="M46" s="253">
        <f t="shared" ref="M46" si="10">+SUM(M8:M45)</f>
        <v>33784589.006999999</v>
      </c>
      <c r="N46" s="89">
        <f>+SUM(N8:N45)</f>
        <v>344692029.60799998</v>
      </c>
    </row>
    <row r="47" spans="1:19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90"/>
      <c r="L47" s="90"/>
      <c r="M47" s="255">
        <f>+M46/G46</f>
        <v>6.7446732517917676E-2</v>
      </c>
      <c r="N47" s="218">
        <f>+N46/G46</f>
        <v>0.68813479178959347</v>
      </c>
    </row>
    <row r="48" spans="1:19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90"/>
      <c r="L48" s="90"/>
      <c r="M48" s="254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90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99" t="s">
        <v>64</v>
      </c>
      <c r="L50" s="100">
        <f>+J4</f>
        <v>7</v>
      </c>
      <c r="M50" s="101"/>
      <c r="N50" s="102">
        <f>+N4</f>
        <v>45930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105"/>
      <c r="L51" s="93"/>
      <c r="M51" s="101" t="s">
        <v>65</v>
      </c>
      <c r="N51" s="107" t="s">
        <v>66</v>
      </c>
    </row>
    <row r="52" spans="1:14" ht="12.75" customHeight="1" x14ac:dyDescent="0.3">
      <c r="A52" s="216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112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123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21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132"/>
      <c r="L54" s="134"/>
      <c r="M54" s="134"/>
      <c r="N54" s="135">
        <f>+M46</f>
        <v>33784589.006999999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123"/>
      <c r="L55" s="124"/>
      <c r="M55" s="125">
        <f>-M53</f>
        <v>-0.4</v>
      </c>
      <c r="N55" s="126">
        <f>+M55*N54</f>
        <v>-13513835.6028</v>
      </c>
    </row>
    <row r="56" spans="1:14" ht="12.75" customHeight="1" x14ac:dyDescent="0.3">
      <c r="A56" s="226" t="s">
        <v>5</v>
      </c>
      <c r="B56" s="227" t="s">
        <v>73</v>
      </c>
      <c r="C56" s="228"/>
      <c r="D56" s="229"/>
      <c r="E56" s="230"/>
      <c r="F56" s="231"/>
      <c r="G56" s="231"/>
      <c r="H56" s="232"/>
      <c r="I56" s="232"/>
      <c r="J56" s="232"/>
      <c r="K56" s="232"/>
      <c r="L56" s="233"/>
      <c r="M56" s="233"/>
      <c r="N56" s="234">
        <f>+N54+N55</f>
        <v>20270753.404199999</v>
      </c>
    </row>
    <row r="59" spans="1:14" ht="12.75" customHeight="1" x14ac:dyDescent="0.3">
      <c r="A59" s="222"/>
      <c r="B59" s="223"/>
      <c r="D59" s="221"/>
      <c r="E59" s="64"/>
      <c r="F59" s="64"/>
      <c r="G59" s="224"/>
    </row>
    <row r="60" spans="1:14" ht="12.75" customHeight="1" x14ac:dyDescent="0.3">
      <c r="A60" s="222"/>
      <c r="B60" s="223"/>
      <c r="D60" s="221"/>
      <c r="E60" s="64"/>
      <c r="F60" s="64"/>
      <c r="G60" s="224"/>
    </row>
    <row r="61" spans="1:14" ht="12.75" customHeight="1" x14ac:dyDescent="0.3">
      <c r="A61" s="222"/>
      <c r="B61" s="223"/>
      <c r="D61" s="221"/>
      <c r="E61" s="64"/>
      <c r="F61" s="64"/>
      <c r="G61" s="224"/>
    </row>
    <row r="62" spans="1:14" ht="12.75" customHeight="1" x14ac:dyDescent="0.3">
      <c r="A62" s="222"/>
      <c r="B62" s="223"/>
      <c r="D62" s="221"/>
      <c r="E62" s="64"/>
      <c r="F62" s="64"/>
      <c r="G62" s="224"/>
    </row>
    <row r="63" spans="1:14" ht="12.75" customHeight="1" x14ac:dyDescent="0.3">
      <c r="A63" s="222"/>
      <c r="B63" s="225"/>
      <c r="D63" s="221"/>
      <c r="E63" s="64"/>
      <c r="F63" s="64"/>
      <c r="G63" s="224"/>
    </row>
    <row r="64" spans="1:14" ht="12.75" customHeight="1" x14ac:dyDescent="0.3">
      <c r="A64" s="222"/>
      <c r="B64" s="223"/>
      <c r="D64" s="221"/>
      <c r="E64" s="64"/>
      <c r="F64" s="64"/>
      <c r="G64" s="224"/>
    </row>
    <row r="65" spans="1:7" ht="12.75" customHeight="1" x14ac:dyDescent="0.3">
      <c r="A65" s="222"/>
      <c r="B65" s="223"/>
      <c r="D65" s="221"/>
      <c r="E65" s="64"/>
      <c r="F65" s="64"/>
      <c r="G65" s="224"/>
    </row>
  </sheetData>
  <mergeCells count="2">
    <mergeCell ref="I6:K6"/>
    <mergeCell ref="L6:N6"/>
  </mergeCells>
  <conditionalFormatting sqref="C3:C11 C18:C32">
    <cfRule type="cellIs" dxfId="13" priority="2" operator="equal">
      <formula>"x"</formula>
    </cfRule>
  </conditionalFormatting>
  <conditionalFormatting sqref="C46:C48">
    <cfRule type="cellIs" dxfId="12" priority="3" operator="equal">
      <formula>"x"</formula>
    </cfRule>
  </conditionalFormatting>
  <conditionalFormatting sqref="K9:K17 K19:K23 K25:K45">
    <cfRule type="cellIs" dxfId="11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0607-4CB2-4E83-9703-82F59534E065}">
  <dimension ref="A1:S65"/>
  <sheetViews>
    <sheetView topLeftCell="A24" zoomScaleNormal="100" workbookViewId="0">
      <selection activeCell="K45" sqref="K45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6" width="13.453125" style="164" bestFit="1" customWidth="1"/>
    <col min="7" max="7" width="13.453125" style="165" bestFit="1" customWidth="1"/>
    <col min="8" max="8" width="5.36328125" style="6" bestFit="1" customWidth="1"/>
    <col min="9" max="9" width="13.54296875" style="6" bestFit="1" customWidth="1"/>
    <col min="10" max="10" width="12.08984375" style="7" customWidth="1"/>
    <col min="11" max="11" width="10.90625" style="235" bestFit="1" customWidth="1"/>
    <col min="12" max="12" width="13.6328125" style="6" customWidth="1"/>
    <col min="13" max="13" width="14.453125" style="6" bestFit="1" customWidth="1"/>
    <col min="14" max="14" width="12.6328125" style="6" bestFit="1" customWidth="1"/>
    <col min="15" max="15" width="12.08984375" style="6" customWidth="1"/>
    <col min="16" max="16384" width="11.54296875" style="6"/>
  </cols>
  <sheetData>
    <row r="1" spans="1:16" ht="12.75" customHeight="1" x14ac:dyDescent="0.3">
      <c r="F1" s="172" t="s">
        <v>0</v>
      </c>
      <c r="G1" s="172" t="s">
        <v>1</v>
      </c>
    </row>
    <row r="2" spans="1:16" ht="13" x14ac:dyDescent="0.3">
      <c r="F2" s="173">
        <v>1066.5</v>
      </c>
      <c r="G2" s="173">
        <v>1170</v>
      </c>
    </row>
    <row r="3" spans="1:16" s="12" customFormat="1" ht="13" x14ac:dyDescent="0.25">
      <c r="A3" s="8"/>
      <c r="B3" s="9"/>
      <c r="C3" s="10"/>
      <c r="D3" s="11"/>
      <c r="E3" s="11"/>
      <c r="F3" s="11"/>
      <c r="G3" s="174"/>
      <c r="J3" s="13"/>
      <c r="K3" s="236"/>
    </row>
    <row r="4" spans="1:16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8</v>
      </c>
      <c r="K4" s="235"/>
      <c r="L4" s="68"/>
      <c r="M4" s="69"/>
      <c r="N4" s="70">
        <v>45958</v>
      </c>
    </row>
    <row r="5" spans="1:16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236"/>
      <c r="L5" s="73"/>
      <c r="M5" s="73"/>
      <c r="N5" s="73"/>
    </row>
    <row r="6" spans="1:16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6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237" t="s">
        <v>62</v>
      </c>
      <c r="L7" s="75" t="s">
        <v>60</v>
      </c>
      <c r="M7" s="75" t="s">
        <v>61</v>
      </c>
      <c r="N7" s="75" t="s">
        <v>62</v>
      </c>
    </row>
    <row r="8" spans="1:16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238"/>
      <c r="L8" s="78"/>
      <c r="M8" s="78"/>
      <c r="N8" s="79"/>
    </row>
    <row r="9" spans="1:16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263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6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83"/>
      <c r="K10" s="264">
        <f t="shared" si="1"/>
        <v>0.33</v>
      </c>
      <c r="L10" s="82">
        <f t="shared" si="2"/>
        <v>381131.19</v>
      </c>
      <c r="M10" s="82">
        <f t="shared" si="3"/>
        <v>0</v>
      </c>
      <c r="N10" s="82">
        <f t="shared" si="4"/>
        <v>381131.19</v>
      </c>
    </row>
    <row r="11" spans="1:16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249"/>
      <c r="K11" s="26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6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</v>
      </c>
      <c r="J12" s="251">
        <v>0.75</v>
      </c>
      <c r="K12" s="264">
        <f t="shared" si="1"/>
        <v>0.75</v>
      </c>
      <c r="L12" s="82">
        <f t="shared" si="2"/>
        <v>0</v>
      </c>
      <c r="M12" s="82">
        <f t="shared" si="3"/>
        <v>1927477.5</v>
      </c>
      <c r="N12" s="82">
        <f t="shared" si="4"/>
        <v>1927477.5</v>
      </c>
      <c r="P12" s="214"/>
    </row>
    <row r="13" spans="1:16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0.7</v>
      </c>
      <c r="J13" s="249">
        <v>0.15</v>
      </c>
      <c r="K13" s="264">
        <f t="shared" si="1"/>
        <v>0.85</v>
      </c>
      <c r="L13" s="82">
        <f t="shared" si="2"/>
        <v>6868632.3999999994</v>
      </c>
      <c r="M13" s="82">
        <f t="shared" si="3"/>
        <v>1471849.8</v>
      </c>
      <c r="N13" s="82">
        <f t="shared" si="4"/>
        <v>8340482.2000000002</v>
      </c>
    </row>
    <row r="14" spans="1:16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0.99999999999999989</v>
      </c>
      <c r="J14" s="249"/>
      <c r="K14" s="264">
        <f t="shared" si="1"/>
        <v>0.99999999999999989</v>
      </c>
      <c r="L14" s="82">
        <f t="shared" si="2"/>
        <v>1771387.9999999998</v>
      </c>
      <c r="M14" s="82">
        <f t="shared" si="3"/>
        <v>0</v>
      </c>
      <c r="N14" s="82">
        <f t="shared" si="4"/>
        <v>1771387.9999999998</v>
      </c>
    </row>
    <row r="15" spans="1:16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0.8</v>
      </c>
      <c r="J15" s="249"/>
      <c r="K15" s="264">
        <f t="shared" si="1"/>
        <v>0.8</v>
      </c>
      <c r="L15" s="82">
        <f t="shared" si="2"/>
        <v>1830385.6</v>
      </c>
      <c r="M15" s="82">
        <f t="shared" si="3"/>
        <v>0</v>
      </c>
      <c r="N15" s="82">
        <f t="shared" si="4"/>
        <v>1830385.6</v>
      </c>
    </row>
    <row r="16" spans="1:16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83"/>
      <c r="K16" s="264">
        <f t="shared" si="1"/>
        <v>0.2</v>
      </c>
      <c r="L16" s="82">
        <f t="shared" si="2"/>
        <v>361643.60000000003</v>
      </c>
      <c r="M16" s="82">
        <f t="shared" si="3"/>
        <v>0</v>
      </c>
      <c r="N16" s="82">
        <f t="shared" si="4"/>
        <v>361643.60000000003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0.7</v>
      </c>
      <c r="J17" s="83"/>
      <c r="K17" s="264">
        <f t="shared" si="1"/>
        <v>0.7</v>
      </c>
      <c r="L17" s="82">
        <f t="shared" si="2"/>
        <v>338358.3</v>
      </c>
      <c r="M17" s="82">
        <f t="shared" si="3"/>
        <v>0</v>
      </c>
      <c r="N17" s="82">
        <f t="shared" si="4"/>
        <v>338358.3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265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263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26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1</v>
      </c>
      <c r="J21" s="83"/>
      <c r="K21" s="264">
        <f t="shared" si="1"/>
        <v>1</v>
      </c>
      <c r="L21" s="170">
        <f t="shared" si="2"/>
        <v>1762470</v>
      </c>
      <c r="M21" s="170">
        <f t="shared" si="3"/>
        <v>0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26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26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265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264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264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264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264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264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264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83"/>
      <c r="K31" s="264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83"/>
      <c r="K32" s="264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19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0.1333</v>
      </c>
      <c r="J33" s="209"/>
      <c r="K33" s="264">
        <f t="shared" si="1"/>
        <v>0.1333</v>
      </c>
      <c r="L33" s="82">
        <f t="shared" si="2"/>
        <v>9645863.9309999999</v>
      </c>
      <c r="M33" s="82">
        <f>+F33*J33</f>
        <v>0</v>
      </c>
      <c r="N33" s="82">
        <f>+F33*K33</f>
        <v>9645863.9309999999</v>
      </c>
      <c r="P33" s="247"/>
      <c r="Q33" s="248"/>
    </row>
    <row r="34" spans="1:19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1.0028000000000001</v>
      </c>
      <c r="J34" s="251"/>
      <c r="K34" s="264">
        <f t="shared" si="1"/>
        <v>1.0028000000000001</v>
      </c>
      <c r="L34" s="82">
        <f t="shared" si="2"/>
        <v>28519086.476800002</v>
      </c>
      <c r="M34" s="82">
        <f t="shared" si="3"/>
        <v>0</v>
      </c>
      <c r="N34" s="82">
        <f t="shared" si="4"/>
        <v>28519086.476800002</v>
      </c>
      <c r="O34" s="213"/>
      <c r="P34" s="247"/>
      <c r="Q34" s="248"/>
      <c r="R34" s="212"/>
      <c r="S34" s="213"/>
    </row>
    <row r="35" spans="1:19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0.51239999999999997</v>
      </c>
      <c r="J35" s="251">
        <v>7.0000000000000007E-2</v>
      </c>
      <c r="K35" s="264">
        <f t="shared" si="1"/>
        <v>0.58240000000000003</v>
      </c>
      <c r="L35" s="82">
        <f t="shared" si="2"/>
        <v>35230370.4648</v>
      </c>
      <c r="M35" s="82">
        <f t="shared" si="3"/>
        <v>4812892.1400000006</v>
      </c>
      <c r="N35" s="82">
        <f t="shared" si="4"/>
        <v>40043262.604800001</v>
      </c>
      <c r="O35" s="213"/>
      <c r="P35" s="247"/>
      <c r="Q35" s="248"/>
    </row>
    <row r="36" spans="1:19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0.98460000000000003</v>
      </c>
      <c r="J36" s="251">
        <v>1.54E-2</v>
      </c>
      <c r="K36" s="264">
        <f t="shared" si="1"/>
        <v>1</v>
      </c>
      <c r="L36" s="82">
        <f t="shared" si="2"/>
        <v>51076061.001000002</v>
      </c>
      <c r="M36" s="82">
        <f t="shared" si="3"/>
        <v>798873.99900000007</v>
      </c>
      <c r="N36" s="82">
        <f t="shared" si="4"/>
        <v>51874935</v>
      </c>
      <c r="O36" s="213"/>
      <c r="P36" s="247"/>
      <c r="Q36" s="248"/>
    </row>
    <row r="37" spans="1:19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0.52190000000000003</v>
      </c>
      <c r="J37" s="251">
        <v>0.13</v>
      </c>
      <c r="K37" s="264">
        <f t="shared" si="1"/>
        <v>0.65190000000000003</v>
      </c>
      <c r="L37" s="82">
        <f t="shared" si="2"/>
        <v>13014273.758400001</v>
      </c>
      <c r="M37" s="82">
        <f t="shared" si="3"/>
        <v>3241723.68</v>
      </c>
      <c r="N37" s="82">
        <f t="shared" si="4"/>
        <v>16255997.4384</v>
      </c>
      <c r="O37" s="213"/>
      <c r="P37" s="247"/>
      <c r="Q37" s="248"/>
    </row>
    <row r="38" spans="1:19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0.63890000000000002</v>
      </c>
      <c r="J38" s="251">
        <v>0.18</v>
      </c>
      <c r="K38" s="264">
        <f t="shared" si="1"/>
        <v>0.81889999999999996</v>
      </c>
      <c r="L38" s="82">
        <f t="shared" si="2"/>
        <v>28735894.745999999</v>
      </c>
      <c r="M38" s="82">
        <f t="shared" si="3"/>
        <v>8095885.1999999993</v>
      </c>
      <c r="N38" s="82">
        <f t="shared" si="4"/>
        <v>36831779.945999995</v>
      </c>
      <c r="O38" s="213"/>
      <c r="P38" s="247"/>
      <c r="Q38" s="248"/>
    </row>
    <row r="39" spans="1:19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0.48250000000000004</v>
      </c>
      <c r="J39" s="251">
        <v>0.15</v>
      </c>
      <c r="K39" s="264">
        <f t="shared" si="1"/>
        <v>0.63250000000000006</v>
      </c>
      <c r="L39" s="82">
        <f t="shared" si="2"/>
        <v>2420536.52</v>
      </c>
      <c r="M39" s="82">
        <f t="shared" si="3"/>
        <v>752498.4</v>
      </c>
      <c r="N39" s="82">
        <f t="shared" si="4"/>
        <v>3173034.9200000004</v>
      </c>
      <c r="O39" s="213"/>
      <c r="P39" s="213"/>
      <c r="Q39" s="211"/>
    </row>
    <row r="40" spans="1:19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0.38400000000000001</v>
      </c>
      <c r="J40" s="251">
        <v>0.18</v>
      </c>
      <c r="K40" s="264">
        <f t="shared" si="1"/>
        <v>0.56400000000000006</v>
      </c>
      <c r="L40" s="82">
        <f t="shared" si="2"/>
        <v>4268294.4000000004</v>
      </c>
      <c r="M40" s="82">
        <f t="shared" si="3"/>
        <v>2000763</v>
      </c>
      <c r="N40" s="82">
        <f t="shared" si="4"/>
        <v>6269057.4000000004</v>
      </c>
      <c r="O40" s="213"/>
      <c r="P40" s="213"/>
    </row>
    <row r="41" spans="1:19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251"/>
      <c r="K41" s="264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  <c r="O41" s="213">
        <f t="shared" ref="O41" si="10">+J41*D41</f>
        <v>0</v>
      </c>
      <c r="P41" s="213"/>
    </row>
    <row r="42" spans="1:19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0.5</v>
      </c>
      <c r="J42" s="249">
        <v>0.15</v>
      </c>
      <c r="K42" s="264">
        <f t="shared" si="1"/>
        <v>0.65</v>
      </c>
      <c r="L42" s="82">
        <f t="shared" si="2"/>
        <v>5636475.5</v>
      </c>
      <c r="M42" s="82">
        <f t="shared" si="3"/>
        <v>1690942.65</v>
      </c>
      <c r="N42" s="82">
        <f t="shared" si="4"/>
        <v>7327418.1500000004</v>
      </c>
      <c r="O42" s="213"/>
      <c r="P42" s="213"/>
    </row>
    <row r="43" spans="1:19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0.70000000000000007</v>
      </c>
      <c r="J43" s="249">
        <v>0.1</v>
      </c>
      <c r="K43" s="264">
        <f t="shared" si="1"/>
        <v>0.8</v>
      </c>
      <c r="L43" s="82">
        <f t="shared" si="2"/>
        <v>3200515.5000000005</v>
      </c>
      <c r="M43" s="82">
        <f t="shared" si="3"/>
        <v>457216.5</v>
      </c>
      <c r="N43" s="82">
        <f t="shared" si="4"/>
        <v>3657732</v>
      </c>
      <c r="O43" s="213"/>
      <c r="P43" s="213"/>
      <c r="Q43" s="214"/>
      <c r="R43" s="214"/>
    </row>
    <row r="44" spans="1:19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0.66</v>
      </c>
      <c r="J44" s="251">
        <v>0.34</v>
      </c>
      <c r="K44" s="264">
        <f t="shared" si="1"/>
        <v>1</v>
      </c>
      <c r="L44" s="82">
        <f t="shared" si="2"/>
        <v>135212.22</v>
      </c>
      <c r="M44" s="82">
        <f t="shared" si="3"/>
        <v>69654.78</v>
      </c>
      <c r="N44" s="82">
        <f t="shared" si="4"/>
        <v>204867</v>
      </c>
      <c r="O44" s="213"/>
      <c r="P44" s="213"/>
    </row>
    <row r="45" spans="1:19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1</v>
      </c>
      <c r="J45" s="209"/>
      <c r="K45" s="264">
        <f t="shared" si="1"/>
        <v>1</v>
      </c>
      <c r="L45" s="82">
        <f t="shared" si="2"/>
        <v>2625324</v>
      </c>
      <c r="M45" s="82">
        <f t="shared" si="3"/>
        <v>0</v>
      </c>
      <c r="N45" s="82">
        <f t="shared" si="4"/>
        <v>2625324</v>
      </c>
      <c r="P45" s="213"/>
    </row>
    <row r="46" spans="1:19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240"/>
      <c r="L46" s="88">
        <f>+SUM(L8:L45)</f>
        <v>344692029.60799998</v>
      </c>
      <c r="M46" s="253">
        <f t="shared" ref="M46" si="11">+SUM(M8:M45)</f>
        <v>25319777.648999996</v>
      </c>
      <c r="N46" s="89">
        <f>+SUM(N8:N45)</f>
        <v>370011807.25699991</v>
      </c>
    </row>
    <row r="47" spans="1:19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241"/>
      <c r="L47" s="90"/>
      <c r="M47" s="255">
        <f>+M46/G46</f>
        <v>5.0547788820264131E-2</v>
      </c>
      <c r="N47" s="255">
        <f>+N46/G46</f>
        <v>0.73868258060985748</v>
      </c>
    </row>
    <row r="48" spans="1:19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241"/>
      <c r="L48" s="90"/>
      <c r="M48" s="252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241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242" t="s">
        <v>64</v>
      </c>
      <c r="L50" s="100">
        <f>+J4</f>
        <v>8</v>
      </c>
      <c r="M50" s="101"/>
      <c r="N50" s="102">
        <f>+N4</f>
        <v>45958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240"/>
      <c r="L51" s="93"/>
      <c r="M51" s="101" t="s">
        <v>65</v>
      </c>
      <c r="N51" s="107" t="s">
        <v>66</v>
      </c>
    </row>
    <row r="52" spans="1:14" ht="12.75" customHeight="1" x14ac:dyDescent="0.3">
      <c r="A52" s="216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243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244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21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245"/>
      <c r="L54" s="134"/>
      <c r="M54" s="134"/>
      <c r="N54" s="135">
        <f>+M46</f>
        <v>25319777.648999996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244"/>
      <c r="L55" s="124"/>
      <c r="M55" s="125">
        <f>-M53</f>
        <v>-0.4</v>
      </c>
      <c r="N55" s="126">
        <f>+M55*N54</f>
        <v>-10127911.059599999</v>
      </c>
    </row>
    <row r="56" spans="1:14" ht="12.75" customHeight="1" x14ac:dyDescent="0.3">
      <c r="A56" s="226" t="s">
        <v>5</v>
      </c>
      <c r="B56" s="227" t="s">
        <v>73</v>
      </c>
      <c r="C56" s="228"/>
      <c r="D56" s="229"/>
      <c r="E56" s="230"/>
      <c r="F56" s="231"/>
      <c r="G56" s="231"/>
      <c r="H56" s="232"/>
      <c r="I56" s="232"/>
      <c r="J56" s="232"/>
      <c r="K56" s="246"/>
      <c r="L56" s="233"/>
      <c r="M56" s="233"/>
      <c r="N56" s="234">
        <f>+N54+N55</f>
        <v>15191866.589399997</v>
      </c>
    </row>
    <row r="59" spans="1:14" ht="12.75" customHeight="1" x14ac:dyDescent="0.3">
      <c r="A59" s="222"/>
      <c r="B59" s="223"/>
      <c r="D59" s="221"/>
      <c r="E59" s="64"/>
      <c r="F59" s="64"/>
      <c r="G59" s="224"/>
    </row>
    <row r="60" spans="1:14" ht="12.75" customHeight="1" x14ac:dyDescent="0.3">
      <c r="A60" s="222"/>
      <c r="B60" s="223"/>
      <c r="D60" s="221"/>
      <c r="E60" s="64"/>
      <c r="F60" s="64"/>
      <c r="G60" s="224"/>
    </row>
    <row r="61" spans="1:14" ht="12.75" customHeight="1" x14ac:dyDescent="0.3">
      <c r="A61" s="222"/>
      <c r="B61" s="223"/>
      <c r="D61" s="221"/>
      <c r="E61" s="64"/>
      <c r="F61" s="64"/>
      <c r="G61" s="224"/>
    </row>
    <row r="62" spans="1:14" ht="12.75" customHeight="1" x14ac:dyDescent="0.3">
      <c r="A62" s="222"/>
      <c r="B62" s="223"/>
      <c r="D62" s="221"/>
      <c r="E62" s="64"/>
      <c r="F62" s="64"/>
      <c r="G62" s="224"/>
    </row>
    <row r="63" spans="1:14" ht="12.75" customHeight="1" x14ac:dyDescent="0.3">
      <c r="A63" s="222"/>
      <c r="B63" s="225"/>
      <c r="D63" s="221"/>
      <c r="E63" s="64"/>
      <c r="F63" s="64"/>
      <c r="G63" s="224"/>
    </row>
    <row r="64" spans="1:14" ht="12.75" customHeight="1" x14ac:dyDescent="0.3">
      <c r="A64" s="222"/>
      <c r="B64" s="223"/>
      <c r="D64" s="221"/>
      <c r="E64" s="64"/>
      <c r="F64" s="64"/>
      <c r="G64" s="224"/>
    </row>
    <row r="65" spans="1:7" ht="12.75" customHeight="1" x14ac:dyDescent="0.3">
      <c r="A65" s="222"/>
      <c r="B65" s="223"/>
      <c r="D65" s="221"/>
      <c r="E65" s="64"/>
      <c r="F65" s="64"/>
      <c r="G65" s="224"/>
    </row>
  </sheetData>
  <mergeCells count="2">
    <mergeCell ref="I6:K6"/>
    <mergeCell ref="L6:N6"/>
  </mergeCells>
  <conditionalFormatting sqref="C3:C11 C18:C32">
    <cfRule type="cellIs" dxfId="10" priority="2" operator="equal">
      <formula>"x"</formula>
    </cfRule>
  </conditionalFormatting>
  <conditionalFormatting sqref="C46:C48">
    <cfRule type="cellIs" dxfId="9" priority="3" operator="equal">
      <formula>"x"</formula>
    </cfRule>
  </conditionalFormatting>
  <conditionalFormatting sqref="K9:K17 K19:K23 K25:K45">
    <cfRule type="cellIs" dxfId="8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E4E3-FEF5-4D96-B854-43D4A9CEC760}">
  <dimension ref="A1:S65"/>
  <sheetViews>
    <sheetView tabSelected="1" zoomScaleNormal="100" workbookViewId="0">
      <selection activeCell="B56" sqref="B56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6" width="13.453125" style="164" bestFit="1" customWidth="1"/>
    <col min="7" max="7" width="13.81640625" style="165" bestFit="1" customWidth="1"/>
    <col min="8" max="8" width="5.36328125" style="6" bestFit="1" customWidth="1"/>
    <col min="9" max="9" width="14.453125" style="6" bestFit="1" customWidth="1"/>
    <col min="10" max="10" width="12.08984375" style="7" customWidth="1"/>
    <col min="11" max="11" width="10.90625" style="235" bestFit="1" customWidth="1"/>
    <col min="12" max="12" width="13.6328125" style="6" customWidth="1"/>
    <col min="13" max="13" width="15.54296875" style="6" bestFit="1" customWidth="1"/>
    <col min="14" max="14" width="14.6328125" style="6" bestFit="1" customWidth="1"/>
    <col min="15" max="15" width="14.453125" style="6" bestFit="1" customWidth="1"/>
    <col min="16" max="16384" width="11.54296875" style="6"/>
  </cols>
  <sheetData>
    <row r="1" spans="1:16" ht="12.75" customHeight="1" x14ac:dyDescent="0.3">
      <c r="F1" s="172" t="s">
        <v>0</v>
      </c>
      <c r="G1" s="172" t="s">
        <v>1</v>
      </c>
    </row>
    <row r="2" spans="1:16" ht="13" x14ac:dyDescent="0.3">
      <c r="F2" s="173">
        <v>1066.5</v>
      </c>
      <c r="G2" s="173">
        <v>1170</v>
      </c>
    </row>
    <row r="3" spans="1:16" s="12" customFormat="1" ht="13" x14ac:dyDescent="0.25">
      <c r="A3" s="8"/>
      <c r="B3" s="9"/>
      <c r="C3" s="10"/>
      <c r="D3" s="11"/>
      <c r="E3" s="11"/>
      <c r="F3" s="11"/>
      <c r="G3" s="174"/>
      <c r="J3" s="13"/>
      <c r="K3" s="236"/>
    </row>
    <row r="4" spans="1:16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9</v>
      </c>
      <c r="K4" s="235"/>
      <c r="L4" s="68"/>
      <c r="M4" s="69"/>
      <c r="N4" s="70">
        <v>45988</v>
      </c>
    </row>
    <row r="5" spans="1:16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236"/>
      <c r="L5" s="73"/>
      <c r="M5" s="73"/>
      <c r="N5" s="73"/>
    </row>
    <row r="6" spans="1:16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6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237" t="s">
        <v>62</v>
      </c>
      <c r="L7" s="75" t="s">
        <v>60</v>
      </c>
      <c r="M7" s="75" t="s">
        <v>61</v>
      </c>
      <c r="N7" s="75" t="s">
        <v>62</v>
      </c>
    </row>
    <row r="8" spans="1:16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238"/>
      <c r="L8" s="78"/>
      <c r="M8" s="78"/>
      <c r="N8" s="79"/>
    </row>
    <row r="9" spans="1:16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263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6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249">
        <v>0.67</v>
      </c>
      <c r="K10" s="264">
        <f t="shared" si="1"/>
        <v>1</v>
      </c>
      <c r="L10" s="82">
        <f t="shared" si="2"/>
        <v>381131.19</v>
      </c>
      <c r="M10" s="82">
        <f t="shared" si="3"/>
        <v>773811.81</v>
      </c>
      <c r="N10" s="82">
        <f t="shared" si="4"/>
        <v>1154943</v>
      </c>
    </row>
    <row r="11" spans="1:16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249"/>
      <c r="K11" s="26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6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0.75</v>
      </c>
      <c r="J12" s="251">
        <v>0.25</v>
      </c>
      <c r="K12" s="264">
        <f t="shared" si="1"/>
        <v>1</v>
      </c>
      <c r="L12" s="82">
        <f t="shared" si="2"/>
        <v>1927477.5</v>
      </c>
      <c r="M12" s="82">
        <f t="shared" si="3"/>
        <v>642492.5</v>
      </c>
      <c r="N12" s="82">
        <f t="shared" si="4"/>
        <v>2569970</v>
      </c>
      <c r="P12" s="214"/>
    </row>
    <row r="13" spans="1:16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0.85</v>
      </c>
      <c r="J13" s="249">
        <v>0.15</v>
      </c>
      <c r="K13" s="264">
        <f t="shared" si="1"/>
        <v>1</v>
      </c>
      <c r="L13" s="82">
        <f t="shared" si="2"/>
        <v>8340482.2000000002</v>
      </c>
      <c r="M13" s="82">
        <f t="shared" si="3"/>
        <v>1471849.8</v>
      </c>
      <c r="N13" s="82">
        <f t="shared" si="4"/>
        <v>9812332</v>
      </c>
    </row>
    <row r="14" spans="1:16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0.99999999999999989</v>
      </c>
      <c r="J14" s="249"/>
      <c r="K14" s="264">
        <f t="shared" si="1"/>
        <v>0.99999999999999989</v>
      </c>
      <c r="L14" s="82">
        <f t="shared" si="2"/>
        <v>1771387.9999999998</v>
      </c>
      <c r="M14" s="82">
        <f t="shared" si="3"/>
        <v>0</v>
      </c>
      <c r="N14" s="82">
        <f t="shared" si="4"/>
        <v>1771387.9999999998</v>
      </c>
    </row>
    <row r="15" spans="1:16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0.8</v>
      </c>
      <c r="J15" s="249">
        <v>0.2</v>
      </c>
      <c r="K15" s="264">
        <f t="shared" si="1"/>
        <v>1</v>
      </c>
      <c r="L15" s="82">
        <f t="shared" si="2"/>
        <v>1830385.6</v>
      </c>
      <c r="M15" s="82">
        <f t="shared" si="3"/>
        <v>457596.4</v>
      </c>
      <c r="N15" s="82">
        <f t="shared" si="4"/>
        <v>2287982</v>
      </c>
    </row>
    <row r="16" spans="1:16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249">
        <v>0.8</v>
      </c>
      <c r="K16" s="264">
        <f t="shared" si="1"/>
        <v>1</v>
      </c>
      <c r="L16" s="82">
        <f t="shared" si="2"/>
        <v>361643.60000000003</v>
      </c>
      <c r="M16" s="82">
        <f t="shared" si="3"/>
        <v>1446574.4000000001</v>
      </c>
      <c r="N16" s="82">
        <f t="shared" si="4"/>
        <v>1808218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0.7</v>
      </c>
      <c r="J17" s="249">
        <v>0.3</v>
      </c>
      <c r="K17" s="264">
        <f t="shared" si="1"/>
        <v>1</v>
      </c>
      <c r="L17" s="82">
        <f t="shared" si="2"/>
        <v>338358.3</v>
      </c>
      <c r="M17" s="82">
        <f t="shared" si="3"/>
        <v>145010.69999999998</v>
      </c>
      <c r="N17" s="82">
        <f t="shared" si="4"/>
        <v>483369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265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263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26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1</v>
      </c>
      <c r="J21" s="83"/>
      <c r="K21" s="264">
        <f t="shared" si="1"/>
        <v>1</v>
      </c>
      <c r="L21" s="170">
        <f t="shared" si="2"/>
        <v>1762470</v>
      </c>
      <c r="M21" s="170">
        <f t="shared" si="3"/>
        <v>0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26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26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265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239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239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239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239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239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239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249"/>
      <c r="K31" s="239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249"/>
      <c r="K32" s="239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19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0.1333</v>
      </c>
      <c r="J33" s="256">
        <v>2.58E-2</v>
      </c>
      <c r="K33" s="239">
        <f t="shared" si="1"/>
        <v>0.15909999999999999</v>
      </c>
      <c r="L33" s="82">
        <f t="shared" si="2"/>
        <v>9645863.9309999999</v>
      </c>
      <c r="M33" s="82">
        <f>+F33*J33</f>
        <v>1866941.406</v>
      </c>
      <c r="N33" s="82">
        <f>+F33*K33</f>
        <v>11512805.336999999</v>
      </c>
      <c r="O33" s="213">
        <f>K33*D33</f>
        <v>14.318999999999999</v>
      </c>
      <c r="P33" s="247">
        <f>D33-O33</f>
        <v>75.680999999999997</v>
      </c>
      <c r="Q33" s="248"/>
    </row>
    <row r="34" spans="1:19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1.0028000000000001</v>
      </c>
      <c r="J34" s="256">
        <f>-'GDR 3760_Pto. 01_Cert. 09 (2)'!R34</f>
        <v>0</v>
      </c>
      <c r="K34" s="239">
        <f t="shared" si="1"/>
        <v>1.0028000000000001</v>
      </c>
      <c r="L34" s="82">
        <f t="shared" si="2"/>
        <v>28519086.476800002</v>
      </c>
      <c r="M34" s="82">
        <f t="shared" si="3"/>
        <v>0</v>
      </c>
      <c r="N34" s="82">
        <f t="shared" si="4"/>
        <v>28519086.476800002</v>
      </c>
      <c r="O34" s="213"/>
      <c r="P34" s="247"/>
      <c r="Q34" s="248"/>
      <c r="R34" s="212"/>
      <c r="S34" s="213"/>
    </row>
    <row r="35" spans="1:19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0.58240000000000003</v>
      </c>
      <c r="J35" s="256">
        <v>0.11600000000000001</v>
      </c>
      <c r="K35" s="239">
        <f t="shared" si="1"/>
        <v>0.69840000000000002</v>
      </c>
      <c r="L35" s="82">
        <f t="shared" si="2"/>
        <v>40043262.604800001</v>
      </c>
      <c r="M35" s="82">
        <f t="shared" si="3"/>
        <v>7975649.8320000004</v>
      </c>
      <c r="N35" s="82">
        <f t="shared" si="4"/>
        <v>48018912.436800003</v>
      </c>
      <c r="O35" s="213">
        <f>K35*D35</f>
        <v>32.126400000000004</v>
      </c>
      <c r="P35" s="247">
        <f>D35-O35</f>
        <v>13.873599999999996</v>
      </c>
      <c r="Q35" s="248"/>
    </row>
    <row r="36" spans="1:19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1</v>
      </c>
      <c r="J36" s="251"/>
      <c r="K36" s="239">
        <f t="shared" si="1"/>
        <v>1</v>
      </c>
      <c r="L36" s="82">
        <f t="shared" si="2"/>
        <v>51874935</v>
      </c>
      <c r="M36" s="82">
        <f t="shared" si="3"/>
        <v>0</v>
      </c>
      <c r="N36" s="82">
        <f t="shared" si="4"/>
        <v>51874935</v>
      </c>
      <c r="O36" s="213"/>
      <c r="P36" s="247"/>
      <c r="Q36" s="248"/>
    </row>
    <row r="37" spans="1:19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0.65190000000000003</v>
      </c>
      <c r="J37" s="257">
        <v>0.34810000000000002</v>
      </c>
      <c r="K37" s="239">
        <f t="shared" si="1"/>
        <v>1</v>
      </c>
      <c r="L37" s="82">
        <f t="shared" si="2"/>
        <v>16255997.4384</v>
      </c>
      <c r="M37" s="82">
        <f t="shared" si="3"/>
        <v>8680338.5615999997</v>
      </c>
      <c r="N37" s="82">
        <f t="shared" si="4"/>
        <v>24936336</v>
      </c>
      <c r="O37" s="213"/>
      <c r="P37" s="247"/>
      <c r="Q37" s="248"/>
    </row>
    <row r="38" spans="1:19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0.81889999999999996</v>
      </c>
      <c r="J38" s="257">
        <v>0.18110000000000001</v>
      </c>
      <c r="K38" s="239">
        <f t="shared" si="1"/>
        <v>1</v>
      </c>
      <c r="L38" s="82">
        <f t="shared" si="2"/>
        <v>36831779.945999995</v>
      </c>
      <c r="M38" s="82">
        <f t="shared" si="3"/>
        <v>8145360.0540000005</v>
      </c>
      <c r="N38" s="82">
        <f t="shared" si="4"/>
        <v>44977140</v>
      </c>
      <c r="O38" s="213"/>
      <c r="P38" s="247"/>
      <c r="Q38" s="248"/>
    </row>
    <row r="39" spans="1:19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0.63250000000000006</v>
      </c>
      <c r="J39" s="257">
        <v>0.36749999999999999</v>
      </c>
      <c r="K39" s="239">
        <f t="shared" si="1"/>
        <v>1</v>
      </c>
      <c r="L39" s="82">
        <f t="shared" si="2"/>
        <v>3173034.9200000004</v>
      </c>
      <c r="M39" s="82">
        <f t="shared" si="3"/>
        <v>1843621.08</v>
      </c>
      <c r="N39" s="82">
        <f t="shared" si="4"/>
        <v>5016656</v>
      </c>
      <c r="O39" s="213"/>
      <c r="P39" s="213"/>
      <c r="Q39" s="211"/>
    </row>
    <row r="40" spans="1:19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0.56400000000000006</v>
      </c>
      <c r="J40" s="257">
        <v>0.436</v>
      </c>
      <c r="K40" s="239">
        <f t="shared" si="1"/>
        <v>1</v>
      </c>
      <c r="L40" s="82">
        <f t="shared" si="2"/>
        <v>6269057.4000000004</v>
      </c>
      <c r="M40" s="82">
        <f t="shared" si="3"/>
        <v>4846292.5999999996</v>
      </c>
      <c r="N40" s="82">
        <f t="shared" si="4"/>
        <v>11115350</v>
      </c>
      <c r="O40" s="213"/>
      <c r="P40" s="213"/>
    </row>
    <row r="41" spans="1:19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251">
        <v>0</v>
      </c>
      <c r="K41" s="239">
        <f t="shared" si="1"/>
        <v>0</v>
      </c>
      <c r="L41" s="82">
        <f t="shared" si="2"/>
        <v>0</v>
      </c>
      <c r="M41" s="82">
        <f t="shared" si="3"/>
        <v>0</v>
      </c>
      <c r="N41" s="82">
        <f t="shared" si="4"/>
        <v>0</v>
      </c>
      <c r="O41" s="213">
        <f>K41*D41</f>
        <v>0</v>
      </c>
      <c r="P41" s="247">
        <f>D41-O41</f>
        <v>6</v>
      </c>
    </row>
    <row r="42" spans="1:19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0.65</v>
      </c>
      <c r="J42" s="249">
        <v>0.35</v>
      </c>
      <c r="K42" s="239">
        <f t="shared" si="1"/>
        <v>1</v>
      </c>
      <c r="L42" s="82">
        <f t="shared" si="2"/>
        <v>7327418.1500000004</v>
      </c>
      <c r="M42" s="82">
        <f t="shared" si="3"/>
        <v>3945532.8499999996</v>
      </c>
      <c r="N42" s="82">
        <f t="shared" si="4"/>
        <v>11272951</v>
      </c>
      <c r="O42" s="213"/>
      <c r="P42" s="213"/>
    </row>
    <row r="43" spans="1:19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0.8</v>
      </c>
      <c r="J43" s="249">
        <v>0.2</v>
      </c>
      <c r="K43" s="239">
        <f t="shared" si="1"/>
        <v>1</v>
      </c>
      <c r="L43" s="82">
        <f t="shared" si="2"/>
        <v>3657732</v>
      </c>
      <c r="M43" s="82">
        <f t="shared" si="3"/>
        <v>914433</v>
      </c>
      <c r="N43" s="82">
        <f t="shared" si="4"/>
        <v>4572165</v>
      </c>
      <c r="O43" s="213"/>
      <c r="P43" s="213"/>
      <c r="Q43" s="214"/>
      <c r="R43" s="214"/>
    </row>
    <row r="44" spans="1:19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1</v>
      </c>
      <c r="J44" s="251"/>
      <c r="K44" s="239">
        <f t="shared" si="1"/>
        <v>1</v>
      </c>
      <c r="L44" s="82">
        <f t="shared" si="2"/>
        <v>204867</v>
      </c>
      <c r="M44" s="82">
        <f t="shared" si="3"/>
        <v>0</v>
      </c>
      <c r="N44" s="82">
        <f t="shared" si="4"/>
        <v>204867</v>
      </c>
      <c r="O44" s="213"/>
      <c r="P44" s="213"/>
    </row>
    <row r="45" spans="1:19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1</v>
      </c>
      <c r="J45" s="251"/>
      <c r="K45" s="239">
        <f t="shared" si="1"/>
        <v>1</v>
      </c>
      <c r="L45" s="82">
        <f t="shared" si="2"/>
        <v>2625324</v>
      </c>
      <c r="M45" s="82">
        <f t="shared" si="3"/>
        <v>0</v>
      </c>
      <c r="N45" s="82">
        <f t="shared" si="4"/>
        <v>2625324</v>
      </c>
      <c r="P45" s="213"/>
    </row>
    <row r="46" spans="1:19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240"/>
      <c r="L46" s="88">
        <f>+SUM(L8:L45)</f>
        <v>370011807.25699991</v>
      </c>
      <c r="M46" s="88">
        <f t="shared" ref="M46" si="10">+SUM(M8:M45)</f>
        <v>43155504.993600003</v>
      </c>
      <c r="N46" s="89">
        <f>+SUM(N8:N45)</f>
        <v>413167312.25059998</v>
      </c>
    </row>
    <row r="47" spans="1:19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241"/>
      <c r="L47" s="90"/>
      <c r="M47" s="255">
        <f>+M46/G46</f>
        <v>8.6154601477493709E-2</v>
      </c>
      <c r="N47" s="255">
        <f>+N46/G46</f>
        <v>0.82483718208735135</v>
      </c>
    </row>
    <row r="48" spans="1:19" s="56" customFormat="1" ht="13" x14ac:dyDescent="0.3">
      <c r="A48" s="57"/>
      <c r="B48" s="166"/>
      <c r="C48" s="167"/>
      <c r="D48" s="11"/>
      <c r="E48" s="186"/>
      <c r="F48" s="186"/>
      <c r="G48" s="175"/>
      <c r="H48" s="31"/>
      <c r="I48" s="90"/>
      <c r="J48" s="90"/>
      <c r="K48" s="241"/>
      <c r="L48" s="90"/>
      <c r="M48" s="252"/>
      <c r="N48" s="91"/>
    </row>
    <row r="49" spans="1:14" ht="12.75" customHeight="1" x14ac:dyDescent="0.3">
      <c r="A49" s="54"/>
      <c r="B49" s="63"/>
      <c r="D49" s="64"/>
      <c r="E49" s="11"/>
      <c r="F49" s="11"/>
      <c r="G49" s="187"/>
      <c r="I49" s="90"/>
      <c r="J49" s="90"/>
      <c r="K49" s="241"/>
      <c r="L49" s="90"/>
      <c r="M49" s="91"/>
      <c r="N49" s="91"/>
    </row>
    <row r="50" spans="1:14" ht="12.75" customHeight="1" x14ac:dyDescent="0.3">
      <c r="A50" s="92"/>
      <c r="B50" s="93" t="s">
        <v>63</v>
      </c>
      <c r="C50" s="94"/>
      <c r="D50" s="95"/>
      <c r="E50" s="188"/>
      <c r="F50" s="189"/>
      <c r="G50" s="190"/>
      <c r="H50" s="96"/>
      <c r="I50" s="97"/>
      <c r="J50" s="98"/>
      <c r="K50" s="242" t="s">
        <v>64</v>
      </c>
      <c r="L50" s="100">
        <f>+J4</f>
        <v>9</v>
      </c>
      <c r="M50" s="101"/>
      <c r="N50" s="102">
        <f>+N4</f>
        <v>45988</v>
      </c>
    </row>
    <row r="51" spans="1:14" ht="12.75" customHeight="1" x14ac:dyDescent="0.3">
      <c r="A51" s="103"/>
      <c r="B51" s="93" t="s">
        <v>6</v>
      </c>
      <c r="C51" s="101"/>
      <c r="D51" s="104"/>
      <c r="E51" s="191"/>
      <c r="F51" s="190"/>
      <c r="G51" s="190"/>
      <c r="H51" s="96"/>
      <c r="I51" s="105"/>
      <c r="J51" s="106"/>
      <c r="K51" s="240"/>
      <c r="L51" s="93"/>
      <c r="M51" s="101" t="s">
        <v>65</v>
      </c>
      <c r="N51" s="107" t="s">
        <v>66</v>
      </c>
    </row>
    <row r="52" spans="1:14" ht="12.75" customHeight="1" x14ac:dyDescent="0.3">
      <c r="A52" s="216" t="s">
        <v>67</v>
      </c>
      <c r="B52" s="109" t="s">
        <v>68</v>
      </c>
      <c r="C52" s="108"/>
      <c r="D52" s="110"/>
      <c r="E52" s="192"/>
      <c r="F52" s="193"/>
      <c r="G52" s="194"/>
      <c r="H52" s="111"/>
      <c r="I52" s="112"/>
      <c r="J52" s="113"/>
      <c r="K52" s="243"/>
      <c r="L52" s="114"/>
      <c r="M52" s="114"/>
      <c r="N52" s="115">
        <f>+G46</f>
        <v>500907720</v>
      </c>
    </row>
    <row r="53" spans="1:14" ht="12.75" customHeight="1" x14ac:dyDescent="0.3">
      <c r="A53" s="116" t="s">
        <v>69</v>
      </c>
      <c r="B53" s="117" t="s">
        <v>47</v>
      </c>
      <c r="C53" s="118"/>
      <c r="D53" s="119"/>
      <c r="E53" s="195"/>
      <c r="F53" s="196"/>
      <c r="G53" s="197"/>
      <c r="H53" s="121"/>
      <c r="I53" s="120"/>
      <c r="J53" s="122"/>
      <c r="K53" s="244"/>
      <c r="L53" s="124"/>
      <c r="M53" s="168">
        <v>0.4</v>
      </c>
      <c r="N53" s="126">
        <f>+M53*N52</f>
        <v>200363088</v>
      </c>
    </row>
    <row r="54" spans="1:14" ht="12.75" customHeight="1" x14ac:dyDescent="0.3">
      <c r="A54" s="217" t="s">
        <v>2</v>
      </c>
      <c r="B54" s="128" t="s">
        <v>70</v>
      </c>
      <c r="C54" s="129"/>
      <c r="D54" s="130"/>
      <c r="E54" s="198"/>
      <c r="F54" s="199"/>
      <c r="G54" s="200"/>
      <c r="H54" s="131"/>
      <c r="I54" s="132"/>
      <c r="J54" s="133"/>
      <c r="K54" s="245"/>
      <c r="L54" s="134"/>
      <c r="M54" s="134"/>
      <c r="N54" s="135">
        <f>+M46</f>
        <v>43155504.993600003</v>
      </c>
    </row>
    <row r="55" spans="1:14" ht="12.75" customHeight="1" x14ac:dyDescent="0.3">
      <c r="A55" s="116" t="s">
        <v>71</v>
      </c>
      <c r="B55" s="117" t="s">
        <v>72</v>
      </c>
      <c r="C55" s="118"/>
      <c r="D55" s="119"/>
      <c r="E55" s="195"/>
      <c r="F55" s="196"/>
      <c r="G55" s="197"/>
      <c r="H55" s="121"/>
      <c r="I55" s="123"/>
      <c r="J55" s="122"/>
      <c r="K55" s="244"/>
      <c r="L55" s="124"/>
      <c r="M55" s="125">
        <f>-M53</f>
        <v>-0.4</v>
      </c>
      <c r="N55" s="126">
        <f>+M55*N54</f>
        <v>-17262201.997440003</v>
      </c>
    </row>
    <row r="56" spans="1:14" ht="12.75" customHeight="1" x14ac:dyDescent="0.3">
      <c r="A56" s="226" t="s">
        <v>5</v>
      </c>
      <c r="B56" s="227" t="s">
        <v>73</v>
      </c>
      <c r="C56" s="228"/>
      <c r="D56" s="229"/>
      <c r="E56" s="230"/>
      <c r="F56" s="231"/>
      <c r="G56" s="231"/>
      <c r="H56" s="232"/>
      <c r="I56" s="232"/>
      <c r="J56" s="232"/>
      <c r="K56" s="246"/>
      <c r="L56" s="233"/>
      <c r="M56" s="233"/>
      <c r="N56" s="234">
        <f>+N54+N55</f>
        <v>25893302.996160001</v>
      </c>
    </row>
    <row r="59" spans="1:14" ht="12.75" customHeight="1" x14ac:dyDescent="0.3">
      <c r="A59" s="222"/>
      <c r="B59" s="223"/>
      <c r="D59" s="221"/>
      <c r="E59" s="64"/>
      <c r="F59" s="64"/>
      <c r="G59" s="224"/>
    </row>
    <row r="60" spans="1:14" ht="12.75" customHeight="1" x14ac:dyDescent="0.3">
      <c r="A60" s="222"/>
      <c r="B60" s="223"/>
      <c r="D60" s="221"/>
      <c r="E60" s="64"/>
      <c r="F60" s="64" t="s">
        <v>89</v>
      </c>
      <c r="G60" s="259" t="s">
        <v>86</v>
      </c>
      <c r="H60" s="258" t="s">
        <v>65</v>
      </c>
      <c r="I60" s="258" t="s">
        <v>87</v>
      </c>
    </row>
    <row r="61" spans="1:14" ht="12.75" customHeight="1" x14ac:dyDescent="0.3">
      <c r="A61" s="222"/>
      <c r="B61" s="223"/>
      <c r="D61" s="221"/>
      <c r="E61" s="64"/>
      <c r="F61" s="64" t="s">
        <v>85</v>
      </c>
      <c r="G61" s="224">
        <f>+G46</f>
        <v>500907720</v>
      </c>
      <c r="H61" s="31">
        <v>1</v>
      </c>
      <c r="I61" s="213">
        <f>+G61*H61</f>
        <v>500907720</v>
      </c>
    </row>
    <row r="62" spans="1:14" ht="12.75" customHeight="1" x14ac:dyDescent="0.3">
      <c r="A62" s="222"/>
      <c r="B62" s="223"/>
      <c r="D62" s="221"/>
      <c r="E62" s="64"/>
      <c r="F62" s="64" t="s">
        <v>88</v>
      </c>
      <c r="G62" s="224">
        <v>844845248</v>
      </c>
      <c r="H62" s="31">
        <f>+I62/G62</f>
        <v>0.16832994855408123</v>
      </c>
      <c r="I62" s="213">
        <v>142212757.132</v>
      </c>
    </row>
    <row r="63" spans="1:14" ht="12.75" customHeight="1" x14ac:dyDescent="0.3">
      <c r="A63" s="222"/>
      <c r="B63" s="225"/>
      <c r="D63" s="221"/>
      <c r="E63" s="64"/>
      <c r="F63" s="64"/>
      <c r="G63" s="224">
        <f>+SUM(G61:G62)</f>
        <v>1345752968</v>
      </c>
      <c r="H63" s="261">
        <f>+I63/G63</f>
        <v>0.47788895319159347</v>
      </c>
      <c r="I63" s="260">
        <f>+SUM(I61:I62)</f>
        <v>643120477.13199997</v>
      </c>
    </row>
    <row r="64" spans="1:14" ht="12.75" customHeight="1" x14ac:dyDescent="0.3">
      <c r="A64" s="222"/>
      <c r="B64" s="223"/>
      <c r="D64" s="221"/>
      <c r="E64" s="64"/>
      <c r="F64" s="64"/>
      <c r="G64" s="224"/>
    </row>
    <row r="65" spans="1:7" ht="12.75" customHeight="1" x14ac:dyDescent="0.3">
      <c r="A65" s="222"/>
      <c r="B65" s="223"/>
      <c r="D65" s="221"/>
      <c r="E65" s="64"/>
      <c r="F65" s="64"/>
      <c r="G65" s="224"/>
    </row>
  </sheetData>
  <mergeCells count="2">
    <mergeCell ref="I6:K6"/>
    <mergeCell ref="L6:N6"/>
  </mergeCells>
  <conditionalFormatting sqref="C3:C11 C18:C32">
    <cfRule type="cellIs" dxfId="7" priority="2" operator="equal">
      <formula>"x"</formula>
    </cfRule>
  </conditionalFormatting>
  <conditionalFormatting sqref="C46:C48">
    <cfRule type="cellIs" dxfId="6" priority="3" operator="equal">
      <formula>"x"</formula>
    </cfRule>
  </conditionalFormatting>
  <conditionalFormatting sqref="K9:K17 K19:K23 K25:K45">
    <cfRule type="cellIs" dxfId="5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7FED-7CBF-4107-A552-887810E16ED4}">
  <dimension ref="A1:T71"/>
  <sheetViews>
    <sheetView topLeftCell="A27" zoomScaleNormal="100" workbookViewId="0">
      <selection activeCell="O60" sqref="O60"/>
    </sheetView>
  </sheetViews>
  <sheetFormatPr defaultColWidth="11.54296875" defaultRowHeight="12.75" customHeight="1" outlineLevelRow="1" x14ac:dyDescent="0.3"/>
  <cols>
    <col min="1" max="1" width="5.54296875" style="2" bestFit="1" customWidth="1"/>
    <col min="2" max="2" width="56.36328125" style="3" customWidth="1"/>
    <col min="3" max="3" width="4.08984375" style="4" bestFit="1" customWidth="1"/>
    <col min="4" max="4" width="5.6328125" style="5" bestFit="1" customWidth="1"/>
    <col min="5" max="6" width="13.453125" style="164" bestFit="1" customWidth="1"/>
    <col min="7" max="7" width="13.81640625" style="165" bestFit="1" customWidth="1"/>
    <col min="8" max="8" width="5.36328125" style="6" bestFit="1" customWidth="1"/>
    <col min="9" max="9" width="14.453125" style="6" bestFit="1" customWidth="1"/>
    <col min="10" max="10" width="12.08984375" style="7" customWidth="1"/>
    <col min="11" max="11" width="10.90625" style="235" bestFit="1" customWidth="1"/>
    <col min="12" max="12" width="13.6328125" style="6" customWidth="1"/>
    <col min="13" max="13" width="15.54296875" style="6" bestFit="1" customWidth="1"/>
    <col min="14" max="14" width="14.6328125" style="6" bestFit="1" customWidth="1"/>
    <col min="15" max="15" width="14.453125" style="6" bestFit="1" customWidth="1"/>
    <col min="16" max="16" width="13.90625" style="6" bestFit="1" customWidth="1"/>
    <col min="17" max="19" width="11.54296875" style="6"/>
    <col min="20" max="20" width="13" style="6" bestFit="1" customWidth="1"/>
    <col min="21" max="16384" width="11.54296875" style="6"/>
  </cols>
  <sheetData>
    <row r="1" spans="1:16" ht="12.75" customHeight="1" x14ac:dyDescent="0.3">
      <c r="F1" s="172" t="s">
        <v>0</v>
      </c>
      <c r="G1" s="172" t="s">
        <v>1</v>
      </c>
    </row>
    <row r="2" spans="1:16" ht="13" x14ac:dyDescent="0.3">
      <c r="F2" s="173">
        <v>1066.5</v>
      </c>
      <c r="G2" s="173">
        <v>1170</v>
      </c>
    </row>
    <row r="3" spans="1:16" s="12" customFormat="1" ht="13" x14ac:dyDescent="0.25">
      <c r="A3" s="8"/>
      <c r="B3" s="9"/>
      <c r="C3" s="10"/>
      <c r="D3" s="11"/>
      <c r="E3" s="11"/>
      <c r="F3" s="11"/>
      <c r="G3" s="174"/>
      <c r="J3" s="13"/>
      <c r="K3" s="236"/>
    </row>
    <row r="4" spans="1:16" s="12" customFormat="1" ht="13" x14ac:dyDescent="0.3">
      <c r="A4" s="8"/>
      <c r="B4" s="9"/>
      <c r="C4" s="10"/>
      <c r="D4" s="11"/>
      <c r="E4" s="11"/>
      <c r="F4" s="14">
        <v>45667</v>
      </c>
      <c r="G4" s="174"/>
      <c r="I4" s="65" t="s">
        <v>57</v>
      </c>
      <c r="J4" s="66">
        <v>9</v>
      </c>
      <c r="K4" s="235"/>
      <c r="L4" s="68"/>
      <c r="M4" s="69"/>
      <c r="N4" s="70">
        <v>45988</v>
      </c>
    </row>
    <row r="5" spans="1:16" s="12" customFormat="1" ht="13" x14ac:dyDescent="0.25">
      <c r="A5" s="8"/>
      <c r="B5" s="15" t="s">
        <v>3</v>
      </c>
      <c r="C5" s="10"/>
      <c r="D5" s="11"/>
      <c r="E5" s="176"/>
      <c r="F5" s="176"/>
      <c r="G5" s="174"/>
      <c r="I5" s="71"/>
      <c r="J5" s="72"/>
      <c r="K5" s="236"/>
      <c r="L5" s="73"/>
      <c r="M5" s="73"/>
      <c r="N5" s="73"/>
    </row>
    <row r="6" spans="1:16" s="12" customFormat="1" ht="13" x14ac:dyDescent="0.25">
      <c r="A6" s="8"/>
      <c r="B6" s="15" t="s">
        <v>80</v>
      </c>
      <c r="C6" s="16"/>
      <c r="D6" s="17"/>
      <c r="E6" s="177"/>
      <c r="F6" s="177"/>
      <c r="G6" s="174"/>
      <c r="I6" s="273" t="s">
        <v>58</v>
      </c>
      <c r="J6" s="273"/>
      <c r="K6" s="273"/>
      <c r="L6" s="274" t="s">
        <v>59</v>
      </c>
      <c r="M6" s="274"/>
      <c r="N6" s="274"/>
    </row>
    <row r="7" spans="1:16" ht="13" x14ac:dyDescent="0.3">
      <c r="A7" s="18" t="s">
        <v>4</v>
      </c>
      <c r="B7" s="19" t="s">
        <v>6</v>
      </c>
      <c r="C7" s="20" t="s">
        <v>7</v>
      </c>
      <c r="D7" s="21" t="s">
        <v>8</v>
      </c>
      <c r="E7" s="178" t="s">
        <v>10</v>
      </c>
      <c r="F7" s="178" t="s">
        <v>9</v>
      </c>
      <c r="I7" s="74" t="s">
        <v>60</v>
      </c>
      <c r="J7" s="74" t="s">
        <v>61</v>
      </c>
      <c r="K7" s="237" t="s">
        <v>62</v>
      </c>
      <c r="L7" s="75" t="s">
        <v>60</v>
      </c>
      <c r="M7" s="75" t="s">
        <v>61</v>
      </c>
      <c r="N7" s="75" t="s">
        <v>62</v>
      </c>
    </row>
    <row r="8" spans="1:16" s="26" customFormat="1" ht="13" x14ac:dyDescent="0.3">
      <c r="A8" s="18">
        <v>1</v>
      </c>
      <c r="B8" s="22" t="s">
        <v>11</v>
      </c>
      <c r="C8" s="23"/>
      <c r="D8" s="24"/>
      <c r="E8" s="24"/>
      <c r="F8" s="24"/>
      <c r="G8" s="179">
        <f>SUM(F9:F17)</f>
        <v>19888202</v>
      </c>
      <c r="H8" s="25">
        <f>+G8/$G$46</f>
        <v>3.9704323183519713E-2</v>
      </c>
      <c r="I8" s="76"/>
      <c r="J8" s="77"/>
      <c r="K8" s="238"/>
      <c r="L8" s="78"/>
      <c r="M8" s="78"/>
      <c r="N8" s="79"/>
    </row>
    <row r="9" spans="1:16" ht="13" outlineLevel="1" x14ac:dyDescent="0.3">
      <c r="A9" s="27">
        <v>1.01</v>
      </c>
      <c r="B9" s="28" t="s">
        <v>49</v>
      </c>
      <c r="C9" s="29" t="s">
        <v>12</v>
      </c>
      <c r="D9" s="30">
        <v>1</v>
      </c>
      <c r="E9" s="180">
        <v>0</v>
      </c>
      <c r="F9" s="180">
        <f t="shared" ref="F9:F17" si="0">+E9*D9</f>
        <v>0</v>
      </c>
      <c r="H9" s="31"/>
      <c r="I9" s="80">
        <v>0</v>
      </c>
      <c r="J9" s="80"/>
      <c r="K9" s="263">
        <f t="shared" ref="K9:K45" si="1">+I9+J9</f>
        <v>0</v>
      </c>
      <c r="L9" s="82">
        <f t="shared" ref="L9:L45" si="2">+F9*I9</f>
        <v>0</v>
      </c>
      <c r="M9" s="82">
        <f t="shared" ref="M9:M45" si="3">+F9*J9</f>
        <v>0</v>
      </c>
      <c r="N9" s="82">
        <f t="shared" ref="N9:N45" si="4">+F9*K9</f>
        <v>0</v>
      </c>
    </row>
    <row r="10" spans="1:16" ht="13" outlineLevel="1" x14ac:dyDescent="0.3">
      <c r="A10" s="32">
        <v>1.02</v>
      </c>
      <c r="B10" s="33" t="s">
        <v>13</v>
      </c>
      <c r="C10" s="34" t="s">
        <v>12</v>
      </c>
      <c r="D10" s="35">
        <v>3</v>
      </c>
      <c r="E10" s="181">
        <v>384981</v>
      </c>
      <c r="F10" s="181">
        <f t="shared" si="0"/>
        <v>1154943</v>
      </c>
      <c r="H10" s="31"/>
      <c r="I10" s="83">
        <v>0.33</v>
      </c>
      <c r="J10" s="249">
        <v>0.67</v>
      </c>
      <c r="K10" s="264">
        <f t="shared" si="1"/>
        <v>1</v>
      </c>
      <c r="L10" s="82">
        <f t="shared" si="2"/>
        <v>381131.19</v>
      </c>
      <c r="M10" s="82">
        <f t="shared" si="3"/>
        <v>773811.81</v>
      </c>
      <c r="N10" s="82">
        <f t="shared" si="4"/>
        <v>1154943</v>
      </c>
    </row>
    <row r="11" spans="1:16" ht="13" outlineLevel="1" x14ac:dyDescent="0.3">
      <c r="A11" s="32">
        <v>1.03</v>
      </c>
      <c r="B11" s="33" t="s">
        <v>50</v>
      </c>
      <c r="C11" s="36" t="s">
        <v>12</v>
      </c>
      <c r="D11" s="37">
        <v>1</v>
      </c>
      <c r="E11" s="181">
        <v>0</v>
      </c>
      <c r="F11" s="181">
        <f t="shared" si="0"/>
        <v>0</v>
      </c>
      <c r="H11" s="31"/>
      <c r="I11" s="83">
        <v>0</v>
      </c>
      <c r="J11" s="249"/>
      <c r="K11" s="264">
        <f t="shared" si="1"/>
        <v>0</v>
      </c>
      <c r="L11" s="82">
        <f t="shared" si="2"/>
        <v>0</v>
      </c>
      <c r="M11" s="82">
        <f t="shared" si="3"/>
        <v>0</v>
      </c>
      <c r="N11" s="82">
        <f t="shared" si="4"/>
        <v>0</v>
      </c>
    </row>
    <row r="12" spans="1:16" ht="13" outlineLevel="1" x14ac:dyDescent="0.3">
      <c r="A12" s="32">
        <v>1.04</v>
      </c>
      <c r="B12" s="215" t="s">
        <v>51</v>
      </c>
      <c r="C12" s="34" t="s">
        <v>14</v>
      </c>
      <c r="D12" s="35">
        <v>10</v>
      </c>
      <c r="E12" s="181">
        <v>256997</v>
      </c>
      <c r="F12" s="181">
        <f t="shared" si="0"/>
        <v>2569970</v>
      </c>
      <c r="H12" s="31"/>
      <c r="I12" s="83">
        <v>0.75</v>
      </c>
      <c r="J12" s="251">
        <v>0.25</v>
      </c>
      <c r="K12" s="264">
        <f t="shared" si="1"/>
        <v>1</v>
      </c>
      <c r="L12" s="82">
        <f t="shared" si="2"/>
        <v>1927477.5</v>
      </c>
      <c r="M12" s="82">
        <f t="shared" si="3"/>
        <v>642492.5</v>
      </c>
      <c r="N12" s="82">
        <f t="shared" si="4"/>
        <v>2569970</v>
      </c>
      <c r="P12" s="214"/>
    </row>
    <row r="13" spans="1:16" ht="13" outlineLevel="1" x14ac:dyDescent="0.3">
      <c r="A13" s="32">
        <v>1.05</v>
      </c>
      <c r="B13" s="33" t="s">
        <v>52</v>
      </c>
      <c r="C13" s="34" t="s">
        <v>12</v>
      </c>
      <c r="D13" s="35">
        <v>1</v>
      </c>
      <c r="E13" s="181">
        <v>9812332</v>
      </c>
      <c r="F13" s="181">
        <f t="shared" si="0"/>
        <v>9812332</v>
      </c>
      <c r="H13" s="31"/>
      <c r="I13" s="83">
        <v>0.85</v>
      </c>
      <c r="J13" s="249">
        <v>0.15</v>
      </c>
      <c r="K13" s="264">
        <f t="shared" si="1"/>
        <v>1</v>
      </c>
      <c r="L13" s="82">
        <f t="shared" si="2"/>
        <v>8340482.2000000002</v>
      </c>
      <c r="M13" s="82">
        <f t="shared" si="3"/>
        <v>1471849.8</v>
      </c>
      <c r="N13" s="82">
        <f t="shared" si="4"/>
        <v>9812332</v>
      </c>
    </row>
    <row r="14" spans="1:16" ht="13" outlineLevel="1" x14ac:dyDescent="0.3">
      <c r="A14" s="32">
        <v>1.06</v>
      </c>
      <c r="B14" s="33" t="s">
        <v>15</v>
      </c>
      <c r="C14" s="34" t="s">
        <v>16</v>
      </c>
      <c r="D14" s="35">
        <v>4</v>
      </c>
      <c r="E14" s="181">
        <v>442847</v>
      </c>
      <c r="F14" s="181">
        <f t="shared" si="0"/>
        <v>1771388</v>
      </c>
      <c r="H14" s="31"/>
      <c r="I14" s="83">
        <v>0.99999999999999989</v>
      </c>
      <c r="J14" s="249"/>
      <c r="K14" s="264">
        <f t="shared" si="1"/>
        <v>0.99999999999999989</v>
      </c>
      <c r="L14" s="82">
        <f t="shared" si="2"/>
        <v>1771387.9999999998</v>
      </c>
      <c r="M14" s="82">
        <f t="shared" si="3"/>
        <v>0</v>
      </c>
      <c r="N14" s="82">
        <f t="shared" si="4"/>
        <v>1771387.9999999998</v>
      </c>
    </row>
    <row r="15" spans="1:16" ht="13" outlineLevel="1" x14ac:dyDescent="0.3">
      <c r="A15" s="32">
        <v>1.07</v>
      </c>
      <c r="B15" s="33" t="s">
        <v>17</v>
      </c>
      <c r="C15" s="34" t="s">
        <v>12</v>
      </c>
      <c r="D15" s="35">
        <v>1</v>
      </c>
      <c r="E15" s="181">
        <v>2287982</v>
      </c>
      <c r="F15" s="181">
        <f t="shared" si="0"/>
        <v>2287982</v>
      </c>
      <c r="H15" s="31"/>
      <c r="I15" s="83">
        <v>0.8</v>
      </c>
      <c r="J15" s="249">
        <v>0.2</v>
      </c>
      <c r="K15" s="264">
        <f t="shared" si="1"/>
        <v>1</v>
      </c>
      <c r="L15" s="82">
        <f t="shared" si="2"/>
        <v>1830385.6</v>
      </c>
      <c r="M15" s="82">
        <f t="shared" si="3"/>
        <v>457596.4</v>
      </c>
      <c r="N15" s="82">
        <f t="shared" si="4"/>
        <v>2287982</v>
      </c>
    </row>
    <row r="16" spans="1:16" ht="13" outlineLevel="1" x14ac:dyDescent="0.3">
      <c r="A16" s="32">
        <v>1.08</v>
      </c>
      <c r="B16" s="33" t="s">
        <v>18</v>
      </c>
      <c r="C16" s="34" t="s">
        <v>12</v>
      </c>
      <c r="D16" s="35">
        <v>1</v>
      </c>
      <c r="E16" s="181">
        <v>1808218</v>
      </c>
      <c r="F16" s="181">
        <f t="shared" si="0"/>
        <v>1808218</v>
      </c>
      <c r="H16" s="31"/>
      <c r="I16" s="83">
        <v>0.2</v>
      </c>
      <c r="J16" s="249">
        <v>0.8</v>
      </c>
      <c r="K16" s="264">
        <f t="shared" si="1"/>
        <v>1</v>
      </c>
      <c r="L16" s="82">
        <f t="shared" si="2"/>
        <v>361643.60000000003</v>
      </c>
      <c r="M16" s="82">
        <f t="shared" si="3"/>
        <v>1446574.4000000001</v>
      </c>
      <c r="N16" s="82">
        <f t="shared" si="4"/>
        <v>1808218</v>
      </c>
    </row>
    <row r="17" spans="1:19" ht="13" outlineLevel="1" x14ac:dyDescent="0.3">
      <c r="A17" s="32">
        <v>1.0900000000000001</v>
      </c>
      <c r="B17" s="33" t="s">
        <v>19</v>
      </c>
      <c r="C17" s="34" t="s">
        <v>12</v>
      </c>
      <c r="D17" s="35">
        <v>1</v>
      </c>
      <c r="E17" s="181">
        <v>483369</v>
      </c>
      <c r="F17" s="181">
        <f t="shared" si="0"/>
        <v>483369</v>
      </c>
      <c r="H17" s="31"/>
      <c r="I17" s="83">
        <v>0.7</v>
      </c>
      <c r="J17" s="249">
        <v>0.3</v>
      </c>
      <c r="K17" s="264">
        <f t="shared" si="1"/>
        <v>1</v>
      </c>
      <c r="L17" s="82">
        <f t="shared" si="2"/>
        <v>338358.3</v>
      </c>
      <c r="M17" s="82">
        <f t="shared" si="3"/>
        <v>145010.69999999998</v>
      </c>
      <c r="N17" s="82">
        <f t="shared" si="4"/>
        <v>483369</v>
      </c>
    </row>
    <row r="18" spans="1:19" s="26" customFormat="1" ht="13" x14ac:dyDescent="0.3">
      <c r="A18" s="18">
        <v>2</v>
      </c>
      <c r="B18" s="22" t="s">
        <v>20</v>
      </c>
      <c r="C18" s="23"/>
      <c r="D18" s="24"/>
      <c r="E18" s="24"/>
      <c r="F18" s="24"/>
      <c r="G18" s="179">
        <f>SUM(F19:F23)</f>
        <v>29649894</v>
      </c>
      <c r="H18" s="25">
        <f>+G18/$G$46</f>
        <v>5.9192327880273038E-2</v>
      </c>
      <c r="I18" s="76"/>
      <c r="J18" s="77"/>
      <c r="K18" s="265"/>
      <c r="L18" s="78"/>
      <c r="M18" s="78"/>
      <c r="N18" s="79"/>
    </row>
    <row r="19" spans="1:19" ht="13" outlineLevel="1" x14ac:dyDescent="0.3">
      <c r="A19" s="32">
        <v>2.0099999999999998</v>
      </c>
      <c r="B19" s="38" t="s">
        <v>21</v>
      </c>
      <c r="C19" s="39" t="s">
        <v>22</v>
      </c>
      <c r="D19" s="40">
        <v>308</v>
      </c>
      <c r="E19" s="181">
        <v>52801</v>
      </c>
      <c r="F19" s="181">
        <f>+E19*D19</f>
        <v>16262708</v>
      </c>
      <c r="H19" s="31"/>
      <c r="I19" s="80">
        <v>1</v>
      </c>
      <c r="J19" s="80"/>
      <c r="K19" s="263">
        <f t="shared" ref="K19" si="5">+I19+J19</f>
        <v>1</v>
      </c>
      <c r="L19" s="169">
        <f t="shared" ref="L19" si="6">+F19*I19</f>
        <v>16262708</v>
      </c>
      <c r="M19" s="169">
        <f t="shared" ref="M19" si="7">+F19*J19</f>
        <v>0</v>
      </c>
      <c r="N19" s="169">
        <f t="shared" ref="N19" si="8">+F19*K19</f>
        <v>16262708</v>
      </c>
    </row>
    <row r="20" spans="1:19" ht="13" outlineLevel="1" x14ac:dyDescent="0.3">
      <c r="A20" s="32">
        <v>2.02</v>
      </c>
      <c r="B20" s="38" t="s">
        <v>23</v>
      </c>
      <c r="C20" s="39" t="s">
        <v>12</v>
      </c>
      <c r="D20" s="40">
        <v>1</v>
      </c>
      <c r="E20" s="181">
        <v>11624716</v>
      </c>
      <c r="F20" s="181">
        <f>+E20*D20</f>
        <v>11624716</v>
      </c>
      <c r="H20" s="31"/>
      <c r="I20" s="83">
        <v>1</v>
      </c>
      <c r="J20" s="83"/>
      <c r="K20" s="264">
        <f t="shared" si="1"/>
        <v>1</v>
      </c>
      <c r="L20" s="170">
        <f t="shared" si="2"/>
        <v>11624716</v>
      </c>
      <c r="M20" s="170">
        <f t="shared" si="3"/>
        <v>0</v>
      </c>
      <c r="N20" s="170">
        <f t="shared" si="4"/>
        <v>11624716</v>
      </c>
    </row>
    <row r="21" spans="1:19" ht="13" outlineLevel="1" x14ac:dyDescent="0.3">
      <c r="A21" s="32">
        <v>2.0299999999999998</v>
      </c>
      <c r="B21" s="38" t="s">
        <v>24</v>
      </c>
      <c r="C21" s="39" t="s">
        <v>22</v>
      </c>
      <c r="D21" s="40">
        <v>15</v>
      </c>
      <c r="E21" s="181">
        <v>117498</v>
      </c>
      <c r="F21" s="181">
        <f>+E21*D21</f>
        <v>1762470</v>
      </c>
      <c r="H21" s="31"/>
      <c r="I21" s="83">
        <v>1</v>
      </c>
      <c r="J21" s="83"/>
      <c r="K21" s="264">
        <f t="shared" si="1"/>
        <v>1</v>
      </c>
      <c r="L21" s="170">
        <f t="shared" si="2"/>
        <v>1762470</v>
      </c>
      <c r="M21" s="170">
        <f t="shared" si="3"/>
        <v>0</v>
      </c>
      <c r="N21" s="170">
        <f t="shared" si="4"/>
        <v>1762470</v>
      </c>
    </row>
    <row r="22" spans="1:19" ht="26" outlineLevel="1" x14ac:dyDescent="0.3">
      <c r="A22" s="41">
        <v>2.04</v>
      </c>
      <c r="B22" s="62" t="s">
        <v>53</v>
      </c>
      <c r="C22" s="42" t="s">
        <v>25</v>
      </c>
      <c r="D22" s="43">
        <v>0</v>
      </c>
      <c r="E22" s="181">
        <v>28536</v>
      </c>
      <c r="F22" s="181">
        <f>+E22*D22</f>
        <v>0</v>
      </c>
      <c r="H22" s="31"/>
      <c r="I22" s="83">
        <v>0</v>
      </c>
      <c r="J22" s="83"/>
      <c r="K22" s="264">
        <f t="shared" si="1"/>
        <v>0</v>
      </c>
      <c r="L22" s="170">
        <f t="shared" si="2"/>
        <v>0</v>
      </c>
      <c r="M22" s="170">
        <f t="shared" si="3"/>
        <v>0</v>
      </c>
      <c r="N22" s="170">
        <f t="shared" si="4"/>
        <v>0</v>
      </c>
    </row>
    <row r="23" spans="1:19" ht="13" outlineLevel="1" x14ac:dyDescent="0.3">
      <c r="A23" s="44">
        <v>2.0499999999999998</v>
      </c>
      <c r="B23" s="45" t="s">
        <v>54</v>
      </c>
      <c r="C23" s="46" t="s">
        <v>12</v>
      </c>
      <c r="D23" s="47">
        <v>0</v>
      </c>
      <c r="E23" s="181">
        <v>0</v>
      </c>
      <c r="F23" s="181">
        <f>+E23*D23</f>
        <v>0</v>
      </c>
      <c r="H23" s="31"/>
      <c r="I23" s="85">
        <v>0</v>
      </c>
      <c r="J23" s="85"/>
      <c r="K23" s="266">
        <f t="shared" si="1"/>
        <v>0</v>
      </c>
      <c r="L23" s="171">
        <f t="shared" si="2"/>
        <v>0</v>
      </c>
      <c r="M23" s="171">
        <f t="shared" si="3"/>
        <v>0</v>
      </c>
      <c r="N23" s="171">
        <f t="shared" si="4"/>
        <v>0</v>
      </c>
    </row>
    <row r="24" spans="1:19" s="26" customFormat="1" ht="13" x14ac:dyDescent="0.3">
      <c r="A24" s="18">
        <v>3</v>
      </c>
      <c r="B24" s="22" t="s">
        <v>26</v>
      </c>
      <c r="C24" s="23"/>
      <c r="D24" s="24"/>
      <c r="E24" s="24"/>
      <c r="F24" s="24"/>
      <c r="G24" s="179">
        <f>SUM(F25:F45)</f>
        <v>451369624</v>
      </c>
      <c r="H24" s="25">
        <f>+G24/$G$46</f>
        <v>0.90110334893620725</v>
      </c>
      <c r="I24" s="76"/>
      <c r="J24" s="77"/>
      <c r="K24" s="265"/>
      <c r="L24" s="78"/>
      <c r="M24" s="78"/>
      <c r="N24" s="79"/>
    </row>
    <row r="25" spans="1:19" ht="13" outlineLevel="1" x14ac:dyDescent="0.3">
      <c r="A25" s="32">
        <v>3.01</v>
      </c>
      <c r="B25" s="48" t="s">
        <v>27</v>
      </c>
      <c r="C25" s="36" t="s">
        <v>22</v>
      </c>
      <c r="D25" s="37">
        <v>13</v>
      </c>
      <c r="E25" s="181">
        <v>293139</v>
      </c>
      <c r="F25" s="181">
        <f t="shared" ref="F25:F45" si="9">+E25*D25</f>
        <v>3810807</v>
      </c>
      <c r="H25" s="31"/>
      <c r="I25" s="83">
        <v>1</v>
      </c>
      <c r="J25" s="83"/>
      <c r="K25" s="239">
        <f t="shared" si="1"/>
        <v>1</v>
      </c>
      <c r="L25" s="82">
        <f t="shared" si="2"/>
        <v>3810807</v>
      </c>
      <c r="M25" s="82">
        <f t="shared" si="3"/>
        <v>0</v>
      </c>
      <c r="N25" s="82">
        <f t="shared" si="4"/>
        <v>3810807</v>
      </c>
      <c r="Q25" s="212"/>
    </row>
    <row r="26" spans="1:19" ht="13" outlineLevel="1" x14ac:dyDescent="0.3">
      <c r="A26" s="32">
        <v>3.02</v>
      </c>
      <c r="B26" s="48" t="s">
        <v>28</v>
      </c>
      <c r="C26" s="36" t="s">
        <v>29</v>
      </c>
      <c r="D26" s="37">
        <v>18</v>
      </c>
      <c r="E26" s="181">
        <v>460697</v>
      </c>
      <c r="F26" s="181">
        <f t="shared" si="9"/>
        <v>8292546</v>
      </c>
      <c r="H26" s="31"/>
      <c r="I26" s="83">
        <v>1</v>
      </c>
      <c r="J26" s="83"/>
      <c r="K26" s="239">
        <f t="shared" si="1"/>
        <v>1</v>
      </c>
      <c r="L26" s="82">
        <f t="shared" si="2"/>
        <v>8292546</v>
      </c>
      <c r="M26" s="82">
        <f t="shared" si="3"/>
        <v>0</v>
      </c>
      <c r="N26" s="82">
        <f t="shared" si="4"/>
        <v>8292546</v>
      </c>
      <c r="Q26" s="212"/>
    </row>
    <row r="27" spans="1:19" ht="13" outlineLevel="1" x14ac:dyDescent="0.3">
      <c r="A27" s="32">
        <v>3.03</v>
      </c>
      <c r="B27" s="48" t="s">
        <v>30</v>
      </c>
      <c r="C27" s="36" t="s">
        <v>22</v>
      </c>
      <c r="D27" s="37">
        <v>12</v>
      </c>
      <c r="E27" s="181">
        <v>1027679</v>
      </c>
      <c r="F27" s="181">
        <f t="shared" si="9"/>
        <v>12332148</v>
      </c>
      <c r="H27" s="31"/>
      <c r="I27" s="83">
        <v>1</v>
      </c>
      <c r="J27" s="209"/>
      <c r="K27" s="239">
        <f t="shared" si="1"/>
        <v>1</v>
      </c>
      <c r="L27" s="82">
        <f t="shared" si="2"/>
        <v>12332148</v>
      </c>
      <c r="M27" s="82">
        <f t="shared" si="3"/>
        <v>0</v>
      </c>
      <c r="N27" s="82">
        <f t="shared" si="4"/>
        <v>12332148</v>
      </c>
      <c r="Q27" s="212"/>
    </row>
    <row r="28" spans="1:19" ht="13" outlineLevel="1" x14ac:dyDescent="0.3">
      <c r="A28" s="32">
        <v>3.04</v>
      </c>
      <c r="B28" s="48" t="s">
        <v>31</v>
      </c>
      <c r="C28" s="36" t="s">
        <v>22</v>
      </c>
      <c r="D28" s="37">
        <v>7</v>
      </c>
      <c r="E28" s="181">
        <v>960201</v>
      </c>
      <c r="F28" s="181">
        <f t="shared" si="9"/>
        <v>6721407</v>
      </c>
      <c r="H28" s="31"/>
      <c r="I28" s="83">
        <v>1</v>
      </c>
      <c r="J28" s="209"/>
      <c r="K28" s="239">
        <f t="shared" si="1"/>
        <v>1</v>
      </c>
      <c r="L28" s="82">
        <f t="shared" si="2"/>
        <v>6721407</v>
      </c>
      <c r="M28" s="82">
        <f t="shared" si="3"/>
        <v>0</v>
      </c>
      <c r="N28" s="82">
        <f t="shared" si="4"/>
        <v>6721407</v>
      </c>
      <c r="Q28" s="211"/>
    </row>
    <row r="29" spans="1:19" ht="13" outlineLevel="1" x14ac:dyDescent="0.3">
      <c r="A29" s="32">
        <v>3.05</v>
      </c>
      <c r="B29" s="48" t="s">
        <v>32</v>
      </c>
      <c r="C29" s="36" t="s">
        <v>22</v>
      </c>
      <c r="D29" s="37">
        <v>38</v>
      </c>
      <c r="E29" s="181">
        <v>714274</v>
      </c>
      <c r="F29" s="181">
        <f t="shared" si="9"/>
        <v>27142412</v>
      </c>
      <c r="H29" s="31"/>
      <c r="I29" s="83">
        <v>1</v>
      </c>
      <c r="J29" s="83"/>
      <c r="K29" s="239">
        <f t="shared" si="1"/>
        <v>1</v>
      </c>
      <c r="L29" s="82">
        <f t="shared" si="2"/>
        <v>27142412</v>
      </c>
      <c r="M29" s="82">
        <f t="shared" si="3"/>
        <v>0</v>
      </c>
      <c r="N29" s="82">
        <f t="shared" si="4"/>
        <v>27142412</v>
      </c>
      <c r="Q29" s="213"/>
    </row>
    <row r="30" spans="1:19" ht="13" outlineLevel="1" x14ac:dyDescent="0.3">
      <c r="A30" s="32">
        <v>3.06</v>
      </c>
      <c r="B30" s="48" t="s">
        <v>33</v>
      </c>
      <c r="C30" s="36" t="s">
        <v>22</v>
      </c>
      <c r="D30" s="37">
        <v>51</v>
      </c>
      <c r="E30" s="181">
        <v>634926</v>
      </c>
      <c r="F30" s="181">
        <f t="shared" si="9"/>
        <v>32381226</v>
      </c>
      <c r="H30" s="31"/>
      <c r="I30" s="83">
        <v>1</v>
      </c>
      <c r="J30" s="83"/>
      <c r="K30" s="239">
        <f t="shared" si="1"/>
        <v>1</v>
      </c>
      <c r="L30" s="82">
        <f t="shared" si="2"/>
        <v>32381226</v>
      </c>
      <c r="M30" s="82">
        <f t="shared" si="3"/>
        <v>0</v>
      </c>
      <c r="N30" s="82">
        <f t="shared" si="4"/>
        <v>32381226</v>
      </c>
    </row>
    <row r="31" spans="1:19" ht="13" outlineLevel="1" x14ac:dyDescent="0.3">
      <c r="A31" s="32">
        <v>3.07</v>
      </c>
      <c r="B31" s="48" t="s">
        <v>34</v>
      </c>
      <c r="C31" s="36" t="s">
        <v>22</v>
      </c>
      <c r="D31" s="37">
        <v>16</v>
      </c>
      <c r="E31" s="181">
        <v>1289285</v>
      </c>
      <c r="F31" s="181">
        <f t="shared" si="9"/>
        <v>20628560</v>
      </c>
      <c r="H31" s="31"/>
      <c r="I31" s="83">
        <v>1</v>
      </c>
      <c r="J31" s="249"/>
      <c r="K31" s="239">
        <f t="shared" si="1"/>
        <v>1</v>
      </c>
      <c r="L31" s="82">
        <f t="shared" si="2"/>
        <v>20628560</v>
      </c>
      <c r="M31" s="82">
        <f t="shared" si="3"/>
        <v>0</v>
      </c>
      <c r="N31" s="82">
        <f t="shared" si="4"/>
        <v>20628560</v>
      </c>
    </row>
    <row r="32" spans="1:19" ht="13" outlineLevel="1" x14ac:dyDescent="0.3">
      <c r="A32" s="32">
        <v>3.08</v>
      </c>
      <c r="B32" s="48" t="s">
        <v>35</v>
      </c>
      <c r="C32" s="36" t="s">
        <v>22</v>
      </c>
      <c r="D32" s="37">
        <v>7</v>
      </c>
      <c r="E32" s="181">
        <v>1096226</v>
      </c>
      <c r="F32" s="181">
        <f t="shared" si="9"/>
        <v>7673582</v>
      </c>
      <c r="H32" s="31"/>
      <c r="I32" s="83">
        <v>1</v>
      </c>
      <c r="J32" s="249"/>
      <c r="K32" s="239">
        <f t="shared" si="1"/>
        <v>1</v>
      </c>
      <c r="L32" s="82">
        <f t="shared" si="2"/>
        <v>7673582</v>
      </c>
      <c r="M32" s="82">
        <f t="shared" si="3"/>
        <v>0</v>
      </c>
      <c r="N32" s="82">
        <f t="shared" si="4"/>
        <v>7673582</v>
      </c>
      <c r="S32" s="211"/>
    </row>
    <row r="33" spans="1:20" ht="13" outlineLevel="1" x14ac:dyDescent="0.3">
      <c r="A33" s="32">
        <v>3.09</v>
      </c>
      <c r="B33" s="33" t="s">
        <v>36</v>
      </c>
      <c r="C33" s="39" t="s">
        <v>22</v>
      </c>
      <c r="D33" s="35">
        <v>90</v>
      </c>
      <c r="E33" s="181">
        <v>804023</v>
      </c>
      <c r="F33" s="181">
        <f t="shared" si="9"/>
        <v>72362070</v>
      </c>
      <c r="H33" s="31"/>
      <c r="I33" s="83">
        <v>0.1333</v>
      </c>
      <c r="J33" s="256">
        <f>100%-I33</f>
        <v>0.86670000000000003</v>
      </c>
      <c r="K33" s="239">
        <f t="shared" si="1"/>
        <v>1</v>
      </c>
      <c r="L33" s="82">
        <f t="shared" si="2"/>
        <v>9645863.9309999999</v>
      </c>
      <c r="M33" s="82">
        <f>+F33*J33</f>
        <v>62716206.068999998</v>
      </c>
      <c r="N33" s="82">
        <f>+F33*K33</f>
        <v>72362070</v>
      </c>
      <c r="O33" s="213">
        <f>K33*D33</f>
        <v>90</v>
      </c>
      <c r="P33" s="247">
        <f>D33-O33</f>
        <v>0</v>
      </c>
      <c r="Q33" s="248"/>
      <c r="T33" s="270">
        <f>F33*0.4</f>
        <v>28944828</v>
      </c>
    </row>
    <row r="34" spans="1:20" ht="13" outlineLevel="1" x14ac:dyDescent="0.3">
      <c r="A34" s="32">
        <v>3.1</v>
      </c>
      <c r="B34" s="33" t="s">
        <v>37</v>
      </c>
      <c r="C34" s="39" t="s">
        <v>22</v>
      </c>
      <c r="D34" s="35">
        <v>32</v>
      </c>
      <c r="E34" s="181">
        <v>888733</v>
      </c>
      <c r="F34" s="181">
        <f t="shared" si="9"/>
        <v>28439456</v>
      </c>
      <c r="H34" s="31"/>
      <c r="I34" s="83">
        <v>1.0028000000000001</v>
      </c>
      <c r="J34" s="256">
        <v>-2.8E-3</v>
      </c>
      <c r="K34" s="239">
        <f t="shared" si="1"/>
        <v>1.0000000000000002</v>
      </c>
      <c r="L34" s="82">
        <f t="shared" si="2"/>
        <v>28519086.476800002</v>
      </c>
      <c r="M34" s="82">
        <f t="shared" si="3"/>
        <v>-79630.476800000004</v>
      </c>
      <c r="N34" s="82">
        <f t="shared" si="4"/>
        <v>28439456.000000007</v>
      </c>
      <c r="O34" s="213"/>
      <c r="P34" s="247">
        <f>R34*D34</f>
        <v>0</v>
      </c>
      <c r="Q34" s="267">
        <f>N34-F34</f>
        <v>0</v>
      </c>
      <c r="R34" s="268">
        <f>Q34/F34</f>
        <v>0</v>
      </c>
      <c r="S34" s="213"/>
    </row>
    <row r="35" spans="1:20" ht="13" outlineLevel="1" x14ac:dyDescent="0.3">
      <c r="A35" s="32">
        <v>3.11</v>
      </c>
      <c r="B35" s="33" t="s">
        <v>38</v>
      </c>
      <c r="C35" s="39" t="s">
        <v>22</v>
      </c>
      <c r="D35" s="35">
        <v>46</v>
      </c>
      <c r="E35" s="181">
        <v>1494687</v>
      </c>
      <c r="F35" s="181">
        <f t="shared" si="9"/>
        <v>68755602</v>
      </c>
      <c r="H35" s="31"/>
      <c r="I35" s="83">
        <v>0.58240000000000003</v>
      </c>
      <c r="J35" s="256">
        <f>100%-I35</f>
        <v>0.41759999999999997</v>
      </c>
      <c r="K35" s="239">
        <f t="shared" si="1"/>
        <v>1</v>
      </c>
      <c r="L35" s="82">
        <f t="shared" si="2"/>
        <v>40043262.604800001</v>
      </c>
      <c r="M35" s="82">
        <f t="shared" si="3"/>
        <v>28712339.395199999</v>
      </c>
      <c r="N35" s="82">
        <f t="shared" si="4"/>
        <v>68755602</v>
      </c>
      <c r="O35" s="213">
        <f>K35*D35</f>
        <v>46</v>
      </c>
      <c r="P35" s="247">
        <f>D35-O35</f>
        <v>0</v>
      </c>
      <c r="Q35" s="248"/>
      <c r="T35" s="270">
        <f>F35*0.4</f>
        <v>27502240.800000001</v>
      </c>
    </row>
    <row r="36" spans="1:20" ht="13" outlineLevel="1" x14ac:dyDescent="0.3">
      <c r="A36" s="32">
        <v>3.12</v>
      </c>
      <c r="B36" s="33" t="s">
        <v>39</v>
      </c>
      <c r="C36" s="39" t="s">
        <v>22</v>
      </c>
      <c r="D36" s="35">
        <v>31</v>
      </c>
      <c r="E36" s="181">
        <v>1673385</v>
      </c>
      <c r="F36" s="181">
        <f t="shared" si="9"/>
        <v>51874935</v>
      </c>
      <c r="H36" s="31"/>
      <c r="I36" s="83">
        <v>1</v>
      </c>
      <c r="J36" s="251"/>
      <c r="K36" s="239">
        <f t="shared" si="1"/>
        <v>1</v>
      </c>
      <c r="L36" s="82">
        <f t="shared" si="2"/>
        <v>51874935</v>
      </c>
      <c r="M36" s="82">
        <f t="shared" si="3"/>
        <v>0</v>
      </c>
      <c r="N36" s="82">
        <f t="shared" si="4"/>
        <v>51874935</v>
      </c>
      <c r="O36" s="213"/>
      <c r="P36" s="247"/>
      <c r="Q36" s="248"/>
    </row>
    <row r="37" spans="1:20" ht="13" outlineLevel="1" x14ac:dyDescent="0.3">
      <c r="A37" s="32">
        <v>3.13</v>
      </c>
      <c r="B37" s="33" t="s">
        <v>40</v>
      </c>
      <c r="C37" s="39" t="s">
        <v>22</v>
      </c>
      <c r="D37" s="35">
        <v>24</v>
      </c>
      <c r="E37" s="181">
        <v>1039014</v>
      </c>
      <c r="F37" s="181">
        <f t="shared" si="9"/>
        <v>24936336</v>
      </c>
      <c r="H37" s="31"/>
      <c r="I37" s="83">
        <v>0.65190000000000003</v>
      </c>
      <c r="J37" s="257">
        <v>0.34810000000000002</v>
      </c>
      <c r="K37" s="239">
        <f t="shared" si="1"/>
        <v>1</v>
      </c>
      <c r="L37" s="82">
        <f t="shared" si="2"/>
        <v>16255997.4384</v>
      </c>
      <c r="M37" s="82">
        <f t="shared" si="3"/>
        <v>8680338.5615999997</v>
      </c>
      <c r="N37" s="82">
        <f t="shared" si="4"/>
        <v>24936336</v>
      </c>
      <c r="O37" s="213"/>
      <c r="P37" s="247"/>
      <c r="Q37" s="248"/>
    </row>
    <row r="38" spans="1:20" ht="13" outlineLevel="1" x14ac:dyDescent="0.3">
      <c r="A38" s="32">
        <v>3.14</v>
      </c>
      <c r="B38" s="33" t="s">
        <v>41</v>
      </c>
      <c r="C38" s="39" t="s">
        <v>22</v>
      </c>
      <c r="D38" s="35">
        <v>39</v>
      </c>
      <c r="E38" s="181">
        <v>1153260</v>
      </c>
      <c r="F38" s="181">
        <f t="shared" si="9"/>
        <v>44977140</v>
      </c>
      <c r="H38" s="31"/>
      <c r="I38" s="83">
        <v>0.81889999999999996</v>
      </c>
      <c r="J38" s="257">
        <v>0.18110000000000001</v>
      </c>
      <c r="K38" s="239">
        <f t="shared" si="1"/>
        <v>1</v>
      </c>
      <c r="L38" s="82">
        <f t="shared" si="2"/>
        <v>36831779.945999995</v>
      </c>
      <c r="M38" s="82">
        <f t="shared" si="3"/>
        <v>8145360.0540000005</v>
      </c>
      <c r="N38" s="82">
        <f t="shared" si="4"/>
        <v>44977140</v>
      </c>
      <c r="O38" s="213"/>
      <c r="P38" s="247"/>
      <c r="Q38" s="248"/>
    </row>
    <row r="39" spans="1:20" ht="13" outlineLevel="1" x14ac:dyDescent="0.3">
      <c r="A39" s="32">
        <v>3.16</v>
      </c>
      <c r="B39" s="33" t="s">
        <v>42</v>
      </c>
      <c r="C39" s="39" t="s">
        <v>22</v>
      </c>
      <c r="D39" s="35">
        <v>4</v>
      </c>
      <c r="E39" s="181">
        <v>1254164</v>
      </c>
      <c r="F39" s="181">
        <f t="shared" si="9"/>
        <v>5016656</v>
      </c>
      <c r="H39" s="31"/>
      <c r="I39" s="83">
        <v>0.63250000000000006</v>
      </c>
      <c r="J39" s="257">
        <v>0.36749999999999999</v>
      </c>
      <c r="K39" s="239">
        <f t="shared" si="1"/>
        <v>1</v>
      </c>
      <c r="L39" s="82">
        <f t="shared" si="2"/>
        <v>3173034.9200000004</v>
      </c>
      <c r="M39" s="82">
        <f t="shared" si="3"/>
        <v>1843621.08</v>
      </c>
      <c r="N39" s="82">
        <f t="shared" si="4"/>
        <v>5016656</v>
      </c>
      <c r="O39" s="213"/>
      <c r="P39" s="213"/>
      <c r="Q39" s="211"/>
    </row>
    <row r="40" spans="1:20" ht="13" outlineLevel="1" x14ac:dyDescent="0.3">
      <c r="A40" s="32">
        <v>3.17</v>
      </c>
      <c r="B40" s="33" t="s">
        <v>43</v>
      </c>
      <c r="C40" s="39" t="s">
        <v>22</v>
      </c>
      <c r="D40" s="35">
        <v>10</v>
      </c>
      <c r="E40" s="181">
        <v>1111535</v>
      </c>
      <c r="F40" s="181">
        <f t="shared" si="9"/>
        <v>11115350</v>
      </c>
      <c r="H40" s="31"/>
      <c r="I40" s="83">
        <v>0.56400000000000006</v>
      </c>
      <c r="J40" s="257">
        <v>0.436</v>
      </c>
      <c r="K40" s="239">
        <f t="shared" si="1"/>
        <v>1</v>
      </c>
      <c r="L40" s="82">
        <f t="shared" si="2"/>
        <v>6269057.4000000004</v>
      </c>
      <c r="M40" s="82">
        <f t="shared" si="3"/>
        <v>4846292.5999999996</v>
      </c>
      <c r="N40" s="82">
        <f t="shared" si="4"/>
        <v>11115350</v>
      </c>
      <c r="O40" s="213"/>
      <c r="P40" s="213"/>
    </row>
    <row r="41" spans="1:20" ht="13" outlineLevel="1" x14ac:dyDescent="0.3">
      <c r="A41" s="32">
        <v>3.18</v>
      </c>
      <c r="B41" s="33" t="s">
        <v>55</v>
      </c>
      <c r="C41" s="39" t="s">
        <v>22</v>
      </c>
      <c r="D41" s="35">
        <v>6</v>
      </c>
      <c r="E41" s="181">
        <v>1039014</v>
      </c>
      <c r="F41" s="181">
        <f t="shared" si="9"/>
        <v>6234084</v>
      </c>
      <c r="H41" s="31"/>
      <c r="I41" s="83">
        <v>0</v>
      </c>
      <c r="J41" s="256">
        <f>100%-I41</f>
        <v>1</v>
      </c>
      <c r="K41" s="239">
        <f t="shared" si="1"/>
        <v>1</v>
      </c>
      <c r="L41" s="82">
        <f t="shared" si="2"/>
        <v>0</v>
      </c>
      <c r="M41" s="82">
        <f t="shared" si="3"/>
        <v>6234084</v>
      </c>
      <c r="N41" s="82">
        <f t="shared" si="4"/>
        <v>6234084</v>
      </c>
      <c r="O41" s="213">
        <f>K41*D41</f>
        <v>6</v>
      </c>
      <c r="P41" s="247">
        <f>D41-O41</f>
        <v>0</v>
      </c>
      <c r="T41" s="270">
        <f>F41*0.4</f>
        <v>2493633.6</v>
      </c>
    </row>
    <row r="42" spans="1:20" ht="13" outlineLevel="1" x14ac:dyDescent="0.3">
      <c r="A42" s="32">
        <v>3.19</v>
      </c>
      <c r="B42" s="49" t="s">
        <v>44</v>
      </c>
      <c r="C42" s="39" t="s">
        <v>12</v>
      </c>
      <c r="D42" s="50">
        <v>1</v>
      </c>
      <c r="E42" s="181">
        <v>11272951</v>
      </c>
      <c r="F42" s="181">
        <f t="shared" si="9"/>
        <v>11272951</v>
      </c>
      <c r="H42" s="31"/>
      <c r="I42" s="83">
        <v>0.65</v>
      </c>
      <c r="J42" s="249">
        <v>0.35</v>
      </c>
      <c r="K42" s="239">
        <f t="shared" si="1"/>
        <v>1</v>
      </c>
      <c r="L42" s="82">
        <f t="shared" si="2"/>
        <v>7327418.1500000004</v>
      </c>
      <c r="M42" s="82">
        <f t="shared" si="3"/>
        <v>3945532.8499999996</v>
      </c>
      <c r="N42" s="82">
        <f t="shared" si="4"/>
        <v>11272951</v>
      </c>
      <c r="O42" s="213"/>
      <c r="P42" s="213"/>
    </row>
    <row r="43" spans="1:20" ht="13" outlineLevel="1" x14ac:dyDescent="0.3">
      <c r="A43" s="32">
        <v>3.2</v>
      </c>
      <c r="B43" s="49" t="s">
        <v>45</v>
      </c>
      <c r="C43" s="39" t="s">
        <v>29</v>
      </c>
      <c r="D43" s="40">
        <v>15</v>
      </c>
      <c r="E43" s="181">
        <v>304811</v>
      </c>
      <c r="F43" s="181">
        <f t="shared" si="9"/>
        <v>4572165</v>
      </c>
      <c r="H43" s="31"/>
      <c r="I43" s="83">
        <v>0.8</v>
      </c>
      <c r="J43" s="249">
        <v>0.2</v>
      </c>
      <c r="K43" s="239">
        <f t="shared" si="1"/>
        <v>1</v>
      </c>
      <c r="L43" s="82">
        <f t="shared" si="2"/>
        <v>3657732</v>
      </c>
      <c r="M43" s="82">
        <f t="shared" si="3"/>
        <v>914433</v>
      </c>
      <c r="N43" s="82">
        <f t="shared" si="4"/>
        <v>4572165</v>
      </c>
      <c r="O43" s="213"/>
      <c r="P43" s="213"/>
      <c r="Q43" s="214"/>
      <c r="R43" s="214"/>
    </row>
    <row r="44" spans="1:20" ht="13" outlineLevel="1" x14ac:dyDescent="0.3">
      <c r="A44" s="32">
        <v>3.21</v>
      </c>
      <c r="B44" s="51" t="s">
        <v>46</v>
      </c>
      <c r="C44" s="42" t="s">
        <v>12</v>
      </c>
      <c r="D44" s="43">
        <v>3</v>
      </c>
      <c r="E44" s="181">
        <v>68289</v>
      </c>
      <c r="F44" s="181">
        <f t="shared" si="9"/>
        <v>204867</v>
      </c>
      <c r="H44" s="31"/>
      <c r="I44" s="83">
        <v>1</v>
      </c>
      <c r="J44" s="251"/>
      <c r="K44" s="239">
        <f t="shared" si="1"/>
        <v>1</v>
      </c>
      <c r="L44" s="82">
        <f t="shared" si="2"/>
        <v>204867</v>
      </c>
      <c r="M44" s="82">
        <f t="shared" si="3"/>
        <v>0</v>
      </c>
      <c r="N44" s="82">
        <f t="shared" si="4"/>
        <v>204867</v>
      </c>
      <c r="O44" s="213"/>
      <c r="P44" s="213"/>
    </row>
    <row r="45" spans="1:20" ht="13" outlineLevel="1" x14ac:dyDescent="0.3">
      <c r="A45" s="32">
        <v>3.22</v>
      </c>
      <c r="B45" s="52" t="s">
        <v>56</v>
      </c>
      <c r="C45" s="53" t="s">
        <v>25</v>
      </c>
      <c r="D45" s="47">
        <v>78</v>
      </c>
      <c r="E45" s="181">
        <v>33658</v>
      </c>
      <c r="F45" s="181">
        <f t="shared" si="9"/>
        <v>2625324</v>
      </c>
      <c r="H45" s="31"/>
      <c r="I45" s="83">
        <v>1</v>
      </c>
      <c r="J45" s="251"/>
      <c r="K45" s="239">
        <f t="shared" si="1"/>
        <v>1</v>
      </c>
      <c r="L45" s="82">
        <f t="shared" si="2"/>
        <v>2625324</v>
      </c>
      <c r="M45" s="82">
        <f t="shared" si="3"/>
        <v>0</v>
      </c>
      <c r="N45" s="82">
        <f t="shared" si="4"/>
        <v>2625324</v>
      </c>
      <c r="P45" s="213"/>
    </row>
    <row r="46" spans="1:20" s="56" customFormat="1" ht="13" x14ac:dyDescent="0.3">
      <c r="A46" s="18"/>
      <c r="B46" s="55" t="s">
        <v>48</v>
      </c>
      <c r="C46" s="23"/>
      <c r="D46" s="24"/>
      <c r="E46" s="24"/>
      <c r="F46" s="182">
        <f>SUM(F8:F45)</f>
        <v>500907720</v>
      </c>
      <c r="G46" s="183">
        <f>SUM(G8:G45)</f>
        <v>500907720</v>
      </c>
      <c r="H46" s="31">
        <f>+G46/$G$46</f>
        <v>1</v>
      </c>
      <c r="I46" s="87"/>
      <c r="J46" s="88"/>
      <c r="K46" s="240"/>
      <c r="L46" s="88">
        <f>+SUM(L8:L45)</f>
        <v>370011807.25699991</v>
      </c>
      <c r="M46" s="88">
        <f t="shared" ref="M46" si="10">+SUM(M8:M45)</f>
        <v>130895912.743</v>
      </c>
      <c r="N46" s="89">
        <f>+SUM(N8:N45)</f>
        <v>500907720</v>
      </c>
      <c r="O46" s="56">
        <f>+N46-G46</f>
        <v>0</v>
      </c>
      <c r="P46" s="56">
        <f>+N46+N53</f>
        <v>413087681.77380002</v>
      </c>
    </row>
    <row r="47" spans="1:20" s="56" customFormat="1" ht="13" x14ac:dyDescent="0.3">
      <c r="A47" s="58"/>
      <c r="B47" s="59"/>
      <c r="C47" s="60"/>
      <c r="D47" s="61"/>
      <c r="E47" s="184"/>
      <c r="F47" s="184"/>
      <c r="G47" s="185"/>
      <c r="H47" s="31"/>
      <c r="I47" s="90"/>
      <c r="J47" s="90"/>
      <c r="K47" s="241"/>
      <c r="L47" s="90"/>
      <c r="M47" s="255">
        <f>+M46/G46</f>
        <v>0.26131741939014236</v>
      </c>
      <c r="N47" s="218">
        <f>+N46/G46</f>
        <v>1</v>
      </c>
      <c r="T47" s="56">
        <f>SUM(T26:T46)</f>
        <v>58940702.399999999</v>
      </c>
    </row>
    <row r="48" spans="1:20" s="26" customFormat="1" ht="13" x14ac:dyDescent="0.3">
      <c r="A48" s="18">
        <v>3</v>
      </c>
      <c r="B48" s="22" t="s">
        <v>90</v>
      </c>
      <c r="C48" s="23"/>
      <c r="D48" s="24"/>
      <c r="E48" s="24"/>
      <c r="F48" s="24"/>
      <c r="G48" s="179">
        <f>SUM(F49:F52)</f>
        <v>-87820038.226199985</v>
      </c>
      <c r="H48" s="25">
        <f>+G48/$G$46</f>
        <v>-0.17532179026148764</v>
      </c>
      <c r="I48" s="76"/>
      <c r="J48" s="77"/>
      <c r="K48" s="238"/>
      <c r="L48" s="78"/>
      <c r="M48" s="78"/>
      <c r="N48" s="79"/>
      <c r="P48" s="271">
        <f>+N46</f>
        <v>500907720</v>
      </c>
    </row>
    <row r="49" spans="1:17" ht="13" outlineLevel="1" x14ac:dyDescent="0.3">
      <c r="A49" s="269">
        <f>A34</f>
        <v>3.1</v>
      </c>
      <c r="B49" s="48" t="str">
        <f>B34</f>
        <v xml:space="preserve">Losa maciza de Hº visto - H35 (100 kg/m3 de hierro) </v>
      </c>
      <c r="C49" s="36" t="s">
        <v>22</v>
      </c>
      <c r="D49" s="37">
        <f>-P34</f>
        <v>0</v>
      </c>
      <c r="E49" s="262">
        <f>E34</f>
        <v>888733</v>
      </c>
      <c r="F49" s="181">
        <f t="shared" ref="F49" si="11">+E49*D49</f>
        <v>0</v>
      </c>
      <c r="H49" s="31"/>
      <c r="I49" s="83"/>
      <c r="J49" s="83">
        <v>1</v>
      </c>
      <c r="K49" s="239">
        <f t="shared" ref="K49" si="12">+I49+J49</f>
        <v>1</v>
      </c>
      <c r="L49" s="82">
        <f t="shared" ref="L49" si="13">+F49*I49</f>
        <v>0</v>
      </c>
      <c r="M49" s="82">
        <f t="shared" ref="M49" si="14">+F49*J49</f>
        <v>0</v>
      </c>
      <c r="N49" s="82">
        <f t="shared" ref="N49" si="15">+F49*K49</f>
        <v>0</v>
      </c>
      <c r="P49" s="214">
        <f>+N53</f>
        <v>-87820038.226199985</v>
      </c>
      <c r="Q49" s="212"/>
    </row>
    <row r="50" spans="1:17" ht="13" outlineLevel="1" x14ac:dyDescent="0.3">
      <c r="A50" s="48">
        <f>A33</f>
        <v>3.09</v>
      </c>
      <c r="B50" s="48" t="str">
        <f>B33</f>
        <v>Losa maciza - H35 (100 kg/m3 de hierro)</v>
      </c>
      <c r="C50" s="36" t="s">
        <v>22</v>
      </c>
      <c r="D50" s="37">
        <f>-'GDR 3760_Pto. 01_Cert. 09'!P33</f>
        <v>-75.680999999999997</v>
      </c>
      <c r="E50" s="262">
        <f>E33</f>
        <v>804023</v>
      </c>
      <c r="F50" s="181">
        <f t="shared" ref="F50:F52" si="16">+E50*D50</f>
        <v>-60849264.662999995</v>
      </c>
      <c r="H50" s="31"/>
      <c r="I50" s="83"/>
      <c r="J50" s="83">
        <v>1</v>
      </c>
      <c r="K50" s="239">
        <f t="shared" ref="K50:K52" si="17">+I50+J50</f>
        <v>1</v>
      </c>
      <c r="L50" s="82">
        <f t="shared" ref="L50:L52" si="18">+F50*I50</f>
        <v>0</v>
      </c>
      <c r="M50" s="82">
        <f t="shared" ref="M50:M52" si="19">+F50*J50</f>
        <v>-60849264.662999995</v>
      </c>
      <c r="N50" s="82">
        <f t="shared" ref="N50:N52" si="20">+F50*K50</f>
        <v>-60849264.662999995</v>
      </c>
      <c r="P50" s="272">
        <v>93845459</v>
      </c>
      <c r="Q50" s="212"/>
    </row>
    <row r="51" spans="1:17" ht="13" outlineLevel="1" x14ac:dyDescent="0.3">
      <c r="A51" s="48">
        <f>A35</f>
        <v>3.11</v>
      </c>
      <c r="B51" s="48" t="str">
        <f>B35</f>
        <v>Vigas - H35 (180 kg/m3 de hierro)</v>
      </c>
      <c r="C51" s="48" t="str">
        <f>C35</f>
        <v>m3</v>
      </c>
      <c r="D51" s="37">
        <f>-'GDR 3760_Pto. 01_Cert. 09'!P35</f>
        <v>-13.873599999999996</v>
      </c>
      <c r="E51" s="262">
        <f>E35</f>
        <v>1494687</v>
      </c>
      <c r="F51" s="181">
        <f t="shared" si="16"/>
        <v>-20736689.563199993</v>
      </c>
      <c r="H51" s="31"/>
      <c r="I51" s="83"/>
      <c r="J51" s="83">
        <v>1</v>
      </c>
      <c r="K51" s="239">
        <f t="shared" si="17"/>
        <v>1</v>
      </c>
      <c r="L51" s="82">
        <f t="shared" si="18"/>
        <v>0</v>
      </c>
      <c r="M51" s="82">
        <f t="shared" si="19"/>
        <v>-20736689.563199993</v>
      </c>
      <c r="N51" s="82">
        <f t="shared" si="20"/>
        <v>-20736689.563199993</v>
      </c>
      <c r="P51" s="214">
        <f>+P48+P49+P50</f>
        <v>506933140.77380002</v>
      </c>
      <c r="Q51" s="212"/>
    </row>
    <row r="52" spans="1:17" ht="13" outlineLevel="1" x14ac:dyDescent="0.3">
      <c r="A52" s="48">
        <f>A41</f>
        <v>3.18</v>
      </c>
      <c r="B52" s="48" t="str">
        <f>B41</f>
        <v>Tanques de HºAº - H35 (100 kg/m3 de hierro) - Tanque de reserva</v>
      </c>
      <c r="C52" s="48" t="str">
        <f>C41</f>
        <v>m3</v>
      </c>
      <c r="D52" s="37">
        <f>-'GDR 3760_Pto. 01_Cert. 09'!P41</f>
        <v>-6</v>
      </c>
      <c r="E52" s="262">
        <f>E41</f>
        <v>1039014</v>
      </c>
      <c r="F52" s="181">
        <f t="shared" si="16"/>
        <v>-6234084</v>
      </c>
      <c r="H52" s="31"/>
      <c r="I52" s="83"/>
      <c r="J52" s="209">
        <v>1</v>
      </c>
      <c r="K52" s="239">
        <f t="shared" si="17"/>
        <v>1</v>
      </c>
      <c r="L52" s="82">
        <f t="shared" si="18"/>
        <v>0</v>
      </c>
      <c r="M52" s="82">
        <f t="shared" si="19"/>
        <v>-6234084</v>
      </c>
      <c r="N52" s="82">
        <f t="shared" si="20"/>
        <v>-6234084</v>
      </c>
      <c r="Q52" s="212"/>
    </row>
    <row r="53" spans="1:17" s="56" customFormat="1" ht="13" x14ac:dyDescent="0.3">
      <c r="A53" s="18"/>
      <c r="B53" s="55" t="s">
        <v>91</v>
      </c>
      <c r="C53" s="23"/>
      <c r="D53" s="24"/>
      <c r="E53" s="24"/>
      <c r="F53" s="182"/>
      <c r="G53" s="183">
        <f>SUM(G48:G52)</f>
        <v>-87820038.226199985</v>
      </c>
      <c r="H53" s="31"/>
      <c r="I53" s="87"/>
      <c r="J53" s="88"/>
      <c r="K53" s="240"/>
      <c r="L53" s="88">
        <f>SUM(L50:L52)</f>
        <v>0</v>
      </c>
      <c r="M53" s="88">
        <f>SUM(M49:M52)</f>
        <v>-87820038.226199985</v>
      </c>
      <c r="N53" s="88">
        <f>SUM(N49:N52)</f>
        <v>-87820038.226199985</v>
      </c>
      <c r="P53" s="56">
        <f>+M53*0.4</f>
        <v>-35128015.290479995</v>
      </c>
    </row>
    <row r="54" spans="1:17" s="56" customFormat="1" ht="13" x14ac:dyDescent="0.3">
      <c r="A54" s="58"/>
      <c r="B54" s="59"/>
      <c r="C54" s="60"/>
      <c r="D54" s="61"/>
      <c r="E54" s="184"/>
      <c r="F54" s="184"/>
      <c r="G54" s="185"/>
      <c r="H54" s="31"/>
      <c r="I54" s="90"/>
      <c r="J54" s="90"/>
      <c r="K54" s="241"/>
      <c r="L54" s="90"/>
      <c r="M54" s="255">
        <f>+M53/G53</f>
        <v>1</v>
      </c>
      <c r="N54" s="218">
        <f>+N53/G53</f>
        <v>1</v>
      </c>
    </row>
    <row r="55" spans="1:17" ht="12.75" customHeight="1" x14ac:dyDescent="0.3">
      <c r="A55" s="54"/>
      <c r="B55" s="63"/>
      <c r="D55" s="64"/>
      <c r="E55" s="11"/>
      <c r="F55" s="11"/>
      <c r="G55" s="187"/>
      <c r="I55" s="90"/>
      <c r="J55" s="90"/>
      <c r="K55" s="241"/>
      <c r="L55" s="90"/>
      <c r="M55" s="91"/>
      <c r="N55" s="91"/>
    </row>
    <row r="56" spans="1:17" ht="12.75" customHeight="1" x14ac:dyDescent="0.3">
      <c r="A56" s="92"/>
      <c r="B56" s="93" t="s">
        <v>63</v>
      </c>
      <c r="C56" s="94"/>
      <c r="D56" s="95"/>
      <c r="E56" s="188"/>
      <c r="F56" s="189"/>
      <c r="G56" s="190"/>
      <c r="H56" s="96"/>
      <c r="I56" s="97"/>
      <c r="J56" s="98"/>
      <c r="K56" s="242" t="s">
        <v>64</v>
      </c>
      <c r="L56" s="100">
        <f>+J4</f>
        <v>9</v>
      </c>
      <c r="M56" s="101"/>
      <c r="N56" s="102">
        <f>+N4</f>
        <v>45988</v>
      </c>
    </row>
    <row r="57" spans="1:17" ht="12.75" customHeight="1" x14ac:dyDescent="0.3">
      <c r="A57" s="103"/>
      <c r="B57" s="93" t="s">
        <v>6</v>
      </c>
      <c r="C57" s="101"/>
      <c r="D57" s="104"/>
      <c r="E57" s="191"/>
      <c r="F57" s="190"/>
      <c r="G57" s="190"/>
      <c r="H57" s="96"/>
      <c r="I57" s="105"/>
      <c r="J57" s="106"/>
      <c r="K57" s="240"/>
      <c r="L57" s="93"/>
      <c r="M57" s="101" t="s">
        <v>65</v>
      </c>
      <c r="N57" s="107" t="s">
        <v>66</v>
      </c>
    </row>
    <row r="58" spans="1:17" ht="12.75" customHeight="1" x14ac:dyDescent="0.3">
      <c r="A58" s="216" t="s">
        <v>67</v>
      </c>
      <c r="B58" s="109" t="s">
        <v>68</v>
      </c>
      <c r="C58" s="108"/>
      <c r="D58" s="110"/>
      <c r="E58" s="192"/>
      <c r="F58" s="193"/>
      <c r="G58" s="194"/>
      <c r="H58" s="111"/>
      <c r="I58" s="112"/>
      <c r="J58" s="113"/>
      <c r="K58" s="243"/>
      <c r="L58" s="114"/>
      <c r="M58" s="114"/>
      <c r="N58" s="115">
        <f>+G46</f>
        <v>500907720</v>
      </c>
    </row>
    <row r="59" spans="1:17" ht="12.75" customHeight="1" x14ac:dyDescent="0.3">
      <c r="A59" s="116" t="s">
        <v>69</v>
      </c>
      <c r="B59" s="117" t="s">
        <v>47</v>
      </c>
      <c r="C59" s="118"/>
      <c r="D59" s="119"/>
      <c r="E59" s="195"/>
      <c r="F59" s="196"/>
      <c r="G59" s="197"/>
      <c r="H59" s="121"/>
      <c r="I59" s="120"/>
      <c r="J59" s="122"/>
      <c r="K59" s="244"/>
      <c r="L59" s="124"/>
      <c r="M59" s="168">
        <v>0.4</v>
      </c>
      <c r="N59" s="126">
        <f>+M59*N58</f>
        <v>200363088</v>
      </c>
    </row>
    <row r="60" spans="1:17" ht="12.75" customHeight="1" x14ac:dyDescent="0.3">
      <c r="A60" s="217" t="s">
        <v>2</v>
      </c>
      <c r="B60" s="128" t="s">
        <v>70</v>
      </c>
      <c r="C60" s="129"/>
      <c r="D60" s="130"/>
      <c r="E60" s="198"/>
      <c r="F60" s="199"/>
      <c r="G60" s="200"/>
      <c r="H60" s="131"/>
      <c r="I60" s="132"/>
      <c r="J60" s="133"/>
      <c r="K60" s="245"/>
      <c r="L60" s="134"/>
      <c r="M60" s="134"/>
      <c r="N60" s="135">
        <f>+M46+M53</f>
        <v>43075874.516800016</v>
      </c>
      <c r="O60" s="214">
        <f>M46</f>
        <v>130895912.743</v>
      </c>
    </row>
    <row r="61" spans="1:17" ht="12.75" customHeight="1" x14ac:dyDescent="0.3">
      <c r="A61" s="116" t="s">
        <v>71</v>
      </c>
      <c r="B61" s="117" t="s">
        <v>72</v>
      </c>
      <c r="C61" s="118"/>
      <c r="D61" s="119"/>
      <c r="E61" s="195"/>
      <c r="F61" s="196"/>
      <c r="G61" s="197"/>
      <c r="H61" s="121"/>
      <c r="I61" s="123"/>
      <c r="J61" s="122"/>
      <c r="K61" s="244"/>
      <c r="L61" s="124"/>
      <c r="M61" s="125">
        <f>-M59</f>
        <v>-0.4</v>
      </c>
      <c r="N61" s="126">
        <f>+M61*N60</f>
        <v>-17230349.806720007</v>
      </c>
      <c r="O61" s="213">
        <f>+O60*M61</f>
        <v>-52358365.097200006</v>
      </c>
    </row>
    <row r="62" spans="1:17" ht="12.75" customHeight="1" x14ac:dyDescent="0.3">
      <c r="A62" s="226" t="s">
        <v>5</v>
      </c>
      <c r="B62" s="227" t="s">
        <v>73</v>
      </c>
      <c r="C62" s="228"/>
      <c r="D62" s="229"/>
      <c r="E62" s="230"/>
      <c r="F62" s="231"/>
      <c r="G62" s="231"/>
      <c r="H62" s="232"/>
      <c r="I62" s="232"/>
      <c r="J62" s="232"/>
      <c r="K62" s="246"/>
      <c r="L62" s="233"/>
      <c r="M62" s="233"/>
      <c r="N62" s="234">
        <f>+N60+N61</f>
        <v>25845524.710080009</v>
      </c>
      <c r="O62" s="7">
        <f>+O60+O61</f>
        <v>78537547.645799994</v>
      </c>
    </row>
    <row r="63" spans="1:17" ht="12.75" customHeight="1" x14ac:dyDescent="0.3">
      <c r="O63" s="214">
        <f>+M53</f>
        <v>-87820038.226199985</v>
      </c>
    </row>
    <row r="64" spans="1:17" ht="12.75" customHeight="1" x14ac:dyDescent="0.3">
      <c r="O64" s="213">
        <f>+O62+O63</f>
        <v>-9282490.5803999901</v>
      </c>
    </row>
    <row r="65" spans="1:9" ht="12.75" customHeight="1" x14ac:dyDescent="0.3">
      <c r="A65" s="222"/>
      <c r="B65" s="223"/>
      <c r="D65" s="221"/>
      <c r="E65" s="64"/>
      <c r="F65" s="64"/>
      <c r="G65" s="224"/>
    </row>
    <row r="66" spans="1:9" ht="12.75" customHeight="1" x14ac:dyDescent="0.3">
      <c r="A66" s="222"/>
      <c r="B66" s="223"/>
      <c r="D66" s="221"/>
      <c r="E66" s="64"/>
      <c r="F66" s="64" t="s">
        <v>89</v>
      </c>
      <c r="G66" s="259" t="s">
        <v>86</v>
      </c>
      <c r="H66" s="258" t="s">
        <v>65</v>
      </c>
      <c r="I66" s="258" t="s">
        <v>87</v>
      </c>
    </row>
    <row r="67" spans="1:9" ht="12.75" customHeight="1" x14ac:dyDescent="0.3">
      <c r="A67" s="222"/>
      <c r="B67" s="223"/>
      <c r="D67" s="221"/>
      <c r="E67" s="64"/>
      <c r="F67" s="64" t="s">
        <v>85</v>
      </c>
      <c r="G67" s="224">
        <f>+G46</f>
        <v>500907720</v>
      </c>
      <c r="H67" s="31">
        <v>1</v>
      </c>
      <c r="I67" s="213">
        <f>+G67*H67</f>
        <v>500907720</v>
      </c>
    </row>
    <row r="68" spans="1:9" ht="12.75" customHeight="1" x14ac:dyDescent="0.3">
      <c r="A68" s="222"/>
      <c r="B68" s="223"/>
      <c r="D68" s="221"/>
      <c r="E68" s="64"/>
      <c r="F68" s="64" t="s">
        <v>88</v>
      </c>
      <c r="G68" s="224">
        <v>844845248</v>
      </c>
      <c r="H68" s="31">
        <f>+I68/G68</f>
        <v>0.16832994855408123</v>
      </c>
      <c r="I68" s="213">
        <v>142212757.132</v>
      </c>
    </row>
    <row r="69" spans="1:9" ht="12.75" customHeight="1" x14ac:dyDescent="0.3">
      <c r="A69" s="222"/>
      <c r="B69" s="225"/>
      <c r="D69" s="221"/>
      <c r="E69" s="64"/>
      <c r="F69" s="64"/>
      <c r="G69" s="224">
        <f>+SUM(G67:G68)</f>
        <v>1345752968</v>
      </c>
      <c r="H69" s="261">
        <f>+I69/G69</f>
        <v>0.47788895319159347</v>
      </c>
      <c r="I69" s="260">
        <f>+SUM(I67:I68)</f>
        <v>643120477.13199997</v>
      </c>
    </row>
    <row r="70" spans="1:9" ht="12.75" customHeight="1" x14ac:dyDescent="0.3">
      <c r="A70" s="222"/>
      <c r="B70" s="223"/>
      <c r="D70" s="221"/>
      <c r="E70" s="64"/>
      <c r="F70" s="64"/>
      <c r="G70" s="224"/>
    </row>
    <row r="71" spans="1:9" ht="12.75" customHeight="1" x14ac:dyDescent="0.3">
      <c r="A71" s="222"/>
      <c r="B71" s="223"/>
      <c r="D71" s="221"/>
      <c r="E71" s="64"/>
      <c r="F71" s="64"/>
      <c r="G71" s="224"/>
    </row>
  </sheetData>
  <mergeCells count="2">
    <mergeCell ref="I6:K6"/>
    <mergeCell ref="L6:N6"/>
  </mergeCells>
  <conditionalFormatting sqref="C3:C11 C18:C32">
    <cfRule type="cellIs" dxfId="4" priority="5" operator="equal">
      <formula>"x"</formula>
    </cfRule>
  </conditionalFormatting>
  <conditionalFormatting sqref="C46:C50">
    <cfRule type="cellIs" dxfId="3" priority="3" operator="equal">
      <formula>"x"</formula>
    </cfRule>
  </conditionalFormatting>
  <conditionalFormatting sqref="C53:C54">
    <cfRule type="cellIs" dxfId="2" priority="1" operator="equal">
      <formula>"x"</formula>
    </cfRule>
  </conditionalFormatting>
  <conditionalFormatting sqref="K9:K17 K19:K23 K25:K45">
    <cfRule type="cellIs" dxfId="1" priority="4" operator="lessThan">
      <formula>1</formula>
    </cfRule>
  </conditionalFormatting>
  <conditionalFormatting sqref="K49:K52">
    <cfRule type="cellIs" dxfId="0" priority="2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2" ma:contentTypeDescription="Crear nuevo documento." ma:contentTypeScope="" ma:versionID="61a71a3d95d7a853bd689e1010fefd3e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b1a638ef3bf32d927ff5f3c419465762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27e8e7-8070-4f55-ac82-ef9a73aa74fb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976BAB-BF22-440A-AE56-725A8EF49A9A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  <ds:schemaRef ds:uri="ec0867ba-afc9-41d7-832d-70b193b46750"/>
    <ds:schemaRef ds:uri="861eec1e-dfcf-41d4-8b29-b5dd7f9f56d3"/>
  </ds:schemaRefs>
</ds:datastoreItem>
</file>

<file path=customXml/itemProps2.xml><?xml version="1.0" encoding="utf-8"?>
<ds:datastoreItem xmlns:ds="http://schemas.openxmlformats.org/officeDocument/2006/customXml" ds:itemID="{3143EEFA-4B8E-4505-9549-FE6C74DB9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AC9603-51D6-41F0-BEF2-6BA2807B4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GDR 3760_Pto. 01_Cert. 01</vt:lpstr>
      <vt:lpstr>GDR 3760_Pto. 01_Cert. 02</vt:lpstr>
      <vt:lpstr>GDR 3760_Pto. 01_Cert. 03</vt:lpstr>
      <vt:lpstr>GDR 3760_Pto. 01_Cert. 04</vt:lpstr>
      <vt:lpstr>GDR 3760_Pto. 01_Cert. 05</vt:lpstr>
      <vt:lpstr>GDR 3760_Pto. 01_Cert. 06</vt:lpstr>
      <vt:lpstr>GDR 3760_Pto. 01_Cert. 07</vt:lpstr>
      <vt:lpstr>GDR 3760_Pto. 01_Cert. 08</vt:lpstr>
      <vt:lpstr>GDR 3760_Pto. 01_Cert. 09</vt:lpstr>
      <vt:lpstr>GDR 3760_Pto. 01_Cert. 09 (2)</vt:lpstr>
      <vt:lpstr>'GDR 3760_Pto. 01_Cert. 01'!Print_Area</vt:lpstr>
      <vt:lpstr>'GDR 3760_Pto. 01_Cert. 02'!Print_Area</vt:lpstr>
      <vt:lpstr>'GDR 3760_Pto. 01_Cert. 03'!Print_Area</vt:lpstr>
      <vt:lpstr>'GDR 3760_Pto. 01_Cert. 04'!Print_Area</vt:lpstr>
      <vt:lpstr>'GDR 3760_Pto. 01_Cert. 05'!Print_Area</vt:lpstr>
      <vt:lpstr>'GDR 3760_Pto. 01_Cert. 06'!Print_Area</vt:lpstr>
      <vt:lpstr>'GDR 3760_Pto. 01_Cert. 07'!Print_Area</vt:lpstr>
      <vt:lpstr>'GDR 3760_Pto. 01_Cert. 08'!Print_Area</vt:lpstr>
      <vt:lpstr>'GDR 3760_Pto. 01_Cert. 09'!Print_Area</vt:lpstr>
      <vt:lpstr>'GDR 3760_Pto. 01_Cert. 09 (2)'!Print_Area</vt:lpstr>
      <vt:lpstr>'GDR 3760_Pto. 01_Cert. 01'!Print_Titles</vt:lpstr>
      <vt:lpstr>'GDR 3760_Pto. 01_Cert. 02'!Print_Titles</vt:lpstr>
      <vt:lpstr>'GDR 3760_Pto. 01_Cert. 03'!Print_Titles</vt:lpstr>
      <vt:lpstr>'GDR 3760_Pto. 01_Cert. 04'!Print_Titles</vt:lpstr>
      <vt:lpstr>'GDR 3760_Pto. 01_Cert. 05'!Print_Titles</vt:lpstr>
      <vt:lpstr>'GDR 3760_Pto. 01_Cert. 06'!Print_Titles</vt:lpstr>
      <vt:lpstr>'GDR 3760_Pto. 01_Cert. 07'!Print_Titles</vt:lpstr>
      <vt:lpstr>'GDR 3760_Pto. 01_Cert. 08'!Print_Titles</vt:lpstr>
      <vt:lpstr>'GDR 3760_Pto. 01_Cert. 09'!Print_Titles</vt:lpstr>
      <vt:lpstr>'GDR 3760_Pto. 01_Cert. 09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Pagliaricci</dc:creator>
  <cp:lastModifiedBy>Pedro Pagliaricci</cp:lastModifiedBy>
  <dcterms:created xsi:type="dcterms:W3CDTF">2025-03-06T17:23:19Z</dcterms:created>
  <dcterms:modified xsi:type="dcterms:W3CDTF">2026-06-22T12:31:43Z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